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INFORME 1\"/>
    </mc:Choice>
  </mc:AlternateContent>
  <xr:revisionPtr revIDLastSave="0" documentId="13_ncr:1_{D066A7FE-781E-4DD3-A2CE-494B8E954ACF}" xr6:coauthVersionLast="47" xr6:coauthVersionMax="47" xr10:uidLastSave="{00000000-0000-0000-0000-000000000000}"/>
  <bookViews>
    <workbookView xWindow="-28920" yWindow="855" windowWidth="29040" windowHeight="15720" tabRatio="639" activeTab="2" xr2:uid="{00000000-000D-0000-FFFF-FFFF00000000}"/>
  </bookViews>
  <sheets>
    <sheet name="Indice" sheetId="10" r:id="rId1"/>
    <sheet name="Formato General" sheetId="6" r:id="rId2"/>
    <sheet name="Analisis por Categorias" sheetId="5" r:id="rId3"/>
    <sheet name="Matriz de Produccion" sheetId="3" r:id="rId4"/>
    <sheet name="Matriz de Costos" sheetId="2" r:id="rId5"/>
    <sheet name="Matriz de Resultados" sheetId="4" r:id="rId6"/>
    <sheet name="Matriz de Proyecciones" sheetId="1" r:id="rId7"/>
    <sheet name="Proyeccion" sheetId="37" state="hidden" r:id="rId8"/>
    <sheet name="Imputar" sheetId="9" state="hidden" r:id="rId9"/>
    <sheet name="EIMI" sheetId="11" state="hidden" r:id="rId10"/>
    <sheet name="PANEL" sheetId="12" state="hidden" r:id="rId11"/>
  </sheets>
  <externalReferences>
    <externalReference r:id="rId12"/>
  </externalReferences>
  <definedNames>
    <definedName name="\1">#REF!</definedName>
    <definedName name="\q">#REF!</definedName>
    <definedName name="\w">#REF!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hidden="1">{#N/A,#N/A,TRUE,"Est. de Fact.";#N/A,#N/A,TRUE,"Capitulo 19";#N/A,#N/A,TRUE,"Proyecto P855"}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EV1" hidden="1">{"Graf_Carga Trab",#N/A,FALSE,"Grafi_Carga Trab";"Graf_Venta Flujo",#N/A,FALSE,"Grafi_Carga Trab"}</definedName>
    <definedName name="_________REV11" hidden="1">{"Graf_Carga Trab",#N/A,FALSE,"Grafi_Carga Trab";"Graf_Venta Flujo",#N/A,FALSE,"Grafi_Carga Trab"}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hidden="1">{#N/A,#N/A,TRUE,"Est. de Fact.";#N/A,#N/A,TRUE,"Capitulo 19";#N/A,#N/A,TRUE,"Proyecto P855"}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" hidden="1">{#N/A,#N/A,FALSE,"Total_OC015";#N/A,#N/A,FALSE,"ADMIN";#N/A,#N/A,FALSE,"PROCES";#N/A,#N/A,FALSE,"mecan";#N/A,#N/A,FALSE,"civil";#N/A,#N/A,FALSE,"CAÑER";#N/A,#N/A,FALSE,"ELEC";#N/A,#N/A,FALSE,"INSTR"}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EV1" hidden="1">{"Graf_Carga Trab",#N/A,FALSE,"Grafi_Carga Trab";"Graf_Venta Flujo",#N/A,FALSE,"Grafi_Carga Trab"}</definedName>
    <definedName name="________REV11" hidden="1">{"Graf_Carga Trab",#N/A,FALSE,"Grafi_Carga Trab";"Graf_Venta Flujo",#N/A,FALSE,"Grafi_Carga Trab"}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rn1" hidden="1">{#N/A,#N/A,TRUE,"Est. de Fact.";#N/A,#N/A,TRUE,"Capitulo 19";#N/A,#N/A,TRUE,"Proyecto P855"}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" hidden="1">{#N/A,#N/A,FALSE,"Total_OC015";#N/A,#N/A,FALSE,"ADMIN";#N/A,#N/A,FALSE,"PROCES";#N/A,#N/A,FALSE,"mecan";#N/A,#N/A,FALSE,"civil";#N/A,#N/A,FALSE,"CAÑER";#N/A,#N/A,FALSE,"ELEC";#N/A,#N/A,FALSE,"INSTR"}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 hidden="1">{"Graf_Carga Trab",#N/A,FALSE,"Grafi_Carga Trab";"Graf_Venta Flujo",#N/A,FALSE,"Grafi_Carga Trab"}</definedName>
    <definedName name="_______REV11" hidden="1">{"Graf_Carga Trab",#N/A,FALSE,"Grafi_Carga Trab";"Graf_Venta Flujo",#N/A,FALSE,"Grafi_Carga Trab"}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us96">#REF!</definedName>
    <definedName name="_______wq12" hidden="1">{#N/A,#N/A,FALSE,"Total_OC015";#N/A,#N/A,FALSE,"ADMIN";#N/A,#N/A,FALSE,"PROCES";#N/A,#N/A,FALSE,"mecan";#N/A,#N/A,FALSE,"civil";#N/A,#N/A,FALSE,"CAÑER";#N/A,#N/A,FALSE,"ELEC";#N/A,#N/A,FALSE,"INSTR"}</definedName>
    <definedName name="_______wrn1" hidden="1">{#N/A,#N/A,TRUE,"Est. de Fact.";#N/A,#N/A,TRUE,"Capitulo 19";#N/A,#N/A,TRUE,"Proyecto P855"}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EV1" hidden="1">{"Graf_Carga Trab",#N/A,FALSE,"Grafi_Carga Trab";"Graf_Venta Flujo",#N/A,FALSE,"Grafi_Carga Trab"}</definedName>
    <definedName name="______REV11" hidden="1">{"Graf_Carga Trab",#N/A,FALSE,"Grafi_Carga Trab";"Graf_Venta Flujo",#N/A,FALSE,"Grafi_Carga Trab"}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hidden="1">{#N/A,#N/A,TRUE,"Est. de Fact.";#N/A,#N/A,TRUE,"Capitulo 19";#N/A,#N/A,TRUE,"Proyecto P855"}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" hidden="1">{#N/A,#N/A,FALSE,"Total_OC015";#N/A,#N/A,FALSE,"ADMIN";#N/A,#N/A,FALSE,"PROCES";#N/A,#N/A,FALSE,"mecan";#N/A,#N/A,FALSE,"civil";#N/A,#N/A,FALSE,"CAÑER";#N/A,#N/A,FALSE,"ELEC";#N/A,#N/A,FALSE,"INSTR"}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EV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us96">#REF!</definedName>
    <definedName name="_____wq12" hidden="1">{#N/A,#N/A,FALSE,"Total_OC015";#N/A,#N/A,FALSE,"ADMIN";#N/A,#N/A,FALSE,"PROCES";#N/A,#N/A,FALSE,"mecan";#N/A,#N/A,FALSE,"civil";#N/A,#N/A,FALSE,"CAÑER";#N/A,#N/A,FALSE,"ELEC";#N/A,#N/A,FALSE,"INSTR"}</definedName>
    <definedName name="_____wrn1" hidden="1">{#N/A,#N/A,TRUE,"Est. de Fact.";#N/A,#N/A,TRUE,"Capitulo 19";#N/A,#N/A,TRUE,"Proyecto P855"}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BAS1">#REF!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hidden="1">#REF!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V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us96">#REF!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hidden="1">{#N/A,#N/A,TRUE,"Est. de Fact.";#N/A,#N/A,TRUE,"Capitulo 19";#N/A,#N/A,TRUE,"Proyecto P855"}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123Graph_A__200__BPF" hidden="1">#REF!</definedName>
    <definedName name="___2__123Graph_A__200__D50" hidden="1">#REF!</definedName>
    <definedName name="___3__123Graph_AEFICIENCIA_1" hidden="1">#REF!</definedName>
    <definedName name="___BAS1">#REF!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equ1" hidden="1">{#N/A,#N/A,TRUE,"Est. de Fact.";#N/A,#N/A,TRUE,"Capitulo 19";#N/A,#N/A,TRUE,"Proyecto P855"}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hidden="1">#REF!</definedName>
    <definedName name="___pp1" hidden="1">{#N/A,#N/A,FALSE,"Costos_Elem_Hid";#N/A,#N/A,FALSE,"Costos_Elem_Hid";#N/A,#N/A,FALSE,"Costos_Elem_Hid"}</definedName>
    <definedName name="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es1">#REF!</definedName>
    <definedName name="___res3">#REF!</definedName>
    <definedName name="___res4">#REF!</definedName>
    <definedName name="___REV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hidden="1">{#N/A,#N/A,TRUE,"Est. de Fact.";#N/A,#N/A,TRUE,"Capitulo 19";#N/A,#N/A,TRUE,"Proyecto P855"}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hidden="1">#REF!</definedName>
    <definedName name="__1__123Graph_A__200__BPF" hidden="1">#REF!</definedName>
    <definedName name="__10_____123Graph_C__200__D50" hidden="1">#REF!</definedName>
    <definedName name="__10__123Graph_BEFICIENCIA_1" hidden="1">#REF!</definedName>
    <definedName name="__10__123Graph_C__200__D50" hidden="1">#REF!</definedName>
    <definedName name="__11_____123Graph_CGRANULOMETRIA_1" hidden="1">#REF!</definedName>
    <definedName name="__11__123Graph_BGRAFICO_2" hidden="1">#REF!</definedName>
    <definedName name="__11__123Graph_CGRANULOMETRIA_1" hidden="1">#REF!</definedName>
    <definedName name="__12_____123Graph_D__200__BPF" hidden="1">#REF!</definedName>
    <definedName name="__12__123Graph_BGRANULOMETRIA_1" hidden="1">#REF!</definedName>
    <definedName name="__12__123Graph_D__200__BPF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OSTO" hidden="1">#REF!</definedName>
    <definedName name="__123Graph_ACurrent" hidden="1">#REF!</definedName>
    <definedName name="__123Graph_ANONMAN" hidden="1">#REF!</definedName>
    <definedName name="__123Graph_APERFORM" hidden="1">#REF!</definedName>
    <definedName name="__123Graph_APPCONC" hidden="1">#REF!</definedName>
    <definedName name="__123Graph_APROGRESS" hidden="1">#REF!</definedName>
    <definedName name="__123Graph_ATOTALPP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OSTO" hidden="1">#REF!</definedName>
    <definedName name="__123Graph_BCurrent" hidden="1">#REF!</definedName>
    <definedName name="__123Graph_BNONMAN" hidden="1">#REF!</definedName>
    <definedName name="__123Graph_BPERFORM" hidden="1">#REF!</definedName>
    <definedName name="__123Graph_BPPCONC" hidden="1">#REF!</definedName>
    <definedName name="__123Graph_BPROGRESS" hidden="1">#REF!</definedName>
    <definedName name="__123Graph_BTOTALPP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PERFORM" hidden="1">#REF!</definedName>
    <definedName name="__123Graph_CPPCONC" hidden="1">#REF!</definedName>
    <definedName name="__123Graph_CPROGRESS" hidden="1">#REF!</definedName>
    <definedName name="__123Graph_CREV" hidden="1">#REF!</definedName>
    <definedName name="__123Graph_CTOTALPP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DPPCONC" hidden="1">#REF!</definedName>
    <definedName name="__123Graph_DTOTALPP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EPPCONC" hidden="1">#REF!</definedName>
    <definedName name="__123Graph_ETOTALPP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FPPCONC" hidden="1">#REF!</definedName>
    <definedName name="__123Graph_FTOTALPP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4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PERFORM" hidden="1">#REF!</definedName>
    <definedName name="__123Graph_XPPCONC" hidden="1">#REF!</definedName>
    <definedName name="__123Graph_XPROGRESS" hidden="1">#REF!</definedName>
    <definedName name="__123Graph_XREV" hidden="1">#REF!</definedName>
    <definedName name="__123Graph_XTOTALPP" hidden="1">#REF!</definedName>
    <definedName name="__13_____123Graph_D__200__D50" hidden="1">#REF!</definedName>
    <definedName name="__13__123Graph_C__200__BPF" hidden="1">#REF!</definedName>
    <definedName name="__13__123Graph_D__200__D50" hidden="1">#REF!</definedName>
    <definedName name="__14_____123Graph_E__200__BPF" hidden="1">#REF!</definedName>
    <definedName name="__14__123Graph_C__200__D50" hidden="1">#REF!</definedName>
    <definedName name="__14__123Graph_E__200__BPF" hidden="1">#REF!</definedName>
    <definedName name="__15_____123Graph_E__200__D50" hidden="1">#REF!</definedName>
    <definedName name="__15__123Graph_CGRAFICO_2" hidden="1">#REF!</definedName>
    <definedName name="__15__123Graph_E__200__D50" hidden="1">#REF!</definedName>
    <definedName name="__16_____123Graph_F__200__BPF" hidden="1">#REF!</definedName>
    <definedName name="__16__123Graph_CGRANULOMETRIA_1" hidden="1">#REF!</definedName>
    <definedName name="__16__123Graph_F__200__BPF" hidden="1">#REF!</definedName>
    <definedName name="__17_____123Graph_F__200__D50" hidden="1">#REF!</definedName>
    <definedName name="__17__123Graph_D__200__BPF" hidden="1">#REF!</definedName>
    <definedName name="__17__123Graph_F__200__D50" hidden="1">#REF!</definedName>
    <definedName name="__18_____123Graph_X__200__BPF" hidden="1">#REF!</definedName>
    <definedName name="__18__123Graph_D__200__D50" hidden="1">#REF!</definedName>
    <definedName name="__18__123Graph_X__200__BPF" hidden="1">#REF!</definedName>
    <definedName name="__19_____123Graph_X__200__D50" hidden="1">#REF!</definedName>
    <definedName name="__19__123Graph_E__200__BPF" hidden="1">#REF!</definedName>
    <definedName name="__19__123Graph_X__200__D50" hidden="1">#REF!</definedName>
    <definedName name="__2_____123Graph_A__200__D50" hidden="1">#REF!</definedName>
    <definedName name="__2__123Graph_A__200__D50" hidden="1">#REF!</definedName>
    <definedName name="__20_____123Graph_XEFICIENCIA_1" hidden="1">#REF!</definedName>
    <definedName name="__20__123Graph_E__200__D50" hidden="1">#REF!</definedName>
    <definedName name="__20__123Graph_XEFICIENCIA_1" hidden="1">#REF!</definedName>
    <definedName name="__21_____123Graph_XGRANULOMETRIA_1" hidden="1">#REF!</definedName>
    <definedName name="__21__123Graph_F__200__BPF" hidden="1">#REF!</definedName>
    <definedName name="__21__123Graph_XGRANULOMETRIA_1" hidden="1">#REF!</definedName>
    <definedName name="__22____123Graph_A__200__BPF" hidden="1">#REF!</definedName>
    <definedName name="__22__123Graph_F__200__D50" hidden="1">#REF!</definedName>
    <definedName name="__23____123Graph_A__200__D50" hidden="1">#REF!</definedName>
    <definedName name="__23__123Graph_X__200__BPF" hidden="1">#REF!</definedName>
    <definedName name="__24____123Graph_AEFICIENCIA_1" hidden="1">#REF!</definedName>
    <definedName name="__24__123Graph_X__200__D50" hidden="1">#REF!</definedName>
    <definedName name="__25____123Graph_AGRANULOMETRIA_1" hidden="1">#REF!</definedName>
    <definedName name="__25__123Graph_XEFICIENCIA_1" hidden="1">#REF!</definedName>
    <definedName name="__26____123Graph_B__200__BPF" hidden="1">#REF!</definedName>
    <definedName name="__26__123Graph_XGRAFICO_1" hidden="1">#REF!</definedName>
    <definedName name="__27____123Graph_B__200__D50" hidden="1">#REF!</definedName>
    <definedName name="__27__123Graph_XGRAFICO_2" hidden="1">#REF!</definedName>
    <definedName name="__28____123Graph_BEFICIENCIA_1" hidden="1">#REF!</definedName>
    <definedName name="__28__123Graph_XGRAFICO_3" hidden="1">#REF!</definedName>
    <definedName name="__29____123Graph_BGRANULOMETRIA_1" hidden="1">#REF!</definedName>
    <definedName name="__29__123Graph_XGRANULOMETRIA_1" hidden="1">#REF!</definedName>
    <definedName name="__3_____123Graph_AEFICIENCIA_1" hidden="1">#REF!</definedName>
    <definedName name="__3__123Graph_AEFICIENCIA_1" hidden="1">#REF!</definedName>
    <definedName name="__30____123Graph_C__200__BPF" hidden="1">#REF!</definedName>
    <definedName name="__31____123Graph_C__200__D50" hidden="1">#REF!</definedName>
    <definedName name="__32____123Graph_CGRANULOMETRIA_1" hidden="1">#REF!</definedName>
    <definedName name="__33____123Graph_D__200__BPF" hidden="1">#REF!</definedName>
    <definedName name="__34____123Graph_D__200__D50" hidden="1">#REF!</definedName>
    <definedName name="__35____123Graph_E__200__BPF" hidden="1">#REF!</definedName>
    <definedName name="__36____123Graph_E__200__D50" hidden="1">#REF!</definedName>
    <definedName name="__37____123Graph_F__200__BPF" hidden="1">#REF!</definedName>
    <definedName name="__38____123Graph_F__200__D50" hidden="1">#REF!</definedName>
    <definedName name="__39____123Graph_X__200__BPF" hidden="1">#REF!</definedName>
    <definedName name="__4_____123Graph_AGRANULOMETRIA_1" hidden="1">#REF!</definedName>
    <definedName name="__4__123Graph_AGRAFICO_1" hidden="1">#REF!</definedName>
    <definedName name="__4__123Graph_AGRANULOMETRIA_1" hidden="1">#REF!</definedName>
    <definedName name="__40____123Graph_X__200__D50" hidden="1">#REF!</definedName>
    <definedName name="__41____123Graph_XEFICIENCIA_1" hidden="1">#REF!</definedName>
    <definedName name="__42____123Graph_XGRANULOMETRIA_1" hidden="1">#REF!</definedName>
    <definedName name="__43___123Graph_A__200__BPF" hidden="1">#REF!</definedName>
    <definedName name="__44___123Graph_A__200__D50" hidden="1">#REF!</definedName>
    <definedName name="__45___123Graph_AEFICIENCIA_1" hidden="1">#REF!</definedName>
    <definedName name="__46___123Graph_AGRANULOMETRIA_1" hidden="1">#REF!</definedName>
    <definedName name="__47___123Graph_B__200__BPF" hidden="1">#REF!</definedName>
    <definedName name="__48___123Graph_B__200__D50" hidden="1">#REF!</definedName>
    <definedName name="__49___123Graph_BEFICIENCIA_1" hidden="1">#REF!</definedName>
    <definedName name="__5_____123Graph_B__200__BPF" hidden="1">#REF!</definedName>
    <definedName name="__5__123Graph_AGRAFICO_2" hidden="1">#REF!</definedName>
    <definedName name="__5__123Graph_B__200__BPF" hidden="1">#REF!</definedName>
    <definedName name="__50___123Graph_BGRANULOMETRIA_1" hidden="1">#REF!</definedName>
    <definedName name="__51___123Graph_C__200__BPF" hidden="1">#REF!</definedName>
    <definedName name="__52___123Graph_C__200__D50" hidden="1">#REF!</definedName>
    <definedName name="__53___123Graph_CGRANULOMETRIA_1" hidden="1">#REF!</definedName>
    <definedName name="__54___123Graph_D__200__BPF" hidden="1">#REF!</definedName>
    <definedName name="__55___123Graph_D__200__D50" hidden="1">#REF!</definedName>
    <definedName name="__56___123Graph_E__200__BPF" hidden="1">#REF!</definedName>
    <definedName name="__57___123Graph_E__200__D50" hidden="1">#REF!</definedName>
    <definedName name="__58___123Graph_F__200__BPF" hidden="1">#REF!</definedName>
    <definedName name="__59___123Graph_F__200__D50" hidden="1">#REF!</definedName>
    <definedName name="__6_____123Graph_B__200__D50" hidden="1">#REF!</definedName>
    <definedName name="__6__123Graph_AGRAFICO_3" hidden="1">#REF!</definedName>
    <definedName name="__6__123Graph_B__200__D50" hidden="1">#REF!</definedName>
    <definedName name="__60___123Graph_X__200__BPF" hidden="1">#REF!</definedName>
    <definedName name="__61___123Graph_X__200__D50" hidden="1">#REF!</definedName>
    <definedName name="__62___123Graph_XEFICIENCIA_1" hidden="1">#REF!</definedName>
    <definedName name="__63___123Graph_XGRANULOMETRIA_1" hidden="1">#REF!</definedName>
    <definedName name="__64__123Graph_A__200__BPF" hidden="1">#REF!</definedName>
    <definedName name="__65__123Graph_A__200__D50" hidden="1">#REF!</definedName>
    <definedName name="__66__123Graph_AEFICIENCIA_1" hidden="1">#REF!</definedName>
    <definedName name="__67__123Graph_AGRANULOMETRIA_1" hidden="1">#REF!</definedName>
    <definedName name="__68__123Graph_B__200__BPF" hidden="1">#REF!</definedName>
    <definedName name="__69__123Graph_B__200__D50" hidden="1">#REF!</definedName>
    <definedName name="__7_____123Graph_BEFICIENCIA_1" hidden="1">#REF!</definedName>
    <definedName name="__7__123Graph_AGRANULOMETRIA_1" hidden="1">#REF!</definedName>
    <definedName name="__7__123Graph_BEFICIENCIA_1" hidden="1">#REF!</definedName>
    <definedName name="__70__123Graph_BEFICIENCIA_1" hidden="1">#REF!</definedName>
    <definedName name="__71__123Graph_BGRANULOMETRIA_1" hidden="1">#REF!</definedName>
    <definedName name="__72__123Graph_C__200__BPF" hidden="1">#REF!</definedName>
    <definedName name="__73__123Graph_C__200__D50" hidden="1">#REF!</definedName>
    <definedName name="__74__123Graph_CGRANULOMETRIA_1" hidden="1">#REF!</definedName>
    <definedName name="__75__123Graph_D__200__BPF" hidden="1">#REF!</definedName>
    <definedName name="__76__123Graph_D__200__D50" hidden="1">#REF!</definedName>
    <definedName name="__77__123Graph_E__200__BPF" hidden="1">#REF!</definedName>
    <definedName name="__78__123Graph_E__200__D50" hidden="1">#REF!</definedName>
    <definedName name="__79__123Graph_F__200__BPF" hidden="1">#REF!</definedName>
    <definedName name="__8_____123Graph_BGRANULOMETRIA_1" hidden="1">#REF!</definedName>
    <definedName name="__8__123Graph_B__200__BPF" hidden="1">#REF!</definedName>
    <definedName name="__8__123Graph_BGRANULOMETRIA_1" hidden="1">#REF!</definedName>
    <definedName name="__80__123Graph_F__200__D50" hidden="1">#REF!</definedName>
    <definedName name="__81__123Graph_X__200__BPF" hidden="1">#REF!</definedName>
    <definedName name="__82__123Graph_X__200__D50" hidden="1">#REF!</definedName>
    <definedName name="__83__123Graph_XEFICIENCIA_1" hidden="1">#REF!</definedName>
    <definedName name="__84__123Graph_XGRANULOMETRIA_1" hidden="1">#REF!</definedName>
    <definedName name="__9_____123Graph_C__200__BPF" hidden="1">#REF!</definedName>
    <definedName name="__9__123Graph_B__200__D50" hidden="1">#REF!</definedName>
    <definedName name="__9__123Graph_C__200__BPF" hidden="1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BAS1">#REF!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hidden="1">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es1">#REF!</definedName>
    <definedName name="__res2">#REF!</definedName>
    <definedName name="__res3">#REF!</definedName>
    <definedName name="__res4">#REF!</definedName>
    <definedName name="__REV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 hidden="1">#NAME?</definedName>
    <definedName name="__xlfn.IFERROR" hidden="1">#NAME?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_________123Graph_AGRAFICO_1" hidden="1">#REF!</definedName>
    <definedName name="_1_____123Graph_A__200__BPF" hidden="1">#REF!</definedName>
    <definedName name="_1____123Graph_A__200__BPF" hidden="1">#REF!</definedName>
    <definedName name="_1__123Graph_A__200__BPF" hidden="1">#REF!</definedName>
    <definedName name="_1__123Graph_AChart_1A" hidden="1">#REF!</definedName>
    <definedName name="_1_0_0_F" hidden="1">#REF!</definedName>
    <definedName name="_10_____123Graph_C__200__D50" hidden="1">#REF!</definedName>
    <definedName name="_10____123Graph_C__200__D50" hidden="1">#REF!</definedName>
    <definedName name="_10__123Graph_AEFICIENCIA_1" hidden="1">#REF!</definedName>
    <definedName name="_10__123Graph_B__200__D50" hidden="1">#REF!</definedName>
    <definedName name="_10__123Graph_BEFICIENCIA_1" hidden="1">#REF!</definedName>
    <definedName name="_10__123Graph_BGRANULOMETRIA_1" hidden="1">#REF!</definedName>
    <definedName name="_10__123Graph_C__200__D50" hidden="1">#REF!</definedName>
    <definedName name="_10__123Graph_EChart_1A" hidden="1">#REF!</definedName>
    <definedName name="_11_____123Graph_CGRANULOMETRIA_1" hidden="1">#REF!</definedName>
    <definedName name="_11____123Graph_CGRANULOMETRIA_1" hidden="1">#REF!</definedName>
    <definedName name="_11__123Graph_AGRANULOMETRIA_1" hidden="1">#REF!</definedName>
    <definedName name="_11__123Graph_BChart_1A" hidden="1">#REF!</definedName>
    <definedName name="_11__123Graph_BGRAFICO_2" hidden="1">#REF!</definedName>
    <definedName name="_11__123Graph_C__200__BPF" hidden="1">#REF!</definedName>
    <definedName name="_11__123Graph_CGRANULOMETRIA_1" hidden="1">#REF!</definedName>
    <definedName name="_12_____123Graph_D__200__BPF" hidden="1">#REF!</definedName>
    <definedName name="_12____123Graph_D__200__BPF" hidden="1">#REF!</definedName>
    <definedName name="_12__123Graph_B__200__BPF" hidden="1">#REF!</definedName>
    <definedName name="_12__123Graph_BChart_1A" hidden="1">#REF!</definedName>
    <definedName name="_12__123Graph_BEFICIENCIA_1" hidden="1">#REF!</definedName>
    <definedName name="_12__123Graph_BGRANULOMETRIA_1" hidden="1">#REF!</definedName>
    <definedName name="_12__123Graph_C__200__D50" hidden="1">#REF!</definedName>
    <definedName name="_12__123Graph_D__200__BPF" hidden="1">#REF!</definedName>
    <definedName name="_12__123Graph_FChart_1A" hidden="1">#REF!</definedName>
    <definedName name="_12__123Graph_XMES_EP" hidden="1">#REF!</definedName>
    <definedName name="_13_____123Graph_D__200__D50" hidden="1">#REF!</definedName>
    <definedName name="_13____123Graph_D__200__D50" hidden="1">#REF!</definedName>
    <definedName name="_13__123Graph_B__200__D50" hidden="1">#REF!</definedName>
    <definedName name="_13__123Graph_BEFICIENCIA_1" hidden="1">#REF!</definedName>
    <definedName name="_13__123Graph_BGRAFICO_2" hidden="1">#REF!</definedName>
    <definedName name="_13__123Graph_C__200__BPF" hidden="1">#REF!</definedName>
    <definedName name="_13__123Graph_CChart_1A" hidden="1">#REF!</definedName>
    <definedName name="_13__123Graph_D__200__D50" hidden="1">#REF!</definedName>
    <definedName name="_14_____123Graph_E__200__BPF" hidden="1">#REF!</definedName>
    <definedName name="_14____123Graph_E__200__BPF" hidden="1">#REF!</definedName>
    <definedName name="_14__123Graph_BGRANULOMETRIA_1" hidden="1">#REF!</definedName>
    <definedName name="_14__123Graph_C__200__D50" hidden="1">#REF!</definedName>
    <definedName name="_14__123Graph_CGRANULOMETRIA_1" hidden="1">#REF!</definedName>
    <definedName name="_14__123Graph_E__200__BPF" hidden="1">#REF!</definedName>
    <definedName name="_14__123Graph_XChart_1A" hidden="1">#REF!</definedName>
    <definedName name="_15_____123Graph_E__200__D50" hidden="1">#REF!</definedName>
    <definedName name="_15____123Graph_E__200__D50" hidden="1">#REF!</definedName>
    <definedName name="_15__123Graph_C__200__BPF" hidden="1">#REF!</definedName>
    <definedName name="_15__123Graph_CGRAFICO_2" hidden="1">#REF!</definedName>
    <definedName name="_15__123Graph_D__200__BPF" hidden="1">#REF!</definedName>
    <definedName name="_15__123Graph_E__200__D50" hidden="1">#REF!</definedName>
    <definedName name="_15__123Graph_XNET_ACUM" hidden="1">#REF!</definedName>
    <definedName name="_16_____123Graph_F__200__BPF" hidden="1">#REF!</definedName>
    <definedName name="_16____123Graph_F__200__BPF" hidden="1">#REF!</definedName>
    <definedName name="_16__123Graph_C__200__D50" hidden="1">#REF!</definedName>
    <definedName name="_16__123Graph_CGRANULOMETRIA_1" hidden="1">#REF!</definedName>
    <definedName name="_16__123Graph_D__200__D50" hidden="1">#REF!</definedName>
    <definedName name="_16__123Graph_F__200__BPF" hidden="1">#REF!</definedName>
    <definedName name="_17_________123Graph_AGRAFICO_1" hidden="1">#REF!</definedName>
    <definedName name="_17_____123Graph_F__200__D50" hidden="1">#REF!</definedName>
    <definedName name="_17____123Graph_F__200__D50" hidden="1">#REF!</definedName>
    <definedName name="_17__123Graph_CChart_1A" hidden="1">#REF!</definedName>
    <definedName name="_17__123Graph_D__200__BPF" hidden="1">#REF!</definedName>
    <definedName name="_17__123Graph_DChart_1A" hidden="1">#REF!</definedName>
    <definedName name="_17__123Graph_F__200__D50" hidden="1">#REF!</definedName>
    <definedName name="_18_________123Graph_BGRAFICO_2" hidden="1">#REF!</definedName>
    <definedName name="_18_____123Graph_X__200__BPF" hidden="1">#REF!</definedName>
    <definedName name="_18____123Graph_X__200__BPF" hidden="1">#REF!</definedName>
    <definedName name="_18__123Graph_CGRAFICO_2" hidden="1">#REF!</definedName>
    <definedName name="_18__123Graph_D__200__D50" hidden="1">#REF!</definedName>
    <definedName name="_18__123Graph_E__200__BPF" hidden="1">#REF!</definedName>
    <definedName name="_18__123Graph_X__200__BPF" hidden="1">#REF!</definedName>
    <definedName name="_19_________123Graph_CGRAFICO_2" hidden="1">#REF!</definedName>
    <definedName name="_19_____123Graph_X__200__D50" hidden="1">#REF!</definedName>
    <definedName name="_19____123Graph_X__200__D50" hidden="1">#REF!</definedName>
    <definedName name="_19__123Graph_CChart_1A" hidden="1">#REF!</definedName>
    <definedName name="_19__123Graph_CGRANULOMETRIA_1" hidden="1">#REF!</definedName>
    <definedName name="_19__123Graph_E__200__BPF" hidden="1">#REF!</definedName>
    <definedName name="_19__123Graph_E__200__D50" hidden="1">#REF!</definedName>
    <definedName name="_19__123Graph_X__200__D50" hidden="1">#REF!</definedName>
    <definedName name="_2_____________123Graph_BGRAFICO_2" hidden="1">#REF!</definedName>
    <definedName name="_2_____123Graph_A__200__D50" hidden="1">#REF!</definedName>
    <definedName name="_2____123Graph_A__200__D50" hidden="1">#REF!</definedName>
    <definedName name="_2__123Graph_A__200__D50" hidden="1">#REF!</definedName>
    <definedName name="_2__123Graph_AChart_1A" hidden="1">#REF!</definedName>
    <definedName name="_2__123Graph_BChart_1A" hidden="1">#REF!</definedName>
    <definedName name="_20_________123Graph_XGRAFICO_1" hidden="1">#REF!</definedName>
    <definedName name="_20_____123Graph_XEFICIENCIA_1" hidden="1">#REF!</definedName>
    <definedName name="_20____123Graph_XEFICIENCIA_1" hidden="1">#REF!</definedName>
    <definedName name="_20__123Graph_BChart_1A" hidden="1">#REF!</definedName>
    <definedName name="_20__123Graph_CGRANULOMETRIA_1" hidden="1">#REF!</definedName>
    <definedName name="_20__123Graph_D__200__BPF" hidden="1">#REF!</definedName>
    <definedName name="_20__123Graph_E__200__D50" hidden="1">#REF!</definedName>
    <definedName name="_20__123Graph_EChart_1A" hidden="1">#REF!</definedName>
    <definedName name="_20__123Graph_XEFICIENCIA_1" hidden="1">#REF!</definedName>
    <definedName name="_21_____123Graph_XGRANULOMETRIA_1" hidden="1">#REF!</definedName>
    <definedName name="_21____123Graph_XGRANULOMETRIA_1" hidden="1">#REF!</definedName>
    <definedName name="_21__123Graph_BEFICIENCIA_1" hidden="1">#REF!</definedName>
    <definedName name="_21__123Graph_D__200__BPF" hidden="1">#REF!</definedName>
    <definedName name="_21__123Graph_D__200__D50" hidden="1">#REF!</definedName>
    <definedName name="_21__123Graph_F__200__BPF" hidden="1">#REF!</definedName>
    <definedName name="_21__123Graph_XGRANULOMETRIA_1" hidden="1">#REF!</definedName>
    <definedName name="_22____123Graph_A__200__BPF" hidden="1">#REF!</definedName>
    <definedName name="_22___123Graph_A__200__BPF" hidden="1">#REF!</definedName>
    <definedName name="_22__123Graph_BGRANULOMETRIA_1" hidden="1">#REF!</definedName>
    <definedName name="_22__123Graph_D__200__D50" hidden="1">#REF!</definedName>
    <definedName name="_22__123Graph_DChart_1A" hidden="1">#REF!</definedName>
    <definedName name="_22__123Graph_F__200__D50" hidden="1">#REF!</definedName>
    <definedName name="_23____123Graph_A__200__D50" hidden="1">#REF!</definedName>
    <definedName name="_23___123Graph_A__200__D50" hidden="1">#REF!</definedName>
    <definedName name="_23__123Graph_C__200__BPF" hidden="1">#REF!</definedName>
    <definedName name="_23__123Graph_E__200__BPF" hidden="1">#REF!</definedName>
    <definedName name="_23__123Graph_FChart_1A" hidden="1">#REF!</definedName>
    <definedName name="_23__123Graph_X__200__BPF" hidden="1">#REF!</definedName>
    <definedName name="_24____123Graph_AEFICIENCIA_1" hidden="1">#REF!</definedName>
    <definedName name="_24___123Graph_AEFICIENCIA_1" hidden="1">#REF!</definedName>
    <definedName name="_24__123Graph_C__200__D50" hidden="1">#REF!</definedName>
    <definedName name="_24__123Graph_E__200__D50" hidden="1">#REF!</definedName>
    <definedName name="_24__123Graph_X__200__BPF" hidden="1">#REF!</definedName>
    <definedName name="_24__123Graph_X__200__D50" hidden="1">#REF!</definedName>
    <definedName name="_25______123Graph_A__200__BPF" hidden="1">#REF!</definedName>
    <definedName name="_25____123Graph_AGRANULOMETRIA_1" hidden="1">#REF!</definedName>
    <definedName name="_25___123Graph_AGRANULOMETRIA_1" hidden="1">#REF!</definedName>
    <definedName name="_25__123Graph_DChart_1A" hidden="1">#REF!</definedName>
    <definedName name="_25__123Graph_EChart_1A" hidden="1">#REF!</definedName>
    <definedName name="_25__123Graph_X__200__D50" hidden="1">#REF!</definedName>
    <definedName name="_25__123Graph_XEFICIENCIA_1" hidden="1">#REF!</definedName>
    <definedName name="_26______123Graph_A__200__D50" hidden="1">#REF!</definedName>
    <definedName name="_26____123Graph_B__200__BPF" hidden="1">#REF!</definedName>
    <definedName name="_26___123Graph_B__200__BPF" hidden="1">#REF!</definedName>
    <definedName name="_26__123Graph_E__200__BPF" hidden="1">#REF!</definedName>
    <definedName name="_26__123Graph_F__200__BPF" hidden="1">#REF!</definedName>
    <definedName name="_26__123Graph_XChart_1A" hidden="1">#REF!</definedName>
    <definedName name="_26__123Graph_XGRAFICO_1" hidden="1">#REF!</definedName>
    <definedName name="_27______123Graph_AEFICIENCIA_1" hidden="1">#REF!</definedName>
    <definedName name="_27____123Graph_B__200__D50" hidden="1">#REF!</definedName>
    <definedName name="_27___123Graph_B__200__D50" hidden="1">#REF!</definedName>
    <definedName name="_27__123Graph_E__200__D50" hidden="1">#REF!</definedName>
    <definedName name="_27__123Graph_F__200__D50" hidden="1">#REF!</definedName>
    <definedName name="_27__123Graph_XEFICIENCIA_1" hidden="1">#REF!</definedName>
    <definedName name="_27__123Graph_XGRAFICO_2" hidden="1">#REF!</definedName>
    <definedName name="_28______123Graph_AGRAFICO_2" hidden="1">#REF!</definedName>
    <definedName name="_28____123Graph_BEFICIENCIA_1" hidden="1">#REF!</definedName>
    <definedName name="_28___123Graph_BEFICIENCIA_1" hidden="1">#REF!</definedName>
    <definedName name="_28__123Graph_FChart_1A" hidden="1">#REF!</definedName>
    <definedName name="_28__123Graph_XGRAFICO_3" hidden="1">#REF!</definedName>
    <definedName name="_28__123Graph_XGRANULOMETRIA_1" hidden="1">#REF!</definedName>
    <definedName name="_29______123Graph_AGRAFICO_3" hidden="1">#REF!</definedName>
    <definedName name="_29____123Graph_BGRANULOMETRIA_1" hidden="1">#REF!</definedName>
    <definedName name="_29___123Graph_BGRANULOMETRIA_1" hidden="1">#REF!</definedName>
    <definedName name="_29__123Graph_X__200__BPF" hidden="1">#REF!</definedName>
    <definedName name="_29__123Graph_XGRANULOMETRIA_1" hidden="1">#REF!</definedName>
    <definedName name="_3_____________123Graph_CGRAFICO_2" hidden="1">#REF!</definedName>
    <definedName name="_3_____123Graph_AEFICIENCIA_1" hidden="1">#REF!</definedName>
    <definedName name="_3____123Graph_AEFICIENCIA_1" hidden="1">#REF!</definedName>
    <definedName name="_3__123Graph_AChart_1A" hidden="1">#REF!</definedName>
    <definedName name="_3__123Graph_AEFICIENCIA_1" hidden="1">#REF!</definedName>
    <definedName name="_3__123Graph_AMES_EP" hidden="1">#REF!</definedName>
    <definedName name="_3__123Graph_CChart_1A" hidden="1">#REF!</definedName>
    <definedName name="_30______123Graph_AGRANULOMETRIA_1" hidden="1">#REF!</definedName>
    <definedName name="_30____123Graph_C__200__BPF" hidden="1">#REF!</definedName>
    <definedName name="_30___123Graph_C__200__BPF" hidden="1">#REF!</definedName>
    <definedName name="_30__123Graph_EChart_1A" hidden="1">#REF!</definedName>
    <definedName name="_30__123Graph_X__200__D50" hidden="1">#REF!</definedName>
    <definedName name="_31______123Graph_B__200__BPF" hidden="1">#REF!</definedName>
    <definedName name="_31____123Graph_C__200__D50" hidden="1">#REF!</definedName>
    <definedName name="_31___123Graph_C__200__D50" hidden="1">#REF!</definedName>
    <definedName name="_31__123Graph_CChart_1A" hidden="1">#REF!</definedName>
    <definedName name="_31__123Graph_F__200__BPF" hidden="1">#REF!</definedName>
    <definedName name="_31__123Graph_XChart_1A" hidden="1">#REF!</definedName>
    <definedName name="_32______123Graph_B__200__D50" hidden="1">#REF!</definedName>
    <definedName name="_32____123Graph_CGRANULOMETRIA_1" hidden="1">#REF!</definedName>
    <definedName name="_32___123Graph_CGRANULOMETRIA_1" hidden="1">#REF!</definedName>
    <definedName name="_32__123Graph_CGRANULOMETRIA_1" hidden="1">#REF!</definedName>
    <definedName name="_32__123Graph_F__200__D50" hidden="1">#REF!</definedName>
    <definedName name="_32__123Graph_XEFICIENCIA_1" hidden="1">#REF!</definedName>
    <definedName name="_33______123Graph_BEFICIENCIA_1" hidden="1">#REF!</definedName>
    <definedName name="_33____123Graph_D__200__BPF" hidden="1">#REF!</definedName>
    <definedName name="_33___123Graph_D__200__BPF" hidden="1">#REF!</definedName>
    <definedName name="_33__123Graph_D__200__BPF" hidden="1">#REF!</definedName>
    <definedName name="_33__123Graph_XGRAFICO_1" hidden="1">#REF!</definedName>
    <definedName name="_34______123Graph_BGRANULOMETRIA_1" hidden="1">#REF!</definedName>
    <definedName name="_34____123Graph_D__200__D50" hidden="1">#REF!</definedName>
    <definedName name="_34___123Graph_D__200__D50" hidden="1">#REF!</definedName>
    <definedName name="_34__123Graph_D__200__D50" hidden="1">#REF!</definedName>
    <definedName name="_34__123Graph_XGRAFICO_2" hidden="1">#REF!</definedName>
    <definedName name="_35______123Graph_C__200__BPF" hidden="1">#REF!</definedName>
    <definedName name="_35____123Graph_E__200__BPF" hidden="1">#REF!</definedName>
    <definedName name="_35___123Graph_E__200__BPF" hidden="1">#REF!</definedName>
    <definedName name="_35__123Graph_FChart_1A" hidden="1">#REF!</definedName>
    <definedName name="_35__123Graph_XGRAFICO_3" hidden="1">#REF!</definedName>
    <definedName name="_36______123Graph_C__200__D50" hidden="1">#REF!</definedName>
    <definedName name="_36____123Graph_E__200__D50" hidden="1">#REF!</definedName>
    <definedName name="_36___123Graph_E__200__D50" hidden="1">#REF!</definedName>
    <definedName name="_36__123Graph_X__200__BPF" hidden="1">#REF!</definedName>
    <definedName name="_36__123Graph_XGRANULOMETRIA_1" hidden="1">#REF!</definedName>
    <definedName name="_37______123Graph_CGRANULOMETRIA_1" hidden="1">#REF!</definedName>
    <definedName name="_37____123Graph_F__200__BPF" hidden="1">#REF!</definedName>
    <definedName name="_37___123Graph_F__200__BPF" hidden="1">#REF!</definedName>
    <definedName name="_37__123Graph_X__200__D50" hidden="1">#REF!</definedName>
    <definedName name="_38______123Graph_D__200__BPF" hidden="1">#REF!</definedName>
    <definedName name="_38____123Graph_F__200__D50" hidden="1">#REF!</definedName>
    <definedName name="_38___123Graph_F__200__D50" hidden="1">#REF!</definedName>
    <definedName name="_39______123Graph_D__200__D50" hidden="1">#REF!</definedName>
    <definedName name="_39____123Graph_X__200__BPF" hidden="1">#REF!</definedName>
    <definedName name="_39___123Graph_X__200__BPF" hidden="1">#REF!</definedName>
    <definedName name="_4_____________123Graph_XGRAFICO_1" hidden="1">#REF!</definedName>
    <definedName name="_4_____123Graph_AGRANULOMETRIA_1" hidden="1">#REF!</definedName>
    <definedName name="_4____123Graph_AGRANULOMETRIA_1" hidden="1">#REF!</definedName>
    <definedName name="_4__123Graph_AEFICIENCIA_1" hidden="1">#REF!</definedName>
    <definedName name="_4__123Graph_AGRAFICO_1" hidden="1">#REF!</definedName>
    <definedName name="_4__123Graph_AGRANULOMETRIA_1" hidden="1">#REF!</definedName>
    <definedName name="_4__123Graph_BChart_1A" hidden="1">#REF!</definedName>
    <definedName name="_4__123Graph_DChart_1A" hidden="1">#REF!</definedName>
    <definedName name="_40______123Graph_E__200__BPF" hidden="1">#REF!</definedName>
    <definedName name="_40____123Graph_X__200__D50" hidden="1">#REF!</definedName>
    <definedName name="_40___123Graph_X__200__D50" hidden="1">#REF!</definedName>
    <definedName name="_40__123Graph_XChart_1A" hidden="1">#REF!</definedName>
    <definedName name="_41______123Graph_E__200__D50" hidden="1">#REF!</definedName>
    <definedName name="_41____123Graph_XEFICIENCIA_1" hidden="1">#REF!</definedName>
    <definedName name="_41___123Graph_XEFICIENCIA_1" hidden="1">#REF!</definedName>
    <definedName name="_41__123Graph_DChart_1A" hidden="1">#REF!</definedName>
    <definedName name="_41__123Graph_XEFICIENCIA_1" hidden="1">#REF!</definedName>
    <definedName name="_42______123Graph_F__200__BPF" hidden="1">#REF!</definedName>
    <definedName name="_42____123Graph_XGRANULOMETRIA_1" hidden="1">#REF!</definedName>
    <definedName name="_42___123Graph_XGRANULOMETRIA_1" hidden="1">#REF!</definedName>
    <definedName name="_42__123Graph_E__200__BPF" hidden="1">#REF!</definedName>
    <definedName name="_42__123Graph_XGRANULOMETRIA_1" hidden="1">#REF!</definedName>
    <definedName name="_43______123Graph_F__200__D50" hidden="1">#REF!</definedName>
    <definedName name="_43___123Graph_A__200__BPF" hidden="1">#REF!</definedName>
    <definedName name="_43__123Graph_A__200__BPF" hidden="1">#REF!</definedName>
    <definedName name="_43__123Graph_E__200__D50" hidden="1">#REF!</definedName>
    <definedName name="_43_0_S" hidden="1">#REF!</definedName>
    <definedName name="_44______123Graph_X__200__BPF" hidden="1">#REF!</definedName>
    <definedName name="_44___123Graph_A__200__D50" hidden="1">#REF!</definedName>
    <definedName name="_44__123Graph_A__200__D50" hidden="1">#REF!</definedName>
    <definedName name="_45______123Graph_X__200__D50" hidden="1">#REF!</definedName>
    <definedName name="_45___123Graph_AEFICIENCIA_1" hidden="1">#REF!</definedName>
    <definedName name="_45__123Graph_AEFICIENCIA_1" hidden="1">#REF!</definedName>
    <definedName name="_46______123Graph_XEFICIENCIA_1" hidden="1">#REF!</definedName>
    <definedName name="_46___123Graph_AGRANULOMETRIA_1" hidden="1">#REF!</definedName>
    <definedName name="_46__123Graph_AGRANULOMETRIA_1" hidden="1">#REF!</definedName>
    <definedName name="_47______123Graph_XGRAFICO_2" hidden="1">#REF!</definedName>
    <definedName name="_47___123Graph_B__200__BPF" hidden="1">#REF!</definedName>
    <definedName name="_47__123Graph_B__200__BPF" hidden="1">#REF!</definedName>
    <definedName name="_48______123Graph_XGRAFICO_3" hidden="1">#REF!</definedName>
    <definedName name="_48___123Graph_B__200__D50" hidden="1">#REF!</definedName>
    <definedName name="_48__123Graph_B__200__D50" hidden="1">#REF!</definedName>
    <definedName name="_49______123Graph_XGRANULOMETRIA_1" hidden="1">#REF!</definedName>
    <definedName name="_49___123Graph_BEFICIENCIA_1" hidden="1">#REF!</definedName>
    <definedName name="_49__123Graph_BEFICIENCIA_1" hidden="1">#REF!</definedName>
    <definedName name="_5_____123Graph_B__200__BPF" hidden="1">#REF!</definedName>
    <definedName name="_5____123Graph_B__200__BPF" hidden="1">#REF!</definedName>
    <definedName name="_5__123Graph_AChart_1A" hidden="1">#REF!</definedName>
    <definedName name="_5__123Graph_AGRAFICO_1" hidden="1">#REF!</definedName>
    <definedName name="_5__123Graph_AGRAFICO_2" hidden="1">#REF!</definedName>
    <definedName name="_5__123Graph_AGRANULOMETRIA_1" hidden="1">#REF!</definedName>
    <definedName name="_5__123Graph_B__200__BPF" hidden="1">#REF!</definedName>
    <definedName name="_5__123Graph_EChart_1A" hidden="1">#REF!</definedName>
    <definedName name="_50_____123Graph_A__200__BPF" hidden="1">#REF!</definedName>
    <definedName name="_50___123Graph_BGRANULOMETRIA_1" hidden="1">#REF!</definedName>
    <definedName name="_50__123Graph_BGRANULOMETRIA_1" hidden="1">#REF!</definedName>
    <definedName name="_50__123Graph_EChart_1A" hidden="1">#REF!</definedName>
    <definedName name="_51_____123Graph_A__200__D50" hidden="1">#REF!</definedName>
    <definedName name="_51___123Graph_C__200__BPF" hidden="1">#REF!</definedName>
    <definedName name="_51__123Graph_C__200__BPF" hidden="1">#REF!</definedName>
    <definedName name="_51__123Graph_F__200__BPF" hidden="1">#REF!</definedName>
    <definedName name="_52_____123Graph_AEFICIENCIA_1" hidden="1">#REF!</definedName>
    <definedName name="_52___123Graph_C__200__D50" hidden="1">#REF!</definedName>
    <definedName name="_52__123Graph_C__200__D50" hidden="1">#REF!</definedName>
    <definedName name="_52__123Graph_F__200__D50" hidden="1">#REF!</definedName>
    <definedName name="_53_____123Graph_AGRAFICO_2" hidden="1">#REF!</definedName>
    <definedName name="_53___123Graph_CGRANULOMETRIA_1" hidden="1">#REF!</definedName>
    <definedName name="_53__123Graph_CGRANULOMETRIA_1" hidden="1">#REF!</definedName>
    <definedName name="_54_____123Graph_AGRAFICO_3" hidden="1">#REF!</definedName>
    <definedName name="_54___123Graph_D__200__BPF" hidden="1">#REF!</definedName>
    <definedName name="_54__123Graph_D__200__BPF" hidden="1">#REF!</definedName>
    <definedName name="_55_____123Graph_AGRANULOMETRIA_1" hidden="1">#REF!</definedName>
    <definedName name="_55___123Graph_D__200__D50" hidden="1">#REF!</definedName>
    <definedName name="_55__123Graph_D__200__D50" hidden="1">#REF!</definedName>
    <definedName name="_56_____123Graph_B__200__BPF" hidden="1">#REF!</definedName>
    <definedName name="_56___123Graph_E__200__BPF" hidden="1">#REF!</definedName>
    <definedName name="_56__123Graph_E__200__BPF" hidden="1">#REF!</definedName>
    <definedName name="_57_____123Graph_B__200__D50" hidden="1">#REF!</definedName>
    <definedName name="_57___123Graph_E__200__D50" hidden="1">#REF!</definedName>
    <definedName name="_57__123Graph_E__200__D50" hidden="1">#REF!</definedName>
    <definedName name="_58_____123Graph_BEFICIENCIA_1" hidden="1">#REF!</definedName>
    <definedName name="_58___123Graph_F__200__BPF" hidden="1">#REF!</definedName>
    <definedName name="_58__123Graph_F__200__BPF" hidden="1">#REF!</definedName>
    <definedName name="_59_____123Graph_BGRANULOMETRIA_1" hidden="1">#REF!</definedName>
    <definedName name="_59___123Graph_F__200__D50" hidden="1">#REF!</definedName>
    <definedName name="_59__123Graph_F__200__D50" hidden="1">#REF!</definedName>
    <definedName name="_59__123Graph_FChart_1A" hidden="1">#REF!</definedName>
    <definedName name="_6_____123Graph_B__200__D50" hidden="1">#REF!</definedName>
    <definedName name="_6____123Graph_B__200__D50" hidden="1">#REF!</definedName>
    <definedName name="_6__123Graph_AEFICIENCIA_1" hidden="1">#REF!</definedName>
    <definedName name="_6__123Graph_AGRAFICO_2" hidden="1">#REF!</definedName>
    <definedName name="_6__123Graph_AGRAFICO_3" hidden="1">#REF!</definedName>
    <definedName name="_6__123Graph_ANET_ACUM" hidden="1">#REF!</definedName>
    <definedName name="_6__123Graph_B__200__BPF" hidden="1">#REF!</definedName>
    <definedName name="_6__123Graph_B__200__D50" hidden="1">#REF!</definedName>
    <definedName name="_6__123Graph_CChart_1A" hidden="1">#REF!</definedName>
    <definedName name="_6__123Graph_FChart_1A" hidden="1">#REF!</definedName>
    <definedName name="_60_____123Graph_C__200__BPF" hidden="1">#REF!</definedName>
    <definedName name="_60___123Graph_X__200__BPF" hidden="1">#REF!</definedName>
    <definedName name="_60__123Graph_X__200__BPF" hidden="1">#REF!</definedName>
    <definedName name="_61_____123Graph_C__200__D50" hidden="1">#REF!</definedName>
    <definedName name="_61___123Graph_X__200__D50" hidden="1">#REF!</definedName>
    <definedName name="_61__123Graph_X__200__D50" hidden="1">#REF!</definedName>
    <definedName name="_62_____123Graph_CGRANULOMETRIA_1" hidden="1">#REF!</definedName>
    <definedName name="_62___123Graph_XEFICIENCIA_1" hidden="1">#REF!</definedName>
    <definedName name="_62__123Graph_XEFICIENCIA_1" hidden="1">#REF!</definedName>
    <definedName name="_63_____123Graph_D__200__BPF" hidden="1">#REF!</definedName>
    <definedName name="_63___123Graph_XGRANULOMETRIA_1" hidden="1">#REF!</definedName>
    <definedName name="_63__123Graph_XGRANULOMETRIA_1" hidden="1">#REF!</definedName>
    <definedName name="_64_____123Graph_D__200__D50" hidden="1">#REF!</definedName>
    <definedName name="_64__123Graph_A__200__BPF" hidden="1">#REF!</definedName>
    <definedName name="_65_____123Graph_E__200__BPF" hidden="1">#REF!</definedName>
    <definedName name="_65__123Graph_A__200__D50" hidden="1">#REF!</definedName>
    <definedName name="_66_____123Graph_E__200__D50" hidden="1">#REF!</definedName>
    <definedName name="_66__123Graph_AEFICIENCIA_1" hidden="1">#REF!</definedName>
    <definedName name="_67_____123Graph_F__200__BPF" hidden="1">#REF!</definedName>
    <definedName name="_67__123Graph_AGRANULOMETRIA_1" hidden="1">#REF!</definedName>
    <definedName name="_68_____123Graph_F__200__D50" hidden="1">#REF!</definedName>
    <definedName name="_68__123Graph_B__200__BPF" hidden="1">#REF!</definedName>
    <definedName name="_68__123Graph_XChart_1A" hidden="1">#REF!</definedName>
    <definedName name="_69_____123Graph_X__200__BPF" hidden="1">#REF!</definedName>
    <definedName name="_69__123Graph_B__200__D50" hidden="1">#REF!</definedName>
    <definedName name="_69__123Graph_XEFICIENCIA_1" hidden="1">#REF!</definedName>
    <definedName name="_7_____123Graph_BEFICIENCIA_1" hidden="1">#REF!</definedName>
    <definedName name="_7____123Graph_BEFICIENCIA_1" hidden="1">#REF!</definedName>
    <definedName name="_7__123Graph_AGRAFICO_3" hidden="1">#REF!</definedName>
    <definedName name="_7__123Graph_AGRANULOMETRIA_1" hidden="1">#REF!</definedName>
    <definedName name="_7__123Graph_B__200__D50" hidden="1">#REF!</definedName>
    <definedName name="_7__123Graph_BEFICIENCIA_1" hidden="1">#REF!</definedName>
    <definedName name="_7__123Graph_XChart_1A" hidden="1">#REF!</definedName>
    <definedName name="_70_____123Graph_X__200__D50" hidden="1">#REF!</definedName>
    <definedName name="_70__123Graph_BEFICIENCIA_1" hidden="1">#REF!</definedName>
    <definedName name="_70__123Graph_XGRANULOMETRIA_1" hidden="1">#REF!</definedName>
    <definedName name="_71_____123Graph_XEFICIENCIA_1" hidden="1">#REF!</definedName>
    <definedName name="_71__123Graph_BGRANULOMETRIA_1" hidden="1">#REF!</definedName>
    <definedName name="_71_0_S" hidden="1">#REF!</definedName>
    <definedName name="_72_____123Graph_XGRAFICO_2" hidden="1">#REF!</definedName>
    <definedName name="_72__123Graph_C__200__BPF" hidden="1">#REF!</definedName>
    <definedName name="_73_____123Graph_XGRAFICO_3" hidden="1">#REF!</definedName>
    <definedName name="_73__123Graph_C__200__D50" hidden="1">#REF!</definedName>
    <definedName name="_74_____123Graph_XGRANULOMETRIA_1" hidden="1">#REF!</definedName>
    <definedName name="_74__123Graph_CGRANULOMETRIA_1" hidden="1">#REF!</definedName>
    <definedName name="_75__123Graph_D__200__BPF" hidden="1">#REF!</definedName>
    <definedName name="_76__123Graph_D__200__D50" hidden="1">#REF!</definedName>
    <definedName name="_77__123Graph_E__200__BPF" hidden="1">#REF!</definedName>
    <definedName name="_78__123Graph_E__200__D50" hidden="1">#REF!</definedName>
    <definedName name="_79__123Graph_F__200__BPF" hidden="1">#REF!</definedName>
    <definedName name="_8_____123Graph_BGRANULOMETRIA_1" hidden="1">#REF!</definedName>
    <definedName name="_8____123Graph_BGRANULOMETRIA_1" hidden="1">#REF!</definedName>
    <definedName name="_8__123Graph_AGRANULOMETRIA_1" hidden="1">#REF!</definedName>
    <definedName name="_8__123Graph_B__200__BPF" hidden="1">#REF!</definedName>
    <definedName name="_8__123Graph_BChart_1A" hidden="1">#REF!</definedName>
    <definedName name="_8__123Graph_BGRANULOMETRIA_1" hidden="1">#REF!</definedName>
    <definedName name="_8__123Graph_DChart_1A" hidden="1">#REF!</definedName>
    <definedName name="_80__123Graph_F__200__D50" hidden="1">#REF!</definedName>
    <definedName name="_81__123Graph_X__200__BPF" hidden="1">#REF!</definedName>
    <definedName name="_82__123Graph_X__200__D50" hidden="1">#REF!</definedName>
    <definedName name="_83__123Graph_XEFICIENCIA_1" hidden="1">#REF!</definedName>
    <definedName name="_84__123Graph_XGRANULOMETRIA_1" hidden="1">#REF!</definedName>
    <definedName name="_9_____123Graph_C__200__BPF" hidden="1">#REF!</definedName>
    <definedName name="_9____123Graph_C__200__BPF" hidden="1">#REF!</definedName>
    <definedName name="_9__123Graph_AChart_1A" hidden="1">#REF!</definedName>
    <definedName name="_9__123Graph_B__200__BPF" hidden="1">#REF!</definedName>
    <definedName name="_9__123Graph_B__200__D50" hidden="1">#REF!</definedName>
    <definedName name="_9__123Graph_BEFICIENCIA_1" hidden="1">#REF!</definedName>
    <definedName name="_9__123Graph_BNET_ACUM" hidden="1">#REF!</definedName>
    <definedName name="_9__123Graph_C__200__BPF" hidden="1">#REF!</definedName>
    <definedName name="_A">#REF!</definedName>
    <definedName name="_aa">#REF!</definedName>
    <definedName name="_ACT1">#REF!</definedName>
    <definedName name="_ACT10">#REF!</definedName>
    <definedName name="_ACT11">#REF!</definedName>
    <definedName name="_ACT12">#REF!</definedName>
    <definedName name="_ACT13">#REF!</definedName>
    <definedName name="_ACT14">#REF!</definedName>
    <definedName name="_ACT15">#REF!</definedName>
    <definedName name="_ACT16">#REF!</definedName>
    <definedName name="_ACT17">#REF!</definedName>
    <definedName name="_ACT18">#REF!</definedName>
    <definedName name="_ACT19">#REF!</definedName>
    <definedName name="_ACT2">#REF!</definedName>
    <definedName name="_ACT20">#REF!</definedName>
    <definedName name="_ACT21">#REF!</definedName>
    <definedName name="_ACT22">#REF!</definedName>
    <definedName name="_ACT23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L20D9BE10">#REF!</definedName>
    <definedName name="_AL20E0DD71">#REF!</definedName>
    <definedName name="_AL20E0DD72">#REF!</definedName>
    <definedName name="_AL20E0DD73">#REF!</definedName>
    <definedName name="_AL20E0DD89">#REF!</definedName>
    <definedName name="_AL20E0DE74">#REF!</definedName>
    <definedName name="_ALT2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1077</definedName>
    <definedName name="_AtRisk_SimSetting_SimName001" hidden="1">"Sim 1"</definedName>
    <definedName name="_AtRisk_SimSetting_SimName002" hidden="1">"Sim 2"</definedName>
    <definedName name="_AtRisk_SimSetting_SimName003" hidden="1">"Sim 3"</definedName>
    <definedName name="_AtRisk_SimSetting_SimName004" hidden="1">"Sim 4"</definedName>
    <definedName name="_AtRisk_SimSetting_SimName005" hidden="1">"Sim 5"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2">#REF!</definedName>
    <definedName name="_Base_datos_a_filtrar" hidden="1">#REF!</definedName>
    <definedName name="_bgf5" hidden="1">{"MO(BASE)",#N/A,FALSE,"MO(BASE)";"MO(BASE)1",#N/A,FALSE,"MO(BASE)";"MO(BASE)2",#N/A,FALSE,"MO(BASE)"}</definedName>
    <definedName name="_BOX2">#REF!,#REF!</definedName>
    <definedName name="_bs34" hidden="1">{"CI+GG(BASE)",#N/A,FALSE,"CI+GG(BASE)";"GG",#N/A,FALSE,"CI+GG(BASE)";"CI",#N/A,FALSE,"CI+GG(BASE)"}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42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5" hidden="1">{#N/A,#N/A,FALSE,"PEND INC";#N/A,#N/A,FALSE,"PEND MINM"}</definedName>
    <definedName name="_DSD4" hidden="1">{#N/A,#N/A,FALSE,"PEND INC";#N/A,#N/A,FALSE,"PEND MINM"}</definedName>
    <definedName name="_equ1" hidden="1">{#N/A,#N/A,TRUE,"Est. de Fact.";#N/A,#N/A,TRUE,"Capitulo 19";#N/A,#N/A,TRUE,"Proyecto P855"}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hidden="1">{"MO(BASE)",#N/A,FALSE,"MO(BASE)";"MO(BASE)1",#N/A,FALSE,"MO(BASE)";"MO(BASE)2",#N/A,FALSE,"MO(BASE)"}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localSheetId="9" hidden="1">EIMI!$A$4:$T$59</definedName>
    <definedName name="_xlnm._FilterDatabase" localSheetId="7" hidden="1">Proyeccion!$B$4:$J$37</definedName>
    <definedName name="_xlnm._FilterDatabase" hidden="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RF55" hidden="1">{"MO(BASE)",#N/A,FALSE,"MO(BASE)";"MO(BASE)1",#N/A,FALSE,"MO(BASE)";"MO(BASE)2",#N/A,FALSE,"MO(BASE)"}</definedName>
    <definedName name="_gvs4" hidden="1">{#N/A,#N/A,FALSE,"PEND INC";#N/A,#N/A,FALSE,"PEND MINM"}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1a" hidden="1">#REF!</definedName>
    <definedName name="_Key2" hidden="1">#REF!</definedName>
    <definedName name="_Key2a" hidden="1">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PAG02">#REF!</definedName>
    <definedName name="_PAG03">#REF!</definedName>
    <definedName name="_PAG04">#REF!</definedName>
    <definedName name="_PAG05">#REF!</definedName>
    <definedName name="_Parse_In" hidden="1">#REF!</definedName>
    <definedName name="_Parse_Out" hidden="1">#REF!</definedName>
    <definedName name="_PG3">#REF!</definedName>
    <definedName name="_PG4">#REF!</definedName>
    <definedName name="_PG5">#REF!</definedName>
    <definedName name="_pp1" hidden="1">{#N/A,#N/A,FALSE,"Costos_Elem_Hid";#N/A,#N/A,FALSE,"Costos_Elem_Hid";#N/A,#N/A,FALSE,"Costos_Elem_Hid"}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#REF!</definedName>
    <definedName name="_PU2000">#REF!</definedName>
    <definedName name="_PU2001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2010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3">#REF!</definedName>
    <definedName name="_res4">#REF!</definedName>
    <definedName name="_REV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R">#REF!</definedName>
    <definedName name="_Sort" hidden="1">#REF!</definedName>
    <definedName name="_sort2" hidden="1">#REF!</definedName>
    <definedName name="_Sorta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SA021">#REF!</definedName>
    <definedName name="_TSA022">#REF!</definedName>
    <definedName name="_TSA023">#REF!</definedName>
    <definedName name="_TSA024">#REF!</definedName>
    <definedName name="_TSA040">#REF!</definedName>
    <definedName name="_TSA050">#REF!</definedName>
    <definedName name="_TSA060">#REF!</definedName>
    <definedName name="_TSA070">#REF!</definedName>
    <definedName name="_TSA080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f1">#REF!</definedName>
    <definedName name="_UN1">#REF!</definedName>
    <definedName name="_us96">#REF!</definedName>
    <definedName name="_utm1">#REF!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hidden="1">{"MO(BASE)",#N/A,FALSE,"MO(BASE)";"MO(BASE)1",#N/A,FALSE,"MO(BASE)";"MO(BASE)2",#N/A,FALSE,"MO(BASE)"}</definedName>
    <definedName name="_wrn1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{#N/A,#N/A,FALSE,"Total_OC015";#N/A,#N/A,FALSE,"ADMIN";#N/A,#N/A,FALSE,"PROCES";#N/A,#N/A,FALSE,"mecan";#N/A,#N/A,FALSE,"civil";#N/A,#N/A,FALSE,"CAÑER";#N/A,#N/A,FALSE,"ELEC";#N/A,#N/A,FALSE,"INSTR"}</definedName>
    <definedName name="A_impresión_IM">#REF!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a" hidden="1">{#N/A,#N/A,FALSE,"summary";#N/A,#N/A,FALSE,"SumGraph"}</definedName>
    <definedName name="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sfalt">#REF!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hidden="1">{#N/A,#N/A,TRUE,"Costos_Subg_Hid"}</definedName>
    <definedName name="ABases">#REF!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cacac" hidden="1">{#N/A,#N/A,FALSE,"Costos_Elem_Hid";#N/A,#N/A,FALSE,"Costos_Elem_Hid";#N/A,#N/A,FALSE,"Costos_Elem_Hid"}</definedName>
    <definedName name="A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essDatabase" hidden="1">"C:\홍성일\주간공정\96-10142.mdb"</definedName>
    <definedName name="ACD" hidden="1">{#N/A,#N/A,FALSE,"Cargas"}</definedName>
    <definedName name="aceites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ON">#REF!</definedName>
    <definedName name="ACT">#REF!</definedName>
    <definedName name="ACT_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wvu.GAITHERSBURG._.OFFICE." hidden="1">#REF!</definedName>
    <definedName name="ACwvu.garo_graph." hidden="1">#REF!</definedName>
    <definedName name="ACwvu.garo_personnel." hidden="1">#REF!</definedName>
    <definedName name="ACwvu.headcount._.change." hidden="1">#REF!</definedName>
    <definedName name="ACwvu.personnel._.by._.location." hidden="1">#REF!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adad" hidden="1">{#N/A,#N/A,FALSE,"Costos_Elem_Hid";#N/A,#N/A,FALSE,"Costos_Elem_Hid";#N/A,#N/A,FALSE,"Costos_Elem_Hid"}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ios" hidden="1">{"ARA1",#N/A,FALSE,"ENG-ARA";"ARAhours",#N/A,FALSE,"ENG-ARA";"ARA$",#N/A,FALSE,"ENG-ARA"}</definedName>
    <definedName name="ADITION" hidden="1">{"'장비'!$A$3:$M$12"}</definedName>
    <definedName name="adsd" hidden="1">{#N/A,#N/A,FALSE,"Costos_Elem_Hid";#N/A,#N/A,FALSE,"Costos_Elem_Hid";#N/A,#N/A,FALSE,"Costos_Elem_Hid"}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hidden="1">{"Sin detalle",#N/A,FALSE,"Flujo (redondeado)"}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hidden="1">{#N/A,#N/A,FALSE,"summary";#N/A,#N/A,FALSE,"SumGraph"}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afafafa" hidden="1">{#N/A,#N/A,FALSE,"Costos_Elem_Hid";#N/A,#N/A,FALSE,"Costos_Elem_Hid";#N/A,#N/A,FALSE,"Costos_Elem_Hid"}</definedName>
    <definedName name="AFP">#REF!</definedName>
    <definedName name="ag" hidden="1">{#N/A,#N/A,FALSE,"PXP-TOTAL Modif";"vis2",#N/A,FALSE,"PXP-AÑO";"Vis1",#N/A,FALSE,"PXP-AÑO"}</definedName>
    <definedName name="agagagag" hidden="1">{#N/A,#N/A,FALSE,"Costos_Elem_Hid";#N/A,#N/A,FALSE,"Costos_Elem_Hid";#N/A,#N/A,FALSE,"Costos_Elem_Hid"}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hidden="1">{#N/A,#N/A,FALSE,"Costos_Elem_Hid";#N/A,#N/A,FALSE,"Costos_Elem_Hid";#N/A,#N/A,FALSE,"Costos_Elem_Hid"}</definedName>
    <definedName name="AHormg">#REF!</definedName>
    <definedName name="AIMP">#REF!</definedName>
    <definedName name="ajajajaj" hidden="1">{#N/A,#N/A,TRUE,"Costos_Subg_Hid"}</definedName>
    <definedName name="akakakak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a">#REF!</definedName>
    <definedName name="alkdj" hidden="1">{#N/A,#N/A,FALSE,"Matrix";#N/A,#N/A,FALSE,"Executive";#N/A,#N/A,FALSE,"Summary"}</definedName>
    <definedName name="alo" hidden="1">#REF!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LTURA">#REF!</definedName>
    <definedName name="amamamama" hidden="1">{#N/A,#N/A,FALSE,"Costos_Elem_Hid";#N/A,#N/A,FALSE,"Costos_Elem_Hid";#N/A,#N/A,FALSE,"Costos_Elem_Hid"}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hidden="1">{"MO(BASE)",#N/A,FALSE,"MO(BASE)";"MO(BASE)1",#N/A,FALSE,"MO(BASE)";"MO(BASE)2",#N/A,FALSE,"MO(BASE)"}</definedName>
    <definedName name="ANAC">#REF!</definedName>
    <definedName name="anananan" hidden="1">{#N/A,#N/A,FALSE,"Costos_Elem_Hid";#N/A,#N/A,FALSE,"Costos_Elem_Hid";#N/A,#N/A,FALSE,"Costos_Elem_Hid"}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EXO3A1">#REF!</definedName>
    <definedName name="ANEXO3A2">#REF!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ño">#REF!</definedName>
    <definedName name="año_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P_DAT">#REF!</definedName>
    <definedName name="AP_DET">#REF!</definedName>
    <definedName name="API">#REF!</definedName>
    <definedName name="APLICA_VIATICO">#REF!</definedName>
    <definedName name="AQ">#REF!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hidden="1">{#N/A,#N/A,TRUE,"Costos_Subg_Hid"}</definedName>
    <definedName name="aqqqqqqqqqq" hidden="1">{"Graf_Carga Trab",#N/A,FALSE,"Grafi_Carga Trab";"Graf_Venta Flujo",#N/A,FALSE,"Grafi_Carga Trab"}</definedName>
    <definedName name="AR">#REF!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área" hidden="1">{"Sin detalle",#N/A,FALSE,"Flujo (redondeado)";"Detallado",#N/A,FALSE,"Flujo (redondeado)"}</definedName>
    <definedName name="_xlnm.Extract">#REF!</definedName>
    <definedName name="AREA_DE_IMPRESI">#REF!</definedName>
    <definedName name="_xlnm.Print_Area" localSheetId="1">'Formato General'!$B$1:$AB$89</definedName>
    <definedName name="_xlnm.Print_Area">#REF!</definedName>
    <definedName name="Area_Impresion">#REF!</definedName>
    <definedName name="area2">#REF!</definedName>
    <definedName name="AREA3">#REF!</definedName>
    <definedName name="area4">#REF!</definedName>
    <definedName name="AreaEightThreeZero">#REF!</definedName>
    <definedName name="AreaFiveOneZero">#REF!</definedName>
    <definedName name="AreaFiveSevenZero">#REF!</definedName>
    <definedName name="AreaFiveTwoZero">#REF!</definedName>
    <definedName name="AreaFourFourZero">#REF!</definedName>
    <definedName name="AreaFourOneZero">#REF!</definedName>
    <definedName name="AreaFourTwoZero">#REF!</definedName>
    <definedName name="AreaNineEightFour">#REF!</definedName>
    <definedName name="AreaNineEightTwo">#REF!</definedName>
    <definedName name="AreaNineEightZero">#REF!</definedName>
    <definedName name="AreaNineFourZero">#REF!</definedName>
    <definedName name="AreaNineNineZero">#REF!</definedName>
    <definedName name="AreaNineSixZero">#REF!</definedName>
    <definedName name="AreaNineThreeZero">#REF!</definedName>
    <definedName name="AreaNineTwoZero">#REF!</definedName>
    <definedName name="AreaOneOneZero">#REF!</definedName>
    <definedName name="AreaOneThreeZero">#REF!</definedName>
    <definedName name="AreaOneTwoZero">#REF!</definedName>
    <definedName name="AreaSevenFiveZero">#REF!</definedName>
    <definedName name="AreaSevenFourZero">#REF!</definedName>
    <definedName name="AreaThreeFiveFive">#REF!</definedName>
    <definedName name="AreaThreeFiveFour">#REF!</definedName>
    <definedName name="AreaThreeFiveOne">#REF!</definedName>
    <definedName name="AreaThreeFiveSeven">#REF!</definedName>
    <definedName name="AreaThreeFiveSix">#REF!</definedName>
    <definedName name="AreaThreeFiveThree">#REF!</definedName>
    <definedName name="AreaThreeFiveTwo">#REF!</definedName>
    <definedName name="AreaThreeNineZero">#REF!</definedName>
    <definedName name="AreaThreeSevenFive">#REF!</definedName>
    <definedName name="AreaThreeSevenFour">#REF!</definedName>
    <definedName name="AreaThreeSevenOne">#REF!</definedName>
    <definedName name="AreaThreeSevenThree">#REF!</definedName>
    <definedName name="AreaThreeThreeFive">#REF!</definedName>
    <definedName name="AreaThreeThreeFour">#REF!</definedName>
    <definedName name="AreaThreeThreeOne">#REF!</definedName>
    <definedName name="AreaThreeThreeSix">#REF!</definedName>
    <definedName name="AreaThreeThreeThree">#REF!</definedName>
    <definedName name="AreaThreeThreeTwo">#REF!</definedName>
    <definedName name="AreaThreeTwoOne">#REF!</definedName>
    <definedName name="AreaThreeTwoTwo">#REF!</definedName>
    <definedName name="AreaTwoEightZero">#REF!</definedName>
    <definedName name="AreaTwoFiveZero">#REF!</definedName>
    <definedName name="AreaTwoFourZero">#REF!</definedName>
    <definedName name="AreaTwoOneZero">#REF!</definedName>
    <definedName name="AreaTwoThreeZero">#REF!</definedName>
    <definedName name="AreaTwoTwoZero">#REF!</definedName>
    <definedName name="ariel" hidden="1">{"CI+GG(BASE)",#N/A,FALSE,"CI+GG(BASE)";"GG",#N/A,FALSE,"CI+GG(BASE)";"CI",#N/A,FALSE,"CI+GG(BASE)"}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hidden="1">{#N/A,#N/A,FALSE,"Costos_Elem_Hid";#N/A,#N/A,FALSE,"Costos_Elem_Hid";#N/A,#N/A,FALSE,"Costos_Elem_Hid"}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hidden="1">{"Sin detalle",#N/A,FALSE,"Flujo (redondeado)"}</definedName>
    <definedName name="asasas_1" hidden="1">{"Sin detalle",#N/A,FALSE,"Flujo (redondeado)"}</definedName>
    <definedName name="ASASAS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#REF!</definedName>
    <definedName name="ASDF" hidden="1">{"Sin detalle",#N/A,FALSE,"Flujo (redondeado)";"Detallado",#N/A,FALSE,"Flujo (redondeado)"}</definedName>
    <definedName name="asdw" hidden="1">{#N/A,#N/A,TRUE,"Est. de Fact.";#N/A,#N/A,TRUE,"Capitulo 19";#N/A,#N/A,TRUE,"Proyecto P855"}</definedName>
    <definedName name="ASF" hidden="1">#REF!</definedName>
    <definedName name="ASFDFADSF" hidden="1">{"Sin detalle",#N/A,FALSE,"Flujo (redondeado)";"Detallado",#N/A,FALSE,"Flujo (redondeado)"}</definedName>
    <definedName name="asfew" hidden="1">#REF!</definedName>
    <definedName name="asssad" hidden="1">{#N/A,#N/A,TRUE,"Est. de Fact.";#N/A,#N/A,TRUE,"Capitulo 19";#N/A,#N/A,TRUE,"Proyecto P855"}</definedName>
    <definedName name="assvdsvdsdsv" hidden="1">{"desarrollo",#N/A,FALSE,"LHD Camión";"eqdllo",#N/A,FALSE,"LHD Camión";"eqprod",#N/A,FALSE,"LHD Camión";"Resumen",#N/A,FALSE,"LHD Camión"}</definedName>
    <definedName name="assylabor">#REF!</definedName>
    <definedName name="avance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vav" hidden="1">{#N/A,#N/A,FALSE,"Costos_Elem_Hid";#N/A,#N/A,FALSE,"Costos_Elem_Hid";#N/A,#N/A,FALSE,"Costos_Elem_Hid"}</definedName>
    <definedName name="avbbb" hidden="1">{"Sin detalle",#N/A,FALSE,"Flujo (redondeado)";"Detallado",#N/A,FALSE,"Flujo (redondeado)"}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wawawaw" hidden="1">{#N/A,#N/A,FALSE,"Costos_Elem_Hid";#N/A,#N/A,FALSE,"Costos_Elem_Hid";#N/A,#N/A,FALSE,"Costos_Elem_Hid"}</definedName>
    <definedName name="axadrra" hidden="1">{"Sin detalle",#N/A,FALSE,"Flujo (redondeado)"}</definedName>
    <definedName name="axaxax" hidden="1">{"'Hoja3'!$F$5"}</definedName>
    <definedName name="axxx">#REF!</definedName>
    <definedName name="ayu">#REF!</definedName>
    <definedName name="azaza" hidden="1">{"'Hoja3'!$F$5"}</definedName>
    <definedName name="AZAZAZ" hidden="1">{"Sin detalle",#N/A,FALSE,"Flujo (redondeado)"}</definedName>
    <definedName name="AZAZAZ_1" hidden="1">{"Sin detalle",#N/A,FALSE,"Flujo (redondeado)"}</definedName>
    <definedName name="b" hidden="1">{#N/A,#N/A,FALSE,"summary";#N/A,#N/A,FALSE,"SumGraph"}</definedName>
    <definedName name="BAJADAS1" hidden="1">{#N/A,#N/A,FALSE,"MAQUINA"}</definedName>
    <definedName name="BAS">#REF!</definedName>
    <definedName name="BASE">#REF!</definedName>
    <definedName name="Base_excavaciones" hidden="1">{"Sin detalle",#N/A,FALSE,"Flujo (redondeado)";"Detallado",#N/A,FALSE,"Flujo (redondeado)"}</definedName>
    <definedName name="_xlnm.Database">#REF!</definedName>
    <definedName name="BASES">#REF!</definedName>
    <definedName name="bb" hidden="1">{"Sin detalle",#N/A,FALSE,"Flujo (redondeado)";"Detallado",#N/A,FALSE,"Flujo (redondeado)"}</definedName>
    <definedName name="bb_1" hidden="1">{"Sin detalle",#N/A,FALSE,"Flujo (redondeado)";"Detallado",#N/A,FALSE,"Flujo (redondeado)"}</definedName>
    <definedName name="bb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hidden="1">{#N/A,#N/A,FALSE,"Hoja1";#N/A,#N/A,FALSE,"Hoja2";#N/A,#N/A,FALSE,"Hoja3";#N/A,#N/A,FALSE,"Hoja4";#N/A,#N/A,FALSE,"Hoja5";#N/A,#N/A,FALSE,"Hoja6"}</definedName>
    <definedName name="BLOQUE">#REF!</definedName>
    <definedName name="BM" hidden="1">#REF!</definedName>
    <definedName name="bnm" hidden="1">{#N/A,#N/A,TRUE,"Est. de Fact.";#N/A,#N/A,TRUE,"Capitulo 19";#N/A,#N/A,TRUE,"Proyecto P855"}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NO_MANDANTE">#REF!</definedName>
    <definedName name="BONO_MES">#REF!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tón2_AlHacerClic">#REF!</definedName>
    <definedName name="Bruno" hidden="1">#REF!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hidden="1">{"MO(BASE)",#N/A,FALSE,"MO(BASE)";"MO(BASE)1",#N/A,FALSE,"MO(BASE)";"MO(BASE)2",#N/A,FALSE,"MO(BASE)"}</definedName>
    <definedName name="CAC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hidden="1">{#N/A,#N/A,TRUE,"Est. de Fact.";#N/A,#N/A,TRUE,"Capitulo 19";#N/A,#N/A,TRUE,"Proyecto P855"}</definedName>
    <definedName name="CAJA" hidden="1">{#N/A,#N/A,TRUE,"Costos_Subg_Hid"}</definedName>
    <definedName name="CAJA1" hidden="1">{#N/A,#N/A,FALSE,"Costos_Elem_Hid";#N/A,#N/A,FALSE,"Costos_Elem_Hid";#N/A,#N/A,FALSE,"Costos_Elem_Hid"}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AMENTO">#REF!</definedName>
    <definedName name="CANH">#REF!</definedName>
    <definedName name="CANT">#REF!</definedName>
    <definedName name="CANT_TOTAL">#REF!</definedName>
    <definedName name="CANT_UNIT">#REF!</definedName>
    <definedName name="cap">#REF!</definedName>
    <definedName name="CAPACITACION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">#REF!</definedName>
    <definedName name="carlos" hidden="1">{#N/A,#N/A,FALSE,"Matrix";#N/A,#N/A,FALSE,"Executive";#N/A,#N/A,FALSE,"Summary"}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t">#REF!</definedName>
    <definedName name="CATEG">#REF!</definedName>
    <definedName name="CBWorkbookPriority" hidden="1">-255091826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" hidden="1">{#N/A,#N/A,TRUE,"Costos_Subg_Hid"}</definedName>
    <definedName name="cde" hidden="1">{#N/A,#N/A,FALSE,"Cargas"}</definedName>
    <definedName name="CESANTIA">#REF!</definedName>
    <definedName name="cfvfsd" hidden="1">{#N/A,#N/A,TRUE,"Costos_Subg_Hid"}</definedName>
    <definedName name="CHANCADO" hidden="1">{"'Hoja3'!$F$5"}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IVIL">#REF!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ASIN" hidden="1">{#N/A,#N/A,FALSE,"Graficos"}</definedName>
    <definedName name="COCHILCO" hidden="1">{#N/A,#N/A,TRUE,"Est. de Fact.";#N/A,#N/A,TRUE,"Capitulo 19";#N/A,#N/A,TRUE,"Proyecto P855"}</definedName>
    <definedName name="COD">#REF!</definedName>
    <definedName name="comp1" hidden="1">{#N/A,#N/A,FALSE,"Matrix";#N/A,#N/A,FALSE,"Executive";#N/A,#N/A,FALSE,"Summary"}</definedName>
    <definedName name="Comparacion" hidden="1">{#N/A,#N/A,FALSE,"Matrix";#N/A,#N/A,FALSE,"Executive";#N/A,#N/A,FALSE,"Summary"}</definedName>
    <definedName name="COMPLEJIDAD">#REF!</definedName>
    <definedName name="CON">#REF!</definedName>
    <definedName name="CONSO" hidden="1">{"MO(BASE)",#N/A,FALSE,"MO(BASE)";"MO(BASE)1",#N/A,FALSE,"MO(BASE)";"MO(BASE)2",#N/A,FALSE,"MO(BASE)"}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_150">#REF!</definedName>
    <definedName name="Cont_ObrasNuevas">#REF!</definedName>
    <definedName name="Cont_ON">#REF!</definedName>
    <definedName name="Cont_Sup_150">#REF!</definedName>
    <definedName name="CONT_UTI">#REF!</definedName>
    <definedName name="CONT1">#REF!</definedName>
    <definedName name="CONT2">#REF!</definedName>
    <definedName name="CONT3">#REF!</definedName>
    <definedName name="CONT4">#REF!</definedName>
    <definedName name="CONT5">#REF!</definedName>
    <definedName name="CONT6">#REF!</definedName>
    <definedName name="CONT7">#REF!</definedName>
    <definedName name="CONT8">#REF!</definedName>
    <definedName name="CONT9">#REF!</definedName>
    <definedName name="CONTING">#REF!</definedName>
    <definedName name="Contingencia_150">#REF!</definedName>
    <definedName name="CONTINGENCIA_CLIENTE">#REF!</definedName>
    <definedName name="contrato">#REF!</definedName>
    <definedName name="control" hidden="1">{#N/A,#N/A,FALSE,"Graficos"}</definedName>
    <definedName name="CORG">#REF!</definedName>
    <definedName name="Correas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_UNIT">#REF!</definedName>
    <definedName name="COSTO_HD">#REF!</definedName>
    <definedName name="Costos">#REF!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PER">#REF!</definedName>
    <definedName name="cperr">#REF!</definedName>
    <definedName name="CRC">#REF!</definedName>
    <definedName name="_xlnm.Criteria">#REF!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O">#REF!</definedName>
    <definedName name="CTOBONOIIIUNIT">#REF!</definedName>
    <definedName name="CTTO">#REF!</definedName>
    <definedName name="CUADRILLAS">#REF!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entas">#REF!</definedName>
    <definedName name="CUNIT" hidden="1">{#N/A,#N/A,TRUE,"Costos_Subg_Hid"}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stomer_name">#REF!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hidden="1">{#N/A,#N/A,FALSE,"Matrix";#N/A,#N/A,FALSE,"Executive";#N/A,#N/A,FALSE,"Summary"}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hidden="1">{#N/A,#N/A,FALSE,"Matrix";#N/A,#N/A,FALSE,"Executive";#N/A,#N/A,FALSE,"Summary"}</definedName>
    <definedName name="cute4" hidden="1">{#N/A,#N/A,FALSE,"Matrix";#N/A,#N/A,FALSE,"Executive";#N/A,#N/A,FALSE,"Summary"}</definedName>
    <definedName name="cute5" hidden="1">{"ARA1",#N/A,FALSE,"ENG-ARA";"ARAhours",#N/A,FALSE,"ENG-ARA";"ARA$",#N/A,FALSE,"ENG-ARA"}</definedName>
    <definedName name="cute6" hidden="1">{"bechtel1",#N/A,TRUE,"BECHTEL";"bechtelhours",#N/A,TRUE,"BECHTEL";"bechtel$",#N/A,TRUE,"BECHTEL"}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hidden="1">{#N/A,#N/A,FALSE,"subcontract"}</definedName>
    <definedName name="cvbdj5643">#REF!</definedName>
    <definedName name="Cwvu.ROLLING._.3._.MONTH._.FCST." hidden="1">#REF!,#REF!</definedName>
    <definedName name="CYM">#REF!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hidden="1">{#N/A,#N/A,FALSE,"summary";#N/A,#N/A,FALSE,"SumGraph"}</definedName>
    <definedName name="D_AR">#REF!</definedName>
    <definedName name="D_AREA">#REF!</definedName>
    <definedName name="D_CODE">#REF!</definedName>
    <definedName name="D_DIV">#REF!</definedName>
    <definedName name="D_JP">#REF!</definedName>
    <definedName name="D_PR">#REF!</definedName>
    <definedName name="D_SAP">#REF!</definedName>
    <definedName name="DA">#REF!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dad">#REF!</definedName>
    <definedName name="dadasd" hidden="1">{#N/A,#N/A,FALSE,"Costos_Elem_Hid";#N/A,#N/A,FALSE,"Costos_Elem_Hid";#N/A,#N/A,FALSE,"Costos_Elem_Hid"}</definedName>
    <definedName name="DAJ">#REF!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ds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T">#REF!</definedName>
    <definedName name="DATA">#REF!</definedName>
    <definedName name="date">#REF!</definedName>
    <definedName name="DATOS">#REF!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B_CALC">#REF!</definedName>
    <definedName name="DB_EP">#REF!</definedName>
    <definedName name="DB_PED">#REF!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ATE">#REF!</definedName>
    <definedName name="DDD" hidden="1">{#N/A,#N/A,FALSE,"summary";#N/A,#N/A,FALSE,"SumGraph"}</definedName>
    <definedName name="ddd_1" hidden="1">{"Sin detalle",#N/A,FALSE,"Flujo (redondeado)";"Detallado",#N/A,FALSE,"Flujo (redondeado)"}</definedName>
    <definedName name="dddd" hidden="1">{#N/A,#N/A,FALSE,"Costos_Elem_Hid";#N/A,#N/A,FALSE,"Costos_Elem_Hid";#N/A,#N/A,FALSE,"Costos_Elem_Hid"}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DDDD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ES">#REF!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hidden="1">#REF!</definedName>
    <definedName name="de" hidden="1">{"CI+GG(BASE)",#N/A,FALSE,"CI+GG(BASE)";"GG",#N/A,FALSE,"CI+GG(BASE)";"CI",#N/A,FALSE,"CI+GG(BASE)"}</definedName>
    <definedName name="deded" hidden="1">{"MO(BASE)",#N/A,FALSE,"MO(BASE)";"MO(BASE)1",#N/A,FALSE,"MO(BASE)";"MO(BASE)2",#N/A,FALSE,"MO(BASE)"}</definedName>
    <definedName name="dep">#REF!</definedName>
    <definedName name="dep_eq_mina">#REF!</definedName>
    <definedName name="dep_otros">#REF!</definedName>
    <definedName name="der" hidden="1">{"CI+GG(BASE)",#N/A,FALSE,"CI+GG(BASE)";"GG",#N/A,FALSE,"CI+GG(BASE)";"CI",#N/A,FALSE,"CI+GG(BASE)"}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hidden="1">{#N/A,#N/A,FALSE,"summary";#N/A,#N/A,FALSE,"SumGraph"}</definedName>
    <definedName name="Dessub" hidden="1">{"MO(BASE)",#N/A,FALSE,"MO(BASE)";"MO(BASE)1",#N/A,FALSE,"MO(BASE)";"MO(BASE)2",#N/A,FALSE,"MO(BASE)"}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faf" hidden="1">{"'장비'!$A$3:$M$12"}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ECHA">#REF!</definedName>
    <definedName name="dfg" hidden="1">{#N/A,#N/A,TRUE,"Est. de Fact.";#N/A,#N/A,TRUE,"Capitulo 19";#N/A,#N/A,TRUE,"Proyecto P855"}</definedName>
    <definedName name="dfgfd" hidden="1">{#N/A,#N/A,TRUE,"Est. de Fact.";#N/A,#N/A,TRUE,"Capitulo 19";#N/A,#N/A,TRUE,"Proyecto P855"}</definedName>
    <definedName name="dfgh" hidden="1">{#N/A,#N/A,TRUE,"Costos_Subg_Hid"}</definedName>
    <definedName name="dfre" hidden="1">{#N/A,#N/A,FALSE,"PEND INC";#N/A,#N/A,FALSE,"PEND MINM"}</definedName>
    <definedName name="DIAS_TURNOMANUAL">#REF!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MCOB">#REF!</definedName>
    <definedName name="DOL">#REF!</definedName>
    <definedName name="dolar">#REF!</definedName>
    <definedName name="Dólar">#REF!</definedName>
    <definedName name="dollar">#REF!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ch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utputSumCommoditie">#REF!</definedName>
    <definedName name="DPED">#REF!</definedName>
    <definedName name="DPRG">#REF!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c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hidden="1">{#N/A,#N/A,TRUE,"Est. de Fact.";#N/A,#N/A,TRUE,"Capitulo 19";#N/A,#N/A,TRUE,"Proyecto P855"}</definedName>
    <definedName name="DSV">#REF!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TSR">#REF!</definedName>
    <definedName name="DURACION_PROYECTO">#REF!</definedName>
    <definedName name="dxl" hidden="1">{#N/A,#N/A,FALSE,"Matrix";#N/A,#N/A,FALSE,"Executive";#N/A,#N/A,FALSE,"Summary"}</definedName>
    <definedName name="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hidden="1">{"MO(BASE)",#N/A,FALSE,"MO(BASE)";"MO(BASE)1",#N/A,FALSE,"MO(BASE)";"MO(BASE)2",#N/A,FALSE,"MO(BASE)"}</definedName>
    <definedName name="ee" hidden="1">{#N/A,#N/A,FALSE,"Total_OC015";#N/A,#N/A,FALSE,"ADMIN";#N/A,#N/A,FALSE,"PROCES";#N/A,#N/A,FALSE,"mecan";#N/A,#N/A,FALSE,"civil";#N/A,#N/A,FALSE,"CAÑER";#N/A,#N/A,FALSE,"ELEC";#N/A,#N/A,FALSE,"INSTR"}</definedName>
    <definedName name="EE_1" hidden="1">{"Sin detalle",#N/A,FALSE,"Flujo (redondeado)";"Detallado",#N/A,FALSE,"Flujo (redondeado)"}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hidden="1">{#N/A,#N/A,FALSE,"Costos_Elem_Hid";#N/A,#N/A,FALSE,"Costos_Elem_Hid";#N/A,#N/A,FALSE,"Costos_Elem_Hid"}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werf" hidden="1">{#N/A,#N/A,FALSE,"Graficos"}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J" hidden="1">{#N/A,#N/A,FALSE,"Costos_Elem_Hid";#N/A,#N/A,FALSE,"Costos_Elem_Hid";#N/A,#N/A,FALSE,"Costos_Elem_Hid"}</definedName>
    <definedName name="el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leclabor">#REF!</definedName>
    <definedName name="engday">#REF!</definedName>
    <definedName name="englabor">#REF!</definedName>
    <definedName name="engplant">#REF!</definedName>
    <definedName name="engsite">#REF!</definedName>
    <definedName name="ENTREGA">#REF!</definedName>
    <definedName name="EPCHOURS" hidden="1">{#N/A,#N/A,FALSE,"subcontract"}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hidden="1">{#N/A,#N/A,FALSE,"Matrix";#N/A,#N/A,FALSE,"Executive";#N/A,#N/A,FALSE,"Summary"}</definedName>
    <definedName name="equ" hidden="1">{#N/A,#N/A,TRUE,"Est. de Fact.";#N/A,#N/A,TRUE,"Capitulo 19";#N/A,#N/A,TRUE,"Proyecto P855"}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p2" hidden="1">{"MO(BASE)",#N/A,FALSE,"MO(BASE)";"MO(BASE)1",#N/A,FALSE,"MO(BASE)";"MO(BASE)2",#N/A,FALSE,"MO(BASE)"}</definedName>
    <definedName name="equipos" hidden="1">{#N/A,#N/A,FALSE,"Total_OC015";#N/A,#N/A,FALSE,"ADMIN";#N/A,#N/A,FALSE,"PROCES";#N/A,#N/A,FALSE,"mecan";#N/A,#N/A,FALSE,"civil";#N/A,#N/A,FALSE,"CAÑER";#N/A,#N/A,FALSE,"ELEC";#N/A,#N/A,FALSE,"INSTR"}</definedName>
    <definedName name="equivalente">#REF!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reqwrqweaws" hidden="1">{"Sin detalle",#N/A,FALSE,"Flujo (redondeado)";"Detallado",#N/A,FALSE,"Flujo (redondeado)"}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fd" hidden="1">{"MO(BASE)",#N/A,FALSE,"MO(BASE)";"MO(BASE)1",#N/A,FALSE,"MO(BASE)";"MO(BASE)2",#N/A,FALSE,"MO(BASE)"}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t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uio" hidden="1">{"Sin detalle",#N/A,FALSE,"Flujo (redondeado)"}</definedName>
    <definedName name="EST_ACUM">#REF!</definedName>
    <definedName name="EST_GRAFO">#REF!</definedName>
    <definedName name="ESTADISTICA" hidden="1">{"MO(BASE)",#N/A,FALSE,"MO(BASE)";"MO(BASE)1",#N/A,FALSE,"MO(BASE)";"MO(BASE)2",#N/A,FALSE,"MO(BASE)"}</definedName>
    <definedName name="Estadística" hidden="1">{"CI+GG(BASE)",#N/A,FALSE,"CI+GG(BASE)";"GG",#N/A,FALSE,"CI+GG(BASE)";"CI",#N/A,FALSE,"CI+GG(BASE)"}</definedName>
    <definedName name="ESTADISTICA_1" hidden="1">{"MO(BASE)",#N/A,FALSE,"MO(BASE)";"MO(BASE)1",#N/A,FALSE,"MO(BASE)";"MO(BASE)2",#N/A,FALSE,"MO(BASE)"}</definedName>
    <definedName name="Estadística_1" hidden="1">{"CI+GG(BASE)",#N/A,FALSE,"CI+GG(BASE)";"GG",#N/A,FALSE,"CI+GG(BASE)";"CI",#N/A,FALSE,"CI+GG(BASE)"}</definedName>
    <definedName name="ESTADISTICA_2" hidden="1">{"MO(BASE)",#N/A,FALSE,"MO(BASE)";"MO(BASE)1",#N/A,FALSE,"MO(BASE)";"MO(BASE)2",#N/A,FALSE,"MO(BASE)"}</definedName>
    <definedName name="Estadística_2" hidden="1">{"CI+GG(BASE)",#N/A,FALSE,"CI+GG(BASE)";"GG",#N/A,FALSE,"CI+GG(BASE)";"CI",#N/A,FALSE,"CI+GG(BASE)"}</definedName>
    <definedName name="ESTADISTICA_3" hidden="1">{"MO(BASE)",#N/A,FALSE,"MO(BASE)";"MO(BASE)1",#N/A,FALSE,"MO(BASE)";"MO(BASE)2",#N/A,FALSE,"MO(BASE)"}</definedName>
    <definedName name="Estadística_3" hidden="1">{"CI+GG(BASE)",#N/A,FALSE,"CI+GG(BASE)";"GG",#N/A,FALSE,"CI+GG(BASE)";"CI",#N/A,FALSE,"CI+GG(BASE)"}</definedName>
    <definedName name="ESTADISTICA_4" hidden="1">{"MO(BASE)",#N/A,FALSE,"MO(BASE)";"MO(BASE)1",#N/A,FALSE,"MO(BASE)";"MO(BASE)2",#N/A,FALSE,"MO(BASE)"}</definedName>
    <definedName name="Estadística_4" hidden="1">{"CI+GG(BASE)",#N/A,FALSE,"CI+GG(BASE)";"GG",#N/A,FALSE,"CI+GG(BASE)";"CI",#N/A,FALSE,"CI+GG(BASE)"}</definedName>
    <definedName name="ESTADISTICA_5" hidden="1">{"MO(BASE)",#N/A,FALSE,"MO(BASE)";"MO(BASE)1",#N/A,FALSE,"MO(BASE)";"MO(BASE)2",#N/A,FALSE,"MO(BASE)"}</definedName>
    <definedName name="Estadística_5" hidden="1">{"CI+GG(BASE)",#N/A,FALSE,"CI+GG(BASE)";"GG",#N/A,FALSE,"CI+GG(BASE)";"CI",#N/A,FALSE,"CI+GG(BASE)"}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xchange_rate">#REF!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A">#REF!</definedName>
    <definedName name="FAC_NONMAN_COLLA">#REF!</definedName>
    <definedName name="FAC_NONMAN_OTROS">#REF!</definedName>
    <definedName name="FACEBOOK" hidden="1">{"DECIMAL",#N/A,FALSE,"02"}</definedName>
    <definedName name="FACIND_COLLA">#REF!</definedName>
    <definedName name="FACIND_OTROS">#REF!</definedName>
    <definedName name="FACMAN_COLLA">#REF!</definedName>
    <definedName name="FACMANUAL_OTROS">#REF!</definedName>
    <definedName name="FACOP_COLLA">#REF!</definedName>
    <definedName name="FACOP_OTROS">#REF!</definedName>
    <definedName name="FACTOR_EQUIPO">#REF!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 hidden="1">{"'Hoja3'!$F$5"}</definedName>
    <definedName name="FAL">#REF!</definedName>
    <definedName name="FBCOSTO">#REF!</definedName>
    <definedName name="FCAVF">#REF!</definedName>
    <definedName name="FCAVFD">#REF!</definedName>
    <definedName name="FCCOSTO">#REF!</definedName>
    <definedName name="FCD">#REF!</definedName>
    <definedName name="FCM">#REF!</definedName>
    <definedName name="FD">#REF!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_C">#REF!</definedName>
    <definedName name="FE_I">#REF!</definedName>
    <definedName name="FE_T">#REF!</definedName>
    <definedName name="Fecha">#REF!</definedName>
    <definedName name="FECHP">#REF!</definedName>
    <definedName name="felipe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TIVOS">#REF!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>#REF!</definedName>
    <definedName name="ffeer" hidden="1">{#N/A,#N/A,TRUE,"Est. de Fact.";#N/A,#N/A,TRUE,"Capitulo 19";#N/A,#N/A,TRUE,"Proyecto P855"}</definedName>
    <definedName name="FFF" hidden="1">{"'DMBL'!$A$1:$N$83","'DMBL'!$A$6:$B$83"}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hidden="1">{#N/A,#N/A,FALSE,"PEND INC";#N/A,#N/A,FALSE,"PEND MINM"}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fg" hidden="1">{"Sin detalle",#N/A,FALSE,"Flujo (redondeado)";"Detallado",#N/A,FALSE,"Flujo (redondeado)"}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fty">#REF!</definedName>
    <definedName name="Filla" hidden="1">#REF!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veA">#REF!</definedName>
    <definedName name="FiveB">#REF!</definedName>
    <definedName name="FiveC">#REF!</definedName>
    <definedName name="FiveD">#REF!</definedName>
    <definedName name="FiveE">#REF!</definedName>
    <definedName name="FiveF">#REF!</definedName>
    <definedName name="FiveG">#REF!</definedName>
    <definedName name="FiveH">#REF!</definedName>
    <definedName name="FiveI">#REF!</definedName>
    <definedName name="FiveJ">#REF!</definedName>
    <definedName name="FiveK">#REF!</definedName>
    <definedName name="FiveL">#REF!</definedName>
    <definedName name="FiveM">#REF!</definedName>
    <definedName name="FLETE">#REF!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ujo">#REF!</definedName>
    <definedName name="Flujos" hidden="1">{#N/A,#N/A,FALSE,"Graficos"}</definedName>
    <definedName name="FN">#REF!</definedName>
    <definedName name="FNC">#REF!</definedName>
    <definedName name="FOA">#REF!</definedName>
    <definedName name="fome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ourA">#REF!</definedName>
    <definedName name="FourB">#REF!</definedName>
    <definedName name="FourC">#REF!</definedName>
    <definedName name="FourD">#REF!</definedName>
    <definedName name="FourE">#REF!</definedName>
    <definedName name="FourF">#REF!</definedName>
    <definedName name="FourG">#REF!</definedName>
    <definedName name="FourH">#REF!</definedName>
    <definedName name="FourI">#REF!</definedName>
    <definedName name="FourJ">#REF!</definedName>
    <definedName name="FourK">#REF!</definedName>
    <definedName name="FourL">#REF!</definedName>
    <definedName name="Fourm">#REF!</definedName>
    <definedName name="FPAVF">#REF!</definedName>
    <definedName name="FPAVF_1">#REF!</definedName>
    <definedName name="FPAVFD">#REF!</definedName>
    <definedName name="FPCOSTO">#REF!</definedName>
    <definedName name="FPE">#REF!</definedName>
    <definedName name="FPER">#REF!</definedName>
    <definedName name="FPI">#REF!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A">#REF!</definedName>
    <definedName name="FRAVFD">#REF!</definedName>
    <definedName name="FRC">#REF!</definedName>
    <definedName name="FRD">#REF!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ight">#REF!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t" hidden="1">{#N/A,#N/A,FALSE,"Costos_Elem_Hid";#N/A,#N/A,FALSE,"Costos_Elem_Hid";#N/A,#N/A,FALSE,"Costos_Elem_Hid"}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F" hidden="1">{"CI+GG(BASE)",#N/A,FALSE,"CI+GG(BASE)";"GG",#N/A,FALSE,"CI+GG(BASE)";"CI",#N/A,FALSE,"CI+GG(BASE)"}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">#REF!</definedName>
    <definedName name="FTM">#REF!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r" hidden="1">#REF!</definedName>
    <definedName name="FWFESDFSDF" hidden="1">{#N/A,#N/A,TRUE,"Est. de Fact.";#N/A,#N/A,TRUE,"Capitulo 19";#N/A,#N/A,TRUE,"Proyecto P855"}</definedName>
    <definedName name="FX" hidden="1">{"PGS6",#N/A,FALSE,"Estudio";"PG7",#N/A,FALSE,"Estudio"}</definedName>
    <definedName name="FXCOSTO">#REF!</definedName>
    <definedName name="FZCOSTO">#REF!</definedName>
    <definedName name="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ntt">#REF!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stón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" hidden="1">{#N/A,#N/A,FALSE,"PEND INC";#N/A,#N/A,FALSE,"PEND MINM"}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hidden="1">{"MO(BASE)",#N/A,FALSE,"MO(BASE)";"MO(BASE)1",#N/A,FALSE,"MO(BASE)";"MO(BASE)2",#N/A,FALSE,"MO(BASE)"}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G" hidden="1">{"CI+GG(BASE)",#N/A,FALSE,"CI+GG(BASE)";"GG",#N/A,FALSE,"CI+GG(BASE)";"CI",#N/A,FALSE,"CI+GG(BASE)"}</definedName>
    <definedName name="gg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g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ut">#REF!</definedName>
    <definedName name="gh" hidden="1">{"CI+GG(BASE)",#N/A,FALSE,"CI+GG(BASE)";"GG",#N/A,FALSE,"CI+GG(BASE)";"CI",#N/A,FALSE,"CI+GG(BASE)"}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k" hidden="1">{#N/A,#N/A,FALSE,"Costos_Elem_Hid";#N/A,#N/A,FALSE,"Costos_Elem_Hid";#N/A,#N/A,FALSE,"Costos_Elem_Hid"}</definedName>
    <definedName name="giggjjkk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hidden="1">{#N/A,#N/A,FALSE,"summary";#N/A,#N/A,FALSE,"SumGraph"}</definedName>
    <definedName name="GII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md" hidden="1">{#N/A,#N/A,FALSE,"Matrix";#N/A,#N/A,FALSE,"Executive";#N/A,#N/A,FALSE,"Summary"}</definedName>
    <definedName name="GN" hidden="1">{#N/A,#N/A,FALSE,"DET-CAMB.";#N/A,#N/A,FALSE,"PRESUP.";#N/A,#N/A,FALSE,"RESUMEN";#N/A,#N/A,FALSE,"CT";#N/A,#N/A,FALSE,"PD";#N/A,#N/A,FALSE,"PR"}</definedName>
    <definedName name="GRA.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Graf.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ico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afos">#REF!</definedName>
    <definedName name="grdg" hidden="1">#REF!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hidden="1">{"Graf_Carga Trab",#N/A,FALSE,"Grafi_Carga Trab";"Graf_Venta Flujo",#N/A,FALSE,"Grafi_Carga Trab"}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tgtgt" hidden="1">{#N/A,#N/A,TRUE,"Est. de Fact.";#N/A,#N/A,TRUE,"Capitulo 19";#N/A,#N/A,TRUE,"Proyecto P855"}</definedName>
    <definedName name="gttrtyrtre" hidden="1">{"Sin detalle",#N/A,FALSE,"Flujo (redondeado)";"Detallado",#N/A,FALSE,"Flujo (redondeado)"}</definedName>
    <definedName name="gugyy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H">#REF!</definedName>
    <definedName name="hc">#REF!</definedName>
    <definedName name="Help" hidden="1">{#N/A,#N/A,FALSE,"Matrix";#N/A,#N/A,FALSE,"Executive";#N/A,#N/A,FALSE,"Summary"}</definedName>
    <definedName name="HELP1" hidden="1">{#N/A,#N/A,FALSE,"Matrix";#N/A,#N/A,FALSE,"Executive";#N/A,#N/A,FALSE,"Summary"}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H" hidden="1">{#N/A,#N/A,FALSE,"summary";#N/A,#N/A,FALSE,"SumGraph"}</definedName>
    <definedName name="hghg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_ESTIMADA">#REF!</definedName>
    <definedName name="HHBG" hidden="1">{#N/A,#N/A,FALSE,"PEND INC";#N/A,#N/A,FALSE,"PEND MINM"}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JK" hidden="1">{"Graf_Carga Trab",#N/A,FALSE,"Grafi_Carga Trab";"Graf_Venta Flujo",#N/A,FALSE,"Grafi_Carga Trab"}</definedName>
    <definedName name="HHMES">#REF!</definedName>
    <definedName name="HHTURNOMANUAL">#REF!</definedName>
    <definedName name="HHUNIT1.1">#REF!</definedName>
    <definedName name="HIDRO" hidden="1">{#N/A,#N/A,TRUE,"Costos_Subg_Hid"}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l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OMBRE_MES">#REF!</definedName>
    <definedName name="HORAS_MENSUALES">#REF!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OY">#REF!</definedName>
    <definedName name="HTML" hidden="1">{"'장비'!$A$3:$M$12"}</definedName>
    <definedName name="HTML_CodePage" hidden="1">949</definedName>
    <definedName name="HTML_Control" hidden="1">{"'장비'!$A$3:$M$12"}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"Z:\D_RELAVE\sitio_web\PAZO_OPE.HTM"</definedName>
    <definedName name="HTML_Title" hidden="1">"가산동미라보"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AÑO">#REF!</definedName>
    <definedName name="ICONT">#REF!</definedName>
    <definedName name="ICOSTO">#REF!</definedName>
    <definedName name="ICOSTOC">#REF!</definedName>
    <definedName name="IDA">#REF!</definedName>
    <definedName name="IDATE">#REF!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A">#REF!</definedName>
    <definedName name="IGRAF">#REF!</definedName>
    <definedName name="i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AÑO">#REF!</definedName>
    <definedName name="III" hidden="1">{#N/A,#N/A,FALSE,"summary";#N/A,#N/A,FALSE,"SumGraph"}</definedName>
    <definedName name="iiii" hidden="1">{#N/A,#N/A,TRUE,"Costos_Subg_Hid"}</definedName>
    <definedName name="iiiiiiiiiiiiiiiii" hidden="1">{"Sin detalle",#N/A,FALSE,"Flujo (redondeado)";"Detallado",#N/A,FALSE,"Flujo (redondeado)"}</definedName>
    <definedName name="IIT">#REF!</definedName>
    <definedName name="IITO">#REF!</definedName>
    <definedName name="ik" hidden="1">{#N/A,#N/A,FALSE,"Costos_Elem_Hid";#N/A,#N/A,FALSE,"Costos_Elem_Hid";#N/A,#N/A,FALSE,"Costos_Elem_Hid"}</definedName>
    <definedName name="IMON">#REF!</definedName>
    <definedName name="imorsión5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IMIR_ÁREA_I">#REF!</definedName>
    <definedName name="inc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h">#REF!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eDotación" hidden="1">{"Sin detalle",#N/A,FALSE,"Flujo (redondeado)";"Detallado",#N/A,FALSE,"Flujo (redondeado)"}</definedName>
    <definedName name="informehh" hidden="1">{"Sin detalle",#N/A,FALSE,"Flujo (redondeado)"}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resos">#REF!</definedName>
    <definedName name="instday">#REF!</definedName>
    <definedName name="instlabor">#REF!</definedName>
    <definedName name="instsite">#REF!</definedName>
    <definedName name="Inversión_Actual">#REF!</definedName>
    <definedName name="Inversiones">#REF!</definedName>
    <definedName name="ioioioi" hidden="1">{#N/A,#N/A,TRUE,"Est. de Fact.";#N/A,#N/A,TRUE,"Capitulo 19";#N/A,#N/A,TRUE,"Proyecto P855"}</definedName>
    <definedName name="IPER">#REF!</definedName>
    <definedName name="IPER1">#REF!</definedName>
    <definedName name="IRES">#REF!</definedName>
    <definedName name="ISAP">#REF!</definedName>
    <definedName name="isapre">#REF!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izado_EE">#REF!</definedName>
    <definedName name="Itemizado_IN">#REF!</definedName>
    <definedName name="Itemizado_Me">#REF!</definedName>
    <definedName name="Itemizado_Me1">#REF!</definedName>
    <definedName name="iu" hidden="1">{"CI+GG(BASE)",#N/A,FALSE,"CI+GG(BASE)";"GG",#N/A,FALSE,"CI+GG(BASE)";"CI",#N/A,FALSE,"CI+GG(BASE)"}</definedName>
    <definedName name="IVA">#REF!</definedName>
    <definedName name="j" hidden="1">{"CI+GG(BASE)",#N/A,FALSE,"CI+GG(BASE)";"GG",#N/A,FALSE,"CI+GG(BASE)";"CI",#N/A,FALSE,"CI+GG(BASE)"}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huhy" hidden="1">{"MO(BASE)",#N/A,FALSE,"MO(BASE)";"MO(BASE)1",#N/A,FALSE,"MO(BASE)";"MO(BASE)2",#N/A,FALSE,"MO(BASE)"}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j" hidden="1">{#N/A,#N/A,FALSE,"Costos_Elem_Hid";#N/A,#N/A,FALSE,"Costos_Elem_Hid";#N/A,#N/A,FALSE,"Costos_Elem_Hid"}</definedName>
    <definedName name="jk">#REF!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ol" hidden="1">{"Sin detalle",#N/A,FALSE,"Flujo (redondeado)";"Detallado",#N/A,FALSE,"Flujo (redondeado)"}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 hidden="1">{"'Hoja3'!$F$5"}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hidden="1">{#N/A,#N/A,FALSE,"Hoja1";#N/A,#N/A,FALSE,"Hoja2";#N/A,#N/A,FALSE,"Hoja3";#N/A,#N/A,FALSE,"Hoja4";#N/A,#N/A,FALSE,"Hoja5";#N/A,#N/A,FALSE,"Hoja6"}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" hidden="1">{#N/A,#N/A,FALSE,"subcontract"}</definedName>
    <definedName name="julioss" hidden="1">{"Sin detalle",#N/A,FALSE,"Flujo (redondeado)";"Detallado",#N/A,FALSE,"Flujo (redondeado)"}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#REF!</definedName>
    <definedName name="K112_RELL" hidden="1">{"Sin detalle",#N/A,FALSE,"Flujo (redondeado)";"Detallado",#N/A,FALSE,"Flujo (redondeado)"}</definedName>
    <definedName name="Ka" hidden="1">{"'DMBL'!$A$1:$N$83","'DMBL'!$A$6:$B$83"}</definedName>
    <definedName name="Kb" hidden="1">{"'DMBL'!$A$1:$N$83","'DMBL'!$A$6:$B$83"}</definedName>
    <definedName name="Kc" hidden="1">{"'DMBL'!$A$1:$N$83","'DMBL'!$A$6:$B$83"}</definedName>
    <definedName name="killsadñksafjsla" hidden="1">{"Sin detalle",#N/A,FALSE,"Flujo (redondeado)"}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k" hidden="1">#REF!</definedName>
    <definedName name="kka" hidden="1">{"'DMBL'!$A$1:$N$83","'DMBL'!$A$6:$B$83"}</definedName>
    <definedName name="kkb" hidden="1">{"'DMBL'!$A$1:$N$83","'DMBL'!$A$6:$B$83"}</definedName>
    <definedName name="kkc" hidden="1">{"'DMBL'!$A$1:$N$83","'DMBL'!$A$6:$B$83"}</definedName>
    <definedName name="kkk" hidden="1">{"'장비'!$A$3:$M$12"}</definedName>
    <definedName name="kkkk" hidden="1">{#N/A,#N/A,TRUE,"Est. de Fact.";#N/A,#N/A,TRUE,"Capitulo 19";#N/A,#N/A,TRUE,"Proyecto P855"}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_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L">#REF!</definedName>
    <definedName name="lanelength">#REF!</definedName>
    <definedName name="lanes">#REF!</definedName>
    <definedName name="Lb" hidden="1">{#N/A,#N/A,FALSE,"Matrix";#N/A,#N/A,FALSE,"Executive";#N/A,#N/A,FALSE,"Summary"}</definedName>
    <definedName name="lete" hidden="1">{"MO(BASE)",#N/A,FALSE,"MO(BASE)";"MO(BASE)1",#N/A,FALSE,"MO(BASE)";"MO(BASE)2",#N/A,FALSE,"MO(BASE)"}</definedName>
    <definedName name="LEYES_SOCIALES">#REF!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mcount" hidden="1">1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uhk" hidden="1">{#N/A,#N/A,FALSE,"Costos_Elem_Hid";#N/A,#N/A,FALSE,"Costos_Elem_Hid";#N/A,#N/A,FALSE,"Costos_Elem_Hid"}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l" hidden="1">{#N/A,#N/A,TRUE,"Est. de Fact.";#N/A,#N/A,TRUE,"Capitulo 19";#N/A,#N/A,TRUE,"Proyecto P855"}</definedName>
    <definedName name="lllll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ALIDAD">#REF!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hidden="1">{#N/A,#N/A,TRUE,"Est. de Fact.";#N/A,#N/A,TRUE,"Capitulo 19";#N/A,#N/A,TRUE,"Proyecto P855"}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u" hidden="1">{#N/A,#N/A,FALSE,"Costos_Elem_Hid";#N/A,#N/A,FALSE,"Costos_Elem_Hid";#N/A,#N/A,FALSE,"Costos_Elem_Hid"}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_TC">#REF!</definedName>
    <definedName name="MACU">#N/A</definedName>
    <definedName name="MAG">#REF!</definedName>
    <definedName name="MANDANTE">#REF!</definedName>
    <definedName name="Maquinaria" hidden="1">{"MO(BASE)",#N/A,FALSE,"MO(BASE)";"MO(BASE)1",#N/A,FALSE,"MO(BASE)";"MO(BASE)2",#N/A,FALSE,"MO(BASE)"}</definedName>
    <definedName name="mat" hidden="1">{"'DMBL'!$A$1:$N$83","'DMBL'!$A$6:$B$83"}</definedName>
    <definedName name="mata" hidden="1">{"'DMBL'!$A$1:$N$83","'DMBL'!$A$6:$B$83"}</definedName>
    <definedName name="matb" hidden="1">{"'DMBL'!$A$1:$N$83","'DMBL'!$A$6:$B$83"}</definedName>
    <definedName name="matc" hidden="1">{"'DMBL'!$A$1:$N$83","'DMBL'!$A$6:$B$83"}</definedName>
    <definedName name="MB" hidden="1">{#N/A,#N/A,FALSE,"PXP-TOTAL Modif";"vis2",#N/A,FALSE,"PXP-AÑO";"Vis1",#N/A,FALSE,"PXP-AÑO"}</definedName>
    <definedName name="mechlabor">#REF!</definedName>
    <definedName name="Mensualdotación" hidden="1">{"Sin detalle",#N/A,FALSE,"Flujo (redondeado)"}</definedName>
    <definedName name="MES_ESTIMACION">#REF!</definedName>
    <definedName name="michael_2" hidden="1">{"'resumen REV 3'!$B$1:$Q$69"}</definedName>
    <definedName name="Minmetal" hidden="1">{#N/A,#N/A,FALSE,"PEND INC";#N/A,#N/A,FALSE,"PEND MINM"}</definedName>
    <definedName name="mm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m" hidden="1">{#N/A,#N/A,TRUE,"Est. de Fact.";#N/A,#N/A,TRUE,"Capitulo 19";#N/A,#N/A,TRUE,"Proyecto P855"}</definedName>
    <definedName name="mmmm" hidden="1">{"Sin detalle",#N/A,FALSE,"Flujo (redondeado)";"Detallado",#N/A,FALSE,"Flujo (redondeado)"}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odpairs">#REF!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OTROSIII">#REF!</definedName>
    <definedName name="MOVACERC">#REF!</definedName>
    <definedName name="MOVINT">#REF!</definedName>
    <definedName name="MQ">#REF!</definedName>
    <definedName name="MR">#REF!</definedName>
    <definedName name="MU">#REF!</definedName>
    <definedName name="MULA">#REF!</definedName>
    <definedName name="MUTUAL">#REF!</definedName>
    <definedName name="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_Asig_MOI">#REF!</definedName>
    <definedName name="NAME">#REF!</definedName>
    <definedName name="ncnckid" hidden="1">{"'장비'!$A$3:$M$12"}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EGOCIO">#REF!</definedName>
    <definedName name="NETO">#REF!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D">#REF!</definedName>
    <definedName name="NIVEL">#REF!</definedName>
    <definedName name="Nivel_MOI">#REF!</definedName>
    <definedName name="n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hgf">#REF!</definedName>
    <definedName name="nn" hidden="1">#REF!</definedName>
    <definedName name="nnn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_PROYECTO">#REF!</definedName>
    <definedName name="NOMPROP">#REF!</definedName>
    <definedName name="NOS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oses4" hidden="1">{#N/A,#N/A,FALSE,"Matrix";#N/A,#N/A,FALSE,"Executive";#N/A,#N/A,FALSE,"Summary"}</definedName>
    <definedName name="NOTES">#REF!</definedName>
    <definedName name="NP">#REF!</definedName>
    <definedName name="Nueva" hidden="1">{#N/A,#N/A,FALSE,"summary";#N/A,#N/A,FALSE,"SumGraph"}</definedName>
    <definedName name="nuev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" hidden="1">#REF!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lo">#REF!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" hidden="1">{#N/A,#N/A,FALSE,"Costos_Elem_Hid";#N/A,#N/A,FALSE,"Costos_Elem_Hid";#N/A,#N/A,FALSE,"Costos_Elem_Hid"}</definedName>
    <definedName name="ññññññññ" hidden="1">{#N/A,#N/A,TRUE,"Costos_Subg_Hid"}</definedName>
    <definedName name="ÑP" hidden="1">{"Sin detalle",#N/A,FALSE,"Flujo (redondeado)";"Detallado",#N/A,FALSE,"Flujo (redondeado)"}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º" hidden="1">{#N/A,#N/A,TRUE,"Costos_Subg_Hid"}</definedName>
    <definedName name="OB">#REF!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COMP">#REF!</definedName>
    <definedName name="ODH" hidden="1">#REF!</definedName>
    <definedName name="ok" hidden="1">{"'Hoja3'!$F$5"}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neA">#REF!</definedName>
    <definedName name="OneB">#REF!</definedName>
    <definedName name="OneC">#REF!</definedName>
    <definedName name="OneD">#REF!</definedName>
    <definedName name="OneE">#REF!</definedName>
    <definedName name="OneF">#REF!</definedName>
    <definedName name="OneG">#REF!</definedName>
    <definedName name="OneH">#REF!</definedName>
    <definedName name="OneI">#REF!</definedName>
    <definedName name="OneJ">#REF!</definedName>
    <definedName name="OneK">#REF!</definedName>
    <definedName name="OneL">#REF!</definedName>
    <definedName name="OneM">#REF!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C">#REF!</definedName>
    <definedName name="oodd" hidden="1">{#N/A,#N/A,FALSE,"Matrix";#N/A,#N/A,FALSE,"Executive";#N/A,#N/A,FALSE,"Summary"}</definedName>
    <definedName name="oooo" hidden="1">{#N/A,#N/A,FALSE,"Costos_Elem_Hid";#N/A,#N/A,FALSE,"Costos_Elem_Hid";#N/A,#N/A,FALSE,"Costos_Elem_Hid"}</definedName>
    <definedName name="OPE">#REF!</definedName>
    <definedName name="Operadores">#REF!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Q">#REF!</definedName>
    <definedName name="or">#REF!</definedName>
    <definedName name="ORG">#REF!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er" hidden="1">{#N/A,#N/A,FALSE,"Matrix";#N/A,#N/A,FALSE,"Executive";#N/A,#N/A,FALSE,"Summary"}</definedName>
    <definedName name="otra">#REF!</definedName>
    <definedName name="OTRAF">#REF!</definedName>
    <definedName name="OXCOMP">#REF!</definedName>
    <definedName name="P" hidden="1">{"'resumen'!$A$1:$D$42"}</definedName>
    <definedName name="PA">#REF!</definedName>
    <definedName name="Pal_Workbook_GUID" hidden="1">"M3E46MFUVQN5TJY3Y3PPNNC3"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rcial">#REF!</definedName>
    <definedName name="PARIDAD">#REF!</definedName>
    <definedName name="PASAJE_5X2">#REF!</definedName>
    <definedName name="PASAJE_MANUAL">#REF!</definedName>
    <definedName name="PASAJE_NONMANUAL">#REF!</definedName>
    <definedName name="PAT">#REF!</definedName>
    <definedName name="PB">#REF!</definedName>
    <definedName name="PCONT">#REF!</definedName>
    <definedName name="PCOSTO">#REF!</definedName>
    <definedName name="PCOSTOC">#REF!</definedName>
    <definedName name="PCT">#REF!</definedName>
    <definedName name="peat">#REF!</definedName>
    <definedName name="PED">#REF!</definedName>
    <definedName name="PEF">#REF!</definedName>
    <definedName name="PENSIONADO" hidden="1">{#N/A,#N/A,FALSE,"DET-CAMB.";#N/A,#N/A,FALSE,"PRESUP.";#N/A,#N/A,FALSE,"RESUMEN";#N/A,#N/A,FALSE,"CT";#N/A,#N/A,FALSE,"PD";#N/A,#N/A,FALSE,"PR"}</definedName>
    <definedName name="Pérdida">#REF!</definedName>
    <definedName name="periodo">#REF!</definedName>
    <definedName name="PERM_CUAD">#REF!</definedName>
    <definedName name="Permanencia">#REF!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">#REF!</definedName>
    <definedName name="PETROLEO">#REF!</definedName>
    <definedName name="PGT">#REF!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PE">#REF!</definedName>
    <definedName name="pipe1">#REF!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os" hidden="1">{"Sin detalle",#N/A,FALSE,"Flujo (redondeado)";"Detallado",#N/A,FALSE,"Flujo (redondeado)"}</definedName>
    <definedName name="PM_DATE">#REF!</definedName>
    <definedName name="PM_MDIA">#REF!</definedName>
    <definedName name="PMC">#REF!</definedName>
    <definedName name="Poc.Nac">#REF!</definedName>
    <definedName name="PON">#REF!</definedName>
    <definedName name="popopo" hidden="1">{#N/A,#N/A,FALSE,"Costos_Elem_Hid";#N/A,#N/A,FALSE,"Costos_Elem_Hid";#N/A,#N/A,FALSE,"Costos_Elem_Hid"}</definedName>
    <definedName name="Por.Imp">#REF!</definedName>
    <definedName name="PORC_LOGISTICA">#REF!</definedName>
    <definedName name="PORC_REEMPLAZO">#REF!</definedName>
    <definedName name="PORCENTAJE_CONTINGENCIA">#REF!</definedName>
    <definedName name="PORCENTAJE_UTILIDAD">#REF!</definedName>
    <definedName name="POT">#REF!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p" hidden="1">{"Sin detalle",#N/A,FALSE,"Flujo (redondeado)"}</definedName>
    <definedName name="ppppppp" hidden="1">{"'Hoja3'!$F$5"}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R">#REF!</definedName>
    <definedName name="PREC">#REF!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O_TOTAL">#REF!</definedName>
    <definedName name="preup_ib">#REF!</definedName>
    <definedName name="Print_Area_MI">#REF!</definedName>
    <definedName name="Print_Titles_MI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ect_name">#REF!</definedName>
    <definedName name="project_number">#REF!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">#REF!</definedName>
    <definedName name="proyecto" hidden="1">{"MO(BASE)",#N/A,FALSE,"MO(BASE)";"MO(BASE)1",#N/A,FALSE,"MO(BASE)";"MO(BASE)2",#N/A,FALSE,"MO(BASE)"}</definedName>
    <definedName name="proyecto_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PTE">#REF!</definedName>
    <definedName name="q" hidden="1">{#N/A,#N/A,FALSE,"Total_OC015";#N/A,#N/A,FALSE,"ADMIN";#N/A,#N/A,FALSE,"PROCES";#N/A,#N/A,FALSE,"mecan";#N/A,#N/A,FALSE,"civil";#N/A,#N/A,FALSE,"CAÑER";#N/A,#N/A,FALSE,"ELEC";#N/A,#N/A,FALSE,"INSTR"}</definedName>
    <definedName name="Q_DATE">#REF!</definedName>
    <definedName name="Q_IT">#REF!</definedName>
    <definedName name="qaq" hidden="1">{#N/A,#N/A,FALSE,"summary";#N/A,#N/A,FALSE,"SumGraph"}</definedName>
    <definedName name="qdsqs" hidden="1">{#N/A,#N/A,FALSE,"summary";#N/A,#N/A,FALSE,"SumGraph"}</definedName>
    <definedName name="qewr" hidden="1">{#N/A,#N/A,TRUE,"Costos_Subg_Hid"}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hidden="1">{#N/A,#N/A,TRUE,"Est. de Fact.";#N/A,#N/A,TRUE,"Capitulo 19";#N/A,#N/A,TRUE,"Proyecto P855"}</definedName>
    <definedName name="qq_1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hidden="1">{"Sin detalle",#N/A,FALSE,"Flujo (redondeado)";"Detallado",#N/A,FALSE,"Flujo (redondeado)"}</definedName>
    <definedName name="qqqq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hidden="1">{"Sin detalle",#N/A,FALSE,"Flujo (redondeado)";"Detallado",#N/A,FALSE,"Flujo (redondeado)"}</definedName>
    <definedName name="qs_0" hidden="1">{"MO(BASE)",#N/A,FALSE,"MO(BASE)";"MO(BASE)1",#N/A,FALSE,"MO(BASE)";"MO(BASE)2",#N/A,FALSE,"MO(BASE)"}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_COSTO">#REF!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zones">#REF!</definedName>
    <definedName name="RCFASE">#REF!</definedName>
    <definedName name="RCONT">#REF!</definedName>
    <definedName name="RCOSTO">#REF!</definedName>
    <definedName name="RCOSTOC">#REF!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UN1.1">#REF!</definedName>
    <definedName name="REGALIA_MANUAL">#REF!</definedName>
    <definedName name="REGALIA_NONMANUAL">#REF!</definedName>
    <definedName name="Rendimiento" hidden="1">#REF!</definedName>
    <definedName name="r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reer" hidden="1">#REF!</definedName>
    <definedName name="rerere" hidden="1">{#N/A,#N/A,TRUE,"Est. de Fact.";#N/A,#N/A,TRUE,"Capitulo 19";#N/A,#N/A,TRUE,"Proyecto P855"}</definedName>
    <definedName name="res_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ERVA">#REF!</definedName>
    <definedName name="RESERVA1">#REF!</definedName>
    <definedName name="Resum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EN">#REF!</definedName>
    <definedName name="RHITO">#REF!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nasa" hidden="1">{#N/A,#N/A,FALSE,"PEND INC";#N/A,#N/A,FALSE,"PEND MINM"}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O" hidden="1">#REF!</definedName>
    <definedName name="ros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OSTER">#REF!</definedName>
    <definedName name="roster_CONSORCIO">#REF!</definedName>
    <definedName name="r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rff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yt" hidden="1">{#N/A,#N/A,TRUE,"Est. de Fact.";#N/A,#N/A,TRUE,"Capitulo 19";#N/A,#N/A,TRUE,"Proyecto P855"}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#REF!</definedName>
    <definedName name="rtyuiopk" hidden="1">{"Sin detalle",#N/A,FALSE,"Flujo (redondeado)";"Detallado",#N/A,FALSE,"Flujo (redondeado)"}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#REF!</definedName>
    <definedName name="sa" hidden="1">{#N/A,#N/A,TRUE,"Costos_Subg_Hid"}</definedName>
    <definedName name="sada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x" hidden="1">{#N/A,#N/A,FALSE,"Costos_Elem_Hid";#N/A,#N/A,FALSE,"Costos_Elem_Hid";#N/A,#N/A,FALSE,"Costos_Elem_Hid"}</definedName>
    <definedName name="SANDRA" hidden="1">{"CI+GG(BASE)",#N/A,FALSE,"CI+GG(BASE)";"GG",#N/A,FALSE,"CI+GG(BASE)";"CI",#N/A,FALSE,"CI+GG(BASE)"}</definedName>
    <definedName name="SAP_MB">#REF!</definedName>
    <definedName name="SAP_MC">#REF!</definedName>
    <definedName name="SAP_MT">#REF!</definedName>
    <definedName name="SAP_OR">#REF!</definedName>
    <definedName name="SAP_PED">#REF!</definedName>
    <definedName name="SAPBEXdnldView" hidden="1">"99CDD1R0WHQZ4UWSRVVR0M4NY"</definedName>
    <definedName name="SAPBEXsysID" hidden="1">"B03"</definedName>
    <definedName name="SAQWE" hidden="1">#REF!</definedName>
    <definedName name="sare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sa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_1" hidden="1">{"Sin detalle",#N/A,FALSE,"Flujo (redondeado)";"Detallado",#N/A,FALSE,"Flujo (redondeado)"}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da" hidden="1">#REF!</definedName>
    <definedName name="SDASDF" hidden="1">{"NORMAL",#N/A,FALSE,"02"}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d" hidden="1">{"MO(BASE)",#N/A,FALSE,"MO(BASE)";"MO(BASE)1",#N/A,FALSE,"MO(BASE)";"MO(BASE)2",#N/A,FALSE,"MO(BASE)"}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ht" hidden="1">{"'resumen REV 3'!$B$1:$Q$69"}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dws" hidden="1">#REF!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EDE">#REF!</definedName>
    <definedName name="SEGACC">#REF!</definedName>
    <definedName name="SEGCOMPSALUD">#REF!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ncount" hidden="1">1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RVICE">#REF!</definedName>
    <definedName name="SERVICIO">#REF!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hidden="1">{#N/A,#N/A,FALSE,"Costos_Elem_Hid";#N/A,#N/A,FALSE,"Costos_Elem_Hid";#N/A,#N/A,FALSE,"Costos_Elem_Hid"}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xA">#REF!</definedName>
    <definedName name="SixB">#REF!</definedName>
    <definedName name="SixC">#REF!</definedName>
    <definedName name="SixD">#REF!</definedName>
    <definedName name="SixE">#REF!</definedName>
    <definedName name="SixF">#REF!</definedName>
    <definedName name="SixG">#REF!</definedName>
    <definedName name="SixH">#REF!</definedName>
    <definedName name="SixI">#REF!</definedName>
    <definedName name="SixJ">#REF!</definedName>
    <definedName name="SixK">#REF!</definedName>
    <definedName name="SixL">#REF!</definedName>
    <definedName name="SixM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1.059</definedName>
    <definedName name="SP" hidden="1">{#N/A,#N/A,FALSE,"subcontract"}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hidden="1">#REF!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TC">#REF!</definedName>
    <definedName name="SUBCONTRATOS">#REF!</definedName>
    <definedName name="SUMA">#REF!</definedName>
    <definedName name="SUMINISTRO">#REF!</definedName>
    <definedName name="Swvu.GAITHERSBURG._.OFFICE." hidden="1">#REF!</definedName>
    <definedName name="Swvu.garo_graph." hidden="1">#REF!</definedName>
    <definedName name="Swvu.garo_personnel." hidden="1">#REF!</definedName>
    <definedName name="Swvu.headcount._.change." hidden="1">#REF!</definedName>
    <definedName name="Swvu.personnel._.by._.location." hidden="1">#REF!</definedName>
    <definedName name="sxd" hidden="1">{#N/A,#N/A,FALSE,"Costos_Elem_Hid";#N/A,#N/A,FALSE,"Costos_Elem_Hid";#N/A,#N/A,FALSE,"Costos_Elem_Hid"}</definedName>
    <definedName name="systems">#REF!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_BASE">#REF!</definedName>
    <definedName name="T_CODE">#REF!</definedName>
    <definedName name="T_COST">#REF!</definedName>
    <definedName name="T_FN">#REF!</definedName>
    <definedName name="T_NAME">#REF!</definedName>
    <definedName name="T_TC">#REF!</definedName>
    <definedName name="TComp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ST0">#REF!</definedName>
    <definedName name="TESTHKEY">#REF!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KEYS">#REF!</definedName>
    <definedName name="TESTVKEY">#REF!</definedName>
    <definedName name="ThreeA">#REF!</definedName>
    <definedName name="ThreeB">#REF!</definedName>
    <definedName name="ThreeC">#REF!</definedName>
    <definedName name="ThreeD">#REF!</definedName>
    <definedName name="ThreeE">#REF!</definedName>
    <definedName name="ThreeF">#REF!</definedName>
    <definedName name="ThreeG">#REF!</definedName>
    <definedName name="ThreeH">#REF!</definedName>
    <definedName name="ThreeI">#REF!</definedName>
    <definedName name="ThreeJ">#REF!</definedName>
    <definedName name="ThreeK">#REF!</definedName>
    <definedName name="ThreeL">#REF!</definedName>
    <definedName name="ThreeM">#REF!</definedName>
    <definedName name="time">#REF!</definedName>
    <definedName name="TITLE">#REF!</definedName>
    <definedName name="TODO">#REF!</definedName>
    <definedName name="TOPECESANTIA">#REF!</definedName>
    <definedName name="TOPEMUTUAL">#REF!</definedName>
    <definedName name="TOPESIS">#REF!</definedName>
    <definedName name="Toq" hidden="1">{#N/A,#N/A,FALSE,"Matrix";#N/A,#N/A,FALSE,"Executive";#N/A,#N/A,FALSE,"Summary"}</definedName>
    <definedName name="Toquepala" hidden="1">{#N/A,#N/A,FALSE,"Matrix";#N/A,#N/A,FALSE,"Executive";#N/A,#N/A,FALSE,"Summary"}</definedName>
    <definedName name="TOTAL">#REF!</definedName>
    <definedName name="TOTAL_ADI_TEPSAC">#REF!</definedName>
    <definedName name="TOTAL_ANDAMIOS">#REF!</definedName>
    <definedName name="TOTAL_CONTINGENCIA">#REF!</definedName>
    <definedName name="TOTAL_COSTO_DIRECTO">#REF!</definedName>
    <definedName name="TOTAL_COSTO_INDIRECTO">#REF!</definedName>
    <definedName name="TOTAL_COSTO_PROYECTO_MPM">#REF!</definedName>
    <definedName name="TOTAL_EQUIPOS">#REF!</definedName>
    <definedName name="TOTAL_FINANCIERO">#REF!</definedName>
    <definedName name="TOTAL_FLETE">#REF!</definedName>
    <definedName name="TOTAL_GG">#REF!</definedName>
    <definedName name="TOTAL_HH_DIRECTA">#REF!</definedName>
    <definedName name="TOTAL_HH_INDIRECTA">#REF!</definedName>
    <definedName name="TOTAL_IIFF">#REF!</definedName>
    <definedName name="TOTAL_MAT_CON">#REF!</definedName>
    <definedName name="TOTAL_MOD">#REF!</definedName>
    <definedName name="TOTAL_ROSTER_CONSORCIO">#REF!</definedName>
    <definedName name="TOTAL_ROSTER_MPM">#REF!</definedName>
    <definedName name="TOTAL_ROSTER_TEPSAC">#REF!</definedName>
    <definedName name="TOTAL_SUBCONTRATO">#REF!</definedName>
    <definedName name="TOTAL_UTLIDAD">#REF!</definedName>
    <definedName name="TOTRH">#REF!</definedName>
    <definedName name="TOTRH1">#REF!</definedName>
    <definedName name="TR">#REF!</definedName>
    <definedName name="Trinidad" hidden="1">{"bechtel1",#N/A,TRUE,"BECHTEL";"bechtelhours",#N/A,TRUE,"BECHTEL";"bechtel$",#N/A,TRUE,"BECHTEL"}</definedName>
    <definedName name="trinidad1" hidden="1">{#N/A,#N/A,FALSE,"MAQUINA"}</definedName>
    <definedName name="trinidad2" hidden="1">{#N/A,#N/A,FALSE,"Matrix";#N/A,#N/A,FALSE,"Executive";#N/A,#N/A,FALSE,"Summary"}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hidden="1">{#N/A,#N/A,FALSE,"Matrix";#N/A,#N/A,FALSE,"Executive";#N/A,#N/A,FALSE,"Summary"}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SA000">#REF!</definedName>
    <definedName name="TSA030.1">#REF!</definedName>
    <definedName name="TSA030.2">#REF!</definedName>
    <definedName name="tt" hidden="1">{#N/A,#N/A,FALSE,"Total_OC015";#N/A,#N/A,FALSE,"ADMIN";#N/A,#N/A,FALSE,"PROCES";#N/A,#N/A,FALSE,"mecan";#N/A,#N/A,FALSE,"civil";#N/A,#N/A,FALSE,"CAÑER";#N/A,#N/A,FALSE,"ELEC";#N/A,#N/A,FALSE,"INSTR"}</definedName>
    <definedName name="ttt" hidden="1">{"'장비'!$A$3:$M$12"}</definedName>
    <definedName name="tttttt" hidden="1">{#N/A,#N/A,TRUE,"Costos_Subg_Hid"}</definedName>
    <definedName name="tu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rno">#REF!</definedName>
    <definedName name="TURNO_MANUAL">#REF!</definedName>
    <definedName name="TURNO_NONMANUAL">#REF!</definedName>
    <definedName name="TURNO_OPERADOR">#REF!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woA">#REF!</definedName>
    <definedName name="TwoB">#REF!</definedName>
    <definedName name="TwoC">#REF!</definedName>
    <definedName name="TwoD">#REF!</definedName>
    <definedName name="TwoE">#REF!</definedName>
    <definedName name="TwoF">#REF!</definedName>
    <definedName name="TwoG">#REF!</definedName>
    <definedName name="TwoH">#REF!</definedName>
    <definedName name="TwoI">#REF!</definedName>
    <definedName name="TwoJ">#REF!</definedName>
    <definedName name="TwoK">#REF!</definedName>
    <definedName name="TwoL">#REF!</definedName>
    <definedName name="TwoM">#REF!</definedName>
    <definedName name="ty">#REF!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a" hidden="1">{"CI+GG(BASE)",#N/A,FALSE,"CI+GG(BASE)";"GG",#N/A,FALSE,"CI+GG(BASE)";"CI",#N/A,FALSE,"CI+GG(BASE)"}</definedName>
    <definedName name="uf">#REF!</definedName>
    <definedName name="uff">#REF!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rio">#REF!</definedName>
    <definedName name="UNITTON" hidden="1">{#N/A,#N/A,FALSE,"Costos_Elem_Hid";#N/A,#N/A,FALSE,"Costos_Elem_Hid";#N/A,#N/A,FALSE,"Costos_Elem_Hid"}</definedName>
    <definedName name="us">#REF!</definedName>
    <definedName name="USD">#REF!</definedName>
    <definedName name="uss">#REF!</definedName>
    <definedName name="utm">#REF!</definedName>
    <definedName name="uttm">#REF!</definedName>
    <definedName name="uu" hidden="1">{#N/A,#N/A,FALSE,"Total_OC015";#N/A,#N/A,FALSE,"ADMIN";#N/A,#N/A,FALSE,"PROCES";#N/A,#N/A,FALSE,"mecan";#N/A,#N/A,FALSE,"civil";#N/A,#N/A,FALSE,"CAÑER";#N/A,#N/A,FALSE,"ELEC";#N/A,#N/A,FALSE,"INSTR"}</definedName>
    <definedName name="uuuu" hidden="1">{#N/A,#N/A,FALSE,"Costos_Elem_Hid";#N/A,#N/A,FALSE,"Costos_Elem_Hid";#N/A,#N/A,FALSE,"Costos_Elem_Hid"}</definedName>
    <definedName name="v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CACIONES">#REF!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NETO">#REF!</definedName>
    <definedName name="VAL_TOTAL">#REF!</definedName>
    <definedName name="VAL_UNIT">#REF!</definedName>
    <definedName name="VALOR_ESP">#REF!</definedName>
    <definedName name="VALOR_HH">#REF!</definedName>
    <definedName name="VALOR_UF">#REF!</definedName>
    <definedName name="VALOR_UNIT">#REF!</definedName>
    <definedName name="vasad" hidden="1">{"desarrollo",#N/A,FALSE,"Cámara Camión";"resumen",#N/A,FALSE,"Cámara Camión";"eqprod",#N/A,FALSE,"Cámara Camión"}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ge" hidden="1">{"MO(BASE)",#N/A,FALSE,"MO(BASE)";"MO(BASE)1",#N/A,FALSE,"MO(BASE)";"MO(BASE)2",#N/A,FALSE,"MO(BASE)"}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ret4" hidden="1">{"MO(BASE)",#N/A,FALSE,"MO(BASE)";"MO(BASE)1",#N/A,FALSE,"MO(BASE)";"MO(BASE)2",#N/A,FALSE,"MO(BASE)"}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hic">#REF!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hidden="1">{"MO(BASE)",#N/A,FALSE,"MO(BASE)";"MO(BASE)1",#N/A,FALSE,"MO(BASE)";"MO(BASE)2",#N/A,FALSE,"MO(BASE)"}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AL">#REF!</definedName>
    <definedName name="VIATICO_INDIRECTO">#REF!</definedName>
    <definedName name="VIATICO_MANUAL">#REF!</definedName>
    <definedName name="VIATICO_MANUAL1">#REF!</definedName>
    <definedName name="VIATICO_NONMANUAL">#REF!</definedName>
    <definedName name="VIATICO_NONMANUAL1">#REF!</definedName>
    <definedName name="VIATICO_OPERADOR">#REF!</definedName>
    <definedName name="VIATICO_OPERADOR1">#REF!</definedName>
    <definedName name="VIDA">#REF!</definedName>
    <definedName name="VIDADOS">#REF!</definedName>
    <definedName name="VIDAUNO">#REF!</definedName>
    <definedName name="VIDAUTIL">#REF!</definedName>
    <definedName name="VIDAUTILPYTO">#REF!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V" hidden="1">{"Sin detalle",#N/A,FALSE,"Flujo (redondeado)";"Detallado",#N/A,FALSE,"Flujo (redondeado)"}</definedName>
    <definedName name="VV_1" hidden="1">{"Sin detalle",#N/A,FALSE,"Flujo (redondeado)";"Detallado",#N/A,FALSE,"Flujo (redondeado)"}</definedName>
    <definedName name="VVGHJ" hidden="1">{#N/A,#N/A,FALSE,"Graficos"}</definedName>
    <definedName name="VVGVHJ" hidden="1">{#N/A,#N/A,FALSE,"Graficos"}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v" hidden="1">{#N/A,#N/A,FALSE,"Costos_Elem_Hid";#N/A,#N/A,FALSE,"Costos_Elem_Hid";#N/A,#N/A,FALSE,"Costos_Elem_Hid"}</definedName>
    <definedName name="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3r" hidden="1">{#N/A,#N/A,FALSE,"PEND INC";#N/A,#N/A,FALSE,"PEND MINM"}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hidden="1">{"bechtel1",#N/A,TRUE,"BECHTEL";"bechtelhours",#N/A,TRUE,"BECHTEL";"bechtel$",#N/A,TRUE,"BECHTEL"}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" hidden="1">{#N/A,#N/A,FALSE,"Costos_Elem_Hid";#N/A,#N/A,FALSE,"Costos_Elem_Hid";#N/A,#N/A,FALSE,"Costos_Elem_Hid"}</definedName>
    <definedName name="werwqerqew" hidden="1">{"Sin detalle",#N/A,FALSE,"Flujo (redondeado)"}</definedName>
    <definedName name="wesd" hidden="1">{#N/A,#N/A,FALSE,"PEND INC";#N/A,#N/A,FALSE,"PEND MINM"}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q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n" hidden="1">{#N/A,#N/A,TRUE,"Est. de Fact.";#N/A,#N/A,TRUE,"Capitulo 19";#N/A,#N/A,TRUE,"Proyecto P855"}</definedName>
    <definedName name="wrn.02INFORME." hidden="1">{"NORMAL",#N/A,FALSE,"02"}</definedName>
    <definedName name="wrn.2." hidden="1">{"4",#N/A,FALSE,"Flujos Caja - Mon. 1999"}</definedName>
    <definedName name="wrn.anteproyecto." hidden="1">{#N/A,#N/A,FALSE,"Cargas"}</definedName>
    <definedName name="wrn.ARA." hidden="1">{"ARA1",#N/A,FALSE,"ENG-ARA";"ARAhours",#N/A,FALSE,"ENG-ARA";"ARA$",#N/A,FALSE,"ENG-ARA"}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Camaracamion." hidden="1">{"desarrollo",#N/A,FALSE,"Cámara Camión";"resumen",#N/A,FALSE,"Cámara Camión";"eqprod",#N/A,FALSE,"Cámara Camión"}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olorcrvs." hidden="1">{"BPCCOLOR",#N/A,FALSE,"CRVS";"NUCCOLOR",#N/A,FALSE,"CRVS";"FOSCOLOR",#N/A,FALSE,"CRVS"}</definedName>
    <definedName name="wrn.compa." hidden="1">{"cuadro1",#N/A,FALSE,"periodos entre Opciones";"cuadro2",#N/A,FALSE,"periodos entre Opciones"}</definedName>
    <definedName name="wrn.Completo." hidden="1">{"Sin detalle",#N/A,FALSE,"Flujo (redondeado)";"Detallado",#N/A,FALSE,"Flujo (redondeado)"}</definedName>
    <definedName name="wrn.Completo._1" hidden="1">{"Sin detalle",#N/A,FALSE,"Flujo (redondeado)";"Detallado",#N/A,FALSE,"Flujo (redondeado)"}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hidden="1">{"data",#N/A,FALSE,"OP_SUM"}</definedName>
    <definedName name="wrn.DECIMAL." hidden="1">{"DECIMAL",#N/A,FALSE,"02"}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hidden="1">{#N/A,#N/A,FALSE,"Hoja1";#N/A,#N/A,FALSE,"Hoja2";#N/A,#N/A,FALSE,"Hoja3";#N/A,#N/A,FALSE,"Hoja4";#N/A,#N/A,FALSE,"Hoja5";#N/A,#N/A,FALSE,"Hoja6"}</definedName>
    <definedName name="wrn.El._.Indio._.Production._.Summary.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hidden="1">{#N/A,#N/A,FALSE,"Costos_Elem_Hid";#N/A,#N/A,FALSE,"Costos_Elem_Hid";#N/A,#N/A,FALSE,"Costos_Elem_Hid"}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hidden="1">{"garo personnel",#N/A,FALSE;"personnel by location",#N/A,FALSE;"garo_graph",#N/A,FALSE}</definedName>
    <definedName name="wrn.GERENCIAL." hidden="1">{#N/A,#N/A,FALSE,"F006";#N/A,#N/A,FALSE,"F008";#N/A,#N/A,FALSE,"F020";#N/A,#N/A,FALSE,"F019"}</definedName>
    <definedName name="wrn.Graficos." hidden="1">{"Graf_Carga Trab",#N/A,FALSE,"Grafi_Carga Trab";"Graf_Venta Flujo",#N/A,FALSE,"Grafi_Carga Trab"}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hjhj." hidden="1">{#N/A,#N/A,TRUE,"Costos_Subg_Hid"}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nforme." hidden="1">{"Tapa Informe",#N/A,FALSE,"Informe 1";"Informe Hoja1",#N/A,FALSE,"Informe 1";"Informe Hoja2",#N/A,FALSE,"Informe 1"}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hidden="1">{#N/A,#N/A,FALSE,"Data"}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DO." hidden="1">{"Práctica","Práctica",FALSE,"Práctica"}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RTIAL._.REPORT." hidden="1">{#N/A,#N/A,FALSE,"US$";#N/A,#N/A,FALSE,"SUMMARY";#N/A,#N/A,FALSE,"DET.SUMM";#N/A,#N/A,FALSE,"BACK-UP";#N/A,#N/A,FALSE,"INDIRECTS"}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ERF._.RPT._.GRAPHS." hidden="1">{#N/A,#N/A,FALSE,"OTHER GRAPHS";#N/A,#N/A,FALSE,"CAPITAL GRAPH"}</definedName>
    <definedName name="wrn.PGSHORIZ." hidden="1">{"PG8",#N/A,FALSE,"Estudio";#N/A,#N/A,FALSE,"Uso Recursos";"PG1",#N/A,FALSE,"Flujo Caja";"PG2",#N/A,FALSE,"Flujo Caja"}</definedName>
    <definedName name="wrn.PGSVERT." hidden="1">{"PGS6",#N/A,FALSE,"Estudio";"PG7",#N/A,FALSE,"Estudio"}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hidden="1">{#N/A,#N/A,FALSE,"Presupuesto"}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hidden="1">{#N/A,#N/A,TRUE,"Est. de Fact.";#N/A,#N/A,TRUE,"Capitulo 19";#N/A,#N/A,TRUE,"Proyecto P855"}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profiles." hidden="1">{"BPC",#N/A,FALSE,"PRO";"NUC",#N/A,FALSE,"PRO";"FOS",#N/A,FALSE,"PRO"}</definedName>
    <definedName name="wrn.prospects." hidden="1">{#N/A,#N/A,FALSE,"FCST94";#N/A,#N/A,FALSE,"FIRM";#N/A,#N/A,FALSE,"BACK94";#N/A,#N/A,FALSE,"FCST95";#N/A,#N/A,FALSE,"BACK95";#N/A,#N/A,FALSE,"FCST96"}</definedName>
    <definedName name="wrn.Report._.Mensual." hidden="1">{#N/A,#N/A,FALSE,"Monthly report";#N/A,#N/A,FALSE,"M.R. UEM";#N/A,#N/A,FALSE,"M.R. VCM"}</definedName>
    <definedName name="wrn.Summary." hidden="1">{#N/A,#N/A,FALSE,"Matrix";#N/A,#N/A,FALSE,"Executive";#N/A,#N/A,FALSE,"Summary"}</definedName>
    <definedName name="wrn.SUPERIOR." hidden="1">{#N/A,#N/A,FALSE,"Tapa";#N/A,#N/A,FALSE,"F006";#N/A,#N/A,FALSE,"F012";#N/A,#N/A,FALSE,"F013";#N/A,#N/A,FALSE,"F015";#N/A,#N/A,FALSE,"F020"}</definedName>
    <definedName name="wrn.Una._.Hoja." hidden="1">{"Sin detalle",#N/A,FALSE,"Flujo (redondeado)"}</definedName>
    <definedName name="wrn.Una._.Hoja._1" hidden="1">{"Sin detalle",#N/A,FALSE,"Flujo (redondeado)"}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s" hidden="1">{"CI+GG(BASE)",#N/A,FALSE,"CI+GG(BASE)";"GG",#N/A,FALSE,"CI+GG(BASE)";"CI",#N/A,FALSE,"CI+GG(BASE)"}</definedName>
    <definedName name="wrrn" hidden="1">{#N/A,#N/A,FALSE,"Matrix";#N/A,#N/A,FALSE,"Executive";#N/A,#N/A,FALSE,"Summary"}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hidden="1">{#N/A,#N/A,FALSE,"Costos_Elem_Hid";#N/A,#N/A,FALSE,"Costos_Elem_Hid";#N/A,#N/A,FALSE,"Costos_Elem_Hid"}</definedName>
    <definedName name="wwwww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X" hidden="1">{#N/A,#N/A,TRUE,"Est. de Fact.";#N/A,#N/A,TRUE,"Capitulo 19";#N/A,#N/A,TRUE,"Proyecto P855"}</definedName>
    <definedName name="XANO">#REF!</definedName>
    <definedName name="XC" hidden="1">{"CI+GG(BASE)",#N/A,FALSE,"CI+GG(BASE)";"GG",#N/A,FALSE,"CI+GG(BASE)";"CI",#N/A,FALSE,"CI+GG(BASE)"}</definedName>
    <definedName name="XC_1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cv" hidden="1">{#N/A,#N/A,FALSE,"Costos_Elem_Hid";#N/A,#N/A,FALSE,"Costos_Elem_Hid";#N/A,#N/A,FALSE,"Costos_Elem_Hid"}</definedName>
    <definedName name="xd" hidden="1">{#N/A,#N/A,TRUE,"Est. de Fact.";#N/A,#N/A,TRUE,"Capitulo 19";#N/A,#N/A,TRUE,"Proyecto P855"}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FA">#REF!</definedName>
    <definedName name="xfn">#REF!</definedName>
    <definedName name="XINF">#REF!</definedName>
    <definedName name="XITEM">#REF!</definedName>
    <definedName name="XMODO">#REF!</definedName>
    <definedName name="XPED">#REF!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1" hidden="1">{#N/A,#N/A,FALSE,"Matrix";#N/A,#N/A,FALSE,"Executive";#N/A,#N/A,FALSE,"Summary"}</definedName>
    <definedName name="xxxb" hidden="1">{#N/A,#N/A,FALSE,"Costos_Elem_Hid";#N/A,#N/A,FALSE,"Costos_Elem_Hid";#N/A,#N/A,FALSE,"Costos_Elem_Hid"}</definedName>
    <definedName name="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" hidden="1">{#N/A,#N/A,FALSE,"Matrix";#N/A,#N/A,FALSE,"Executive";#N/A,#N/A,FALSE,"Summary"}</definedName>
    <definedName name="xxxxxxxxxxx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 hidden="1">{#N/A,#N/A,TRUE,"Est. de Fact.";#N/A,#N/A,TRUE,"Capitulo 19";#N/A,#N/A,TRUE,"Proyecto P855"}</definedName>
    <definedName name="yitoyir" hidden="1">{"Sin detalle",#N/A,FALSE,"Flujo (redondeado)";"Detallado",#N/A,FALSE,"Flujo (redondeado)"}</definedName>
    <definedName name="yo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RTYRTYRY" hidden="1">#REF!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ii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hidden="1">{#N/A,#N/A,TRUE,"Est. de Fact.";#N/A,#N/A,TRUE,"Capitulo 19";#N/A,#N/A,TRUE,"Proyecto P855"}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hidden="1">{"Sin detalle",#N/A,FALSE,"Flujo (redondeado)";"Detallado",#N/A,FALSE,"Flujo (redondeado)"}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y" hidden="1">{#N/A,#N/A,FALSE,"Costos_Elem_Hid";#N/A,#N/A,FALSE,"Costos_Elem_Hid";#N/A,#N/A,FALSE,"Costos_Elem_Hid"}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E33F0BD9_DDCD_4386_BD14_7DE2581550C6_.wvu.PrintTitles" hidden="1">#REF!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xc" hidden="1">{#N/A,#N/A,TRUE,"Costos_Subg_Hid"}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ㄴ" hidden="1">#REF!</definedName>
    <definedName name="부대공사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8"/>
  <pivotCaches>
    <pivotCache cacheId="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1" l="1"/>
  <c r="A64" i="1"/>
  <c r="A65" i="1"/>
  <c r="A66" i="1"/>
  <c r="A67" i="1"/>
  <c r="A68" i="1"/>
  <c r="A69" i="1"/>
  <c r="A54" i="1"/>
  <c r="A55" i="1"/>
  <c r="A42" i="1"/>
  <c r="A43" i="1"/>
  <c r="A31" i="1"/>
  <c r="A32" i="1"/>
  <c r="A33" i="1"/>
  <c r="A34" i="1"/>
  <c r="A35" i="1"/>
  <c r="A17" i="1"/>
  <c r="A18" i="1"/>
  <c r="A19" i="1"/>
  <c r="A20" i="1"/>
  <c r="A21" i="1"/>
  <c r="A83" i="4"/>
  <c r="A84" i="4"/>
  <c r="A85" i="4"/>
  <c r="A86" i="4"/>
  <c r="A64" i="4"/>
  <c r="A65" i="4"/>
  <c r="A66" i="4"/>
  <c r="A67" i="4"/>
  <c r="A68" i="4"/>
  <c r="A54" i="4"/>
  <c r="A55" i="4"/>
  <c r="A42" i="4"/>
  <c r="A43" i="4"/>
  <c r="A35" i="4"/>
  <c r="A33" i="4"/>
  <c r="A34" i="4"/>
  <c r="A32" i="4"/>
  <c r="A17" i="4"/>
  <c r="A18" i="4"/>
  <c r="A19" i="4"/>
  <c r="A20" i="4"/>
  <c r="A21" i="4"/>
  <c r="A85" i="2"/>
  <c r="A64" i="2"/>
  <c r="A65" i="2"/>
  <c r="A66" i="2"/>
  <c r="A67" i="2"/>
  <c r="A68" i="2"/>
  <c r="A54" i="2"/>
  <c r="A55" i="2"/>
  <c r="A42" i="2"/>
  <c r="A43" i="2"/>
  <c r="A33" i="2"/>
  <c r="A34" i="2"/>
  <c r="A35" i="2"/>
  <c r="A32" i="2"/>
  <c r="A17" i="2"/>
  <c r="A18" i="2"/>
  <c r="A19" i="2"/>
  <c r="A20" i="2"/>
  <c r="A21" i="2"/>
  <c r="AD56" i="6" l="1"/>
  <c r="AD58" i="6"/>
  <c r="AD59" i="6"/>
  <c r="AD72" i="6"/>
  <c r="AD79" i="6"/>
  <c r="AD81" i="6"/>
  <c r="AD86" i="6"/>
  <c r="Z56" i="6"/>
  <c r="Z58" i="6"/>
  <c r="Z59" i="6"/>
  <c r="Z72" i="6"/>
  <c r="Z79" i="6"/>
  <c r="Z81" i="6"/>
  <c r="Z82" i="6"/>
  <c r="Z83" i="6"/>
  <c r="Z84" i="6"/>
  <c r="Z85" i="6"/>
  <c r="Z86" i="6"/>
  <c r="W56" i="6"/>
  <c r="W58" i="6"/>
  <c r="W59" i="6"/>
  <c r="W72" i="6"/>
  <c r="W79" i="6"/>
  <c r="W81" i="6"/>
  <c r="W86" i="6"/>
  <c r="T56" i="6"/>
  <c r="T58" i="6"/>
  <c r="T59" i="6"/>
  <c r="T72" i="6"/>
  <c r="T79" i="6"/>
  <c r="T81" i="6"/>
  <c r="T83" i="6"/>
  <c r="T84" i="6"/>
  <c r="T85" i="6"/>
  <c r="T86" i="6"/>
  <c r="Q56" i="6"/>
  <c r="Q58" i="6"/>
  <c r="Q59" i="6"/>
  <c r="Q72" i="6"/>
  <c r="Q79" i="6"/>
  <c r="Q81" i="6"/>
  <c r="Q82" i="6"/>
  <c r="Q83" i="6"/>
  <c r="Q84" i="6"/>
  <c r="Q85" i="6"/>
  <c r="Q86" i="6"/>
  <c r="M56" i="6"/>
  <c r="M58" i="6"/>
  <c r="M59" i="6"/>
  <c r="M72" i="6"/>
  <c r="M79" i="6"/>
  <c r="M81" i="6"/>
  <c r="M86" i="6"/>
  <c r="J56" i="6"/>
  <c r="J58" i="6"/>
  <c r="J59" i="6"/>
  <c r="J72" i="6"/>
  <c r="J79" i="6"/>
  <c r="J81" i="6"/>
  <c r="J83" i="6"/>
  <c r="J84" i="6"/>
  <c r="J85" i="6"/>
  <c r="J86" i="6"/>
  <c r="G56" i="6"/>
  <c r="G58" i="6"/>
  <c r="G59" i="6"/>
  <c r="G72" i="6"/>
  <c r="G79" i="6"/>
  <c r="G81" i="6"/>
  <c r="G86" i="6"/>
  <c r="X82" i="6"/>
  <c r="R82" i="6"/>
  <c r="T82" i="6" s="1"/>
  <c r="O82" i="6"/>
  <c r="H82" i="6"/>
  <c r="J82" i="6" s="1"/>
  <c r="E51" i="6"/>
  <c r="G51" i="6" s="1"/>
  <c r="H51" i="6"/>
  <c r="J51" i="6" s="1"/>
  <c r="K51" i="6"/>
  <c r="M51" i="6" s="1"/>
  <c r="O51" i="6"/>
  <c r="Q51" i="6" s="1"/>
  <c r="R51" i="6"/>
  <c r="T51" i="6" s="1"/>
  <c r="U51" i="6"/>
  <c r="W51" i="6" s="1"/>
  <c r="X51" i="6"/>
  <c r="Z51" i="6" s="1"/>
  <c r="AB51" i="6"/>
  <c r="AD51" i="6" s="1"/>
  <c r="A8" i="5" l="1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C48" i="5"/>
  <c r="A49" i="5"/>
  <c r="B49" i="5"/>
  <c r="C49" i="5"/>
  <c r="A50" i="5"/>
  <c r="B50" i="5"/>
  <c r="C50" i="5"/>
  <c r="A51" i="5"/>
  <c r="B51" i="5"/>
  <c r="C51" i="5"/>
  <c r="A52" i="5"/>
  <c r="B52" i="5"/>
  <c r="C52" i="5"/>
  <c r="A53" i="5"/>
  <c r="B53" i="5"/>
  <c r="C53" i="5"/>
  <c r="A54" i="5"/>
  <c r="B54" i="5"/>
  <c r="C54" i="5"/>
  <c r="A55" i="5"/>
  <c r="B55" i="5"/>
  <c r="C55" i="5"/>
  <c r="A56" i="5"/>
  <c r="B56" i="5"/>
  <c r="C56" i="5"/>
  <c r="A57" i="5"/>
  <c r="B57" i="5"/>
  <c r="C57" i="5"/>
  <c r="A58" i="5"/>
  <c r="B58" i="5"/>
  <c r="C58" i="5"/>
  <c r="A59" i="5"/>
  <c r="B59" i="5"/>
  <c r="C59" i="5"/>
  <c r="A60" i="5"/>
  <c r="B60" i="5"/>
  <c r="C60" i="5"/>
  <c r="A61" i="5"/>
  <c r="B61" i="5"/>
  <c r="C61" i="5"/>
  <c r="A62" i="5"/>
  <c r="B62" i="5"/>
  <c r="C62" i="5"/>
  <c r="A63" i="5"/>
  <c r="B63" i="5"/>
  <c r="C63" i="5"/>
  <c r="A64" i="5"/>
  <c r="B64" i="5"/>
  <c r="C64" i="5"/>
  <c r="A65" i="5"/>
  <c r="B65" i="5"/>
  <c r="C65" i="5"/>
  <c r="A66" i="5"/>
  <c r="B66" i="5"/>
  <c r="C66" i="5"/>
  <c r="A67" i="5"/>
  <c r="B67" i="5"/>
  <c r="C67" i="5"/>
  <c r="A68" i="5"/>
  <c r="B68" i="5"/>
  <c r="C68" i="5"/>
  <c r="A69" i="5"/>
  <c r="B69" i="5"/>
  <c r="C69" i="5"/>
  <c r="A70" i="5"/>
  <c r="B70" i="5"/>
  <c r="C70" i="5"/>
  <c r="A71" i="5"/>
  <c r="B71" i="5"/>
  <c r="C71" i="5"/>
  <c r="A72" i="5"/>
  <c r="B72" i="5"/>
  <c r="C72" i="5"/>
  <c r="A73" i="5"/>
  <c r="B73" i="5"/>
  <c r="C73" i="5"/>
  <c r="A74" i="5"/>
  <c r="B74" i="5"/>
  <c r="C74" i="5"/>
  <c r="A75" i="5"/>
  <c r="B75" i="5"/>
  <c r="C75" i="5"/>
  <c r="A76" i="5"/>
  <c r="B76" i="5"/>
  <c r="C76" i="5"/>
  <c r="A77" i="5"/>
  <c r="B77" i="5"/>
  <c r="C77" i="5"/>
  <c r="A78" i="5"/>
  <c r="B78" i="5"/>
  <c r="C78" i="5"/>
  <c r="A79" i="5"/>
  <c r="B79" i="5"/>
  <c r="C79" i="5"/>
  <c r="A80" i="5"/>
  <c r="B80" i="5"/>
  <c r="C80" i="5"/>
  <c r="A81" i="5"/>
  <c r="B81" i="5"/>
  <c r="C81" i="5"/>
  <c r="A82" i="5"/>
  <c r="B82" i="5"/>
  <c r="C82" i="5"/>
  <c r="A83" i="5"/>
  <c r="B83" i="5"/>
  <c r="C83" i="5"/>
  <c r="A84" i="5"/>
  <c r="B84" i="5"/>
  <c r="C84" i="5"/>
  <c r="A85" i="5"/>
  <c r="B85" i="5"/>
  <c r="C85" i="5"/>
  <c r="A86" i="5"/>
  <c r="B86" i="5"/>
  <c r="C86" i="5"/>
  <c r="A87" i="5"/>
  <c r="B87" i="5"/>
  <c r="C87" i="5"/>
  <c r="A88" i="5"/>
  <c r="B88" i="5"/>
  <c r="C88" i="5"/>
  <c r="A89" i="5"/>
  <c r="B89" i="5"/>
  <c r="C89" i="5"/>
  <c r="A90" i="5"/>
  <c r="B90" i="5"/>
  <c r="C90" i="5"/>
  <c r="A91" i="5"/>
  <c r="B91" i="5"/>
  <c r="C91" i="5"/>
  <c r="A92" i="5"/>
  <c r="B92" i="5"/>
  <c r="C92" i="5"/>
  <c r="A93" i="5"/>
  <c r="B93" i="5"/>
  <c r="C93" i="5"/>
  <c r="A94" i="5"/>
  <c r="B94" i="5"/>
  <c r="C94" i="5"/>
  <c r="A95" i="5"/>
  <c r="B95" i="5"/>
  <c r="C95" i="5"/>
  <c r="A96" i="5"/>
  <c r="B96" i="5"/>
  <c r="C96" i="5"/>
  <c r="A97" i="5"/>
  <c r="B97" i="5"/>
  <c r="C97" i="5"/>
  <c r="A98" i="5"/>
  <c r="B98" i="5"/>
  <c r="C98" i="5"/>
  <c r="A99" i="5"/>
  <c r="B99" i="5"/>
  <c r="C99" i="5"/>
  <c r="A100" i="5"/>
  <c r="B100" i="5"/>
  <c r="C100" i="5"/>
  <c r="A101" i="5"/>
  <c r="B101" i="5"/>
  <c r="C101" i="5"/>
  <c r="A102" i="5"/>
  <c r="B102" i="5"/>
  <c r="C102" i="5"/>
  <c r="A103" i="5"/>
  <c r="B103" i="5"/>
  <c r="C103" i="5"/>
  <c r="A104" i="5"/>
  <c r="B104" i="5"/>
  <c r="C104" i="5"/>
  <c r="A105" i="5"/>
  <c r="B105" i="5"/>
  <c r="C105" i="5"/>
  <c r="A106" i="5"/>
  <c r="B106" i="5"/>
  <c r="C106" i="5"/>
  <c r="A107" i="5"/>
  <c r="B107" i="5"/>
  <c r="C107" i="5"/>
  <c r="A108" i="5"/>
  <c r="B108" i="5"/>
  <c r="C108" i="5"/>
  <c r="A109" i="5"/>
  <c r="B109" i="5"/>
  <c r="C109" i="5"/>
  <c r="A110" i="5"/>
  <c r="B110" i="5"/>
  <c r="C110" i="5"/>
  <c r="A111" i="5"/>
  <c r="B111" i="5"/>
  <c r="C111" i="5"/>
  <c r="A112" i="5"/>
  <c r="B112" i="5"/>
  <c r="C112" i="5"/>
  <c r="A113" i="5"/>
  <c r="B113" i="5"/>
  <c r="C113" i="5"/>
  <c r="A114" i="5"/>
  <c r="B114" i="5"/>
  <c r="C114" i="5"/>
  <c r="A115" i="5"/>
  <c r="B115" i="5"/>
  <c r="C115" i="5"/>
  <c r="A116" i="5"/>
  <c r="B116" i="5"/>
  <c r="C116" i="5"/>
  <c r="A117" i="5"/>
  <c r="B117" i="5"/>
  <c r="C117" i="5"/>
  <c r="A118" i="5"/>
  <c r="B118" i="5"/>
  <c r="C118" i="5"/>
  <c r="A119" i="5"/>
  <c r="B119" i="5"/>
  <c r="C119" i="5"/>
  <c r="A120" i="5"/>
  <c r="B120" i="5"/>
  <c r="C120" i="5"/>
  <c r="A121" i="5"/>
  <c r="B121" i="5"/>
  <c r="C121" i="5"/>
  <c r="A122" i="5"/>
  <c r="B122" i="5"/>
  <c r="C122" i="5"/>
  <c r="A123" i="5"/>
  <c r="B123" i="5"/>
  <c r="C123" i="5"/>
  <c r="A124" i="5"/>
  <c r="B124" i="5"/>
  <c r="C124" i="5"/>
  <c r="A125" i="5"/>
  <c r="B125" i="5"/>
  <c r="C125" i="5"/>
  <c r="A126" i="5"/>
  <c r="B126" i="5"/>
  <c r="C126" i="5"/>
  <c r="A127" i="5"/>
  <c r="B127" i="5"/>
  <c r="C127" i="5"/>
  <c r="A128" i="5"/>
  <c r="B128" i="5"/>
  <c r="C128" i="5"/>
  <c r="A129" i="5"/>
  <c r="B129" i="5"/>
  <c r="C129" i="5"/>
  <c r="A130" i="5"/>
  <c r="B130" i="5"/>
  <c r="C130" i="5"/>
  <c r="A131" i="5"/>
  <c r="B131" i="5"/>
  <c r="C131" i="5"/>
  <c r="A132" i="5"/>
  <c r="B132" i="5"/>
  <c r="C132" i="5"/>
  <c r="A133" i="5"/>
  <c r="B133" i="5"/>
  <c r="C133" i="5"/>
  <c r="A134" i="5"/>
  <c r="B134" i="5"/>
  <c r="C134" i="5"/>
  <c r="A135" i="5"/>
  <c r="B135" i="5"/>
  <c r="C135" i="5"/>
  <c r="A136" i="5"/>
  <c r="B136" i="5"/>
  <c r="C136" i="5"/>
  <c r="A137" i="5"/>
  <c r="B137" i="5"/>
  <c r="C137" i="5"/>
  <c r="A138" i="5"/>
  <c r="B138" i="5"/>
  <c r="C138" i="5"/>
  <c r="A139" i="5"/>
  <c r="B139" i="5"/>
  <c r="C139" i="5"/>
  <c r="A140" i="5"/>
  <c r="B140" i="5"/>
  <c r="C140" i="5"/>
  <c r="A141" i="5"/>
  <c r="B141" i="5"/>
  <c r="C141" i="5"/>
  <c r="A142" i="5"/>
  <c r="B142" i="5"/>
  <c r="C142" i="5"/>
  <c r="A143" i="5"/>
  <c r="B143" i="5"/>
  <c r="C143" i="5"/>
  <c r="A144" i="5"/>
  <c r="B144" i="5"/>
  <c r="C144" i="5"/>
  <c r="A145" i="5"/>
  <c r="B145" i="5"/>
  <c r="C145" i="5"/>
  <c r="A146" i="5"/>
  <c r="B146" i="5"/>
  <c r="C146" i="5"/>
  <c r="A147" i="5"/>
  <c r="B147" i="5"/>
  <c r="C147" i="5"/>
  <c r="A148" i="5"/>
  <c r="B148" i="5"/>
  <c r="C148" i="5"/>
  <c r="A149" i="5"/>
  <c r="B149" i="5"/>
  <c r="C149" i="5"/>
  <c r="A150" i="5"/>
  <c r="B150" i="5"/>
  <c r="C150" i="5"/>
  <c r="A151" i="5"/>
  <c r="B151" i="5"/>
  <c r="C151" i="5"/>
  <c r="A152" i="5"/>
  <c r="B152" i="5"/>
  <c r="C152" i="5"/>
  <c r="A153" i="5"/>
  <c r="B153" i="5"/>
  <c r="C153" i="5"/>
  <c r="A154" i="5"/>
  <c r="B154" i="5"/>
  <c r="C154" i="5"/>
  <c r="A155" i="5"/>
  <c r="B155" i="5"/>
  <c r="C155" i="5"/>
  <c r="A156" i="5"/>
  <c r="B156" i="5"/>
  <c r="C156" i="5"/>
  <c r="A157" i="5"/>
  <c r="B157" i="5"/>
  <c r="C157" i="5"/>
  <c r="A158" i="5"/>
  <c r="B158" i="5"/>
  <c r="C158" i="5"/>
  <c r="A159" i="5"/>
  <c r="B159" i="5"/>
  <c r="C159" i="5"/>
  <c r="A160" i="5"/>
  <c r="B160" i="5"/>
  <c r="C160" i="5"/>
  <c r="A161" i="5"/>
  <c r="B161" i="5"/>
  <c r="C161" i="5"/>
  <c r="A162" i="5"/>
  <c r="B162" i="5"/>
  <c r="C162" i="5"/>
  <c r="A163" i="5"/>
  <c r="B163" i="5"/>
  <c r="C163" i="5"/>
  <c r="A164" i="5"/>
  <c r="B164" i="5"/>
  <c r="C164" i="5"/>
  <c r="A165" i="5"/>
  <c r="B165" i="5"/>
  <c r="C165" i="5"/>
  <c r="A166" i="5"/>
  <c r="B166" i="5"/>
  <c r="C166" i="5"/>
  <c r="A167" i="5"/>
  <c r="B167" i="5"/>
  <c r="C167" i="5"/>
  <c r="A168" i="5"/>
  <c r="B168" i="5"/>
  <c r="C168" i="5"/>
  <c r="A169" i="5"/>
  <c r="B169" i="5"/>
  <c r="C169" i="5"/>
  <c r="A170" i="5"/>
  <c r="B170" i="5"/>
  <c r="C170" i="5"/>
  <c r="A171" i="5"/>
  <c r="B171" i="5"/>
  <c r="C171" i="5"/>
  <c r="A172" i="5"/>
  <c r="B172" i="5"/>
  <c r="C172" i="5"/>
  <c r="A173" i="5"/>
  <c r="B173" i="5"/>
  <c r="C173" i="5"/>
  <c r="A174" i="5"/>
  <c r="B174" i="5"/>
  <c r="C174" i="5"/>
  <c r="A175" i="5"/>
  <c r="B175" i="5"/>
  <c r="C175" i="5"/>
  <c r="A176" i="5"/>
  <c r="B176" i="5"/>
  <c r="C176" i="5"/>
  <c r="A177" i="5"/>
  <c r="B177" i="5"/>
  <c r="C177" i="5"/>
  <c r="A178" i="5"/>
  <c r="B178" i="5"/>
  <c r="C178" i="5"/>
  <c r="A179" i="5"/>
  <c r="B179" i="5"/>
  <c r="C179" i="5"/>
  <c r="A180" i="5"/>
  <c r="B180" i="5"/>
  <c r="C180" i="5"/>
  <c r="A181" i="5"/>
  <c r="B181" i="5"/>
  <c r="C181" i="5"/>
  <c r="A182" i="5"/>
  <c r="B182" i="5"/>
  <c r="C182" i="5"/>
  <c r="A183" i="5"/>
  <c r="B183" i="5"/>
  <c r="C183" i="5"/>
  <c r="A184" i="5"/>
  <c r="B184" i="5"/>
  <c r="C184" i="5"/>
  <c r="A185" i="5"/>
  <c r="B185" i="5"/>
  <c r="C185" i="5"/>
  <c r="A186" i="5"/>
  <c r="B186" i="5"/>
  <c r="C186" i="5"/>
  <c r="A187" i="5"/>
  <c r="B187" i="5"/>
  <c r="C187" i="5"/>
  <c r="A188" i="5"/>
  <c r="B188" i="5"/>
  <c r="C188" i="5"/>
  <c r="A189" i="5"/>
  <c r="B189" i="5"/>
  <c r="C189" i="5"/>
  <c r="A190" i="5"/>
  <c r="B190" i="5"/>
  <c r="C190" i="5"/>
  <c r="A191" i="5"/>
  <c r="B191" i="5"/>
  <c r="C191" i="5"/>
  <c r="A192" i="5"/>
  <c r="B192" i="5"/>
  <c r="C192" i="5"/>
  <c r="A193" i="5"/>
  <c r="B193" i="5"/>
  <c r="C193" i="5"/>
  <c r="A194" i="5"/>
  <c r="B194" i="5"/>
  <c r="C194" i="5"/>
  <c r="A195" i="5"/>
  <c r="B195" i="5"/>
  <c r="C195" i="5"/>
  <c r="A196" i="5"/>
  <c r="B196" i="5"/>
  <c r="C196" i="5"/>
  <c r="A197" i="5"/>
  <c r="B197" i="5"/>
  <c r="C197" i="5"/>
  <c r="A198" i="5"/>
  <c r="B198" i="5"/>
  <c r="C198" i="5"/>
  <c r="A199" i="5"/>
  <c r="B199" i="5"/>
  <c r="C199" i="5"/>
  <c r="A200" i="5"/>
  <c r="B200" i="5"/>
  <c r="C200" i="5"/>
  <c r="A201" i="5"/>
  <c r="B201" i="5"/>
  <c r="C201" i="5"/>
  <c r="A202" i="5"/>
  <c r="B202" i="5"/>
  <c r="C202" i="5"/>
  <c r="A203" i="5"/>
  <c r="B203" i="5"/>
  <c r="C203" i="5"/>
  <c r="A204" i="5"/>
  <c r="B204" i="5"/>
  <c r="C204" i="5"/>
  <c r="A205" i="5"/>
  <c r="B205" i="5"/>
  <c r="C205" i="5"/>
  <c r="A206" i="5"/>
  <c r="B206" i="5"/>
  <c r="C206" i="5"/>
  <c r="A207" i="5"/>
  <c r="B207" i="5"/>
  <c r="C207" i="5"/>
  <c r="A208" i="5"/>
  <c r="B208" i="5"/>
  <c r="C208" i="5"/>
  <c r="A209" i="5"/>
  <c r="B209" i="5"/>
  <c r="C209" i="5"/>
  <c r="A210" i="5"/>
  <c r="B210" i="5"/>
  <c r="C210" i="5"/>
  <c r="A211" i="5"/>
  <c r="B211" i="5"/>
  <c r="C211" i="5"/>
  <c r="A212" i="5"/>
  <c r="B212" i="5"/>
  <c r="C212" i="5"/>
  <c r="A213" i="5"/>
  <c r="B213" i="5"/>
  <c r="C213" i="5"/>
  <c r="A214" i="5"/>
  <c r="B214" i="5"/>
  <c r="C214" i="5"/>
  <c r="A215" i="5"/>
  <c r="B215" i="5"/>
  <c r="C215" i="5"/>
  <c r="A216" i="5"/>
  <c r="B216" i="5"/>
  <c r="C216" i="5"/>
  <c r="A217" i="5"/>
  <c r="B217" i="5"/>
  <c r="C217" i="5"/>
  <c r="A218" i="5"/>
  <c r="B218" i="5"/>
  <c r="C218" i="5"/>
  <c r="A219" i="5"/>
  <c r="B219" i="5"/>
  <c r="C219" i="5"/>
  <c r="A220" i="5"/>
  <c r="B220" i="5"/>
  <c r="C220" i="5"/>
  <c r="A221" i="5"/>
  <c r="B221" i="5"/>
  <c r="C221" i="5"/>
  <c r="A222" i="5"/>
  <c r="B222" i="5"/>
  <c r="C222" i="5"/>
  <c r="A223" i="5"/>
  <c r="B223" i="5"/>
  <c r="C223" i="5"/>
  <c r="A224" i="5"/>
  <c r="B224" i="5"/>
  <c r="C224" i="5"/>
  <c r="A225" i="5"/>
  <c r="B225" i="5"/>
  <c r="C225" i="5"/>
  <c r="A226" i="5"/>
  <c r="B226" i="5"/>
  <c r="C226" i="5"/>
  <c r="A227" i="5"/>
  <c r="B227" i="5"/>
  <c r="C227" i="5"/>
  <c r="A228" i="5"/>
  <c r="B228" i="5"/>
  <c r="C228" i="5"/>
  <c r="A229" i="5"/>
  <c r="B229" i="5"/>
  <c r="C229" i="5"/>
  <c r="A230" i="5"/>
  <c r="B230" i="5"/>
  <c r="C230" i="5"/>
  <c r="A231" i="5"/>
  <c r="B231" i="5"/>
  <c r="C231" i="5"/>
  <c r="A232" i="5"/>
  <c r="B232" i="5"/>
  <c r="C232" i="5"/>
  <c r="A233" i="5"/>
  <c r="B233" i="5"/>
  <c r="C233" i="5"/>
  <c r="A234" i="5"/>
  <c r="B234" i="5"/>
  <c r="C234" i="5"/>
  <c r="A235" i="5"/>
  <c r="B235" i="5"/>
  <c r="C235" i="5"/>
  <c r="A236" i="5"/>
  <c r="B236" i="5"/>
  <c r="C236" i="5"/>
  <c r="A237" i="5"/>
  <c r="B237" i="5"/>
  <c r="C237" i="5"/>
  <c r="A238" i="5"/>
  <c r="B238" i="5"/>
  <c r="C238" i="5"/>
  <c r="A239" i="5"/>
  <c r="B239" i="5"/>
  <c r="C239" i="5"/>
  <c r="A240" i="5"/>
  <c r="B240" i="5"/>
  <c r="C240" i="5"/>
  <c r="A241" i="5"/>
  <c r="B241" i="5"/>
  <c r="C241" i="5"/>
  <c r="A242" i="5"/>
  <c r="B242" i="5"/>
  <c r="C242" i="5"/>
  <c r="A243" i="5"/>
  <c r="B243" i="5"/>
  <c r="C243" i="5"/>
  <c r="A244" i="5"/>
  <c r="B244" i="5"/>
  <c r="C244" i="5"/>
  <c r="A245" i="5"/>
  <c r="B245" i="5"/>
  <c r="C245" i="5"/>
  <c r="A246" i="5"/>
  <c r="B246" i="5"/>
  <c r="C246" i="5"/>
  <c r="A247" i="5"/>
  <c r="B247" i="5"/>
  <c r="C247" i="5"/>
  <c r="A248" i="5"/>
  <c r="B248" i="5"/>
  <c r="C248" i="5"/>
  <c r="A249" i="5"/>
  <c r="B249" i="5"/>
  <c r="C249" i="5"/>
  <c r="A250" i="5"/>
  <c r="B250" i="5"/>
  <c r="C250" i="5"/>
  <c r="A251" i="5"/>
  <c r="B251" i="5"/>
  <c r="C251" i="5"/>
  <c r="A252" i="5"/>
  <c r="B252" i="5"/>
  <c r="C252" i="5"/>
  <c r="A253" i="5"/>
  <c r="B253" i="5"/>
  <c r="C253" i="5"/>
  <c r="A254" i="5"/>
  <c r="B254" i="5"/>
  <c r="C254" i="5"/>
  <c r="A255" i="5"/>
  <c r="B255" i="5"/>
  <c r="C255" i="5"/>
  <c r="A256" i="5"/>
  <c r="B256" i="5"/>
  <c r="C256" i="5"/>
  <c r="A257" i="5"/>
  <c r="B257" i="5"/>
  <c r="C257" i="5"/>
  <c r="A258" i="5"/>
  <c r="B258" i="5"/>
  <c r="C258" i="5"/>
  <c r="A259" i="5"/>
  <c r="B259" i="5"/>
  <c r="C259" i="5"/>
  <c r="A260" i="5"/>
  <c r="B260" i="5"/>
  <c r="C260" i="5"/>
  <c r="A261" i="5"/>
  <c r="B261" i="5"/>
  <c r="C261" i="5"/>
  <c r="A262" i="5"/>
  <c r="B262" i="5"/>
  <c r="C262" i="5"/>
  <c r="A263" i="5"/>
  <c r="B263" i="5"/>
  <c r="C263" i="5"/>
  <c r="A264" i="5"/>
  <c r="B264" i="5"/>
  <c r="C264" i="5"/>
  <c r="A265" i="5"/>
  <c r="B265" i="5"/>
  <c r="C265" i="5"/>
  <c r="A266" i="5"/>
  <c r="B266" i="5"/>
  <c r="C266" i="5"/>
  <c r="A267" i="5"/>
  <c r="B267" i="5"/>
  <c r="C267" i="5"/>
  <c r="A268" i="5"/>
  <c r="B268" i="5"/>
  <c r="C268" i="5"/>
  <c r="A269" i="5"/>
  <c r="B269" i="5"/>
  <c r="C269" i="5"/>
  <c r="A270" i="5"/>
  <c r="B270" i="5"/>
  <c r="C270" i="5"/>
  <c r="A271" i="5"/>
  <c r="B271" i="5"/>
  <c r="C271" i="5"/>
  <c r="A272" i="5"/>
  <c r="B272" i="5"/>
  <c r="C272" i="5"/>
  <c r="A273" i="5"/>
  <c r="B273" i="5"/>
  <c r="C273" i="5"/>
  <c r="A274" i="5"/>
  <c r="B274" i="5"/>
  <c r="C274" i="5"/>
  <c r="A275" i="5"/>
  <c r="B275" i="5"/>
  <c r="C275" i="5"/>
  <c r="A276" i="5"/>
  <c r="B276" i="5"/>
  <c r="C276" i="5"/>
  <c r="A277" i="5"/>
  <c r="B277" i="5"/>
  <c r="C277" i="5"/>
  <c r="A278" i="5"/>
  <c r="B278" i="5"/>
  <c r="C278" i="5"/>
  <c r="A279" i="5"/>
  <c r="B279" i="5"/>
  <c r="C279" i="5"/>
  <c r="A280" i="5"/>
  <c r="B280" i="5"/>
  <c r="C280" i="5"/>
  <c r="A281" i="5"/>
  <c r="B281" i="5"/>
  <c r="C281" i="5"/>
  <c r="A282" i="5"/>
  <c r="B282" i="5"/>
  <c r="C282" i="5"/>
  <c r="A283" i="5"/>
  <c r="B283" i="5"/>
  <c r="C283" i="5"/>
  <c r="A284" i="5"/>
  <c r="B284" i="5"/>
  <c r="C284" i="5"/>
  <c r="A285" i="5"/>
  <c r="B285" i="5"/>
  <c r="C285" i="5"/>
  <c r="A286" i="5"/>
  <c r="B286" i="5"/>
  <c r="C286" i="5"/>
  <c r="A287" i="5"/>
  <c r="B287" i="5"/>
  <c r="C287" i="5"/>
  <c r="A288" i="5"/>
  <c r="B288" i="5"/>
  <c r="C288" i="5"/>
  <c r="A289" i="5"/>
  <c r="B289" i="5"/>
  <c r="C289" i="5"/>
  <c r="A290" i="5"/>
  <c r="B290" i="5"/>
  <c r="C290" i="5"/>
  <c r="A291" i="5"/>
  <c r="B291" i="5"/>
  <c r="C291" i="5"/>
  <c r="A292" i="5"/>
  <c r="B292" i="5"/>
  <c r="C292" i="5"/>
  <c r="A293" i="5"/>
  <c r="B293" i="5"/>
  <c r="C293" i="5"/>
  <c r="A294" i="5"/>
  <c r="B294" i="5"/>
  <c r="C294" i="5"/>
  <c r="A295" i="5"/>
  <c r="B295" i="5"/>
  <c r="C295" i="5"/>
  <c r="A296" i="5"/>
  <c r="B296" i="5"/>
  <c r="C296" i="5"/>
  <c r="A297" i="5"/>
  <c r="B297" i="5"/>
  <c r="C297" i="5"/>
  <c r="A298" i="5"/>
  <c r="B298" i="5"/>
  <c r="C298" i="5"/>
  <c r="A299" i="5"/>
  <c r="B299" i="5"/>
  <c r="C299" i="5"/>
  <c r="A300" i="5"/>
  <c r="B300" i="5"/>
  <c r="C300" i="5"/>
  <c r="A301" i="5"/>
  <c r="B301" i="5"/>
  <c r="C301" i="5"/>
  <c r="A302" i="5"/>
  <c r="B302" i="5"/>
  <c r="C302" i="5"/>
  <c r="A303" i="5"/>
  <c r="B303" i="5"/>
  <c r="C303" i="5"/>
  <c r="A304" i="5"/>
  <c r="B304" i="5"/>
  <c r="C304" i="5"/>
  <c r="A305" i="5"/>
  <c r="B305" i="5"/>
  <c r="C305" i="5"/>
  <c r="A306" i="5"/>
  <c r="B306" i="5"/>
  <c r="C306" i="5"/>
  <c r="A307" i="5"/>
  <c r="B307" i="5"/>
  <c r="C307" i="5"/>
  <c r="A308" i="5"/>
  <c r="B308" i="5"/>
  <c r="C308" i="5"/>
  <c r="A309" i="5"/>
  <c r="B309" i="5"/>
  <c r="C309" i="5"/>
  <c r="A310" i="5"/>
  <c r="B310" i="5"/>
  <c r="C310" i="5"/>
  <c r="A311" i="5"/>
  <c r="B311" i="5"/>
  <c r="C311" i="5"/>
  <c r="A312" i="5"/>
  <c r="B312" i="5"/>
  <c r="C312" i="5"/>
  <c r="A313" i="5"/>
  <c r="B313" i="5"/>
  <c r="C313" i="5"/>
  <c r="A314" i="5"/>
  <c r="B314" i="5"/>
  <c r="C314" i="5"/>
  <c r="A315" i="5"/>
  <c r="B315" i="5"/>
  <c r="C315" i="5"/>
  <c r="A316" i="5"/>
  <c r="B316" i="5"/>
  <c r="C316" i="5"/>
  <c r="A317" i="5"/>
  <c r="B317" i="5"/>
  <c r="C317" i="5"/>
  <c r="A318" i="5"/>
  <c r="B318" i="5"/>
  <c r="C318" i="5"/>
  <c r="A319" i="5"/>
  <c r="B319" i="5"/>
  <c r="C319" i="5"/>
  <c r="A320" i="5"/>
  <c r="B320" i="5"/>
  <c r="C320" i="5"/>
  <c r="A321" i="5"/>
  <c r="B321" i="5"/>
  <c r="C321" i="5"/>
  <c r="A322" i="5"/>
  <c r="B322" i="5"/>
  <c r="C322" i="5"/>
  <c r="A323" i="5"/>
  <c r="B323" i="5"/>
  <c r="C323" i="5"/>
  <c r="A324" i="5"/>
  <c r="B324" i="5"/>
  <c r="C324" i="5"/>
  <c r="A325" i="5"/>
  <c r="B325" i="5"/>
  <c r="C325" i="5"/>
  <c r="A326" i="5"/>
  <c r="B326" i="5"/>
  <c r="C326" i="5"/>
  <c r="A327" i="5"/>
  <c r="B327" i="5"/>
  <c r="C327" i="5"/>
  <c r="A328" i="5"/>
  <c r="B328" i="5"/>
  <c r="C328" i="5"/>
  <c r="A329" i="5"/>
  <c r="B329" i="5"/>
  <c r="C329" i="5"/>
  <c r="A330" i="5"/>
  <c r="B330" i="5"/>
  <c r="C330" i="5"/>
  <c r="A331" i="5"/>
  <c r="B331" i="5"/>
  <c r="C331" i="5"/>
  <c r="A332" i="5"/>
  <c r="B332" i="5"/>
  <c r="C332" i="5"/>
  <c r="A333" i="5"/>
  <c r="B333" i="5"/>
  <c r="C333" i="5"/>
  <c r="A334" i="5"/>
  <c r="B334" i="5"/>
  <c r="C334" i="5"/>
  <c r="A335" i="5"/>
  <c r="B335" i="5"/>
  <c r="C335" i="5"/>
  <c r="A336" i="5"/>
  <c r="B336" i="5"/>
  <c r="C336" i="5"/>
  <c r="A337" i="5"/>
  <c r="B337" i="5"/>
  <c r="C337" i="5"/>
  <c r="A338" i="5"/>
  <c r="B338" i="5"/>
  <c r="C338" i="5"/>
  <c r="A339" i="5"/>
  <c r="B339" i="5"/>
  <c r="C339" i="5"/>
  <c r="A340" i="5"/>
  <c r="B340" i="5"/>
  <c r="C340" i="5"/>
  <c r="A341" i="5"/>
  <c r="B341" i="5"/>
  <c r="C341" i="5"/>
  <c r="A342" i="5"/>
  <c r="B342" i="5"/>
  <c r="C342" i="5"/>
  <c r="A343" i="5"/>
  <c r="B343" i="5"/>
  <c r="C343" i="5"/>
  <c r="A344" i="5"/>
  <c r="B344" i="5"/>
  <c r="C344" i="5"/>
  <c r="A345" i="5"/>
  <c r="B345" i="5"/>
  <c r="C345" i="5"/>
  <c r="A346" i="5"/>
  <c r="B346" i="5"/>
  <c r="C346" i="5"/>
  <c r="A347" i="5"/>
  <c r="B347" i="5"/>
  <c r="C347" i="5"/>
  <c r="A348" i="5"/>
  <c r="B348" i="5"/>
  <c r="C348" i="5"/>
  <c r="A349" i="5"/>
  <c r="B349" i="5"/>
  <c r="C349" i="5"/>
  <c r="A350" i="5"/>
  <c r="B350" i="5"/>
  <c r="C350" i="5"/>
  <c r="A351" i="5"/>
  <c r="B351" i="5"/>
  <c r="C351" i="5"/>
  <c r="A352" i="5"/>
  <c r="B352" i="5"/>
  <c r="C352" i="5"/>
  <c r="A353" i="5"/>
  <c r="B353" i="5"/>
  <c r="C353" i="5"/>
  <c r="A354" i="5"/>
  <c r="B354" i="5"/>
  <c r="C354" i="5"/>
  <c r="A355" i="5"/>
  <c r="B355" i="5"/>
  <c r="C355" i="5"/>
  <c r="A356" i="5"/>
  <c r="B356" i="5"/>
  <c r="C356" i="5"/>
  <c r="A357" i="5"/>
  <c r="B357" i="5"/>
  <c r="C357" i="5"/>
  <c r="A358" i="5"/>
  <c r="B358" i="5"/>
  <c r="C358" i="5"/>
  <c r="A359" i="5"/>
  <c r="B359" i="5"/>
  <c r="C359" i="5"/>
  <c r="A360" i="5"/>
  <c r="B360" i="5"/>
  <c r="C360" i="5"/>
  <c r="A361" i="5"/>
  <c r="B361" i="5"/>
  <c r="C361" i="5"/>
  <c r="A362" i="5"/>
  <c r="B362" i="5"/>
  <c r="C362" i="5"/>
  <c r="A363" i="5"/>
  <c r="B363" i="5"/>
  <c r="C363" i="5"/>
  <c r="A364" i="5"/>
  <c r="B364" i="5"/>
  <c r="C364" i="5"/>
  <c r="A365" i="5"/>
  <c r="B365" i="5"/>
  <c r="C365" i="5"/>
  <c r="A366" i="5"/>
  <c r="B366" i="5"/>
  <c r="C366" i="5"/>
  <c r="A367" i="5"/>
  <c r="B367" i="5"/>
  <c r="C367" i="5"/>
  <c r="A368" i="5"/>
  <c r="B368" i="5"/>
  <c r="C368" i="5"/>
  <c r="A369" i="5"/>
  <c r="B369" i="5"/>
  <c r="C369" i="5"/>
  <c r="A370" i="5"/>
  <c r="B370" i="5"/>
  <c r="C370" i="5"/>
  <c r="A371" i="5"/>
  <c r="B371" i="5"/>
  <c r="C371" i="5"/>
  <c r="A372" i="5"/>
  <c r="B372" i="5"/>
  <c r="C372" i="5"/>
  <c r="A373" i="5"/>
  <c r="B373" i="5"/>
  <c r="C373" i="5"/>
  <c r="A374" i="5"/>
  <c r="B374" i="5"/>
  <c r="C374" i="5"/>
  <c r="A375" i="5"/>
  <c r="B375" i="5"/>
  <c r="C375" i="5"/>
  <c r="A376" i="5"/>
  <c r="B376" i="5"/>
  <c r="C376" i="5"/>
  <c r="A377" i="5"/>
  <c r="B377" i="5"/>
  <c r="C377" i="5"/>
  <c r="A378" i="5"/>
  <c r="B378" i="5"/>
  <c r="C378" i="5"/>
  <c r="A379" i="5"/>
  <c r="B379" i="5"/>
  <c r="C379" i="5"/>
  <c r="A380" i="5"/>
  <c r="B380" i="5"/>
  <c r="C380" i="5"/>
  <c r="A381" i="5"/>
  <c r="B381" i="5"/>
  <c r="C381" i="5"/>
  <c r="A382" i="5"/>
  <c r="B382" i="5"/>
  <c r="C382" i="5"/>
  <c r="A383" i="5"/>
  <c r="B383" i="5"/>
  <c r="C383" i="5"/>
  <c r="A384" i="5"/>
  <c r="B384" i="5"/>
  <c r="C384" i="5"/>
  <c r="A385" i="5"/>
  <c r="B385" i="5"/>
  <c r="C385" i="5"/>
  <c r="A386" i="5"/>
  <c r="B386" i="5"/>
  <c r="C386" i="5"/>
  <c r="A387" i="5"/>
  <c r="B387" i="5"/>
  <c r="C387" i="5"/>
  <c r="A388" i="5"/>
  <c r="B388" i="5"/>
  <c r="C388" i="5"/>
  <c r="A389" i="5"/>
  <c r="B389" i="5"/>
  <c r="C389" i="5"/>
  <c r="A390" i="5"/>
  <c r="B390" i="5"/>
  <c r="C390" i="5"/>
  <c r="A391" i="5"/>
  <c r="B391" i="5"/>
  <c r="C391" i="5"/>
  <c r="A392" i="5"/>
  <c r="B392" i="5"/>
  <c r="C392" i="5"/>
  <c r="A393" i="5"/>
  <c r="B393" i="5"/>
  <c r="C393" i="5"/>
  <c r="A394" i="5"/>
  <c r="B394" i="5"/>
  <c r="C394" i="5"/>
  <c r="A395" i="5"/>
  <c r="B395" i="5"/>
  <c r="C395" i="5"/>
  <c r="A396" i="5"/>
  <c r="B396" i="5"/>
  <c r="C396" i="5"/>
  <c r="A397" i="5"/>
  <c r="B397" i="5"/>
  <c r="C397" i="5"/>
  <c r="A398" i="5"/>
  <c r="B398" i="5"/>
  <c r="C398" i="5"/>
  <c r="A399" i="5"/>
  <c r="B399" i="5"/>
  <c r="C399" i="5"/>
  <c r="A400" i="5"/>
  <c r="B400" i="5"/>
  <c r="C400" i="5"/>
  <c r="A401" i="5"/>
  <c r="B401" i="5"/>
  <c r="C401" i="5"/>
  <c r="A402" i="5"/>
  <c r="B402" i="5"/>
  <c r="C402" i="5"/>
  <c r="A403" i="5"/>
  <c r="B403" i="5"/>
  <c r="C403" i="5"/>
  <c r="A404" i="5"/>
  <c r="B404" i="5"/>
  <c r="C404" i="5"/>
  <c r="A405" i="5"/>
  <c r="B405" i="5"/>
  <c r="C405" i="5"/>
  <c r="A406" i="5"/>
  <c r="B406" i="5"/>
  <c r="C406" i="5"/>
  <c r="A407" i="5"/>
  <c r="B407" i="5"/>
  <c r="C407" i="5"/>
  <c r="A408" i="5"/>
  <c r="B408" i="5"/>
  <c r="C408" i="5"/>
  <c r="A409" i="5"/>
  <c r="B409" i="5"/>
  <c r="C409" i="5"/>
  <c r="A410" i="5"/>
  <c r="B410" i="5"/>
  <c r="C410" i="5"/>
  <c r="A411" i="5"/>
  <c r="B411" i="5"/>
  <c r="C411" i="5"/>
  <c r="A412" i="5"/>
  <c r="B412" i="5"/>
  <c r="C412" i="5"/>
  <c r="A413" i="5"/>
  <c r="B413" i="5"/>
  <c r="C413" i="5"/>
  <c r="A414" i="5"/>
  <c r="B414" i="5"/>
  <c r="C414" i="5"/>
  <c r="A415" i="5"/>
  <c r="B415" i="5"/>
  <c r="C415" i="5"/>
  <c r="A416" i="5"/>
  <c r="B416" i="5"/>
  <c r="C416" i="5"/>
  <c r="A417" i="5"/>
  <c r="B417" i="5"/>
  <c r="C417" i="5"/>
  <c r="A418" i="5"/>
  <c r="B418" i="5"/>
  <c r="C418" i="5"/>
  <c r="A419" i="5"/>
  <c r="B419" i="5"/>
  <c r="C419" i="5"/>
  <c r="A420" i="5"/>
  <c r="B420" i="5"/>
  <c r="C420" i="5"/>
  <c r="A421" i="5"/>
  <c r="B421" i="5"/>
  <c r="C421" i="5"/>
  <c r="A422" i="5"/>
  <c r="B422" i="5"/>
  <c r="C422" i="5"/>
  <c r="A423" i="5"/>
  <c r="B423" i="5"/>
  <c r="C423" i="5"/>
  <c r="A424" i="5"/>
  <c r="B424" i="5"/>
  <c r="C424" i="5"/>
  <c r="A425" i="5"/>
  <c r="B425" i="5"/>
  <c r="C425" i="5"/>
  <c r="A426" i="5"/>
  <c r="B426" i="5"/>
  <c r="C426" i="5"/>
  <c r="A427" i="5"/>
  <c r="B427" i="5"/>
  <c r="C427" i="5"/>
  <c r="A428" i="5"/>
  <c r="B428" i="5"/>
  <c r="C428" i="5"/>
  <c r="A429" i="5"/>
  <c r="B429" i="5"/>
  <c r="C429" i="5"/>
  <c r="A430" i="5"/>
  <c r="B430" i="5"/>
  <c r="C430" i="5"/>
  <c r="A431" i="5"/>
  <c r="B431" i="5"/>
  <c r="C431" i="5"/>
  <c r="A432" i="5"/>
  <c r="B432" i="5"/>
  <c r="C432" i="5"/>
  <c r="A433" i="5"/>
  <c r="B433" i="5"/>
  <c r="C433" i="5"/>
  <c r="A434" i="5"/>
  <c r="B434" i="5"/>
  <c r="C434" i="5"/>
  <c r="A435" i="5"/>
  <c r="B435" i="5"/>
  <c r="C435" i="5"/>
  <c r="A436" i="5"/>
  <c r="B436" i="5"/>
  <c r="C436" i="5"/>
  <c r="A437" i="5"/>
  <c r="B437" i="5"/>
  <c r="C437" i="5"/>
  <c r="A438" i="5"/>
  <c r="B438" i="5"/>
  <c r="C438" i="5"/>
  <c r="A439" i="5"/>
  <c r="B439" i="5"/>
  <c r="C439" i="5"/>
  <c r="A440" i="5"/>
  <c r="B440" i="5"/>
  <c r="C440" i="5"/>
  <c r="A441" i="5"/>
  <c r="B441" i="5"/>
  <c r="C441" i="5"/>
  <c r="A442" i="5"/>
  <c r="B442" i="5"/>
  <c r="C442" i="5"/>
  <c r="A443" i="5"/>
  <c r="B443" i="5"/>
  <c r="C443" i="5"/>
  <c r="A444" i="5"/>
  <c r="B444" i="5"/>
  <c r="C444" i="5"/>
  <c r="A445" i="5"/>
  <c r="B445" i="5"/>
  <c r="C445" i="5"/>
  <c r="A446" i="5"/>
  <c r="B446" i="5"/>
  <c r="C446" i="5"/>
  <c r="A447" i="5"/>
  <c r="B447" i="5"/>
  <c r="C447" i="5"/>
  <c r="A448" i="5"/>
  <c r="B448" i="5"/>
  <c r="C448" i="5"/>
  <c r="A449" i="5"/>
  <c r="B449" i="5"/>
  <c r="C449" i="5"/>
  <c r="A450" i="5"/>
  <c r="B450" i="5"/>
  <c r="C450" i="5"/>
  <c r="A451" i="5"/>
  <c r="B451" i="5"/>
  <c r="C451" i="5"/>
  <c r="A452" i="5"/>
  <c r="B452" i="5"/>
  <c r="C452" i="5"/>
  <c r="A453" i="5"/>
  <c r="B453" i="5"/>
  <c r="C453" i="5"/>
  <c r="A454" i="5"/>
  <c r="B454" i="5"/>
  <c r="C454" i="5"/>
  <c r="A455" i="5"/>
  <c r="B455" i="5"/>
  <c r="C455" i="5"/>
  <c r="A456" i="5"/>
  <c r="B456" i="5"/>
  <c r="C456" i="5"/>
  <c r="A457" i="5"/>
  <c r="B457" i="5"/>
  <c r="C457" i="5"/>
  <c r="A458" i="5"/>
  <c r="B458" i="5"/>
  <c r="C458" i="5"/>
  <c r="A459" i="5"/>
  <c r="B459" i="5"/>
  <c r="C459" i="5"/>
  <c r="A460" i="5"/>
  <c r="B460" i="5"/>
  <c r="C460" i="5"/>
  <c r="A461" i="5"/>
  <c r="B461" i="5"/>
  <c r="C461" i="5"/>
  <c r="A462" i="5"/>
  <c r="B462" i="5"/>
  <c r="C462" i="5"/>
  <c r="A463" i="5"/>
  <c r="B463" i="5"/>
  <c r="C463" i="5"/>
  <c r="A464" i="5"/>
  <c r="B464" i="5"/>
  <c r="C464" i="5"/>
  <c r="A465" i="5"/>
  <c r="B465" i="5"/>
  <c r="C465" i="5"/>
  <c r="A466" i="5"/>
  <c r="B466" i="5"/>
  <c r="C466" i="5"/>
  <c r="A467" i="5"/>
  <c r="B467" i="5"/>
  <c r="C467" i="5"/>
  <c r="A468" i="5"/>
  <c r="B468" i="5"/>
  <c r="C468" i="5"/>
  <c r="A469" i="5"/>
  <c r="B469" i="5"/>
  <c r="C469" i="5"/>
  <c r="A470" i="5"/>
  <c r="B470" i="5"/>
  <c r="C470" i="5"/>
  <c r="A471" i="5"/>
  <c r="B471" i="5"/>
  <c r="C471" i="5"/>
  <c r="A472" i="5"/>
  <c r="B472" i="5"/>
  <c r="C472" i="5"/>
  <c r="A473" i="5"/>
  <c r="B473" i="5"/>
  <c r="C473" i="5"/>
  <c r="A474" i="5"/>
  <c r="B474" i="5"/>
  <c r="C474" i="5"/>
  <c r="A475" i="5"/>
  <c r="B475" i="5"/>
  <c r="C475" i="5"/>
  <c r="A476" i="5"/>
  <c r="B476" i="5"/>
  <c r="C476" i="5"/>
  <c r="A477" i="5"/>
  <c r="B477" i="5"/>
  <c r="C477" i="5"/>
  <c r="A478" i="5"/>
  <c r="B478" i="5"/>
  <c r="C478" i="5"/>
  <c r="A479" i="5"/>
  <c r="B479" i="5"/>
  <c r="C479" i="5"/>
  <c r="A480" i="5"/>
  <c r="B480" i="5"/>
  <c r="C480" i="5"/>
  <c r="A481" i="5"/>
  <c r="B481" i="5"/>
  <c r="C481" i="5"/>
  <c r="A482" i="5"/>
  <c r="B482" i="5"/>
  <c r="C482" i="5"/>
  <c r="A483" i="5"/>
  <c r="B483" i="5"/>
  <c r="C483" i="5"/>
  <c r="A484" i="5"/>
  <c r="B484" i="5"/>
  <c r="C484" i="5"/>
  <c r="A485" i="5"/>
  <c r="B485" i="5"/>
  <c r="C485" i="5"/>
  <c r="A486" i="5"/>
  <c r="B486" i="5"/>
  <c r="C486" i="5"/>
  <c r="A487" i="5"/>
  <c r="B487" i="5"/>
  <c r="C487" i="5"/>
  <c r="A488" i="5"/>
  <c r="B488" i="5"/>
  <c r="C488" i="5"/>
  <c r="A489" i="5"/>
  <c r="B489" i="5"/>
  <c r="C489" i="5"/>
  <c r="A490" i="5"/>
  <c r="B490" i="5"/>
  <c r="C490" i="5"/>
  <c r="A491" i="5"/>
  <c r="B491" i="5"/>
  <c r="C491" i="5"/>
  <c r="A492" i="5"/>
  <c r="B492" i="5"/>
  <c r="C492" i="5"/>
  <c r="A493" i="5"/>
  <c r="B493" i="5"/>
  <c r="C493" i="5"/>
  <c r="A494" i="5"/>
  <c r="B494" i="5"/>
  <c r="C494" i="5"/>
  <c r="A495" i="5"/>
  <c r="B495" i="5"/>
  <c r="C495" i="5"/>
  <c r="A496" i="5"/>
  <c r="B496" i="5"/>
  <c r="C496" i="5"/>
  <c r="A497" i="5"/>
  <c r="B497" i="5"/>
  <c r="C497" i="5"/>
  <c r="A498" i="5"/>
  <c r="B498" i="5"/>
  <c r="C498" i="5"/>
  <c r="A499" i="5"/>
  <c r="B499" i="5"/>
  <c r="C499" i="5"/>
  <c r="A500" i="5"/>
  <c r="B500" i="5"/>
  <c r="C500" i="5"/>
  <c r="A501" i="5"/>
  <c r="B501" i="5"/>
  <c r="C501" i="5"/>
  <c r="A502" i="5"/>
  <c r="B502" i="5"/>
  <c r="C502" i="5"/>
  <c r="A503" i="5"/>
  <c r="B503" i="5"/>
  <c r="C503" i="5"/>
  <c r="A504" i="5"/>
  <c r="B504" i="5"/>
  <c r="C504" i="5"/>
  <c r="A505" i="5"/>
  <c r="B505" i="5"/>
  <c r="C505" i="5"/>
  <c r="A506" i="5"/>
  <c r="B506" i="5"/>
  <c r="C506" i="5"/>
  <c r="A507" i="5"/>
  <c r="B507" i="5"/>
  <c r="C507" i="5"/>
  <c r="A508" i="5"/>
  <c r="B508" i="5"/>
  <c r="C508" i="5"/>
  <c r="A509" i="5"/>
  <c r="B509" i="5"/>
  <c r="C509" i="5"/>
  <c r="A510" i="5"/>
  <c r="B510" i="5"/>
  <c r="C510" i="5"/>
  <c r="A511" i="5"/>
  <c r="B511" i="5"/>
  <c r="C511" i="5"/>
  <c r="A512" i="5"/>
  <c r="B512" i="5"/>
  <c r="C512" i="5"/>
  <c r="A513" i="5"/>
  <c r="B513" i="5"/>
  <c r="C513" i="5"/>
  <c r="A514" i="5"/>
  <c r="B514" i="5"/>
  <c r="C514" i="5"/>
  <c r="A515" i="5"/>
  <c r="B515" i="5"/>
  <c r="C515" i="5"/>
  <c r="A516" i="5"/>
  <c r="B516" i="5"/>
  <c r="C516" i="5"/>
  <c r="A517" i="5"/>
  <c r="B517" i="5"/>
  <c r="C517" i="5"/>
  <c r="A518" i="5"/>
  <c r="B518" i="5"/>
  <c r="C518" i="5"/>
  <c r="A519" i="5"/>
  <c r="B519" i="5"/>
  <c r="C519" i="5"/>
  <c r="A520" i="5"/>
  <c r="B520" i="5"/>
  <c r="C520" i="5"/>
  <c r="A521" i="5"/>
  <c r="B521" i="5"/>
  <c r="C521" i="5"/>
  <c r="A522" i="5"/>
  <c r="B522" i="5"/>
  <c r="C522" i="5"/>
  <c r="A523" i="5"/>
  <c r="B523" i="5"/>
  <c r="C523" i="5"/>
  <c r="A524" i="5"/>
  <c r="B524" i="5"/>
  <c r="C524" i="5"/>
  <c r="A525" i="5"/>
  <c r="B525" i="5"/>
  <c r="C525" i="5"/>
  <c r="A526" i="5"/>
  <c r="B526" i="5"/>
  <c r="C526" i="5"/>
  <c r="A527" i="5"/>
  <c r="B527" i="5"/>
  <c r="C527" i="5"/>
  <c r="A528" i="5"/>
  <c r="B528" i="5"/>
  <c r="C528" i="5"/>
  <c r="A529" i="5"/>
  <c r="B529" i="5"/>
  <c r="C529" i="5"/>
  <c r="A530" i="5"/>
  <c r="B530" i="5"/>
  <c r="C530" i="5"/>
  <c r="A531" i="5"/>
  <c r="B531" i="5"/>
  <c r="C531" i="5"/>
  <c r="A532" i="5"/>
  <c r="B532" i="5"/>
  <c r="C532" i="5"/>
  <c r="A533" i="5"/>
  <c r="B533" i="5"/>
  <c r="C533" i="5"/>
  <c r="A534" i="5"/>
  <c r="B534" i="5"/>
  <c r="C534" i="5"/>
  <c r="A535" i="5"/>
  <c r="B535" i="5"/>
  <c r="C535" i="5"/>
  <c r="A536" i="5"/>
  <c r="B536" i="5"/>
  <c r="C536" i="5"/>
  <c r="A537" i="5"/>
  <c r="B537" i="5"/>
  <c r="C537" i="5"/>
  <c r="A538" i="5"/>
  <c r="B538" i="5"/>
  <c r="C538" i="5"/>
  <c r="A539" i="5"/>
  <c r="B539" i="5"/>
  <c r="C539" i="5"/>
  <c r="A540" i="5"/>
  <c r="B540" i="5"/>
  <c r="C540" i="5"/>
  <c r="A541" i="5"/>
  <c r="B541" i="5"/>
  <c r="C541" i="5"/>
  <c r="A542" i="5"/>
  <c r="B542" i="5"/>
  <c r="C542" i="5"/>
  <c r="A543" i="5"/>
  <c r="B543" i="5"/>
  <c r="C543" i="5"/>
  <c r="A544" i="5"/>
  <c r="B544" i="5"/>
  <c r="C544" i="5"/>
  <c r="A545" i="5"/>
  <c r="B545" i="5"/>
  <c r="C545" i="5"/>
  <c r="A546" i="5"/>
  <c r="B546" i="5"/>
  <c r="C546" i="5"/>
  <c r="A547" i="5"/>
  <c r="B547" i="5"/>
  <c r="C547" i="5"/>
  <c r="A548" i="5"/>
  <c r="B548" i="5"/>
  <c r="C548" i="5"/>
  <c r="A549" i="5"/>
  <c r="B549" i="5"/>
  <c r="C549" i="5"/>
  <c r="A550" i="5"/>
  <c r="B550" i="5"/>
  <c r="C550" i="5"/>
  <c r="A551" i="5"/>
  <c r="B551" i="5"/>
  <c r="C551" i="5"/>
  <c r="A552" i="5"/>
  <c r="B552" i="5"/>
  <c r="C552" i="5"/>
  <c r="A553" i="5"/>
  <c r="B553" i="5"/>
  <c r="C553" i="5"/>
  <c r="A554" i="5"/>
  <c r="B554" i="5"/>
  <c r="C554" i="5"/>
  <c r="A555" i="5"/>
  <c r="B555" i="5"/>
  <c r="C555" i="5"/>
  <c r="A556" i="5"/>
  <c r="B556" i="5"/>
  <c r="C556" i="5"/>
  <c r="A557" i="5"/>
  <c r="B557" i="5"/>
  <c r="C557" i="5"/>
  <c r="A558" i="5"/>
  <c r="B558" i="5"/>
  <c r="C558" i="5"/>
  <c r="A559" i="5"/>
  <c r="B559" i="5"/>
  <c r="C559" i="5"/>
  <c r="A560" i="5"/>
  <c r="B560" i="5"/>
  <c r="C560" i="5"/>
  <c r="A561" i="5"/>
  <c r="B561" i="5"/>
  <c r="C561" i="5"/>
  <c r="A562" i="5"/>
  <c r="B562" i="5"/>
  <c r="C562" i="5"/>
  <c r="A563" i="5"/>
  <c r="B563" i="5"/>
  <c r="C563" i="5"/>
  <c r="A564" i="5"/>
  <c r="B564" i="5"/>
  <c r="C564" i="5"/>
  <c r="A565" i="5"/>
  <c r="B565" i="5"/>
  <c r="C565" i="5"/>
  <c r="A566" i="5"/>
  <c r="B566" i="5"/>
  <c r="C566" i="5"/>
  <c r="A567" i="5"/>
  <c r="B567" i="5"/>
  <c r="C567" i="5"/>
  <c r="A568" i="5"/>
  <c r="B568" i="5"/>
  <c r="C568" i="5"/>
  <c r="A569" i="5"/>
  <c r="B569" i="5"/>
  <c r="C569" i="5"/>
  <c r="A570" i="5"/>
  <c r="B570" i="5"/>
  <c r="C570" i="5"/>
  <c r="A571" i="5"/>
  <c r="B571" i="5"/>
  <c r="C571" i="5"/>
  <c r="A572" i="5"/>
  <c r="B572" i="5"/>
  <c r="C572" i="5"/>
  <c r="A573" i="5"/>
  <c r="B573" i="5"/>
  <c r="C573" i="5"/>
  <c r="A574" i="5"/>
  <c r="B574" i="5"/>
  <c r="C574" i="5"/>
  <c r="A575" i="5"/>
  <c r="B575" i="5"/>
  <c r="C575" i="5"/>
  <c r="A576" i="5"/>
  <c r="B576" i="5"/>
  <c r="C576" i="5"/>
  <c r="A577" i="5"/>
  <c r="B577" i="5"/>
  <c r="C577" i="5"/>
  <c r="A578" i="5"/>
  <c r="B578" i="5"/>
  <c r="C578" i="5"/>
  <c r="A579" i="5"/>
  <c r="B579" i="5"/>
  <c r="C579" i="5"/>
  <c r="A580" i="5"/>
  <c r="B580" i="5"/>
  <c r="C580" i="5"/>
  <c r="A581" i="5"/>
  <c r="B581" i="5"/>
  <c r="C581" i="5"/>
  <c r="A582" i="5"/>
  <c r="B582" i="5"/>
  <c r="C582" i="5"/>
  <c r="A583" i="5"/>
  <c r="B583" i="5"/>
  <c r="C583" i="5"/>
  <c r="A584" i="5"/>
  <c r="B584" i="5"/>
  <c r="C584" i="5"/>
  <c r="A585" i="5"/>
  <c r="B585" i="5"/>
  <c r="C585" i="5"/>
  <c r="A586" i="5"/>
  <c r="B586" i="5"/>
  <c r="C586" i="5"/>
  <c r="A587" i="5"/>
  <c r="B587" i="5"/>
  <c r="C587" i="5"/>
  <c r="A588" i="5"/>
  <c r="B588" i="5"/>
  <c r="C588" i="5"/>
  <c r="A589" i="5"/>
  <c r="B589" i="5"/>
  <c r="C589" i="5"/>
  <c r="A590" i="5"/>
  <c r="B590" i="5"/>
  <c r="C590" i="5"/>
  <c r="A591" i="5"/>
  <c r="B591" i="5"/>
  <c r="C591" i="5"/>
  <c r="A592" i="5"/>
  <c r="B592" i="5"/>
  <c r="C592" i="5"/>
  <c r="A593" i="5"/>
  <c r="B593" i="5"/>
  <c r="C593" i="5"/>
  <c r="A594" i="5"/>
  <c r="B594" i="5"/>
  <c r="C594" i="5"/>
  <c r="A595" i="5"/>
  <c r="B595" i="5"/>
  <c r="C595" i="5"/>
  <c r="A596" i="5"/>
  <c r="B596" i="5"/>
  <c r="C596" i="5"/>
  <c r="A597" i="5"/>
  <c r="B597" i="5"/>
  <c r="C597" i="5"/>
  <c r="A598" i="5"/>
  <c r="B598" i="5"/>
  <c r="C598" i="5"/>
  <c r="C7" i="5"/>
  <c r="B7" i="5"/>
  <c r="A7" i="5"/>
  <c r="M2" i="5"/>
  <c r="B90" i="3" l="1"/>
  <c r="E50" i="6"/>
  <c r="G50" i="6" s="1"/>
  <c r="E70" i="6"/>
  <c r="G70" i="6" s="1"/>
  <c r="E54" i="6"/>
  <c r="G54" i="6" s="1"/>
  <c r="E52" i="6"/>
  <c r="G52" i="6" s="1"/>
  <c r="E49" i="6"/>
  <c r="G49" i="6" s="1"/>
  <c r="U50" i="6"/>
  <c r="W50" i="6" s="1"/>
  <c r="L68" i="4"/>
  <c r="G85" i="2"/>
  <c r="K66" i="3"/>
  <c r="H69" i="3"/>
  <c r="G56" i="3"/>
  <c r="D34" i="3"/>
  <c r="B18" i="3"/>
  <c r="L20" i="3"/>
  <c r="G85" i="4"/>
  <c r="H85" i="2"/>
  <c r="B86" i="3"/>
  <c r="L66" i="3"/>
  <c r="K69" i="3"/>
  <c r="H56" i="3"/>
  <c r="G45" i="3"/>
  <c r="D18" i="3"/>
  <c r="B21" i="3"/>
  <c r="D66" i="1"/>
  <c r="H85" i="4"/>
  <c r="G54" i="4"/>
  <c r="D86" i="3"/>
  <c r="B67" i="3"/>
  <c r="L69" i="3"/>
  <c r="K56" i="3"/>
  <c r="H45" i="3"/>
  <c r="G34" i="3"/>
  <c r="D21" i="3"/>
  <c r="D17" i="1"/>
  <c r="K85" i="4"/>
  <c r="K54" i="4"/>
  <c r="D67" i="3"/>
  <c r="B70" i="3"/>
  <c r="L56" i="3"/>
  <c r="K45" i="3"/>
  <c r="H34" i="3"/>
  <c r="G18" i="3"/>
  <c r="L85" i="4"/>
  <c r="G86" i="3"/>
  <c r="D70" i="3"/>
  <c r="B43" i="3"/>
  <c r="L45" i="3"/>
  <c r="K34" i="3"/>
  <c r="H18" i="3"/>
  <c r="G21" i="3"/>
  <c r="B68" i="1"/>
  <c r="G17" i="1"/>
  <c r="H86" i="3"/>
  <c r="G67" i="3"/>
  <c r="D43" i="3"/>
  <c r="B32" i="3"/>
  <c r="L34" i="3"/>
  <c r="K18" i="3"/>
  <c r="H21" i="3"/>
  <c r="D68" i="1"/>
  <c r="K86" i="3"/>
  <c r="H67" i="3"/>
  <c r="K86" i="4"/>
  <c r="L67" i="3"/>
  <c r="H55" i="3"/>
  <c r="D32" i="3"/>
  <c r="L35" i="3"/>
  <c r="H20" i="3"/>
  <c r="L86" i="4"/>
  <c r="B68" i="3"/>
  <c r="K55" i="3"/>
  <c r="B17" i="3"/>
  <c r="K20" i="3"/>
  <c r="L18" i="2"/>
  <c r="D68" i="3"/>
  <c r="L55" i="3"/>
  <c r="G32" i="3"/>
  <c r="D17" i="3"/>
  <c r="K21" i="3"/>
  <c r="B56" i="3"/>
  <c r="H32" i="3"/>
  <c r="L21" i="3"/>
  <c r="G21" i="4"/>
  <c r="G68" i="3"/>
  <c r="D56" i="3"/>
  <c r="K32" i="3"/>
  <c r="G17" i="3"/>
  <c r="D44" i="3"/>
  <c r="L65" i="3"/>
  <c r="B34" i="3"/>
  <c r="H19" i="3"/>
  <c r="B66" i="3"/>
  <c r="K70" i="3"/>
  <c r="D66" i="3"/>
  <c r="H44" i="3"/>
  <c r="D35" i="3"/>
  <c r="D85" i="4"/>
  <c r="B20" i="3"/>
  <c r="D55" i="3"/>
  <c r="D20" i="3"/>
  <c r="H66" i="3"/>
  <c r="H86" i="4"/>
  <c r="K67" i="3"/>
  <c r="K35" i="3"/>
  <c r="K21" i="4"/>
  <c r="H68" i="3"/>
  <c r="L32" i="3"/>
  <c r="H17" i="3"/>
  <c r="B33" i="3"/>
  <c r="B65" i="3"/>
  <c r="L68" i="3"/>
  <c r="D33" i="3"/>
  <c r="G68" i="4"/>
  <c r="D65" i="3"/>
  <c r="H43" i="3"/>
  <c r="L18" i="3"/>
  <c r="B69" i="1"/>
  <c r="K68" i="4"/>
  <c r="K43" i="3"/>
  <c r="B19" i="3"/>
  <c r="D69" i="1"/>
  <c r="G65" i="3"/>
  <c r="L43" i="3"/>
  <c r="D19" i="3"/>
  <c r="H65" i="3"/>
  <c r="B44" i="3"/>
  <c r="K33" i="3"/>
  <c r="K65" i="3"/>
  <c r="L33" i="3"/>
  <c r="G44" i="3"/>
  <c r="B85" i="4"/>
  <c r="L70" i="3"/>
  <c r="B55" i="3"/>
  <c r="G66" i="3"/>
  <c r="L44" i="3"/>
  <c r="B45" i="3"/>
  <c r="H35" i="3"/>
  <c r="D33" i="1"/>
  <c r="G55" i="3"/>
  <c r="D45" i="3"/>
  <c r="L86" i="3"/>
  <c r="K68" i="3"/>
  <c r="K17" i="3"/>
  <c r="G43" i="3"/>
  <c r="L17" i="3"/>
  <c r="B69" i="3"/>
  <c r="B84" i="4"/>
  <c r="D69" i="3"/>
  <c r="G33" i="3"/>
  <c r="D84" i="4"/>
  <c r="H33" i="3"/>
  <c r="G69" i="3"/>
  <c r="G84" i="4"/>
  <c r="G70" i="3"/>
  <c r="G19" i="3"/>
  <c r="H70" i="3"/>
  <c r="B35" i="3"/>
  <c r="K19" i="3"/>
  <c r="L19" i="3"/>
  <c r="K44" i="3"/>
  <c r="L34" i="4"/>
  <c r="G35" i="3"/>
  <c r="G20" i="3"/>
  <c r="D17" i="4"/>
  <c r="B66" i="4"/>
  <c r="B68" i="2"/>
  <c r="B66" i="1"/>
  <c r="L66" i="4"/>
  <c r="H17" i="4"/>
  <c r="G34" i="4"/>
  <c r="D19" i="4"/>
  <c r="G54" i="2"/>
  <c r="K66" i="2"/>
  <c r="H33" i="2"/>
  <c r="H20" i="2"/>
  <c r="B34" i="4"/>
  <c r="B20" i="1"/>
  <c r="K43" i="4"/>
  <c r="G55" i="1"/>
  <c r="G42" i="1"/>
  <c r="G68" i="1"/>
  <c r="K54" i="1"/>
  <c r="G19" i="1"/>
  <c r="G83" i="4"/>
  <c r="D54" i="4"/>
  <c r="D65" i="4"/>
  <c r="H64" i="2"/>
  <c r="H66" i="2"/>
  <c r="D21" i="2"/>
  <c r="G20" i="2"/>
  <c r="H18" i="2"/>
  <c r="K33" i="4"/>
  <c r="B86" i="4"/>
  <c r="K18" i="1"/>
  <c r="K64" i="1"/>
  <c r="G43" i="1"/>
  <c r="K19" i="1"/>
  <c r="K66" i="4"/>
  <c r="H33" i="4"/>
  <c r="D34" i="4"/>
  <c r="D33" i="2"/>
  <c r="G64" i="2"/>
  <c r="G66" i="2"/>
  <c r="B85" i="2"/>
  <c r="K43" i="1"/>
  <c r="B66" i="2"/>
  <c r="G64" i="1"/>
  <c r="B42" i="1"/>
  <c r="D64" i="1"/>
  <c r="K33" i="1"/>
  <c r="G35" i="1"/>
  <c r="D19" i="1"/>
  <c r="D83" i="4"/>
  <c r="B33" i="4"/>
  <c r="G43" i="4"/>
  <c r="G20" i="4"/>
  <c r="B65" i="2"/>
  <c r="L85" i="2"/>
  <c r="D66" i="2"/>
  <c r="G43" i="2"/>
  <c r="K34" i="2"/>
  <c r="D55" i="1"/>
  <c r="B17" i="1"/>
  <c r="L67" i="4"/>
  <c r="K68" i="2"/>
  <c r="B32" i="2"/>
  <c r="K67" i="1"/>
  <c r="K20" i="1"/>
  <c r="D66" i="4"/>
  <c r="L18" i="4"/>
  <c r="B67" i="1"/>
  <c r="G32" i="1"/>
  <c r="K20" i="4"/>
  <c r="D85" i="2"/>
  <c r="D43" i="2"/>
  <c r="K67" i="4"/>
  <c r="B42" i="2"/>
  <c r="H55" i="4"/>
  <c r="B43" i="1"/>
  <c r="D21" i="1"/>
  <c r="G64" i="4"/>
  <c r="H67" i="4"/>
  <c r="L68" i="2"/>
  <c r="K85" i="2"/>
  <c r="D64" i="2"/>
  <c r="D18" i="2"/>
  <c r="H34" i="2"/>
  <c r="L20" i="2"/>
  <c r="K20" i="2"/>
  <c r="D35" i="1"/>
  <c r="D43" i="4"/>
  <c r="D55" i="2"/>
  <c r="G34" i="2"/>
  <c r="D19" i="2"/>
  <c r="B65" i="4"/>
  <c r="B18" i="1"/>
  <c r="B21" i="1"/>
  <c r="B43" i="4"/>
  <c r="L20" i="4"/>
  <c r="K42" i="4"/>
  <c r="B55" i="2"/>
  <c r="B43" i="2"/>
  <c r="H19" i="2"/>
  <c r="B19" i="1"/>
  <c r="B55" i="1"/>
  <c r="G67" i="1"/>
  <c r="B35" i="1"/>
  <c r="B20" i="4"/>
  <c r="L42" i="4"/>
  <c r="K18" i="4"/>
  <c r="H68" i="2"/>
  <c r="K84" i="4"/>
  <c r="B19" i="4"/>
  <c r="G65" i="1"/>
  <c r="K35" i="1"/>
  <c r="D20" i="1"/>
  <c r="H68" i="4"/>
  <c r="D55" i="4"/>
  <c r="B18" i="4"/>
  <c r="D20" i="2"/>
  <c r="D32" i="2"/>
  <c r="L21" i="2"/>
  <c r="B83" i="4"/>
  <c r="K85" i="1"/>
  <c r="K69" i="1"/>
  <c r="D43" i="1"/>
  <c r="B32" i="1"/>
  <c r="D33" i="4"/>
  <c r="B55" i="4"/>
  <c r="D21" i="4"/>
  <c r="B34" i="2"/>
  <c r="H17" i="2"/>
  <c r="G33" i="2"/>
  <c r="B17" i="2"/>
  <c r="D67" i="1"/>
  <c r="K21" i="1"/>
  <c r="L54" i="4"/>
  <c r="G18" i="4"/>
  <c r="G67" i="2"/>
  <c r="L33" i="2"/>
  <c r="L17" i="2"/>
  <c r="K31" i="1"/>
  <c r="B31" i="1"/>
  <c r="K83" i="4"/>
  <c r="L65" i="4"/>
  <c r="L17" i="4"/>
  <c r="K19" i="4"/>
  <c r="D67" i="2"/>
  <c r="K33" i="2"/>
  <c r="K17" i="2"/>
  <c r="K43" i="2"/>
  <c r="K67" i="2"/>
  <c r="B42" i="4"/>
  <c r="D65" i="1"/>
  <c r="G21" i="1"/>
  <c r="H34" i="4"/>
  <c r="H43" i="4"/>
  <c r="P43" i="4" s="1"/>
  <c r="L19" i="4"/>
  <c r="B67" i="2"/>
  <c r="H43" i="2"/>
  <c r="H21" i="2"/>
  <c r="D31" i="1"/>
  <c r="D64" i="4"/>
  <c r="K42" i="2"/>
  <c r="B54" i="4"/>
  <c r="L83" i="4"/>
  <c r="L43" i="4"/>
  <c r="B33" i="2"/>
  <c r="H42" i="2"/>
  <c r="L84" i="4"/>
  <c r="D42" i="4"/>
  <c r="B20" i="2"/>
  <c r="G69" i="1"/>
  <c r="G65" i="4"/>
  <c r="G65" i="2"/>
  <c r="L43" i="2"/>
  <c r="G21" i="2"/>
  <c r="D18" i="1"/>
  <c r="K65" i="4"/>
  <c r="D42" i="2"/>
  <c r="L19" i="2"/>
  <c r="B34" i="1"/>
  <c r="D54" i="1"/>
  <c r="G34" i="1"/>
  <c r="K64" i="4"/>
  <c r="L67" i="2"/>
  <c r="L42" i="2"/>
  <c r="G55" i="2"/>
  <c r="B64" i="2"/>
  <c r="H83" i="4"/>
  <c r="G42" i="4"/>
  <c r="G19" i="4"/>
  <c r="L54" i="2"/>
  <c r="G18" i="2"/>
  <c r="G17" i="2"/>
  <c r="K55" i="1"/>
  <c r="B65" i="1"/>
  <c r="G54" i="1"/>
  <c r="D86" i="4"/>
  <c r="K54" i="2"/>
  <c r="B54" i="2"/>
  <c r="D42" i="1"/>
  <c r="G18" i="1"/>
  <c r="H65" i="4"/>
  <c r="L65" i="2"/>
  <c r="B21" i="2"/>
  <c r="K68" i="1"/>
  <c r="D68" i="4"/>
  <c r="H65" i="2"/>
  <c r="D17" i="2"/>
  <c r="G85" i="1"/>
  <c r="K17" i="4"/>
  <c r="G68" i="2"/>
  <c r="K19" i="2"/>
  <c r="B68" i="4"/>
  <c r="K34" i="1"/>
  <c r="D68" i="2"/>
  <c r="G33" i="1"/>
  <c r="H66" i="4"/>
  <c r="L21" i="4"/>
  <c r="L66" i="2"/>
  <c r="G19" i="2"/>
  <c r="K32" i="1"/>
  <c r="G67" i="4"/>
  <c r="H18" i="4"/>
  <c r="K32" i="2"/>
  <c r="B19" i="2"/>
  <c r="G66" i="1"/>
  <c r="G33" i="4"/>
  <c r="O33" i="4" s="1"/>
  <c r="D18" i="4"/>
  <c r="H32" i="2"/>
  <c r="B21" i="4"/>
  <c r="D67" i="4"/>
  <c r="H19" i="4"/>
  <c r="G32" i="2"/>
  <c r="G31" i="1"/>
  <c r="G17" i="4"/>
  <c r="B85" i="1"/>
  <c r="D54" i="2"/>
  <c r="D34" i="1"/>
  <c r="K66" i="1"/>
  <c r="L55" i="2"/>
  <c r="B64" i="4"/>
  <c r="H67" i="2"/>
  <c r="D34" i="2"/>
  <c r="D20" i="4"/>
  <c r="B67" i="4"/>
  <c r="B33" i="1"/>
  <c r="K55" i="4"/>
  <c r="L32" i="2"/>
  <c r="K55" i="2"/>
  <c r="H55" i="2"/>
  <c r="K34" i="4"/>
  <c r="K18" i="2"/>
  <c r="B64" i="1"/>
  <c r="D32" i="1"/>
  <c r="L64" i="4"/>
  <c r="K65" i="2"/>
  <c r="L34" i="2"/>
  <c r="D65" i="2"/>
  <c r="K65" i="1"/>
  <c r="G66" i="4"/>
  <c r="H54" i="2"/>
  <c r="K17" i="1"/>
  <c r="K64" i="2"/>
  <c r="G55" i="4"/>
  <c r="D85" i="1"/>
  <c r="B54" i="1"/>
  <c r="H64" i="4"/>
  <c r="B18" i="2"/>
  <c r="H54" i="4"/>
  <c r="K21" i="2"/>
  <c r="L55" i="4"/>
  <c r="L64" i="2"/>
  <c r="B17" i="4"/>
  <c r="H20" i="4"/>
  <c r="H21" i="4"/>
  <c r="G20" i="1"/>
  <c r="G86" i="4"/>
  <c r="L33" i="4"/>
  <c r="T222" i="5"/>
  <c r="T99" i="5"/>
  <c r="T457" i="5"/>
  <c r="U567" i="5"/>
  <c r="U565" i="5"/>
  <c r="U563" i="5"/>
  <c r="R13" i="5"/>
  <c r="M34" i="4" l="1"/>
  <c r="P34" i="4"/>
  <c r="M66" i="4"/>
  <c r="P20" i="4"/>
  <c r="M18" i="2"/>
  <c r="M17" i="4"/>
  <c r="M68" i="4"/>
  <c r="P67" i="2"/>
  <c r="P85" i="2"/>
  <c r="P32" i="2"/>
  <c r="M85" i="4"/>
  <c r="M43" i="3"/>
  <c r="P17" i="2"/>
  <c r="M84" i="4"/>
  <c r="M45" i="3"/>
  <c r="M86" i="4"/>
  <c r="M69" i="3"/>
  <c r="M67" i="3"/>
  <c r="P35" i="3"/>
  <c r="P43" i="3"/>
  <c r="P33" i="3"/>
  <c r="P68" i="2"/>
  <c r="P17" i="3"/>
  <c r="M33" i="4"/>
  <c r="P67" i="4"/>
  <c r="P66" i="4"/>
  <c r="P67" i="3"/>
  <c r="M55" i="4"/>
  <c r="P86" i="3"/>
  <c r="M55" i="3"/>
  <c r="M65" i="3"/>
  <c r="P18" i="3"/>
  <c r="P20" i="3"/>
  <c r="M34" i="3"/>
  <c r="M56" i="3"/>
  <c r="P18" i="2"/>
  <c r="P54" i="2"/>
  <c r="M65" i="4"/>
  <c r="M83" i="4"/>
  <c r="P65" i="3"/>
  <c r="M32" i="3"/>
  <c r="P54" i="4"/>
  <c r="O55" i="2"/>
  <c r="M64" i="2"/>
  <c r="M35" i="3"/>
  <c r="P55" i="3"/>
  <c r="M19" i="3"/>
  <c r="M54" i="4"/>
  <c r="M54" i="2"/>
  <c r="M17" i="3"/>
  <c r="P55" i="4"/>
  <c r="P43" i="2"/>
  <c r="P19" i="3"/>
  <c r="O68" i="4"/>
  <c r="M64" i="4"/>
  <c r="P32" i="3"/>
  <c r="O19" i="2"/>
  <c r="I19" i="2"/>
  <c r="I21" i="2"/>
  <c r="P21" i="2"/>
  <c r="I32" i="2"/>
  <c r="O32" i="2"/>
  <c r="P66" i="3"/>
  <c r="P19" i="4"/>
  <c r="O64" i="4"/>
  <c r="O33" i="3"/>
  <c r="I33" i="3"/>
  <c r="I34" i="3"/>
  <c r="O34" i="3"/>
  <c r="I33" i="4"/>
  <c r="P33" i="4"/>
  <c r="P86" i="4"/>
  <c r="I66" i="4"/>
  <c r="Q66" i="4" s="1"/>
  <c r="O66" i="4"/>
  <c r="I34" i="2"/>
  <c r="O34" i="2"/>
  <c r="O21" i="4"/>
  <c r="M21" i="2"/>
  <c r="M68" i="2"/>
  <c r="P45" i="3"/>
  <c r="M21" i="4"/>
  <c r="I69" i="3"/>
  <c r="O69" i="3"/>
  <c r="P65" i="4"/>
  <c r="O43" i="4"/>
  <c r="I43" i="4"/>
  <c r="I44" i="3"/>
  <c r="O44" i="3"/>
  <c r="M67" i="4"/>
  <c r="O86" i="3"/>
  <c r="I86" i="3"/>
  <c r="M19" i="2"/>
  <c r="M20" i="2"/>
  <c r="M21" i="3"/>
  <c r="M86" i="3"/>
  <c r="M66" i="3"/>
  <c r="O54" i="4"/>
  <c r="I54" i="4"/>
  <c r="I85" i="2"/>
  <c r="O84" i="4"/>
  <c r="M18" i="4"/>
  <c r="O68" i="3"/>
  <c r="I68" i="3"/>
  <c r="O18" i="4"/>
  <c r="I18" i="4"/>
  <c r="I35" i="3"/>
  <c r="O35" i="3"/>
  <c r="I17" i="2"/>
  <c r="O17" i="2"/>
  <c r="M67" i="2"/>
  <c r="P34" i="2"/>
  <c r="O20" i="2"/>
  <c r="I20" i="2"/>
  <c r="I33" i="2"/>
  <c r="P33" i="2"/>
  <c r="M33" i="3"/>
  <c r="I32" i="3"/>
  <c r="O32" i="3"/>
  <c r="P21" i="3"/>
  <c r="I85" i="4"/>
  <c r="P85" i="4"/>
  <c r="I70" i="3"/>
  <c r="O70" i="3"/>
  <c r="O83" i="4"/>
  <c r="I83" i="4"/>
  <c r="I20" i="4"/>
  <c r="O20" i="4"/>
  <c r="O85" i="4"/>
  <c r="P19" i="2"/>
  <c r="O18" i="2"/>
  <c r="I18" i="2"/>
  <c r="M43" i="2"/>
  <c r="I68" i="4"/>
  <c r="P68" i="4"/>
  <c r="M20" i="4"/>
  <c r="M66" i="2"/>
  <c r="M44" i="3"/>
  <c r="M70" i="3"/>
  <c r="M18" i="3"/>
  <c r="I18" i="3"/>
  <c r="O18" i="3"/>
  <c r="I55" i="4"/>
  <c r="O55" i="4"/>
  <c r="I64" i="4"/>
  <c r="P64" i="4"/>
  <c r="I68" i="2"/>
  <c r="O68" i="2"/>
  <c r="O86" i="4"/>
  <c r="I86" i="4"/>
  <c r="M32" i="2"/>
  <c r="O21" i="2"/>
  <c r="M17" i="2"/>
  <c r="P66" i="2"/>
  <c r="I54" i="2"/>
  <c r="O54" i="2"/>
  <c r="M68" i="3"/>
  <c r="P34" i="3"/>
  <c r="O56" i="3"/>
  <c r="I56" i="3"/>
  <c r="P20" i="2"/>
  <c r="P44" i="3"/>
  <c r="P18" i="4"/>
  <c r="I19" i="4"/>
  <c r="O19" i="4"/>
  <c r="M42" i="2"/>
  <c r="M33" i="2"/>
  <c r="O33" i="2"/>
  <c r="M42" i="4"/>
  <c r="O85" i="2"/>
  <c r="M85" i="2"/>
  <c r="O66" i="2"/>
  <c r="I66" i="2"/>
  <c r="P64" i="2"/>
  <c r="I17" i="3"/>
  <c r="O17" i="3"/>
  <c r="O66" i="3"/>
  <c r="I66" i="3"/>
  <c r="I55" i="2"/>
  <c r="P55" i="2"/>
  <c r="I65" i="2"/>
  <c r="O65" i="2"/>
  <c r="M34" i="2"/>
  <c r="I64" i="2"/>
  <c r="O64" i="2"/>
  <c r="I34" i="4"/>
  <c r="O34" i="4"/>
  <c r="M20" i="3"/>
  <c r="O65" i="3"/>
  <c r="I65" i="3"/>
  <c r="P42" i="2"/>
  <c r="P69" i="3"/>
  <c r="I43" i="3"/>
  <c r="O43" i="3"/>
  <c r="O42" i="4"/>
  <c r="I21" i="4"/>
  <c r="P21" i="4"/>
  <c r="M55" i="2"/>
  <c r="P65" i="2"/>
  <c r="P83" i="4"/>
  <c r="I65" i="4"/>
  <c r="O65" i="4"/>
  <c r="M19" i="4"/>
  <c r="O43" i="2"/>
  <c r="I43" i="2"/>
  <c r="P17" i="4"/>
  <c r="P70" i="3"/>
  <c r="I55" i="3"/>
  <c r="O55" i="3"/>
  <c r="I45" i="3"/>
  <c r="O45" i="3"/>
  <c r="I17" i="4"/>
  <c r="O17" i="4"/>
  <c r="I21" i="3"/>
  <c r="O21" i="3"/>
  <c r="M65" i="2"/>
  <c r="O67" i="2"/>
  <c r="I67" i="2"/>
  <c r="O20" i="3"/>
  <c r="I20" i="3"/>
  <c r="M43" i="4"/>
  <c r="O67" i="4"/>
  <c r="I67" i="4"/>
  <c r="I19" i="3"/>
  <c r="O19" i="3"/>
  <c r="P68" i="3"/>
  <c r="I67" i="3"/>
  <c r="O67" i="3"/>
  <c r="P56" i="3"/>
  <c r="O13" i="5"/>
  <c r="Q34" i="4" l="1"/>
  <c r="Q86" i="4"/>
  <c r="Q17" i="4"/>
  <c r="Q18" i="2"/>
  <c r="Q85" i="4"/>
  <c r="Q68" i="4"/>
  <c r="Q64" i="2"/>
  <c r="Q55" i="3"/>
  <c r="Q65" i="3"/>
  <c r="Q69" i="3"/>
  <c r="Q67" i="3"/>
  <c r="Q43" i="3"/>
  <c r="Q45" i="3"/>
  <c r="Q17" i="3"/>
  <c r="Q33" i="4"/>
  <c r="Q18" i="4"/>
  <c r="Q66" i="3"/>
  <c r="Q32" i="2"/>
  <c r="Q21" i="2"/>
  <c r="Q55" i="4"/>
  <c r="Q55" i="2"/>
  <c r="Q54" i="2"/>
  <c r="Q64" i="4"/>
  <c r="Q65" i="4"/>
  <c r="Q32" i="3"/>
  <c r="Q56" i="3"/>
  <c r="Q18" i="3"/>
  <c r="Q66" i="2"/>
  <c r="Q21" i="4"/>
  <c r="Q65" i="2"/>
  <c r="Q43" i="2"/>
  <c r="Q68" i="2"/>
  <c r="Q17" i="2"/>
  <c r="Q19" i="3"/>
  <c r="Q20" i="4"/>
  <c r="Q54" i="4"/>
  <c r="Q86" i="3"/>
  <c r="Q83" i="4"/>
  <c r="Q35" i="3"/>
  <c r="Q44" i="3"/>
  <c r="Q34" i="3"/>
  <c r="Q67" i="4"/>
  <c r="Q20" i="3"/>
  <c r="Q70" i="3"/>
  <c r="Q68" i="3"/>
  <c r="Q34" i="2"/>
  <c r="Q43" i="4"/>
  <c r="Q67" i="2"/>
  <c r="Q19" i="2"/>
  <c r="Q85" i="2"/>
  <c r="Q33" i="2"/>
  <c r="Q33" i="3"/>
  <c r="Q21" i="3"/>
  <c r="Q20" i="2"/>
  <c r="Q19" i="4"/>
  <c r="T543" i="5"/>
  <c r="T556" i="5"/>
  <c r="H84" i="4" s="1"/>
  <c r="T445" i="5"/>
  <c r="U463" i="5"/>
  <c r="T397" i="5"/>
  <c r="T115" i="5"/>
  <c r="T81" i="5"/>
  <c r="T95" i="5"/>
  <c r="I84" i="4" l="1"/>
  <c r="Q84" i="4" s="1"/>
  <c r="P84" i="4"/>
  <c r="G42" i="2"/>
  <c r="K42" i="1"/>
  <c r="H42" i="4"/>
  <c r="AD2" i="5"/>
  <c r="P42" i="4" l="1"/>
  <c r="I42" i="4"/>
  <c r="Q42" i="4" s="1"/>
  <c r="I42" i="2"/>
  <c r="Q42" i="2" s="1"/>
  <c r="O42" i="2"/>
  <c r="T2" i="5"/>
  <c r="V567" i="5"/>
  <c r="V565" i="5"/>
  <c r="A91" i="1"/>
  <c r="K91" i="1" s="1"/>
  <c r="A92" i="1"/>
  <c r="D92" i="1" s="1"/>
  <c r="A93" i="1"/>
  <c r="B93" i="1" s="1"/>
  <c r="A91" i="4"/>
  <c r="K91" i="4" s="1"/>
  <c r="A92" i="4"/>
  <c r="L92" i="4" s="1"/>
  <c r="A93" i="4"/>
  <c r="L93" i="4" s="1"/>
  <c r="A91" i="2"/>
  <c r="L91" i="2" s="1"/>
  <c r="A92" i="2"/>
  <c r="G92" i="2" s="1"/>
  <c r="A93" i="2"/>
  <c r="G93" i="2" s="1"/>
  <c r="L94" i="3"/>
  <c r="K94" i="3"/>
  <c r="B94" i="3"/>
  <c r="L93" i="3"/>
  <c r="K93" i="3"/>
  <c r="B93" i="3"/>
  <c r="L92" i="3"/>
  <c r="K92" i="3"/>
  <c r="B92" i="3"/>
  <c r="S2" i="5"/>
  <c r="R36" i="5"/>
  <c r="V36" i="5"/>
  <c r="Z36" i="5"/>
  <c r="O8" i="5"/>
  <c r="O9" i="5"/>
  <c r="O10" i="5"/>
  <c r="O11" i="5"/>
  <c r="O12" i="5"/>
  <c r="O16" i="5"/>
  <c r="O19" i="5"/>
  <c r="O20" i="5"/>
  <c r="O21" i="5"/>
  <c r="O53" i="5"/>
  <c r="O133" i="5"/>
  <c r="O388" i="5"/>
  <c r="O389" i="5"/>
  <c r="O423" i="5"/>
  <c r="O424" i="5"/>
  <c r="O425" i="5"/>
  <c r="O483" i="5"/>
  <c r="O484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547" i="5"/>
  <c r="O549" i="5"/>
  <c r="O550" i="5"/>
  <c r="O551" i="5"/>
  <c r="O552" i="5"/>
  <c r="O553" i="5"/>
  <c r="O554" i="5"/>
  <c r="O555" i="5"/>
  <c r="O557" i="5"/>
  <c r="O559" i="5"/>
  <c r="O578" i="5"/>
  <c r="O579" i="5"/>
  <c r="O582" i="5"/>
  <c r="O583" i="5"/>
  <c r="O584" i="5"/>
  <c r="O585" i="5"/>
  <c r="O586" i="5"/>
  <c r="O587" i="5"/>
  <c r="O588" i="5"/>
  <c r="O589" i="5"/>
  <c r="O598" i="5"/>
  <c r="O7" i="5"/>
  <c r="V368" i="5"/>
  <c r="V369" i="5"/>
  <c r="L598" i="5"/>
  <c r="R598" i="5"/>
  <c r="V598" i="5"/>
  <c r="Z598" i="5"/>
  <c r="L19" i="5"/>
  <c r="L20" i="5"/>
  <c r="L21" i="5"/>
  <c r="A53" i="1"/>
  <c r="B53" i="1" s="1"/>
  <c r="A56" i="1"/>
  <c r="B56" i="1" s="1"/>
  <c r="A53" i="4"/>
  <c r="K53" i="4" s="1"/>
  <c r="A56" i="4"/>
  <c r="H56" i="4" s="1"/>
  <c r="A53" i="2"/>
  <c r="H53" i="2" s="1"/>
  <c r="A56" i="2"/>
  <c r="G56" i="2" s="1"/>
  <c r="L57" i="3"/>
  <c r="K57" i="3"/>
  <c r="B57" i="3"/>
  <c r="L54" i="3"/>
  <c r="K54" i="3"/>
  <c r="B54" i="3"/>
  <c r="AB2" i="5"/>
  <c r="W2" i="5"/>
  <c r="X2" i="5"/>
  <c r="Y2" i="5"/>
  <c r="U2" i="5"/>
  <c r="P2" i="5"/>
  <c r="Q2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7" i="5"/>
  <c r="V38" i="5"/>
  <c r="V39" i="5"/>
  <c r="V40" i="5"/>
  <c r="V41" i="5"/>
  <c r="V42" i="5"/>
  <c r="R50" i="6" s="1"/>
  <c r="V43" i="5"/>
  <c r="R61" i="6" s="1"/>
  <c r="V44" i="5"/>
  <c r="R62" i="6" s="1"/>
  <c r="T62" i="6" s="1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R48" i="6" s="1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R43" i="6" s="1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6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R7" i="5"/>
  <c r="R8" i="5"/>
  <c r="R9" i="5"/>
  <c r="R10" i="5"/>
  <c r="R11" i="5"/>
  <c r="R12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L7" i="5"/>
  <c r="L8" i="5"/>
  <c r="L9" i="5"/>
  <c r="L10" i="5"/>
  <c r="L11" i="5"/>
  <c r="L12" i="5"/>
  <c r="L16" i="5"/>
  <c r="L42" i="5"/>
  <c r="L53" i="5"/>
  <c r="L133" i="5"/>
  <c r="L388" i="5"/>
  <c r="L389" i="5"/>
  <c r="L423" i="5"/>
  <c r="L424" i="5"/>
  <c r="L425" i="5"/>
  <c r="L483" i="5"/>
  <c r="L484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547" i="5"/>
  <c r="L549" i="5"/>
  <c r="L550" i="5"/>
  <c r="L551" i="5"/>
  <c r="L552" i="5"/>
  <c r="L553" i="5"/>
  <c r="L554" i="5"/>
  <c r="L555" i="5"/>
  <c r="L557" i="5"/>
  <c r="L559" i="5"/>
  <c r="L578" i="5"/>
  <c r="L579" i="5"/>
  <c r="L582" i="5"/>
  <c r="L583" i="5"/>
  <c r="L584" i="5"/>
  <c r="L585" i="5"/>
  <c r="L586" i="5"/>
  <c r="L587" i="5"/>
  <c r="L588" i="5"/>
  <c r="L589" i="5"/>
  <c r="L590" i="5"/>
  <c r="AA590" i="5" s="1"/>
  <c r="L596" i="5"/>
  <c r="L597" i="5"/>
  <c r="A86" i="1"/>
  <c r="K86" i="1" s="1"/>
  <c r="A86" i="2"/>
  <c r="L86" i="2" s="1"/>
  <c r="L87" i="3"/>
  <c r="K87" i="3"/>
  <c r="H87" i="3"/>
  <c r="G87" i="3"/>
  <c r="B87" i="3"/>
  <c r="D32" i="4"/>
  <c r="H35" i="4"/>
  <c r="A31" i="2"/>
  <c r="B31" i="2" s="1"/>
  <c r="D35" i="2"/>
  <c r="L36" i="3"/>
  <c r="K36" i="3"/>
  <c r="H36" i="3"/>
  <c r="G36" i="3"/>
  <c r="D36" i="3"/>
  <c r="B36" i="3"/>
  <c r="A30" i="1"/>
  <c r="K30" i="1" s="1"/>
  <c r="A30" i="2"/>
  <c r="G30" i="2" s="1"/>
  <c r="A31" i="4"/>
  <c r="B31" i="4" s="1"/>
  <c r="A30" i="4"/>
  <c r="K30" i="4" s="1"/>
  <c r="L31" i="3"/>
  <c r="K31" i="3"/>
  <c r="B31" i="3"/>
  <c r="L30" i="3"/>
  <c r="K30" i="3"/>
  <c r="B30" i="3"/>
  <c r="A119" i="4"/>
  <c r="B119" i="4" s="1"/>
  <c r="A118" i="4"/>
  <c r="H118" i="4" s="1"/>
  <c r="A119" i="2"/>
  <c r="B119" i="2" s="1"/>
  <c r="A113" i="1"/>
  <c r="D113" i="1" s="1"/>
  <c r="A114" i="1"/>
  <c r="K114" i="1" s="1"/>
  <c r="A115" i="1"/>
  <c r="K115" i="1" s="1"/>
  <c r="A116" i="1"/>
  <c r="K116" i="1" s="1"/>
  <c r="A117" i="1"/>
  <c r="B117" i="1" s="1"/>
  <c r="A117" i="4"/>
  <c r="K117" i="4" s="1"/>
  <c r="A116" i="4"/>
  <c r="B116" i="4" s="1"/>
  <c r="A115" i="4"/>
  <c r="H115" i="4" s="1"/>
  <c r="A114" i="4"/>
  <c r="K114" i="4" s="1"/>
  <c r="A118" i="2"/>
  <c r="K118" i="2" s="1"/>
  <c r="A117" i="2"/>
  <c r="K117" i="2" s="1"/>
  <c r="A116" i="2"/>
  <c r="B116" i="2" s="1"/>
  <c r="A115" i="2"/>
  <c r="G115" i="2" s="1"/>
  <c r="A114" i="2"/>
  <c r="B114" i="2" s="1"/>
  <c r="L120" i="3"/>
  <c r="K120" i="3"/>
  <c r="H120" i="3"/>
  <c r="G120" i="3"/>
  <c r="E120" i="3"/>
  <c r="D120" i="3"/>
  <c r="B120" i="3"/>
  <c r="L119" i="3"/>
  <c r="K119" i="3"/>
  <c r="B119" i="3"/>
  <c r="L118" i="3"/>
  <c r="K118" i="3"/>
  <c r="B118" i="3"/>
  <c r="L117" i="3"/>
  <c r="K117" i="3"/>
  <c r="B117" i="3"/>
  <c r="L116" i="3"/>
  <c r="K116" i="3"/>
  <c r="B116" i="3"/>
  <c r="L115" i="3"/>
  <c r="K115" i="3"/>
  <c r="B115" i="3"/>
  <c r="A105" i="4"/>
  <c r="K105" i="4" s="1"/>
  <c r="A104" i="4"/>
  <c r="L104" i="4" s="1"/>
  <c r="A103" i="4"/>
  <c r="B103" i="4" s="1"/>
  <c r="A105" i="2"/>
  <c r="K105" i="2" s="1"/>
  <c r="A104" i="2"/>
  <c r="K104" i="2" s="1"/>
  <c r="A103" i="2"/>
  <c r="D103" i="2" s="1"/>
  <c r="A100" i="1"/>
  <c r="B100" i="1" s="1"/>
  <c r="A99" i="1"/>
  <c r="B99" i="1" s="1"/>
  <c r="A105" i="1"/>
  <c r="K105" i="1" s="1"/>
  <c r="A104" i="1"/>
  <c r="K104" i="1" s="1"/>
  <c r="A103" i="1"/>
  <c r="B103" i="1" s="1"/>
  <c r="L106" i="3"/>
  <c r="K106" i="3"/>
  <c r="B106" i="3"/>
  <c r="L105" i="3"/>
  <c r="K105" i="3"/>
  <c r="H105" i="3"/>
  <c r="B105" i="3"/>
  <c r="L104" i="3"/>
  <c r="K104" i="3"/>
  <c r="B104" i="3"/>
  <c r="L22" i="3"/>
  <c r="K22" i="3"/>
  <c r="A22" i="1"/>
  <c r="K22" i="1" s="1"/>
  <c r="A22" i="4"/>
  <c r="H22" i="4" s="1"/>
  <c r="A22" i="2"/>
  <c r="H22" i="2" s="1"/>
  <c r="B12" i="3"/>
  <c r="B13" i="3"/>
  <c r="B14" i="3"/>
  <c r="J9" i="37"/>
  <c r="J7" i="37"/>
  <c r="J6" i="37"/>
  <c r="H16" i="37"/>
  <c r="H17" i="37"/>
  <c r="I37" i="37"/>
  <c r="J37" i="37"/>
  <c r="I36" i="37"/>
  <c r="J36" i="37"/>
  <c r="I35" i="37"/>
  <c r="J35" i="37"/>
  <c r="H34" i="37"/>
  <c r="H33" i="37"/>
  <c r="E34" i="37"/>
  <c r="E32" i="37"/>
  <c r="G32" i="37"/>
  <c r="J32" i="37"/>
  <c r="E33" i="37"/>
  <c r="H31" i="37"/>
  <c r="I31" i="37"/>
  <c r="G31" i="37"/>
  <c r="I30" i="37"/>
  <c r="J30" i="37"/>
  <c r="I29" i="37"/>
  <c r="J29" i="37"/>
  <c r="I28" i="37"/>
  <c r="J28" i="37"/>
  <c r="I27" i="37"/>
  <c r="J27" i="37"/>
  <c r="I26" i="37"/>
  <c r="J26" i="37"/>
  <c r="I25" i="37"/>
  <c r="J25" i="37"/>
  <c r="I23" i="37"/>
  <c r="J23" i="37"/>
  <c r="E21" i="37"/>
  <c r="I21" i="37"/>
  <c r="J21" i="37"/>
  <c r="I20" i="37"/>
  <c r="J20" i="37"/>
  <c r="I19" i="37"/>
  <c r="J19" i="37"/>
  <c r="J31" i="37"/>
  <c r="I33" i="37"/>
  <c r="J33" i="37"/>
  <c r="I34" i="37"/>
  <c r="J34" i="37"/>
  <c r="I11" i="37"/>
  <c r="J11" i="37"/>
  <c r="I10" i="37"/>
  <c r="J10" i="37"/>
  <c r="I17" i="37"/>
  <c r="J17" i="37"/>
  <c r="I16" i="37"/>
  <c r="J16" i="37"/>
  <c r="F16" i="37"/>
  <c r="F17" i="37"/>
  <c r="F15" i="37"/>
  <c r="G15" i="37"/>
  <c r="H15" i="37"/>
  <c r="I15" i="37"/>
  <c r="I14" i="37"/>
  <c r="J14" i="37"/>
  <c r="H13" i="37"/>
  <c r="I13" i="37"/>
  <c r="J13" i="37"/>
  <c r="H12" i="37"/>
  <c r="H8" i="37"/>
  <c r="H7" i="37"/>
  <c r="H6" i="37"/>
  <c r="J15" i="37"/>
  <c r="I6" i="37"/>
  <c r="J3" i="37"/>
  <c r="I7" i="37"/>
  <c r="I8" i="37"/>
  <c r="J8" i="37"/>
  <c r="I12" i="37"/>
  <c r="J12" i="37"/>
  <c r="A83" i="1"/>
  <c r="B83" i="1" s="1"/>
  <c r="A16" i="1"/>
  <c r="K16" i="1" s="1"/>
  <c r="A15" i="1"/>
  <c r="B15" i="1" s="1"/>
  <c r="A16" i="4"/>
  <c r="K16" i="4" s="1"/>
  <c r="A15" i="4"/>
  <c r="L15" i="4" s="1"/>
  <c r="A16" i="2"/>
  <c r="L16" i="2" s="1"/>
  <c r="A15" i="2"/>
  <c r="K15" i="2" s="1"/>
  <c r="A83" i="2"/>
  <c r="B83" i="2" s="1"/>
  <c r="L84" i="3"/>
  <c r="K84" i="3"/>
  <c r="B84" i="3"/>
  <c r="A40" i="1"/>
  <c r="B40" i="1" s="1"/>
  <c r="A40" i="4"/>
  <c r="B40" i="4" s="1"/>
  <c r="A40" i="2"/>
  <c r="L40" i="2" s="1"/>
  <c r="L41" i="3"/>
  <c r="K41" i="3"/>
  <c r="B41" i="3"/>
  <c r="E47" i="6"/>
  <c r="G47" i="6" s="1"/>
  <c r="L16" i="3"/>
  <c r="K16" i="3"/>
  <c r="B16" i="3"/>
  <c r="A96" i="1"/>
  <c r="B96" i="1" s="1"/>
  <c r="A26" i="1"/>
  <c r="B26" i="1" s="1"/>
  <c r="A11" i="1"/>
  <c r="B11" i="1" s="1"/>
  <c r="A96" i="4"/>
  <c r="B96" i="4" s="1"/>
  <c r="A26" i="4"/>
  <c r="L26" i="4" s="1"/>
  <c r="A11" i="4"/>
  <c r="L11" i="4" s="1"/>
  <c r="A96" i="2"/>
  <c r="G96" i="2" s="1"/>
  <c r="A26" i="2"/>
  <c r="K26" i="2" s="1"/>
  <c r="A11" i="2"/>
  <c r="K11" i="2" s="1"/>
  <c r="L97" i="3"/>
  <c r="K97" i="3"/>
  <c r="B97" i="3"/>
  <c r="B15" i="3"/>
  <c r="L26" i="3"/>
  <c r="K26" i="3"/>
  <c r="B26" i="3"/>
  <c r="L11" i="3"/>
  <c r="K11" i="3"/>
  <c r="G2" i="3"/>
  <c r="G2" i="1" s="1"/>
  <c r="AA136" i="2"/>
  <c r="AA137" i="2"/>
  <c r="AA138" i="2"/>
  <c r="AA135" i="2"/>
  <c r="A122" i="1"/>
  <c r="B122" i="1" s="1"/>
  <c r="A124" i="4"/>
  <c r="L124" i="4" s="1"/>
  <c r="A124" i="2"/>
  <c r="L124" i="2" s="1"/>
  <c r="K123" i="3"/>
  <c r="L123" i="3"/>
  <c r="L124" i="3"/>
  <c r="L125" i="3"/>
  <c r="K124" i="3"/>
  <c r="K125" i="3"/>
  <c r="B125" i="3"/>
  <c r="A27" i="2"/>
  <c r="K27" i="2" s="1"/>
  <c r="A28" i="2"/>
  <c r="B28" i="2" s="1"/>
  <c r="A25" i="2"/>
  <c r="B25" i="2" s="1"/>
  <c r="A29" i="2"/>
  <c r="K29" i="2" s="1"/>
  <c r="A27" i="4"/>
  <c r="K27" i="4" s="1"/>
  <c r="H4" i="9"/>
  <c r="A29" i="4"/>
  <c r="B29" i="4" s="1"/>
  <c r="A28" i="4"/>
  <c r="L28" i="4" s="1"/>
  <c r="A108" i="4"/>
  <c r="B108" i="4" s="1"/>
  <c r="A109" i="4"/>
  <c r="L109" i="4" s="1"/>
  <c r="A110" i="4"/>
  <c r="K110" i="4" s="1"/>
  <c r="A111" i="4"/>
  <c r="K111" i="4" s="1"/>
  <c r="A112" i="4"/>
  <c r="B112" i="4" s="1"/>
  <c r="A113" i="4"/>
  <c r="B113" i="4" s="1"/>
  <c r="A59" i="4"/>
  <c r="K59" i="4" s="1"/>
  <c r="A60" i="4"/>
  <c r="B60" i="4" s="1"/>
  <c r="A61" i="4"/>
  <c r="D61" i="4" s="1"/>
  <c r="A62" i="4"/>
  <c r="L62" i="4" s="1"/>
  <c r="A63" i="4"/>
  <c r="B63" i="4" s="1"/>
  <c r="A69" i="4"/>
  <c r="L69" i="4" s="1"/>
  <c r="A89" i="4"/>
  <c r="L89" i="4" s="1"/>
  <c r="A90" i="4"/>
  <c r="L90" i="4" s="1"/>
  <c r="A74" i="2"/>
  <c r="K74" i="2" s="1"/>
  <c r="A74" i="4"/>
  <c r="B74" i="4" s="1"/>
  <c r="A75" i="4"/>
  <c r="L75" i="4" s="1"/>
  <c r="A76" i="4"/>
  <c r="K76" i="4" s="1"/>
  <c r="A77" i="4"/>
  <c r="L77" i="4" s="1"/>
  <c r="A78" i="4"/>
  <c r="K78" i="4" s="1"/>
  <c r="A79" i="4"/>
  <c r="L79" i="4" s="1"/>
  <c r="A80" i="4"/>
  <c r="K80" i="4" s="1"/>
  <c r="A81" i="4"/>
  <c r="L81" i="4" s="1"/>
  <c r="A82" i="4"/>
  <c r="K82" i="4" s="1"/>
  <c r="A75" i="2"/>
  <c r="L75" i="2" s="1"/>
  <c r="A79" i="2"/>
  <c r="L79" i="2" s="1"/>
  <c r="A78" i="2"/>
  <c r="L78" i="2" s="1"/>
  <c r="A80" i="2"/>
  <c r="K80" i="2" s="1"/>
  <c r="A81" i="2"/>
  <c r="L81" i="2" s="1"/>
  <c r="A77" i="2"/>
  <c r="L77" i="2" s="1"/>
  <c r="A76" i="2"/>
  <c r="L76" i="2" s="1"/>
  <c r="A97" i="4"/>
  <c r="B97" i="4" s="1"/>
  <c r="A98" i="4"/>
  <c r="L98" i="4" s="1"/>
  <c r="A99" i="4"/>
  <c r="L99" i="4" s="1"/>
  <c r="A100" i="4"/>
  <c r="K100" i="4" s="1"/>
  <c r="A101" i="4"/>
  <c r="K101" i="4" s="1"/>
  <c r="A102" i="4"/>
  <c r="L102" i="4" s="1"/>
  <c r="A47" i="4"/>
  <c r="L47" i="4" s="1"/>
  <c r="A48" i="4"/>
  <c r="K48" i="4" s="1"/>
  <c r="A49" i="4"/>
  <c r="D49" i="4" s="1"/>
  <c r="A50" i="4"/>
  <c r="G50" i="4" s="1"/>
  <c r="A51" i="4"/>
  <c r="K51" i="4" s="1"/>
  <c r="A52" i="4"/>
  <c r="K52" i="4" s="1"/>
  <c r="A10" i="4"/>
  <c r="K10" i="4" s="1"/>
  <c r="A12" i="4"/>
  <c r="K12" i="4" s="1"/>
  <c r="A13" i="4"/>
  <c r="L13" i="4" s="1"/>
  <c r="A14" i="4"/>
  <c r="K14" i="4" s="1"/>
  <c r="A38" i="4"/>
  <c r="K38" i="4" s="1"/>
  <c r="A39" i="4"/>
  <c r="B39" i="4" s="1"/>
  <c r="A41" i="4"/>
  <c r="B41" i="4" s="1"/>
  <c r="A44" i="4"/>
  <c r="L44" i="4" s="1"/>
  <c r="A25" i="4"/>
  <c r="L25" i="4" s="1"/>
  <c r="A122" i="4"/>
  <c r="K122" i="4" s="1"/>
  <c r="A123" i="4"/>
  <c r="G123" i="4" s="1"/>
  <c r="A127" i="4"/>
  <c r="L127" i="4" s="1"/>
  <c r="A128" i="4"/>
  <c r="K128" i="4" s="1"/>
  <c r="A129" i="4"/>
  <c r="L129" i="4" s="1"/>
  <c r="P7" i="12"/>
  <c r="O7" i="12"/>
  <c r="N7" i="12"/>
  <c r="A7" i="12"/>
  <c r="A4" i="12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7" i="11"/>
  <c r="C6" i="11"/>
  <c r="C573" i="9"/>
  <c r="A573" i="9"/>
  <c r="C572" i="9"/>
  <c r="A572" i="9"/>
  <c r="C571" i="9"/>
  <c r="A571" i="9"/>
  <c r="C570" i="9"/>
  <c r="A570" i="9"/>
  <c r="C569" i="9"/>
  <c r="A569" i="9"/>
  <c r="C568" i="9"/>
  <c r="A568" i="9"/>
  <c r="C567" i="9"/>
  <c r="A567" i="9"/>
  <c r="C566" i="9"/>
  <c r="A566" i="9"/>
  <c r="C565" i="9"/>
  <c r="A565" i="9"/>
  <c r="C564" i="9"/>
  <c r="A564" i="9"/>
  <c r="C563" i="9"/>
  <c r="A563" i="9"/>
  <c r="C562" i="9"/>
  <c r="A562" i="9"/>
  <c r="C561" i="9"/>
  <c r="A561" i="9"/>
  <c r="C560" i="9"/>
  <c r="A560" i="9"/>
  <c r="C559" i="9"/>
  <c r="A559" i="9"/>
  <c r="C558" i="9"/>
  <c r="A558" i="9"/>
  <c r="C557" i="9"/>
  <c r="A557" i="9"/>
  <c r="C556" i="9"/>
  <c r="A556" i="9"/>
  <c r="C555" i="9"/>
  <c r="A555" i="9"/>
  <c r="C554" i="9"/>
  <c r="A554" i="9"/>
  <c r="C553" i="9"/>
  <c r="A553" i="9"/>
  <c r="C552" i="9"/>
  <c r="A552" i="9"/>
  <c r="C551" i="9"/>
  <c r="A551" i="9"/>
  <c r="C550" i="9"/>
  <c r="A550" i="9"/>
  <c r="C549" i="9"/>
  <c r="A549" i="9"/>
  <c r="C548" i="9"/>
  <c r="A548" i="9"/>
  <c r="C547" i="9"/>
  <c r="A547" i="9"/>
  <c r="C546" i="9"/>
  <c r="A546" i="9"/>
  <c r="C545" i="9"/>
  <c r="A545" i="9"/>
  <c r="C544" i="9"/>
  <c r="A544" i="9"/>
  <c r="C543" i="9"/>
  <c r="A543" i="9"/>
  <c r="C542" i="9"/>
  <c r="A542" i="9"/>
  <c r="C541" i="9"/>
  <c r="A541" i="9"/>
  <c r="C540" i="9"/>
  <c r="A540" i="9"/>
  <c r="C539" i="9"/>
  <c r="A539" i="9"/>
  <c r="C538" i="9"/>
  <c r="A538" i="9"/>
  <c r="C537" i="9"/>
  <c r="A537" i="9"/>
  <c r="C536" i="9"/>
  <c r="A536" i="9"/>
  <c r="C535" i="9"/>
  <c r="A535" i="9"/>
  <c r="C534" i="9"/>
  <c r="A534" i="9"/>
  <c r="C533" i="9"/>
  <c r="A533" i="9"/>
  <c r="C532" i="9"/>
  <c r="A532" i="9"/>
  <c r="C531" i="9"/>
  <c r="A531" i="9"/>
  <c r="C530" i="9"/>
  <c r="A530" i="9"/>
  <c r="C529" i="9"/>
  <c r="A529" i="9"/>
  <c r="C528" i="9"/>
  <c r="A528" i="9"/>
  <c r="C527" i="9"/>
  <c r="A527" i="9"/>
  <c r="C526" i="9"/>
  <c r="A526" i="9"/>
  <c r="C525" i="9"/>
  <c r="A525" i="9"/>
  <c r="C524" i="9"/>
  <c r="A524" i="9"/>
  <c r="C523" i="9"/>
  <c r="A523" i="9"/>
  <c r="C522" i="9"/>
  <c r="A522" i="9"/>
  <c r="C521" i="9"/>
  <c r="A521" i="9"/>
  <c r="C520" i="9"/>
  <c r="A520" i="9"/>
  <c r="C519" i="9"/>
  <c r="A519" i="9"/>
  <c r="C518" i="9"/>
  <c r="A518" i="9"/>
  <c r="C517" i="9"/>
  <c r="A517" i="9"/>
  <c r="C516" i="9"/>
  <c r="A516" i="9"/>
  <c r="C515" i="9"/>
  <c r="A515" i="9"/>
  <c r="C514" i="9"/>
  <c r="A514" i="9"/>
  <c r="C513" i="9"/>
  <c r="A513" i="9"/>
  <c r="C512" i="9"/>
  <c r="A512" i="9"/>
  <c r="C511" i="9"/>
  <c r="A511" i="9"/>
  <c r="C510" i="9"/>
  <c r="A510" i="9"/>
  <c r="C509" i="9"/>
  <c r="A509" i="9"/>
  <c r="C508" i="9"/>
  <c r="A508" i="9"/>
  <c r="C507" i="9"/>
  <c r="A507" i="9"/>
  <c r="C506" i="9"/>
  <c r="A506" i="9"/>
  <c r="C505" i="9"/>
  <c r="A505" i="9"/>
  <c r="C504" i="9"/>
  <c r="A504" i="9"/>
  <c r="C503" i="9"/>
  <c r="A503" i="9"/>
  <c r="C502" i="9"/>
  <c r="A502" i="9"/>
  <c r="C501" i="9"/>
  <c r="A501" i="9"/>
  <c r="C500" i="9"/>
  <c r="A500" i="9"/>
  <c r="H499" i="9"/>
  <c r="G499" i="9"/>
  <c r="E499" i="9"/>
  <c r="C499" i="9"/>
  <c r="A499" i="9"/>
  <c r="H498" i="9"/>
  <c r="G498" i="9"/>
  <c r="E498" i="9"/>
  <c r="C498" i="9"/>
  <c r="A498" i="9"/>
  <c r="H497" i="9"/>
  <c r="G497" i="9"/>
  <c r="E497" i="9"/>
  <c r="C497" i="9"/>
  <c r="A497" i="9"/>
  <c r="H496" i="9"/>
  <c r="G496" i="9"/>
  <c r="E496" i="9"/>
  <c r="C496" i="9"/>
  <c r="A496" i="9"/>
  <c r="H495" i="9"/>
  <c r="G495" i="9"/>
  <c r="E495" i="9"/>
  <c r="C495" i="9"/>
  <c r="A495" i="9"/>
  <c r="C494" i="9"/>
  <c r="A494" i="9"/>
  <c r="C493" i="9"/>
  <c r="A493" i="9"/>
  <c r="C492" i="9"/>
  <c r="A492" i="9"/>
  <c r="C491" i="9"/>
  <c r="A491" i="9"/>
  <c r="C490" i="9"/>
  <c r="A490" i="9"/>
  <c r="C489" i="9"/>
  <c r="A489" i="9"/>
  <c r="C488" i="9"/>
  <c r="A488" i="9"/>
  <c r="C487" i="9"/>
  <c r="A487" i="9"/>
  <c r="C486" i="9"/>
  <c r="A486" i="9"/>
  <c r="C485" i="9"/>
  <c r="A485" i="9"/>
  <c r="C484" i="9"/>
  <c r="A484" i="9"/>
  <c r="C483" i="9"/>
  <c r="A483" i="9"/>
  <c r="C482" i="9"/>
  <c r="A482" i="9"/>
  <c r="C481" i="9"/>
  <c r="A481" i="9"/>
  <c r="C480" i="9"/>
  <c r="A480" i="9"/>
  <c r="C479" i="9"/>
  <c r="A479" i="9"/>
  <c r="C478" i="9"/>
  <c r="A478" i="9"/>
  <c r="C477" i="9"/>
  <c r="A477" i="9"/>
  <c r="C476" i="9"/>
  <c r="A476" i="9"/>
  <c r="C475" i="9"/>
  <c r="A475" i="9"/>
  <c r="C474" i="9"/>
  <c r="A474" i="9"/>
  <c r="C473" i="9"/>
  <c r="A473" i="9"/>
  <c r="C472" i="9"/>
  <c r="A472" i="9"/>
  <c r="C471" i="9"/>
  <c r="A471" i="9"/>
  <c r="C470" i="9"/>
  <c r="A470" i="9"/>
  <c r="C469" i="9"/>
  <c r="A469" i="9"/>
  <c r="C468" i="9"/>
  <c r="A468" i="9"/>
  <c r="C467" i="9"/>
  <c r="A467" i="9"/>
  <c r="C466" i="9"/>
  <c r="A466" i="9"/>
  <c r="C465" i="9"/>
  <c r="A465" i="9"/>
  <c r="C464" i="9"/>
  <c r="A464" i="9"/>
  <c r="C463" i="9"/>
  <c r="A463" i="9"/>
  <c r="C462" i="9"/>
  <c r="A462" i="9"/>
  <c r="L461" i="9"/>
  <c r="C461" i="9"/>
  <c r="A461" i="9"/>
  <c r="C460" i="9"/>
  <c r="A460" i="9"/>
  <c r="C459" i="9"/>
  <c r="A459" i="9"/>
  <c r="C458" i="9"/>
  <c r="A458" i="9"/>
  <c r="C457" i="9"/>
  <c r="A457" i="9"/>
  <c r="C456" i="9"/>
  <c r="A456" i="9"/>
  <c r="C455" i="9"/>
  <c r="A455" i="9"/>
  <c r="C454" i="9"/>
  <c r="A454" i="9"/>
  <c r="C453" i="9"/>
  <c r="A453" i="9"/>
  <c r="C452" i="9"/>
  <c r="A452" i="9"/>
  <c r="C451" i="9"/>
  <c r="A451" i="9"/>
  <c r="C450" i="9"/>
  <c r="A450" i="9"/>
  <c r="C449" i="9"/>
  <c r="A449" i="9"/>
  <c r="C448" i="9"/>
  <c r="A448" i="9"/>
  <c r="C447" i="9"/>
  <c r="A447" i="9"/>
  <c r="C446" i="9"/>
  <c r="A446" i="9"/>
  <c r="C445" i="9"/>
  <c r="A445" i="9"/>
  <c r="C444" i="9"/>
  <c r="A444" i="9"/>
  <c r="C443" i="9"/>
  <c r="A443" i="9"/>
  <c r="C442" i="9"/>
  <c r="A442" i="9"/>
  <c r="C441" i="9"/>
  <c r="A441" i="9"/>
  <c r="C440" i="9"/>
  <c r="A440" i="9"/>
  <c r="C439" i="9"/>
  <c r="A439" i="9"/>
  <c r="C438" i="9"/>
  <c r="A438" i="9"/>
  <c r="C437" i="9"/>
  <c r="A437" i="9"/>
  <c r="C436" i="9"/>
  <c r="A436" i="9"/>
  <c r="C435" i="9"/>
  <c r="A435" i="9"/>
  <c r="C434" i="9"/>
  <c r="A434" i="9"/>
  <c r="C433" i="9"/>
  <c r="A433" i="9"/>
  <c r="C432" i="9"/>
  <c r="A432" i="9"/>
  <c r="C431" i="9"/>
  <c r="A431" i="9"/>
  <c r="C430" i="9"/>
  <c r="A430" i="9"/>
  <c r="C429" i="9"/>
  <c r="A429" i="9"/>
  <c r="C428" i="9"/>
  <c r="A428" i="9"/>
  <c r="C427" i="9"/>
  <c r="A427" i="9"/>
  <c r="C426" i="9"/>
  <c r="A426" i="9"/>
  <c r="C425" i="9"/>
  <c r="A425" i="9"/>
  <c r="C424" i="9"/>
  <c r="A424" i="9"/>
  <c r="C423" i="9"/>
  <c r="A423" i="9"/>
  <c r="C422" i="9"/>
  <c r="A422" i="9"/>
  <c r="C421" i="9"/>
  <c r="A421" i="9"/>
  <c r="C420" i="9"/>
  <c r="A420" i="9"/>
  <c r="C419" i="9"/>
  <c r="A419" i="9"/>
  <c r="C418" i="9"/>
  <c r="A418" i="9"/>
  <c r="C417" i="9"/>
  <c r="A417" i="9"/>
  <c r="C416" i="9"/>
  <c r="A416" i="9"/>
  <c r="C415" i="9"/>
  <c r="A415" i="9"/>
  <c r="C414" i="9"/>
  <c r="A414" i="9"/>
  <c r="C413" i="9"/>
  <c r="A413" i="9"/>
  <c r="C412" i="9"/>
  <c r="A412" i="9"/>
  <c r="C411" i="9"/>
  <c r="A411" i="9"/>
  <c r="C410" i="9"/>
  <c r="A410" i="9"/>
  <c r="C409" i="9"/>
  <c r="A409" i="9"/>
  <c r="C408" i="9"/>
  <c r="A408" i="9"/>
  <c r="C407" i="9"/>
  <c r="A407" i="9"/>
  <c r="C406" i="9"/>
  <c r="A406" i="9"/>
  <c r="C405" i="9"/>
  <c r="A405" i="9"/>
  <c r="C404" i="9"/>
  <c r="A404" i="9"/>
  <c r="C403" i="9"/>
  <c r="A403" i="9"/>
  <c r="C402" i="9"/>
  <c r="A402" i="9"/>
  <c r="C401" i="9"/>
  <c r="A401" i="9"/>
  <c r="C400" i="9"/>
  <c r="A400" i="9"/>
  <c r="C399" i="9"/>
  <c r="A399" i="9"/>
  <c r="C398" i="9"/>
  <c r="A398" i="9"/>
  <c r="C397" i="9"/>
  <c r="A397" i="9"/>
  <c r="C396" i="9"/>
  <c r="A396" i="9"/>
  <c r="C395" i="9"/>
  <c r="A395" i="9"/>
  <c r="C394" i="9"/>
  <c r="A394" i="9"/>
  <c r="C393" i="9"/>
  <c r="A393" i="9"/>
  <c r="C392" i="9"/>
  <c r="A392" i="9"/>
  <c r="C391" i="9"/>
  <c r="A391" i="9"/>
  <c r="C390" i="9"/>
  <c r="A390" i="9"/>
  <c r="C389" i="9"/>
  <c r="A389" i="9"/>
  <c r="C388" i="9"/>
  <c r="A388" i="9"/>
  <c r="C387" i="9"/>
  <c r="A387" i="9"/>
  <c r="C386" i="9"/>
  <c r="A386" i="9"/>
  <c r="C385" i="9"/>
  <c r="A385" i="9"/>
  <c r="C384" i="9"/>
  <c r="A384" i="9"/>
  <c r="C383" i="9"/>
  <c r="A383" i="9"/>
  <c r="C382" i="9"/>
  <c r="A382" i="9"/>
  <c r="C381" i="9"/>
  <c r="A381" i="9"/>
  <c r="C380" i="9"/>
  <c r="A380" i="9"/>
  <c r="C379" i="9"/>
  <c r="A379" i="9"/>
  <c r="C378" i="9"/>
  <c r="A378" i="9"/>
  <c r="C377" i="9"/>
  <c r="A377" i="9"/>
  <c r="C376" i="9"/>
  <c r="A376" i="9"/>
  <c r="C375" i="9"/>
  <c r="A375" i="9"/>
  <c r="C374" i="9"/>
  <c r="A374" i="9"/>
  <c r="C373" i="9"/>
  <c r="A373" i="9"/>
  <c r="C372" i="9"/>
  <c r="A372" i="9"/>
  <c r="C371" i="9"/>
  <c r="A371" i="9"/>
  <c r="C370" i="9"/>
  <c r="A370" i="9"/>
  <c r="C369" i="9"/>
  <c r="A369" i="9"/>
  <c r="C368" i="9"/>
  <c r="A368" i="9"/>
  <c r="C367" i="9"/>
  <c r="A367" i="9"/>
  <c r="C366" i="9"/>
  <c r="A366" i="9"/>
  <c r="C365" i="9"/>
  <c r="A365" i="9"/>
  <c r="C364" i="9"/>
  <c r="A364" i="9"/>
  <c r="C363" i="9"/>
  <c r="A363" i="9"/>
  <c r="C362" i="9"/>
  <c r="A362" i="9"/>
  <c r="C361" i="9"/>
  <c r="A361" i="9"/>
  <c r="C360" i="9"/>
  <c r="A360" i="9"/>
  <c r="C359" i="9"/>
  <c r="A359" i="9"/>
  <c r="C358" i="9"/>
  <c r="A358" i="9"/>
  <c r="C357" i="9"/>
  <c r="A357" i="9"/>
  <c r="C356" i="9"/>
  <c r="A356" i="9"/>
  <c r="C355" i="9"/>
  <c r="A355" i="9"/>
  <c r="C354" i="9"/>
  <c r="A354" i="9"/>
  <c r="C353" i="9"/>
  <c r="A353" i="9"/>
  <c r="C352" i="9"/>
  <c r="A352" i="9"/>
  <c r="C351" i="9"/>
  <c r="A351" i="9"/>
  <c r="C350" i="9"/>
  <c r="A350" i="9"/>
  <c r="C349" i="9"/>
  <c r="A349" i="9"/>
  <c r="C348" i="9"/>
  <c r="A348" i="9"/>
  <c r="C347" i="9"/>
  <c r="A347" i="9"/>
  <c r="C346" i="9"/>
  <c r="A346" i="9"/>
  <c r="C345" i="9"/>
  <c r="A345" i="9"/>
  <c r="C344" i="9"/>
  <c r="A344" i="9"/>
  <c r="C343" i="9"/>
  <c r="A343" i="9"/>
  <c r="C342" i="9"/>
  <c r="A342" i="9"/>
  <c r="C341" i="9"/>
  <c r="A341" i="9"/>
  <c r="C340" i="9"/>
  <c r="A340" i="9"/>
  <c r="C339" i="9"/>
  <c r="A339" i="9"/>
  <c r="C338" i="9"/>
  <c r="A338" i="9"/>
  <c r="C337" i="9"/>
  <c r="A337" i="9"/>
  <c r="C336" i="9"/>
  <c r="A336" i="9"/>
  <c r="C335" i="9"/>
  <c r="A335" i="9"/>
  <c r="C334" i="9"/>
  <c r="A334" i="9"/>
  <c r="C333" i="9"/>
  <c r="A333" i="9"/>
  <c r="C332" i="9"/>
  <c r="A332" i="9"/>
  <c r="C331" i="9"/>
  <c r="A331" i="9"/>
  <c r="C330" i="9"/>
  <c r="A330" i="9"/>
  <c r="L329" i="9"/>
  <c r="C329" i="9"/>
  <c r="A329" i="9"/>
  <c r="C328" i="9"/>
  <c r="A328" i="9"/>
  <c r="C327" i="9"/>
  <c r="A327" i="9"/>
  <c r="C326" i="9"/>
  <c r="A326" i="9"/>
  <c r="C325" i="9"/>
  <c r="A325" i="9"/>
  <c r="C324" i="9"/>
  <c r="A324" i="9"/>
  <c r="C323" i="9"/>
  <c r="A323" i="9"/>
  <c r="C322" i="9"/>
  <c r="A322" i="9"/>
  <c r="C321" i="9"/>
  <c r="A321" i="9"/>
  <c r="C320" i="9"/>
  <c r="A320" i="9"/>
  <c r="C319" i="9"/>
  <c r="A319" i="9"/>
  <c r="C318" i="9"/>
  <c r="A318" i="9"/>
  <c r="C317" i="9"/>
  <c r="A317" i="9"/>
  <c r="C316" i="9"/>
  <c r="A316" i="9"/>
  <c r="C315" i="9"/>
  <c r="A315" i="9"/>
  <c r="C314" i="9"/>
  <c r="A314" i="9"/>
  <c r="C313" i="9"/>
  <c r="A313" i="9"/>
  <c r="C312" i="9"/>
  <c r="A312" i="9"/>
  <c r="C311" i="9"/>
  <c r="A311" i="9"/>
  <c r="C310" i="9"/>
  <c r="A310" i="9"/>
  <c r="C309" i="9"/>
  <c r="A309" i="9"/>
  <c r="C308" i="9"/>
  <c r="A308" i="9"/>
  <c r="C307" i="9"/>
  <c r="A307" i="9"/>
  <c r="C306" i="9"/>
  <c r="A306" i="9"/>
  <c r="C305" i="9"/>
  <c r="A305" i="9"/>
  <c r="C304" i="9"/>
  <c r="A304" i="9"/>
  <c r="C303" i="9"/>
  <c r="A303" i="9"/>
  <c r="C302" i="9"/>
  <c r="A302" i="9"/>
  <c r="C301" i="9"/>
  <c r="A301" i="9"/>
  <c r="C300" i="9"/>
  <c r="A300" i="9"/>
  <c r="C299" i="9"/>
  <c r="A299" i="9"/>
  <c r="C298" i="9"/>
  <c r="A298" i="9"/>
  <c r="C297" i="9"/>
  <c r="A297" i="9"/>
  <c r="C296" i="9"/>
  <c r="A296" i="9"/>
  <c r="C295" i="9"/>
  <c r="A295" i="9"/>
  <c r="C294" i="9"/>
  <c r="A294" i="9"/>
  <c r="C293" i="9"/>
  <c r="A293" i="9"/>
  <c r="C292" i="9"/>
  <c r="A292" i="9"/>
  <c r="C291" i="9"/>
  <c r="A291" i="9"/>
  <c r="C290" i="9"/>
  <c r="A290" i="9"/>
  <c r="C289" i="9"/>
  <c r="A289" i="9"/>
  <c r="C288" i="9"/>
  <c r="A288" i="9"/>
  <c r="C287" i="9"/>
  <c r="A287" i="9"/>
  <c r="C286" i="9"/>
  <c r="A286" i="9"/>
  <c r="C285" i="9"/>
  <c r="A285" i="9"/>
  <c r="C284" i="9"/>
  <c r="A284" i="9"/>
  <c r="C283" i="9"/>
  <c r="A283" i="9"/>
  <c r="C282" i="9"/>
  <c r="A282" i="9"/>
  <c r="C281" i="9"/>
  <c r="A281" i="9"/>
  <c r="C280" i="9"/>
  <c r="A280" i="9"/>
  <c r="N279" i="9"/>
  <c r="C279" i="9"/>
  <c r="A279" i="9"/>
  <c r="C278" i="9"/>
  <c r="A278" i="9"/>
  <c r="C277" i="9"/>
  <c r="A277" i="9"/>
  <c r="C276" i="9"/>
  <c r="A276" i="9"/>
  <c r="C275" i="9"/>
  <c r="A275" i="9"/>
  <c r="C274" i="9"/>
  <c r="A274" i="9"/>
  <c r="C273" i="9"/>
  <c r="A273" i="9"/>
  <c r="C272" i="9"/>
  <c r="A272" i="9"/>
  <c r="C271" i="9"/>
  <c r="A271" i="9"/>
  <c r="L270" i="9"/>
  <c r="C270" i="9"/>
  <c r="A270" i="9"/>
  <c r="C269" i="9"/>
  <c r="A269" i="9"/>
  <c r="C268" i="9"/>
  <c r="A268" i="9"/>
  <c r="C267" i="9"/>
  <c r="A267" i="9"/>
  <c r="C266" i="9"/>
  <c r="A266" i="9"/>
  <c r="C265" i="9"/>
  <c r="A265" i="9"/>
  <c r="C264" i="9"/>
  <c r="A264" i="9"/>
  <c r="C263" i="9"/>
  <c r="A263" i="9"/>
  <c r="C262" i="9"/>
  <c r="A262" i="9"/>
  <c r="C261" i="9"/>
  <c r="A261" i="9"/>
  <c r="C260" i="9"/>
  <c r="A260" i="9"/>
  <c r="C259" i="9"/>
  <c r="A259" i="9"/>
  <c r="C258" i="9"/>
  <c r="A258" i="9"/>
  <c r="C257" i="9"/>
  <c r="A257" i="9"/>
  <c r="C256" i="9"/>
  <c r="A256" i="9"/>
  <c r="C255" i="9"/>
  <c r="A255" i="9"/>
  <c r="C254" i="9"/>
  <c r="A254" i="9"/>
  <c r="C253" i="9"/>
  <c r="A253" i="9"/>
  <c r="C252" i="9"/>
  <c r="A252" i="9"/>
  <c r="C251" i="9"/>
  <c r="A251" i="9"/>
  <c r="C250" i="9"/>
  <c r="A250" i="9"/>
  <c r="C249" i="9"/>
  <c r="A249" i="9"/>
  <c r="C248" i="9"/>
  <c r="A248" i="9"/>
  <c r="C247" i="9"/>
  <c r="A247" i="9"/>
  <c r="C246" i="9"/>
  <c r="A246" i="9"/>
  <c r="C245" i="9"/>
  <c r="A245" i="9"/>
  <c r="C244" i="9"/>
  <c r="A244" i="9"/>
  <c r="C243" i="9"/>
  <c r="A243" i="9"/>
  <c r="C242" i="9"/>
  <c r="A242" i="9"/>
  <c r="C241" i="9"/>
  <c r="A241" i="9"/>
  <c r="C240" i="9"/>
  <c r="A240" i="9"/>
  <c r="C239" i="9"/>
  <c r="A239" i="9"/>
  <c r="C238" i="9"/>
  <c r="A238" i="9"/>
  <c r="M237" i="9"/>
  <c r="C237" i="9"/>
  <c r="A237" i="9"/>
  <c r="C236" i="9"/>
  <c r="A236" i="9"/>
  <c r="C235" i="9"/>
  <c r="A235" i="9"/>
  <c r="C234" i="9"/>
  <c r="A234" i="9"/>
  <c r="C233" i="9"/>
  <c r="A233" i="9"/>
  <c r="M232" i="9"/>
  <c r="C232" i="9"/>
  <c r="A232" i="9"/>
  <c r="C231" i="9"/>
  <c r="A231" i="9"/>
  <c r="C230" i="9"/>
  <c r="A230" i="9"/>
  <c r="C229" i="9"/>
  <c r="A229" i="9"/>
  <c r="N228" i="9"/>
  <c r="C228" i="9"/>
  <c r="A228" i="9"/>
  <c r="C227" i="9"/>
  <c r="A227" i="9"/>
  <c r="C226" i="9"/>
  <c r="A226" i="9"/>
  <c r="C225" i="9"/>
  <c r="A225" i="9"/>
  <c r="C224" i="9"/>
  <c r="A224" i="9"/>
  <c r="C223" i="9"/>
  <c r="A223" i="9"/>
  <c r="C222" i="9"/>
  <c r="A222" i="9"/>
  <c r="C221" i="9"/>
  <c r="A221" i="9"/>
  <c r="C220" i="9"/>
  <c r="A220" i="9"/>
  <c r="C219" i="9"/>
  <c r="A219" i="9"/>
  <c r="C218" i="9"/>
  <c r="A218" i="9"/>
  <c r="L217" i="9"/>
  <c r="C217" i="9"/>
  <c r="A217" i="9"/>
  <c r="C216" i="9"/>
  <c r="A216" i="9"/>
  <c r="C215" i="9"/>
  <c r="A215" i="9"/>
  <c r="C214" i="9"/>
  <c r="A214" i="9"/>
  <c r="L213" i="9"/>
  <c r="C213" i="9"/>
  <c r="A213" i="9"/>
  <c r="C212" i="9"/>
  <c r="A212" i="9"/>
  <c r="C211" i="9"/>
  <c r="A211" i="9"/>
  <c r="C210" i="9"/>
  <c r="A210" i="9"/>
  <c r="M209" i="9"/>
  <c r="C209" i="9"/>
  <c r="A209" i="9"/>
  <c r="C208" i="9"/>
  <c r="A208" i="9"/>
  <c r="C207" i="9"/>
  <c r="A207" i="9"/>
  <c r="C206" i="9"/>
  <c r="A206" i="9"/>
  <c r="L205" i="9"/>
  <c r="C205" i="9"/>
  <c r="A205" i="9"/>
  <c r="C204" i="9"/>
  <c r="A204" i="9"/>
  <c r="C203" i="9"/>
  <c r="A203" i="9"/>
  <c r="C202" i="9"/>
  <c r="A202" i="9"/>
  <c r="M201" i="9"/>
  <c r="C201" i="9"/>
  <c r="A201" i="9"/>
  <c r="C200" i="9"/>
  <c r="A200" i="9"/>
  <c r="C199" i="9"/>
  <c r="A199" i="9"/>
  <c r="C198" i="9"/>
  <c r="A198" i="9"/>
  <c r="C197" i="9"/>
  <c r="A197" i="9"/>
  <c r="C196" i="9"/>
  <c r="A196" i="9"/>
  <c r="C195" i="9"/>
  <c r="A195" i="9"/>
  <c r="C194" i="9"/>
  <c r="A194" i="9"/>
  <c r="C193" i="9"/>
  <c r="A193" i="9"/>
  <c r="L192" i="9"/>
  <c r="C192" i="9"/>
  <c r="A192" i="9"/>
  <c r="C191" i="9"/>
  <c r="A191" i="9"/>
  <c r="C190" i="9"/>
  <c r="A190" i="9"/>
  <c r="C189" i="9"/>
  <c r="A189" i="9"/>
  <c r="M188" i="9"/>
  <c r="C188" i="9"/>
  <c r="A188" i="9"/>
  <c r="C187" i="9"/>
  <c r="A187" i="9"/>
  <c r="C186" i="9"/>
  <c r="A186" i="9"/>
  <c r="C185" i="9"/>
  <c r="A185" i="9"/>
  <c r="N184" i="9"/>
  <c r="C184" i="9"/>
  <c r="A184" i="9"/>
  <c r="C183" i="9"/>
  <c r="A183" i="9"/>
  <c r="C182" i="9"/>
  <c r="A182" i="9"/>
  <c r="C181" i="9"/>
  <c r="A181" i="9"/>
  <c r="C180" i="9"/>
  <c r="A180" i="9"/>
  <c r="C179" i="9"/>
  <c r="A179" i="9"/>
  <c r="C178" i="9"/>
  <c r="A178" i="9"/>
  <c r="C177" i="9"/>
  <c r="A177" i="9"/>
  <c r="C176" i="9"/>
  <c r="A176" i="9"/>
  <c r="M175" i="9"/>
  <c r="C175" i="9"/>
  <c r="A175" i="9"/>
  <c r="C174" i="9"/>
  <c r="A174" i="9"/>
  <c r="C173" i="9"/>
  <c r="A173" i="9"/>
  <c r="C172" i="9"/>
  <c r="A172" i="9"/>
  <c r="N171" i="9"/>
  <c r="C171" i="9"/>
  <c r="A171" i="9"/>
  <c r="C170" i="9"/>
  <c r="A170" i="9"/>
  <c r="C169" i="9"/>
  <c r="A169" i="9"/>
  <c r="C168" i="9"/>
  <c r="A168" i="9"/>
  <c r="C167" i="9"/>
  <c r="A167" i="9"/>
  <c r="C166" i="9"/>
  <c r="A166" i="9"/>
  <c r="C165" i="9"/>
  <c r="A165" i="9"/>
  <c r="C164" i="9"/>
  <c r="A164" i="9"/>
  <c r="C163" i="9"/>
  <c r="A163" i="9"/>
  <c r="C162" i="9"/>
  <c r="A162" i="9"/>
  <c r="L161" i="9"/>
  <c r="C161" i="9"/>
  <c r="A161" i="9"/>
  <c r="C160" i="9"/>
  <c r="A160" i="9"/>
  <c r="C159" i="9"/>
  <c r="A159" i="9"/>
  <c r="C158" i="9"/>
  <c r="A158" i="9"/>
  <c r="C157" i="9"/>
  <c r="A157" i="9"/>
  <c r="C156" i="9"/>
  <c r="A156" i="9"/>
  <c r="C155" i="9"/>
  <c r="A155" i="9"/>
  <c r="C154" i="9"/>
  <c r="A154" i="9"/>
  <c r="C153" i="9"/>
  <c r="A153" i="9"/>
  <c r="C152" i="9"/>
  <c r="A152" i="9"/>
  <c r="N151" i="9"/>
  <c r="C151" i="9"/>
  <c r="A151" i="9"/>
  <c r="C150" i="9"/>
  <c r="A150" i="9"/>
  <c r="C149" i="9"/>
  <c r="A149" i="9"/>
  <c r="M148" i="9"/>
  <c r="C148" i="9"/>
  <c r="A148" i="9"/>
  <c r="N147" i="9"/>
  <c r="C147" i="9"/>
  <c r="A147" i="9"/>
  <c r="N146" i="9"/>
  <c r="C146" i="9"/>
  <c r="A146" i="9"/>
  <c r="C145" i="9"/>
  <c r="A145" i="9"/>
  <c r="C144" i="9"/>
  <c r="A144" i="9"/>
  <c r="C143" i="9"/>
  <c r="A143" i="9"/>
  <c r="C142" i="9"/>
  <c r="A142" i="9"/>
  <c r="C141" i="9"/>
  <c r="A141" i="9"/>
  <c r="M140" i="9"/>
  <c r="C140" i="9"/>
  <c r="A140" i="9"/>
  <c r="N139" i="9"/>
  <c r="C139" i="9"/>
  <c r="A139" i="9"/>
  <c r="N138" i="9"/>
  <c r="C138" i="9"/>
  <c r="A138" i="9"/>
  <c r="C137" i="9"/>
  <c r="A137" i="9"/>
  <c r="C136" i="9"/>
  <c r="A136" i="9"/>
  <c r="C135" i="9"/>
  <c r="A135" i="9"/>
  <c r="C134" i="9"/>
  <c r="A134" i="9"/>
  <c r="C133" i="9"/>
  <c r="A133" i="9"/>
  <c r="L132" i="9"/>
  <c r="C132" i="9"/>
  <c r="A132" i="9"/>
  <c r="M131" i="9"/>
  <c r="C131" i="9"/>
  <c r="A131" i="9"/>
  <c r="N130" i="9"/>
  <c r="C130" i="9"/>
  <c r="A130" i="9"/>
  <c r="C129" i="9"/>
  <c r="A129" i="9"/>
  <c r="L128" i="9"/>
  <c r="C128" i="9"/>
  <c r="A128" i="9"/>
  <c r="M127" i="9"/>
  <c r="C127" i="9"/>
  <c r="A127" i="9"/>
  <c r="N126" i="9"/>
  <c r="C126" i="9"/>
  <c r="A126" i="9"/>
  <c r="C125" i="9"/>
  <c r="A125" i="9"/>
  <c r="L124" i="9"/>
  <c r="C124" i="9"/>
  <c r="A124" i="9"/>
  <c r="M123" i="9"/>
  <c r="C123" i="9"/>
  <c r="A123" i="9"/>
  <c r="N122" i="9"/>
  <c r="C122" i="9"/>
  <c r="A122" i="9"/>
  <c r="C121" i="9"/>
  <c r="A121" i="9"/>
  <c r="L120" i="9"/>
  <c r="C120" i="9"/>
  <c r="A120" i="9"/>
  <c r="M119" i="9"/>
  <c r="C119" i="9"/>
  <c r="A119" i="9"/>
  <c r="N118" i="9"/>
  <c r="C118" i="9"/>
  <c r="A118" i="9"/>
  <c r="C117" i="9"/>
  <c r="A117" i="9"/>
  <c r="L116" i="9"/>
  <c r="C116" i="9"/>
  <c r="A116" i="9"/>
  <c r="M115" i="9"/>
  <c r="C115" i="9"/>
  <c r="A115" i="9"/>
  <c r="N114" i="9"/>
  <c r="C114" i="9"/>
  <c r="A114" i="9"/>
  <c r="C113" i="9"/>
  <c r="A113" i="9"/>
  <c r="L112" i="9"/>
  <c r="C112" i="9"/>
  <c r="A112" i="9"/>
  <c r="M111" i="9"/>
  <c r="C111" i="9"/>
  <c r="A111" i="9"/>
  <c r="N110" i="9"/>
  <c r="C110" i="9"/>
  <c r="A110" i="9"/>
  <c r="C109" i="9"/>
  <c r="A109" i="9"/>
  <c r="L108" i="9"/>
  <c r="C108" i="9"/>
  <c r="A108" i="9"/>
  <c r="M107" i="9"/>
  <c r="C107" i="9"/>
  <c r="A107" i="9"/>
  <c r="N106" i="9"/>
  <c r="C106" i="9"/>
  <c r="A106" i="9"/>
  <c r="C105" i="9"/>
  <c r="A105" i="9"/>
  <c r="L104" i="9"/>
  <c r="C104" i="9"/>
  <c r="A104" i="9"/>
  <c r="M103" i="9"/>
  <c r="C103" i="9"/>
  <c r="A103" i="9"/>
  <c r="N102" i="9"/>
  <c r="C102" i="9"/>
  <c r="A102" i="9"/>
  <c r="C101" i="9"/>
  <c r="A101" i="9"/>
  <c r="L100" i="9"/>
  <c r="C100" i="9"/>
  <c r="A100" i="9"/>
  <c r="M99" i="9"/>
  <c r="C99" i="9"/>
  <c r="A99" i="9"/>
  <c r="N98" i="9"/>
  <c r="C98" i="9"/>
  <c r="A98" i="9"/>
  <c r="C97" i="9"/>
  <c r="A97" i="9"/>
  <c r="L96" i="9"/>
  <c r="C96" i="9"/>
  <c r="A96" i="9"/>
  <c r="M95" i="9"/>
  <c r="C95" i="9"/>
  <c r="A95" i="9"/>
  <c r="N94" i="9"/>
  <c r="C94" i="9"/>
  <c r="A94" i="9"/>
  <c r="C93" i="9"/>
  <c r="A93" i="9"/>
  <c r="L92" i="9"/>
  <c r="C92" i="9"/>
  <c r="A92" i="9"/>
  <c r="M91" i="9"/>
  <c r="C91" i="9"/>
  <c r="A91" i="9"/>
  <c r="N90" i="9"/>
  <c r="C90" i="9"/>
  <c r="A90" i="9"/>
  <c r="C89" i="9"/>
  <c r="A89" i="9"/>
  <c r="L88" i="9"/>
  <c r="C88" i="9"/>
  <c r="A88" i="9"/>
  <c r="M87" i="9"/>
  <c r="C87" i="9"/>
  <c r="A87" i="9"/>
  <c r="N86" i="9"/>
  <c r="C86" i="9"/>
  <c r="A86" i="9"/>
  <c r="C85" i="9"/>
  <c r="A85" i="9"/>
  <c r="L84" i="9"/>
  <c r="C84" i="9"/>
  <c r="A84" i="9"/>
  <c r="M83" i="9"/>
  <c r="C83" i="9"/>
  <c r="A83" i="9"/>
  <c r="N82" i="9"/>
  <c r="C82" i="9"/>
  <c r="A82" i="9"/>
  <c r="C81" i="9"/>
  <c r="A81" i="9"/>
  <c r="L80" i="9"/>
  <c r="C80" i="9"/>
  <c r="A80" i="9"/>
  <c r="M79" i="9"/>
  <c r="C79" i="9"/>
  <c r="A79" i="9"/>
  <c r="N78" i="9"/>
  <c r="C78" i="9"/>
  <c r="A78" i="9"/>
  <c r="C77" i="9"/>
  <c r="A77" i="9"/>
  <c r="L76" i="9"/>
  <c r="C76" i="9"/>
  <c r="A76" i="9"/>
  <c r="M75" i="9"/>
  <c r="C75" i="9"/>
  <c r="A75" i="9"/>
  <c r="N74" i="9"/>
  <c r="C74" i="9"/>
  <c r="A74" i="9"/>
  <c r="C73" i="9"/>
  <c r="A73" i="9"/>
  <c r="L72" i="9"/>
  <c r="C72" i="9"/>
  <c r="A72" i="9"/>
  <c r="M71" i="9"/>
  <c r="C71" i="9"/>
  <c r="A71" i="9"/>
  <c r="N70" i="9"/>
  <c r="C70" i="9"/>
  <c r="A70" i="9"/>
  <c r="C69" i="9"/>
  <c r="A69" i="9"/>
  <c r="L68" i="9"/>
  <c r="C68" i="9"/>
  <c r="A68" i="9"/>
  <c r="M67" i="9"/>
  <c r="C67" i="9"/>
  <c r="A67" i="9"/>
  <c r="N66" i="9"/>
  <c r="C66" i="9"/>
  <c r="A66" i="9"/>
  <c r="C65" i="9"/>
  <c r="A65" i="9"/>
  <c r="L64" i="9"/>
  <c r="C64" i="9"/>
  <c r="A64" i="9"/>
  <c r="M63" i="9"/>
  <c r="C63" i="9"/>
  <c r="A63" i="9"/>
  <c r="N62" i="9"/>
  <c r="C62" i="9"/>
  <c r="A62" i="9"/>
  <c r="C61" i="9"/>
  <c r="A61" i="9"/>
  <c r="L60" i="9"/>
  <c r="C60" i="9"/>
  <c r="A60" i="9"/>
  <c r="M59" i="9"/>
  <c r="C59" i="9"/>
  <c r="A59" i="9"/>
  <c r="N58" i="9"/>
  <c r="C58" i="9"/>
  <c r="A58" i="9"/>
  <c r="C57" i="9"/>
  <c r="A57" i="9"/>
  <c r="L56" i="9"/>
  <c r="C56" i="9"/>
  <c r="A56" i="9"/>
  <c r="M55" i="9"/>
  <c r="C55" i="9"/>
  <c r="A55" i="9"/>
  <c r="N54" i="9"/>
  <c r="C54" i="9"/>
  <c r="A54" i="9"/>
  <c r="C53" i="9"/>
  <c r="A53" i="9"/>
  <c r="L52" i="9"/>
  <c r="C52" i="9"/>
  <c r="A52" i="9"/>
  <c r="M51" i="9"/>
  <c r="C51" i="9"/>
  <c r="A51" i="9"/>
  <c r="N50" i="9"/>
  <c r="C50" i="9"/>
  <c r="A50" i="9"/>
  <c r="C49" i="9"/>
  <c r="A49" i="9"/>
  <c r="L48" i="9"/>
  <c r="C48" i="9"/>
  <c r="A48" i="9"/>
  <c r="M47" i="9"/>
  <c r="C47" i="9"/>
  <c r="A47" i="9"/>
  <c r="N46" i="9"/>
  <c r="C46" i="9"/>
  <c r="A46" i="9"/>
  <c r="C45" i="9"/>
  <c r="A45" i="9"/>
  <c r="L44" i="9"/>
  <c r="C44" i="9"/>
  <c r="A44" i="9"/>
  <c r="M43" i="9"/>
  <c r="C43" i="9"/>
  <c r="A43" i="9"/>
  <c r="N42" i="9"/>
  <c r="C42" i="9"/>
  <c r="A42" i="9"/>
  <c r="C41" i="9"/>
  <c r="A41" i="9"/>
  <c r="L40" i="9"/>
  <c r="C40" i="9"/>
  <c r="A40" i="9"/>
  <c r="M39" i="9"/>
  <c r="C39" i="9"/>
  <c r="A39" i="9"/>
  <c r="N38" i="9"/>
  <c r="C38" i="9"/>
  <c r="A38" i="9"/>
  <c r="C37" i="9"/>
  <c r="A37" i="9"/>
  <c r="L36" i="9"/>
  <c r="C36" i="9"/>
  <c r="A36" i="9"/>
  <c r="M35" i="9"/>
  <c r="C35" i="9"/>
  <c r="A35" i="9"/>
  <c r="N34" i="9"/>
  <c r="C34" i="9"/>
  <c r="A34" i="9"/>
  <c r="C33" i="9"/>
  <c r="A33" i="9"/>
  <c r="L32" i="9"/>
  <c r="C32" i="9"/>
  <c r="A32" i="9"/>
  <c r="M31" i="9"/>
  <c r="C31" i="9"/>
  <c r="A31" i="9"/>
  <c r="N30" i="9"/>
  <c r="C30" i="9"/>
  <c r="A30" i="9"/>
  <c r="C29" i="9"/>
  <c r="A29" i="9"/>
  <c r="L28" i="9"/>
  <c r="C28" i="9"/>
  <c r="A28" i="9"/>
  <c r="M27" i="9"/>
  <c r="C27" i="9"/>
  <c r="A27" i="9"/>
  <c r="N26" i="9"/>
  <c r="C26" i="9"/>
  <c r="A26" i="9"/>
  <c r="C25" i="9"/>
  <c r="A25" i="9"/>
  <c r="L24" i="9"/>
  <c r="C24" i="9"/>
  <c r="A24" i="9"/>
  <c r="M23" i="9"/>
  <c r="C23" i="9"/>
  <c r="A23" i="9"/>
  <c r="N22" i="9"/>
  <c r="C22" i="9"/>
  <c r="A22" i="9"/>
  <c r="C21" i="9"/>
  <c r="A21" i="9"/>
  <c r="L20" i="9"/>
  <c r="C20" i="9"/>
  <c r="A20" i="9"/>
  <c r="M19" i="9"/>
  <c r="C19" i="9"/>
  <c r="A19" i="9"/>
  <c r="N18" i="9"/>
  <c r="C18" i="9"/>
  <c r="A18" i="9"/>
  <c r="C17" i="9"/>
  <c r="A17" i="9"/>
  <c r="L16" i="9"/>
  <c r="C16" i="9"/>
  <c r="A16" i="9"/>
  <c r="M15" i="9"/>
  <c r="C15" i="9"/>
  <c r="A15" i="9"/>
  <c r="N14" i="9"/>
  <c r="C14" i="9"/>
  <c r="A14" i="9"/>
  <c r="C13" i="9"/>
  <c r="A13" i="9"/>
  <c r="L12" i="9"/>
  <c r="C12" i="9"/>
  <c r="A12" i="9"/>
  <c r="M11" i="9"/>
  <c r="C11" i="9"/>
  <c r="A11" i="9"/>
  <c r="N10" i="9"/>
  <c r="C10" i="9"/>
  <c r="A10" i="9"/>
  <c r="C9" i="9"/>
  <c r="A9" i="9"/>
  <c r="L8" i="9"/>
  <c r="C8" i="9"/>
  <c r="A8" i="9"/>
  <c r="M7" i="9"/>
  <c r="C7" i="9"/>
  <c r="A7" i="9"/>
  <c r="N6" i="9"/>
  <c r="C6" i="9"/>
  <c r="A6" i="9"/>
  <c r="C5" i="9"/>
  <c r="A5" i="9"/>
  <c r="N4" i="9"/>
  <c r="M4" i="9"/>
  <c r="L4" i="9"/>
  <c r="C4" i="9"/>
  <c r="A4" i="9"/>
  <c r="M3" i="9"/>
  <c r="C3" i="9"/>
  <c r="A3" i="9"/>
  <c r="F1" i="9"/>
  <c r="A127" i="1"/>
  <c r="B127" i="1" s="1"/>
  <c r="A126" i="1"/>
  <c r="B126" i="1" s="1"/>
  <c r="A125" i="1"/>
  <c r="B125" i="1" s="1"/>
  <c r="A124" i="1"/>
  <c r="A140" i="1" s="1"/>
  <c r="A121" i="1"/>
  <c r="D121" i="1" s="1"/>
  <c r="A120" i="1"/>
  <c r="G120" i="1" s="1"/>
  <c r="A119" i="1"/>
  <c r="A112" i="1"/>
  <c r="B112" i="1" s="1"/>
  <c r="A111" i="1"/>
  <c r="K111" i="1" s="1"/>
  <c r="A110" i="1"/>
  <c r="B110" i="1" s="1"/>
  <c r="A109" i="1"/>
  <c r="D109" i="1" s="1"/>
  <c r="A108" i="1"/>
  <c r="K108" i="1" s="1"/>
  <c r="B107" i="1"/>
  <c r="A107" i="1"/>
  <c r="A102" i="1"/>
  <c r="G102" i="1" s="1"/>
  <c r="A101" i="1"/>
  <c r="B101" i="1" s="1"/>
  <c r="A98" i="1"/>
  <c r="B98" i="1" s="1"/>
  <c r="A97" i="1"/>
  <c r="G97" i="1" s="1"/>
  <c r="B95" i="1"/>
  <c r="A95" i="1"/>
  <c r="A90" i="1"/>
  <c r="B90" i="1" s="1"/>
  <c r="A89" i="1"/>
  <c r="B89" i="1" s="1"/>
  <c r="B88" i="1"/>
  <c r="A88" i="1"/>
  <c r="A84" i="1"/>
  <c r="B84" i="1" s="1"/>
  <c r="A82" i="1"/>
  <c r="K82" i="1" s="1"/>
  <c r="A81" i="1"/>
  <c r="D81" i="1" s="1"/>
  <c r="A80" i="1"/>
  <c r="K80" i="1" s="1"/>
  <c r="A79" i="1"/>
  <c r="B79" i="1" s="1"/>
  <c r="A78" i="1"/>
  <c r="K78" i="1" s="1"/>
  <c r="A77" i="1"/>
  <c r="G77" i="1" s="1"/>
  <c r="A76" i="1"/>
  <c r="B76" i="1" s="1"/>
  <c r="A75" i="1"/>
  <c r="K75" i="1" s="1"/>
  <c r="A74" i="1"/>
  <c r="B74" i="1" s="1"/>
  <c r="B73" i="1"/>
  <c r="A73" i="1"/>
  <c r="B71" i="1"/>
  <c r="A63" i="1"/>
  <c r="D63" i="1" s="1"/>
  <c r="A62" i="1"/>
  <c r="B62" i="1" s="1"/>
  <c r="A61" i="1"/>
  <c r="B61" i="1" s="1"/>
  <c r="A60" i="1"/>
  <c r="B60" i="1" s="1"/>
  <c r="A59" i="1"/>
  <c r="K59" i="1" s="1"/>
  <c r="B58" i="1"/>
  <c r="A58" i="1"/>
  <c r="A52" i="1"/>
  <c r="B52" i="1" s="1"/>
  <c r="A51" i="1"/>
  <c r="B51" i="1" s="1"/>
  <c r="A50" i="1"/>
  <c r="K50" i="1" s="1"/>
  <c r="A49" i="1"/>
  <c r="K49" i="1" s="1"/>
  <c r="A48" i="1"/>
  <c r="K48" i="1" s="1"/>
  <c r="A47" i="1"/>
  <c r="B47" i="1" s="1"/>
  <c r="B46" i="1"/>
  <c r="A46" i="1"/>
  <c r="A44" i="1"/>
  <c r="B44" i="1" s="1"/>
  <c r="A41" i="1"/>
  <c r="B41" i="1" s="1"/>
  <c r="A39" i="1"/>
  <c r="B39" i="1" s="1"/>
  <c r="A38" i="1"/>
  <c r="B38" i="1" s="1"/>
  <c r="B37" i="1"/>
  <c r="A37" i="1"/>
  <c r="A29" i="1"/>
  <c r="D29" i="1" s="1"/>
  <c r="A28" i="1"/>
  <c r="B28" i="1" s="1"/>
  <c r="A27" i="1"/>
  <c r="G27" i="1" s="1"/>
  <c r="A25" i="1"/>
  <c r="B24" i="1"/>
  <c r="A24" i="1"/>
  <c r="A14" i="1"/>
  <c r="D14" i="1" s="1"/>
  <c r="A13" i="1"/>
  <c r="D13" i="1" s="1"/>
  <c r="A12" i="1"/>
  <c r="D12" i="1" s="1"/>
  <c r="A10" i="1"/>
  <c r="G10" i="1" s="1"/>
  <c r="B9" i="1"/>
  <c r="A9" i="1"/>
  <c r="B7" i="1"/>
  <c r="B2" i="1"/>
  <c r="R130" i="4"/>
  <c r="A126" i="4"/>
  <c r="A142" i="4" s="1"/>
  <c r="R125" i="4"/>
  <c r="A121" i="4"/>
  <c r="R120" i="4"/>
  <c r="B107" i="4"/>
  <c r="A107" i="4"/>
  <c r="R106" i="4"/>
  <c r="B95" i="4"/>
  <c r="A95" i="4"/>
  <c r="R94" i="4"/>
  <c r="B88" i="4"/>
  <c r="A88" i="4"/>
  <c r="R87" i="4"/>
  <c r="B73" i="4"/>
  <c r="A73" i="4"/>
  <c r="R72" i="4"/>
  <c r="B71" i="4"/>
  <c r="R70" i="4"/>
  <c r="B58" i="4"/>
  <c r="A58" i="4"/>
  <c r="R57" i="4"/>
  <c r="B46" i="4"/>
  <c r="A46" i="4"/>
  <c r="R45" i="4"/>
  <c r="B37" i="4"/>
  <c r="A37" i="4"/>
  <c r="R36" i="4"/>
  <c r="B24" i="4"/>
  <c r="A24" i="4"/>
  <c r="R23" i="4"/>
  <c r="B9" i="4"/>
  <c r="A9" i="4"/>
  <c r="R8" i="4"/>
  <c r="B7" i="4"/>
  <c r="B2" i="4"/>
  <c r="J144" i="2"/>
  <c r="J145" i="2" s="1"/>
  <c r="N144" i="2"/>
  <c r="N145" i="2" s="1"/>
  <c r="F144" i="2"/>
  <c r="F145" i="2" s="1"/>
  <c r="R130" i="2"/>
  <c r="A129" i="2"/>
  <c r="K129" i="2" s="1"/>
  <c r="A128" i="2"/>
  <c r="G128" i="2" s="1"/>
  <c r="A127" i="2"/>
  <c r="B127" i="2" s="1"/>
  <c r="A126" i="2"/>
  <c r="A142" i="2" s="1"/>
  <c r="R125" i="2"/>
  <c r="A123" i="2"/>
  <c r="L123" i="2" s="1"/>
  <c r="A122" i="2"/>
  <c r="K122" i="2" s="1"/>
  <c r="A121" i="2"/>
  <c r="R120" i="2"/>
  <c r="A113" i="2"/>
  <c r="L113" i="2" s="1"/>
  <c r="A112" i="2"/>
  <c r="B112" i="2" s="1"/>
  <c r="A111" i="2"/>
  <c r="B111" i="2" s="1"/>
  <c r="A110" i="2"/>
  <c r="B110" i="2" s="1"/>
  <c r="A109" i="2"/>
  <c r="B109" i="2" s="1"/>
  <c r="A108" i="2"/>
  <c r="L108" i="2" s="1"/>
  <c r="B107" i="2"/>
  <c r="A107" i="2"/>
  <c r="R106" i="2"/>
  <c r="A102" i="2"/>
  <c r="K102" i="2" s="1"/>
  <c r="A101" i="2"/>
  <c r="B101" i="2" s="1"/>
  <c r="A100" i="2"/>
  <c r="K100" i="2" s="1"/>
  <c r="A99" i="2"/>
  <c r="L99" i="2" s="1"/>
  <c r="A98" i="2"/>
  <c r="D98" i="2" s="1"/>
  <c r="A97" i="2"/>
  <c r="B97" i="2" s="1"/>
  <c r="B95" i="2"/>
  <c r="A95" i="2"/>
  <c r="R94" i="2"/>
  <c r="A90" i="2"/>
  <c r="L90" i="2" s="1"/>
  <c r="A89" i="2"/>
  <c r="G89" i="2" s="1"/>
  <c r="B88" i="2"/>
  <c r="A88" i="2"/>
  <c r="R87" i="2"/>
  <c r="A84" i="2"/>
  <c r="L84" i="2" s="1"/>
  <c r="A82" i="2"/>
  <c r="B82" i="2" s="1"/>
  <c r="B73" i="2"/>
  <c r="A73" i="2"/>
  <c r="R72" i="2"/>
  <c r="B71" i="2"/>
  <c r="R70" i="2"/>
  <c r="A69" i="2"/>
  <c r="L69" i="2" s="1"/>
  <c r="A63" i="2"/>
  <c r="G63" i="2" s="1"/>
  <c r="A62" i="2"/>
  <c r="G62" i="2" s="1"/>
  <c r="A61" i="2"/>
  <c r="K61" i="2" s="1"/>
  <c r="A60" i="2"/>
  <c r="L60" i="2" s="1"/>
  <c r="A59" i="2"/>
  <c r="L59" i="2" s="1"/>
  <c r="B58" i="2"/>
  <c r="A58" i="2"/>
  <c r="R57" i="2"/>
  <c r="A52" i="2"/>
  <c r="K52" i="2" s="1"/>
  <c r="A51" i="2"/>
  <c r="K51" i="2" s="1"/>
  <c r="A50" i="2"/>
  <c r="K50" i="2" s="1"/>
  <c r="A49" i="2"/>
  <c r="B49" i="2" s="1"/>
  <c r="A48" i="2"/>
  <c r="G48" i="2" s="1"/>
  <c r="A47" i="2"/>
  <c r="L47" i="2" s="1"/>
  <c r="B46" i="2"/>
  <c r="A46" i="2"/>
  <c r="R45" i="2"/>
  <c r="A44" i="2"/>
  <c r="L44" i="2" s="1"/>
  <c r="A41" i="2"/>
  <c r="L41" i="2" s="1"/>
  <c r="A39" i="2"/>
  <c r="L39" i="2" s="1"/>
  <c r="A38" i="2"/>
  <c r="L38" i="2" s="1"/>
  <c r="B37" i="2"/>
  <c r="A37" i="2"/>
  <c r="R36" i="2"/>
  <c r="B24" i="2"/>
  <c r="A24" i="2"/>
  <c r="R23" i="2"/>
  <c r="A14" i="2"/>
  <c r="L14" i="2" s="1"/>
  <c r="A13" i="2"/>
  <c r="G13" i="2" s="1"/>
  <c r="A12" i="2"/>
  <c r="L12" i="2" s="1"/>
  <c r="A10" i="2"/>
  <c r="K10" i="2" s="1"/>
  <c r="B9" i="2"/>
  <c r="A9" i="2"/>
  <c r="R8" i="2"/>
  <c r="B7" i="2"/>
  <c r="B2" i="2"/>
  <c r="N145" i="3"/>
  <c r="N146" i="3" s="1"/>
  <c r="J145" i="3"/>
  <c r="J146" i="3" s="1"/>
  <c r="A143" i="3"/>
  <c r="A142" i="3"/>
  <c r="A141" i="4" s="1"/>
  <c r="A141" i="3"/>
  <c r="A140" i="4" s="1"/>
  <c r="A140" i="3"/>
  <c r="A137" i="1" s="1"/>
  <c r="A139" i="3"/>
  <c r="A138" i="2" s="1"/>
  <c r="A138" i="3"/>
  <c r="A137" i="4" s="1"/>
  <c r="A137" i="3"/>
  <c r="A136" i="4" s="1"/>
  <c r="A136" i="3"/>
  <c r="A133" i="1" s="1"/>
  <c r="A135" i="3"/>
  <c r="A132" i="1" s="1"/>
  <c r="A134" i="3"/>
  <c r="A133" i="2" s="1"/>
  <c r="A133" i="3"/>
  <c r="A132" i="2" s="1"/>
  <c r="L130" i="3"/>
  <c r="K130" i="3"/>
  <c r="B130" i="3"/>
  <c r="L129" i="3"/>
  <c r="K129" i="3"/>
  <c r="B129" i="3"/>
  <c r="L128" i="3"/>
  <c r="K128" i="3"/>
  <c r="B128" i="3"/>
  <c r="B124" i="3"/>
  <c r="B123" i="3"/>
  <c r="L114" i="3"/>
  <c r="K114" i="3"/>
  <c r="B114" i="3"/>
  <c r="L113" i="3"/>
  <c r="K113" i="3"/>
  <c r="B113" i="3"/>
  <c r="L112" i="3"/>
  <c r="K112" i="3"/>
  <c r="B112" i="3"/>
  <c r="L111" i="3"/>
  <c r="K111" i="3"/>
  <c r="B111" i="3"/>
  <c r="L110" i="3"/>
  <c r="K110" i="3"/>
  <c r="B110" i="3"/>
  <c r="L109" i="3"/>
  <c r="K109" i="3"/>
  <c r="B109" i="3"/>
  <c r="L103" i="3"/>
  <c r="K103" i="3"/>
  <c r="B103" i="3"/>
  <c r="L102" i="3"/>
  <c r="K102" i="3"/>
  <c r="B102" i="3"/>
  <c r="L101" i="3"/>
  <c r="K101" i="3"/>
  <c r="B101" i="3"/>
  <c r="L100" i="3"/>
  <c r="K100" i="3"/>
  <c r="B100" i="3"/>
  <c r="L99" i="3"/>
  <c r="K99" i="3"/>
  <c r="B99" i="3"/>
  <c r="L98" i="3"/>
  <c r="K98" i="3"/>
  <c r="B98" i="3"/>
  <c r="L91" i="3"/>
  <c r="K91" i="3"/>
  <c r="B91" i="3"/>
  <c r="L90" i="3"/>
  <c r="K90" i="3"/>
  <c r="L85" i="3"/>
  <c r="K85" i="3"/>
  <c r="B85" i="3"/>
  <c r="L83" i="3"/>
  <c r="K83" i="3"/>
  <c r="B83" i="3"/>
  <c r="L82" i="3"/>
  <c r="K82" i="3"/>
  <c r="B82" i="3"/>
  <c r="L81" i="3"/>
  <c r="K81" i="3"/>
  <c r="B81" i="3"/>
  <c r="L80" i="3"/>
  <c r="K80" i="3"/>
  <c r="B80" i="3"/>
  <c r="L79" i="3"/>
  <c r="K79" i="3"/>
  <c r="B79" i="3"/>
  <c r="L78" i="3"/>
  <c r="K78" i="3"/>
  <c r="B78" i="3"/>
  <c r="L77" i="3"/>
  <c r="K77" i="3"/>
  <c r="B77" i="3"/>
  <c r="L76" i="3"/>
  <c r="K76" i="3"/>
  <c r="B76" i="3"/>
  <c r="L75" i="3"/>
  <c r="K75" i="3"/>
  <c r="B75" i="3"/>
  <c r="L64" i="3"/>
  <c r="K64" i="3"/>
  <c r="B64" i="3"/>
  <c r="L63" i="3"/>
  <c r="K63" i="3"/>
  <c r="B63" i="3"/>
  <c r="L62" i="3"/>
  <c r="K62" i="3"/>
  <c r="B62" i="3"/>
  <c r="L61" i="3"/>
  <c r="K61" i="3"/>
  <c r="B61" i="3"/>
  <c r="L60" i="3"/>
  <c r="K60" i="3"/>
  <c r="B60" i="3"/>
  <c r="L53" i="3"/>
  <c r="K53" i="3"/>
  <c r="B53" i="3"/>
  <c r="L52" i="3"/>
  <c r="K52" i="3"/>
  <c r="B52" i="3"/>
  <c r="L51" i="3"/>
  <c r="K51" i="3"/>
  <c r="B51" i="3"/>
  <c r="L50" i="3"/>
  <c r="K50" i="3"/>
  <c r="B50" i="3"/>
  <c r="L49" i="3"/>
  <c r="K49" i="3"/>
  <c r="B49" i="3"/>
  <c r="L48" i="3"/>
  <c r="K48" i="3"/>
  <c r="B48" i="3"/>
  <c r="L42" i="3"/>
  <c r="K42" i="3"/>
  <c r="B42" i="3"/>
  <c r="L40" i="3"/>
  <c r="K40" i="3"/>
  <c r="B40" i="3"/>
  <c r="L39" i="3"/>
  <c r="K39" i="3"/>
  <c r="B39" i="3"/>
  <c r="L29" i="3"/>
  <c r="K29" i="3"/>
  <c r="B29" i="3"/>
  <c r="L28" i="3"/>
  <c r="K28" i="3"/>
  <c r="B28" i="3"/>
  <c r="L27" i="3"/>
  <c r="K27" i="3"/>
  <c r="B27" i="3"/>
  <c r="L25" i="3"/>
  <c r="K25" i="3"/>
  <c r="B25" i="3"/>
  <c r="L15" i="3"/>
  <c r="K15" i="3"/>
  <c r="L14" i="3"/>
  <c r="K14" i="3"/>
  <c r="L13" i="3"/>
  <c r="K13" i="3"/>
  <c r="L12" i="3"/>
  <c r="K12" i="3"/>
  <c r="L10" i="3"/>
  <c r="K10" i="3"/>
  <c r="B2" i="3"/>
  <c r="O1" i="3"/>
  <c r="O1" i="4" s="1"/>
  <c r="AB73" i="6"/>
  <c r="AD73" i="6" s="1"/>
  <c r="X73" i="6"/>
  <c r="Z73" i="6" s="1"/>
  <c r="U73" i="6"/>
  <c r="W73" i="6" s="1"/>
  <c r="R73" i="6"/>
  <c r="T73" i="6" s="1"/>
  <c r="O73" i="6"/>
  <c r="Q73" i="6" s="1"/>
  <c r="K73" i="6"/>
  <c r="M73" i="6" s="1"/>
  <c r="H73" i="6"/>
  <c r="J73" i="6" s="1"/>
  <c r="E73" i="6"/>
  <c r="G73" i="6" s="1"/>
  <c r="AB60" i="6"/>
  <c r="AD60" i="6" s="1"/>
  <c r="X60" i="6"/>
  <c r="Z60" i="6" s="1"/>
  <c r="U60" i="6"/>
  <c r="W60" i="6" s="1"/>
  <c r="R60" i="6"/>
  <c r="T60" i="6" s="1"/>
  <c r="O60" i="6"/>
  <c r="Q60" i="6" s="1"/>
  <c r="K60" i="6"/>
  <c r="M60" i="6" s="1"/>
  <c r="H60" i="6"/>
  <c r="J60" i="6" s="1"/>
  <c r="E60" i="6"/>
  <c r="G60" i="6" s="1"/>
  <c r="AB40" i="6"/>
  <c r="AD40" i="6" s="1"/>
  <c r="X40" i="6"/>
  <c r="Z40" i="6" s="1"/>
  <c r="U40" i="6"/>
  <c r="W40" i="6" s="1"/>
  <c r="R40" i="6"/>
  <c r="T40" i="6" s="1"/>
  <c r="O40" i="6"/>
  <c r="Q40" i="6" s="1"/>
  <c r="K40" i="6"/>
  <c r="M40" i="6" s="1"/>
  <c r="H40" i="6"/>
  <c r="J40" i="6" s="1"/>
  <c r="E40" i="6"/>
  <c r="G40" i="6" s="1"/>
  <c r="E39" i="6"/>
  <c r="G39" i="6" s="1"/>
  <c r="E38" i="6"/>
  <c r="G38" i="6" s="1"/>
  <c r="AB37" i="6"/>
  <c r="AD37" i="6" s="1"/>
  <c r="X37" i="6"/>
  <c r="Z37" i="6" s="1"/>
  <c r="U37" i="6"/>
  <c r="W37" i="6" s="1"/>
  <c r="R37" i="6"/>
  <c r="T37" i="6" s="1"/>
  <c r="O37" i="6"/>
  <c r="Q37" i="6" s="1"/>
  <c r="K37" i="6"/>
  <c r="M37" i="6" s="1"/>
  <c r="H37" i="6"/>
  <c r="J37" i="6" s="1"/>
  <c r="E37" i="6"/>
  <c r="G37" i="6" s="1"/>
  <c r="E36" i="6"/>
  <c r="G36" i="6" s="1"/>
  <c r="E35" i="6"/>
  <c r="G35" i="6" s="1"/>
  <c r="AB34" i="6"/>
  <c r="AD34" i="6" s="1"/>
  <c r="X34" i="6"/>
  <c r="Z34" i="6" s="1"/>
  <c r="U34" i="6"/>
  <c r="W34" i="6" s="1"/>
  <c r="R34" i="6"/>
  <c r="T34" i="6" s="1"/>
  <c r="O34" i="6"/>
  <c r="Q34" i="6" s="1"/>
  <c r="K34" i="6"/>
  <c r="M34" i="6" s="1"/>
  <c r="H34" i="6"/>
  <c r="J34" i="6" s="1"/>
  <c r="E34" i="6"/>
  <c r="G34" i="6" s="1"/>
  <c r="AB32" i="6"/>
  <c r="AD32" i="6" s="1"/>
  <c r="X32" i="6"/>
  <c r="Z32" i="6" s="1"/>
  <c r="U32" i="6"/>
  <c r="W32" i="6" s="1"/>
  <c r="R32" i="6"/>
  <c r="T32" i="6" s="1"/>
  <c r="O32" i="6"/>
  <c r="Q32" i="6" s="1"/>
  <c r="K32" i="6"/>
  <c r="M32" i="6" s="1"/>
  <c r="H32" i="6"/>
  <c r="J32" i="6" s="1"/>
  <c r="E32" i="6"/>
  <c r="G32" i="6" s="1"/>
  <c r="E31" i="6"/>
  <c r="G31" i="6" s="1"/>
  <c r="E30" i="6"/>
  <c r="G30" i="6" s="1"/>
  <c r="AB29" i="6"/>
  <c r="AD29" i="6" s="1"/>
  <c r="X29" i="6"/>
  <c r="Z29" i="6" s="1"/>
  <c r="U29" i="6"/>
  <c r="W29" i="6" s="1"/>
  <c r="R29" i="6"/>
  <c r="T29" i="6" s="1"/>
  <c r="O29" i="6"/>
  <c r="Q29" i="6" s="1"/>
  <c r="K29" i="6"/>
  <c r="M29" i="6" s="1"/>
  <c r="H29" i="6"/>
  <c r="J29" i="6" s="1"/>
  <c r="E29" i="6"/>
  <c r="G29" i="6" s="1"/>
  <c r="E28" i="6"/>
  <c r="G28" i="6" s="1"/>
  <c r="E27" i="6"/>
  <c r="G27" i="6" s="1"/>
  <c r="AB26" i="6"/>
  <c r="AD26" i="6" s="1"/>
  <c r="X26" i="6"/>
  <c r="Z26" i="6" s="1"/>
  <c r="U26" i="6"/>
  <c r="W26" i="6" s="1"/>
  <c r="R26" i="6"/>
  <c r="T26" i="6" s="1"/>
  <c r="O26" i="6"/>
  <c r="Q26" i="6" s="1"/>
  <c r="K26" i="6"/>
  <c r="M26" i="6" s="1"/>
  <c r="H26" i="6"/>
  <c r="J26" i="6" s="1"/>
  <c r="E26" i="6"/>
  <c r="G26" i="6" s="1"/>
  <c r="AB23" i="6"/>
  <c r="AD23" i="6" s="1"/>
  <c r="X23" i="6"/>
  <c r="Z23" i="6" s="1"/>
  <c r="U23" i="6"/>
  <c r="W23" i="6" s="1"/>
  <c r="R23" i="6"/>
  <c r="T23" i="6" s="1"/>
  <c r="O23" i="6"/>
  <c r="Q23" i="6" s="1"/>
  <c r="K23" i="6"/>
  <c r="M23" i="6" s="1"/>
  <c r="H23" i="6"/>
  <c r="J23" i="6" s="1"/>
  <c r="E23" i="6"/>
  <c r="G23" i="6" s="1"/>
  <c r="AB21" i="6"/>
  <c r="AD21" i="6" s="1"/>
  <c r="X21" i="6"/>
  <c r="Z21" i="6" s="1"/>
  <c r="U21" i="6"/>
  <c r="W21" i="6" s="1"/>
  <c r="R21" i="6"/>
  <c r="T21" i="6" s="1"/>
  <c r="O21" i="6"/>
  <c r="Q21" i="6" s="1"/>
  <c r="K21" i="6"/>
  <c r="M21" i="6" s="1"/>
  <c r="H21" i="6"/>
  <c r="J21" i="6" s="1"/>
  <c r="E21" i="6"/>
  <c r="G21" i="6" s="1"/>
  <c r="AB18" i="6"/>
  <c r="AD18" i="6" s="1"/>
  <c r="X18" i="6"/>
  <c r="Z18" i="6" s="1"/>
  <c r="U18" i="6"/>
  <c r="W18" i="6" s="1"/>
  <c r="R18" i="6"/>
  <c r="T18" i="6" s="1"/>
  <c r="O18" i="6"/>
  <c r="Q18" i="6" s="1"/>
  <c r="K18" i="6"/>
  <c r="M18" i="6" s="1"/>
  <c r="H18" i="6"/>
  <c r="J18" i="6" s="1"/>
  <c r="E18" i="6"/>
  <c r="G18" i="6" s="1"/>
  <c r="AB15" i="6"/>
  <c r="AD15" i="6" s="1"/>
  <c r="X15" i="6"/>
  <c r="Z15" i="6" s="1"/>
  <c r="U15" i="6"/>
  <c r="W15" i="6" s="1"/>
  <c r="R15" i="6"/>
  <c r="T15" i="6" s="1"/>
  <c r="O15" i="6"/>
  <c r="Q15" i="6" s="1"/>
  <c r="K15" i="6"/>
  <c r="M15" i="6" s="1"/>
  <c r="H15" i="6"/>
  <c r="J15" i="6" s="1"/>
  <c r="E15" i="6"/>
  <c r="G15" i="6" s="1"/>
  <c r="AB12" i="6"/>
  <c r="AD12" i="6" s="1"/>
  <c r="X12" i="6"/>
  <c r="Z12" i="6" s="1"/>
  <c r="U12" i="6"/>
  <c r="W12" i="6" s="1"/>
  <c r="R12" i="6"/>
  <c r="T12" i="6" s="1"/>
  <c r="O12" i="6"/>
  <c r="Q12" i="6" s="1"/>
  <c r="K12" i="6"/>
  <c r="M12" i="6" s="1"/>
  <c r="H12" i="6"/>
  <c r="J12" i="6" s="1"/>
  <c r="E12" i="6"/>
  <c r="G12" i="6" s="1"/>
  <c r="AB9" i="6"/>
  <c r="AD9" i="6" s="1"/>
  <c r="X9" i="6"/>
  <c r="Z9" i="6" s="1"/>
  <c r="U9" i="6"/>
  <c r="W9" i="6" s="1"/>
  <c r="R9" i="6"/>
  <c r="T9" i="6" s="1"/>
  <c r="O9" i="6"/>
  <c r="Q9" i="6" s="1"/>
  <c r="K9" i="6"/>
  <c r="M9" i="6" s="1"/>
  <c r="H9" i="6"/>
  <c r="J9" i="6" s="1"/>
  <c r="E9" i="6"/>
  <c r="G9" i="6" s="1"/>
  <c r="AB6" i="6"/>
  <c r="X6" i="6"/>
  <c r="U6" i="6"/>
  <c r="R6" i="6"/>
  <c r="O6" i="6"/>
  <c r="K6" i="6"/>
  <c r="H6" i="6"/>
  <c r="E6" i="6"/>
  <c r="X2" i="6"/>
  <c r="B2" i="6"/>
  <c r="L573" i="9"/>
  <c r="L572" i="9"/>
  <c r="L167" i="9"/>
  <c r="M166" i="9"/>
  <c r="N165" i="9"/>
  <c r="L163" i="9"/>
  <c r="M162" i="9"/>
  <c r="M550" i="9"/>
  <c r="N537" i="9"/>
  <c r="L477" i="9"/>
  <c r="M464" i="9"/>
  <c r="L457" i="9"/>
  <c r="N419" i="9"/>
  <c r="M400" i="9"/>
  <c r="L397" i="9"/>
  <c r="L361" i="9"/>
  <c r="M352" i="9"/>
  <c r="L345" i="9"/>
  <c r="N303" i="9"/>
  <c r="L296" i="9"/>
  <c r="N280" i="9"/>
  <c r="L274" i="9"/>
  <c r="L254" i="9"/>
  <c r="M249" i="9"/>
  <c r="M245" i="9"/>
  <c r="N244" i="9"/>
  <c r="N238" i="9"/>
  <c r="L233" i="9"/>
  <c r="L232" i="9"/>
  <c r="M231" i="9"/>
  <c r="L230" i="9"/>
  <c r="L229" i="9"/>
  <c r="M228" i="9"/>
  <c r="N227" i="9"/>
  <c r="N226" i="9"/>
  <c r="M225" i="9"/>
  <c r="N224" i="9"/>
  <c r="N223" i="9"/>
  <c r="L218" i="9"/>
  <c r="L212" i="9"/>
  <c r="M211" i="9"/>
  <c r="L210" i="9"/>
  <c r="L209" i="9"/>
  <c r="M208" i="9"/>
  <c r="L204" i="9"/>
  <c r="M203" i="9"/>
  <c r="L202" i="9"/>
  <c r="L201" i="9"/>
  <c r="M200" i="9"/>
  <c r="N199" i="9"/>
  <c r="N198" i="9"/>
  <c r="M197" i="9"/>
  <c r="N196" i="9"/>
  <c r="L188" i="9"/>
  <c r="M187" i="9"/>
  <c r="L186" i="9"/>
  <c r="L185" i="9"/>
  <c r="M184" i="9"/>
  <c r="N183" i="9"/>
  <c r="N182" i="9"/>
  <c r="M181" i="9"/>
  <c r="N180" i="9"/>
  <c r="L172" i="9"/>
  <c r="M171" i="9"/>
  <c r="L170" i="9"/>
  <c r="L169" i="9"/>
  <c r="M168" i="9"/>
  <c r="N167" i="9"/>
  <c r="N166" i="9"/>
  <c r="M165" i="9"/>
  <c r="N164" i="9"/>
  <c r="L160" i="9"/>
  <c r="M159" i="9"/>
  <c r="N158" i="9"/>
  <c r="L156" i="9"/>
  <c r="M155" i="9"/>
  <c r="N154" i="9"/>
  <c r="L152" i="9"/>
  <c r="M151" i="9"/>
  <c r="N150" i="9"/>
  <c r="M480" i="9"/>
  <c r="L473" i="9"/>
  <c r="N431" i="9"/>
  <c r="M428" i="9"/>
  <c r="L413" i="9"/>
  <c r="L377" i="9"/>
  <c r="M364" i="9"/>
  <c r="N355" i="9"/>
  <c r="L317" i="9"/>
  <c r="M304" i="9"/>
  <c r="M286" i="9"/>
  <c r="M281" i="9"/>
  <c r="L277" i="9"/>
  <c r="M268" i="9"/>
  <c r="M265" i="9"/>
  <c r="N264" i="9"/>
  <c r="N263" i="9"/>
  <c r="M260" i="9"/>
  <c r="M257" i="9"/>
  <c r="N256" i="9"/>
  <c r="N255" i="9"/>
  <c r="M252" i="9"/>
  <c r="L246" i="9"/>
  <c r="L245" i="9"/>
  <c r="M244" i="9"/>
  <c r="N243" i="9"/>
  <c r="N242" i="9"/>
  <c r="M241" i="9"/>
  <c r="N240" i="9"/>
  <c r="N239" i="9"/>
  <c r="L234" i="9"/>
  <c r="L228" i="9"/>
  <c r="M227" i="9"/>
  <c r="L226" i="9"/>
  <c r="L225" i="9"/>
  <c r="M224" i="9"/>
  <c r="N220" i="9"/>
  <c r="M219" i="9"/>
  <c r="L200" i="9"/>
  <c r="M199" i="9"/>
  <c r="L198" i="9"/>
  <c r="L197" i="9"/>
  <c r="M196" i="9"/>
  <c r="N195" i="9"/>
  <c r="N194" i="9"/>
  <c r="M193" i="9"/>
  <c r="N192" i="9"/>
  <c r="L184" i="9"/>
  <c r="M183" i="9"/>
  <c r="L182" i="9"/>
  <c r="L181" i="9"/>
  <c r="M180" i="9"/>
  <c r="N179" i="9"/>
  <c r="N178" i="9"/>
  <c r="M177" i="9"/>
  <c r="N176" i="9"/>
  <c r="L168" i="9"/>
  <c r="M167" i="9"/>
  <c r="L166" i="9"/>
  <c r="L165" i="9"/>
  <c r="M164" i="9"/>
  <c r="N163" i="9"/>
  <c r="N162" i="9"/>
  <c r="N161" i="9"/>
  <c r="L159" i="9"/>
  <c r="M158" i="9"/>
  <c r="N157" i="9"/>
  <c r="L155" i="9"/>
  <c r="M154" i="9"/>
  <c r="N153" i="9"/>
  <c r="L151" i="9"/>
  <c r="M150" i="9"/>
  <c r="N149" i="9"/>
  <c r="L147" i="9"/>
  <c r="M146" i="9"/>
  <c r="N145" i="9"/>
  <c r="L143" i="9"/>
  <c r="M142" i="9"/>
  <c r="N141" i="9"/>
  <c r="L139" i="9"/>
  <c r="M138" i="9"/>
  <c r="N137" i="9"/>
  <c r="L135" i="9"/>
  <c r="M134" i="9"/>
  <c r="L499" i="9"/>
  <c r="N489" i="9"/>
  <c r="L445" i="9"/>
  <c r="M432" i="9"/>
  <c r="L429" i="9"/>
  <c r="L393" i="9"/>
  <c r="M384" i="9"/>
  <c r="N367" i="9"/>
  <c r="L333" i="9"/>
  <c r="M320" i="9"/>
  <c r="L313" i="9"/>
  <c r="N290" i="9"/>
  <c r="M287" i="9"/>
  <c r="M284" i="9"/>
  <c r="L278" i="9"/>
  <c r="M272" i="9"/>
  <c r="L269" i="9"/>
  <c r="L266" i="9"/>
  <c r="L265" i="9"/>
  <c r="M264" i="9"/>
  <c r="L261" i="9"/>
  <c r="L258" i="9"/>
  <c r="L257" i="9"/>
  <c r="M256" i="9"/>
  <c r="N247" i="9"/>
  <c r="L244" i="9"/>
  <c r="M243" i="9"/>
  <c r="L242" i="9"/>
  <c r="L241" i="9"/>
  <c r="M240" i="9"/>
  <c r="N236" i="9"/>
  <c r="M235" i="9"/>
  <c r="M221" i="9"/>
  <c r="L220" i="9"/>
  <c r="M216" i="9"/>
  <c r="N215" i="9"/>
  <c r="N214" i="9"/>
  <c r="M213" i="9"/>
  <c r="N212" i="9"/>
  <c r="N206" i="9"/>
  <c r="M205" i="9"/>
  <c r="N204" i="9"/>
  <c r="L196" i="9"/>
  <c r="M195" i="9"/>
  <c r="L194" i="9"/>
  <c r="L193" i="9"/>
  <c r="M192" i="9"/>
  <c r="N191" i="9"/>
  <c r="N190" i="9"/>
  <c r="M189" i="9"/>
  <c r="N188" i="9"/>
  <c r="L180" i="9"/>
  <c r="M179" i="9"/>
  <c r="L178" i="9"/>
  <c r="L177" i="9"/>
  <c r="M176" i="9"/>
  <c r="N175" i="9"/>
  <c r="N174" i="9"/>
  <c r="M173" i="9"/>
  <c r="N172" i="9"/>
  <c r="L164" i="9"/>
  <c r="M163" i="9"/>
  <c r="L162" i="9"/>
  <c r="M161" i="9"/>
  <c r="N160" i="9"/>
  <c r="L158" i="9"/>
  <c r="M157" i="9"/>
  <c r="N156" i="9"/>
  <c r="L154" i="9"/>
  <c r="M153" i="9"/>
  <c r="N152" i="9"/>
  <c r="L150" i="9"/>
  <c r="M149" i="9"/>
  <c r="N148" i="9"/>
  <c r="L146" i="9"/>
  <c r="M145" i="9"/>
  <c r="N144" i="9"/>
  <c r="L142" i="9"/>
  <c r="M141" i="9"/>
  <c r="N140" i="9"/>
  <c r="L138" i="9"/>
  <c r="M137" i="9"/>
  <c r="N136" i="9"/>
  <c r="L134" i="9"/>
  <c r="N3" i="9"/>
  <c r="L5" i="9"/>
  <c r="N7" i="9"/>
  <c r="M8" i="9"/>
  <c r="L9" i="9"/>
  <c r="N11" i="9"/>
  <c r="M12" i="9"/>
  <c r="L13" i="9"/>
  <c r="N15" i="9"/>
  <c r="M16" i="9"/>
  <c r="L17" i="9"/>
  <c r="N19" i="9"/>
  <c r="M20" i="9"/>
  <c r="L21" i="9"/>
  <c r="N23" i="9"/>
  <c r="M24" i="9"/>
  <c r="L25" i="9"/>
  <c r="N27" i="9"/>
  <c r="M28" i="9"/>
  <c r="L29" i="9"/>
  <c r="N31" i="9"/>
  <c r="M32" i="9"/>
  <c r="L33" i="9"/>
  <c r="N35" i="9"/>
  <c r="M36" i="9"/>
  <c r="L37" i="9"/>
  <c r="N39" i="9"/>
  <c r="M40" i="9"/>
  <c r="L41" i="9"/>
  <c r="N43" i="9"/>
  <c r="M44" i="9"/>
  <c r="L45" i="9"/>
  <c r="N47" i="9"/>
  <c r="M48" i="9"/>
  <c r="L49" i="9"/>
  <c r="N51" i="9"/>
  <c r="M52" i="9"/>
  <c r="L53" i="9"/>
  <c r="N55" i="9"/>
  <c r="M56" i="9"/>
  <c r="L57" i="9"/>
  <c r="N59" i="9"/>
  <c r="M60" i="9"/>
  <c r="L61" i="9"/>
  <c r="N63" i="9"/>
  <c r="M64" i="9"/>
  <c r="L65" i="9"/>
  <c r="N67" i="9"/>
  <c r="M68" i="9"/>
  <c r="L69" i="9"/>
  <c r="N71" i="9"/>
  <c r="M72" i="9"/>
  <c r="L73" i="9"/>
  <c r="N75" i="9"/>
  <c r="M76" i="9"/>
  <c r="L77" i="9"/>
  <c r="N79" i="9"/>
  <c r="M80" i="9"/>
  <c r="L81" i="9"/>
  <c r="N83" i="9"/>
  <c r="M84" i="9"/>
  <c r="L85" i="9"/>
  <c r="N87" i="9"/>
  <c r="M88" i="9"/>
  <c r="L89" i="9"/>
  <c r="N91" i="9"/>
  <c r="M92" i="9"/>
  <c r="L93" i="9"/>
  <c r="N95" i="9"/>
  <c r="M96" i="9"/>
  <c r="L97" i="9"/>
  <c r="N99" i="9"/>
  <c r="M100" i="9"/>
  <c r="L101" i="9"/>
  <c r="N103" i="9"/>
  <c r="M104" i="9"/>
  <c r="L105" i="9"/>
  <c r="N107" i="9"/>
  <c r="M108" i="9"/>
  <c r="L109" i="9"/>
  <c r="N111" i="9"/>
  <c r="M112" i="9"/>
  <c r="L113" i="9"/>
  <c r="N115" i="9"/>
  <c r="M116" i="9"/>
  <c r="L117" i="9"/>
  <c r="N119" i="9"/>
  <c r="M120" i="9"/>
  <c r="L121" i="9"/>
  <c r="N123" i="9"/>
  <c r="M124" i="9"/>
  <c r="L125" i="9"/>
  <c r="N127" i="9"/>
  <c r="M128" i="9"/>
  <c r="L129" i="9"/>
  <c r="N131" i="9"/>
  <c r="M132" i="9"/>
  <c r="L133" i="9"/>
  <c r="M135" i="9"/>
  <c r="L136" i="9"/>
  <c r="L137" i="9"/>
  <c r="M143" i="9"/>
  <c r="L144" i="9"/>
  <c r="L145" i="9"/>
  <c r="L157" i="9"/>
  <c r="M160" i="9"/>
  <c r="N170" i="9"/>
  <c r="L174" i="9"/>
  <c r="N187" i="9"/>
  <c r="M191" i="9"/>
  <c r="N200" i="9"/>
  <c r="M204" i="9"/>
  <c r="N208" i="9"/>
  <c r="M212" i="9"/>
  <c r="L216" i="9"/>
  <c r="N231" i="9"/>
  <c r="L236" i="9"/>
  <c r="N298" i="9"/>
  <c r="N399" i="9"/>
  <c r="M448" i="9"/>
  <c r="L547" i="9"/>
  <c r="M5" i="9"/>
  <c r="L6" i="9"/>
  <c r="N8" i="9"/>
  <c r="M9" i="9"/>
  <c r="L10" i="9"/>
  <c r="N12" i="9"/>
  <c r="M13" i="9"/>
  <c r="L14" i="9"/>
  <c r="N16" i="9"/>
  <c r="M17" i="9"/>
  <c r="L18" i="9"/>
  <c r="N20" i="9"/>
  <c r="M21" i="9"/>
  <c r="L22" i="9"/>
  <c r="N24" i="9"/>
  <c r="M25" i="9"/>
  <c r="L26" i="9"/>
  <c r="N28" i="9"/>
  <c r="M29" i="9"/>
  <c r="L30" i="9"/>
  <c r="N32" i="9"/>
  <c r="M33" i="9"/>
  <c r="L34" i="9"/>
  <c r="N36" i="9"/>
  <c r="M37" i="9"/>
  <c r="L38" i="9"/>
  <c r="N40" i="9"/>
  <c r="M41" i="9"/>
  <c r="L42" i="9"/>
  <c r="N44" i="9"/>
  <c r="M45" i="9"/>
  <c r="L46" i="9"/>
  <c r="N48" i="9"/>
  <c r="M49" i="9"/>
  <c r="L50" i="9"/>
  <c r="N52" i="9"/>
  <c r="M53" i="9"/>
  <c r="L54" i="9"/>
  <c r="N56" i="9"/>
  <c r="M57" i="9"/>
  <c r="L58" i="9"/>
  <c r="N60" i="9"/>
  <c r="M61" i="9"/>
  <c r="L62" i="9"/>
  <c r="N64" i="9"/>
  <c r="M65" i="9"/>
  <c r="L66" i="9"/>
  <c r="N68" i="9"/>
  <c r="M69" i="9"/>
  <c r="L70" i="9"/>
  <c r="N72" i="9"/>
  <c r="M73" i="9"/>
  <c r="L74" i="9"/>
  <c r="N76" i="9"/>
  <c r="M77" i="9"/>
  <c r="L78" i="9"/>
  <c r="N80" i="9"/>
  <c r="M81" i="9"/>
  <c r="L82" i="9"/>
  <c r="N84" i="9"/>
  <c r="M85" i="9"/>
  <c r="L86" i="9"/>
  <c r="N88" i="9"/>
  <c r="M89" i="9"/>
  <c r="L90" i="9"/>
  <c r="N92" i="9"/>
  <c r="M93" i="9"/>
  <c r="L94" i="9"/>
  <c r="N96" i="9"/>
  <c r="M97" i="9"/>
  <c r="L98" i="9"/>
  <c r="N100" i="9"/>
  <c r="M101" i="9"/>
  <c r="L102" i="9"/>
  <c r="N104" i="9"/>
  <c r="M105" i="9"/>
  <c r="L106" i="9"/>
  <c r="N108" i="9"/>
  <c r="M109" i="9"/>
  <c r="L110" i="9"/>
  <c r="N112" i="9"/>
  <c r="M113" i="9"/>
  <c r="L114" i="9"/>
  <c r="N116" i="9"/>
  <c r="M117" i="9"/>
  <c r="L118" i="9"/>
  <c r="N120" i="9"/>
  <c r="M121" i="9"/>
  <c r="L122" i="9"/>
  <c r="N124" i="9"/>
  <c r="M125" i="9"/>
  <c r="L126" i="9"/>
  <c r="N128" i="9"/>
  <c r="M129" i="9"/>
  <c r="L130" i="9"/>
  <c r="N132" i="9"/>
  <c r="M133" i="9"/>
  <c r="N134" i="9"/>
  <c r="N135" i="9"/>
  <c r="M136" i="9"/>
  <c r="N142" i="9"/>
  <c r="N143" i="9"/>
  <c r="M144" i="9"/>
  <c r="L153" i="9"/>
  <c r="M156" i="9"/>
  <c r="N159" i="9"/>
  <c r="M169" i="9"/>
  <c r="L173" i="9"/>
  <c r="N186" i="9"/>
  <c r="L190" i="9"/>
  <c r="N203" i="9"/>
  <c r="N207" i="9"/>
  <c r="N211" i="9"/>
  <c r="M215" i="9"/>
  <c r="N230" i="9"/>
  <c r="N291" i="9"/>
  <c r="L349" i="9"/>
  <c r="M396" i="9"/>
  <c r="L441" i="9"/>
  <c r="M534" i="9"/>
  <c r="L3" i="9"/>
  <c r="N5" i="9"/>
  <c r="M6" i="9"/>
  <c r="L7" i="9"/>
  <c r="N9" i="9"/>
  <c r="M10" i="9"/>
  <c r="L11" i="9"/>
  <c r="N13" i="9"/>
  <c r="M14" i="9"/>
  <c r="L15" i="9"/>
  <c r="N17" i="9"/>
  <c r="M18" i="9"/>
  <c r="L19" i="9"/>
  <c r="N21" i="9"/>
  <c r="M22" i="9"/>
  <c r="L23" i="9"/>
  <c r="N25" i="9"/>
  <c r="M26" i="9"/>
  <c r="L27" i="9"/>
  <c r="N29" i="9"/>
  <c r="M30" i="9"/>
  <c r="L31" i="9"/>
  <c r="N33" i="9"/>
  <c r="M34" i="9"/>
  <c r="L35" i="9"/>
  <c r="N37" i="9"/>
  <c r="M38" i="9"/>
  <c r="L39" i="9"/>
  <c r="N41" i="9"/>
  <c r="M42" i="9"/>
  <c r="L43" i="9"/>
  <c r="N45" i="9"/>
  <c r="M46" i="9"/>
  <c r="L47" i="9"/>
  <c r="N49" i="9"/>
  <c r="M50" i="9"/>
  <c r="L51" i="9"/>
  <c r="N53" i="9"/>
  <c r="M54" i="9"/>
  <c r="L55" i="9"/>
  <c r="N57" i="9"/>
  <c r="M58" i="9"/>
  <c r="L59" i="9"/>
  <c r="N61" i="9"/>
  <c r="M62" i="9"/>
  <c r="L63" i="9"/>
  <c r="N65" i="9"/>
  <c r="M66" i="9"/>
  <c r="L67" i="9"/>
  <c r="N69" i="9"/>
  <c r="M70" i="9"/>
  <c r="L71" i="9"/>
  <c r="N73" i="9"/>
  <c r="M74" i="9"/>
  <c r="L75" i="9"/>
  <c r="N77" i="9"/>
  <c r="M78" i="9"/>
  <c r="L79" i="9"/>
  <c r="N81" i="9"/>
  <c r="M82" i="9"/>
  <c r="L83" i="9"/>
  <c r="N85" i="9"/>
  <c r="M86" i="9"/>
  <c r="L87" i="9"/>
  <c r="N89" i="9"/>
  <c r="M90" i="9"/>
  <c r="L91" i="9"/>
  <c r="N93" i="9"/>
  <c r="M94" i="9"/>
  <c r="L95" i="9"/>
  <c r="N97" i="9"/>
  <c r="M98" i="9"/>
  <c r="L99" i="9"/>
  <c r="N101" i="9"/>
  <c r="M102" i="9"/>
  <c r="L103" i="9"/>
  <c r="N105" i="9"/>
  <c r="M106" i="9"/>
  <c r="L107" i="9"/>
  <c r="N109" i="9"/>
  <c r="M110" i="9"/>
  <c r="L111" i="9"/>
  <c r="N113" i="9"/>
  <c r="M114" i="9"/>
  <c r="L115" i="9"/>
  <c r="N117" i="9"/>
  <c r="M118" i="9"/>
  <c r="L119" i="9"/>
  <c r="N121" i="9"/>
  <c r="M122" i="9"/>
  <c r="L123" i="9"/>
  <c r="N125" i="9"/>
  <c r="M126" i="9"/>
  <c r="L127" i="9"/>
  <c r="N129" i="9"/>
  <c r="M130" i="9"/>
  <c r="L131" i="9"/>
  <c r="N133" i="9"/>
  <c r="M139" i="9"/>
  <c r="L140" i="9"/>
  <c r="L141" i="9"/>
  <c r="M147" i="9"/>
  <c r="L148" i="9"/>
  <c r="L149" i="9"/>
  <c r="M152" i="9"/>
  <c r="N155" i="9"/>
  <c r="N168" i="9"/>
  <c r="M172" i="9"/>
  <c r="L176" i="9"/>
  <c r="M185" i="9"/>
  <c r="L189" i="9"/>
  <c r="N202" i="9"/>
  <c r="L206" i="9"/>
  <c r="N210" i="9"/>
  <c r="L214" i="9"/>
  <c r="N222" i="9"/>
  <c r="M229" i="9"/>
  <c r="N248" i="9"/>
  <c r="L273" i="9"/>
  <c r="L288" i="9"/>
  <c r="M336" i="9"/>
  <c r="N387" i="9"/>
  <c r="N521" i="9"/>
  <c r="N181" i="9"/>
  <c r="N169" i="9"/>
  <c r="M170" i="9"/>
  <c r="L171" i="9"/>
  <c r="N173" i="9"/>
  <c r="M174" i="9"/>
  <c r="L175" i="9"/>
  <c r="N177" i="9"/>
  <c r="M178" i="9"/>
  <c r="L179" i="9"/>
  <c r="M182" i="9"/>
  <c r="L183" i="9"/>
  <c r="N185" i="9"/>
  <c r="M186" i="9"/>
  <c r="L187" i="9"/>
  <c r="N189" i="9"/>
  <c r="M190" i="9"/>
  <c r="L191" i="9"/>
  <c r="N193" i="9"/>
  <c r="M194" i="9"/>
  <c r="L195" i="9"/>
  <c r="N197" i="9"/>
  <c r="M198" i="9"/>
  <c r="L199" i="9"/>
  <c r="N201" i="9"/>
  <c r="M202" i="9"/>
  <c r="L203" i="9"/>
  <c r="N205" i="9"/>
  <c r="M206" i="9"/>
  <c r="M207" i="9"/>
  <c r="L208" i="9"/>
  <c r="N216" i="9"/>
  <c r="M217" i="9"/>
  <c r="N218" i="9"/>
  <c r="N219" i="9"/>
  <c r="M220" i="9"/>
  <c r="L221" i="9"/>
  <c r="L222" i="9"/>
  <c r="M223" i="9"/>
  <c r="L224" i="9"/>
  <c r="N232" i="9"/>
  <c r="M233" i="9"/>
  <c r="N234" i="9"/>
  <c r="N235" i="9"/>
  <c r="M236" i="9"/>
  <c r="L237" i="9"/>
  <c r="L238" i="9"/>
  <c r="M239" i="9"/>
  <c r="L240" i="9"/>
  <c r="M248" i="9"/>
  <c r="L249" i="9"/>
  <c r="L250" i="9"/>
  <c r="L253" i="9"/>
  <c r="L262" i="9"/>
  <c r="N271" i="9"/>
  <c r="N272" i="9"/>
  <c r="M273" i="9"/>
  <c r="M276" i="9"/>
  <c r="M280" i="9"/>
  <c r="L281" i="9"/>
  <c r="L282" i="9"/>
  <c r="L285" i="9"/>
  <c r="M292" i="9"/>
  <c r="L297" i="9"/>
  <c r="M300" i="9"/>
  <c r="N323" i="9"/>
  <c r="M332" i="9"/>
  <c r="N335" i="9"/>
  <c r="L365" i="9"/>
  <c r="M368" i="9"/>
  <c r="L381" i="9"/>
  <c r="L409" i="9"/>
  <c r="M416" i="9"/>
  <c r="L425" i="9"/>
  <c r="N451" i="9"/>
  <c r="M460" i="9"/>
  <c r="N463" i="9"/>
  <c r="N492" i="9"/>
  <c r="I497" i="9"/>
  <c r="L563" i="9"/>
  <c r="L495" i="9"/>
  <c r="M493" i="9"/>
  <c r="N479" i="9"/>
  <c r="M476" i="9"/>
  <c r="N467" i="9"/>
  <c r="N447" i="9"/>
  <c r="M444" i="9"/>
  <c r="N435" i="9"/>
  <c r="N415" i="9"/>
  <c r="M412" i="9"/>
  <c r="N403" i="9"/>
  <c r="N383" i="9"/>
  <c r="M380" i="9"/>
  <c r="N371" i="9"/>
  <c r="N351" i="9"/>
  <c r="M348" i="9"/>
  <c r="N339" i="9"/>
  <c r="N319" i="9"/>
  <c r="M316" i="9"/>
  <c r="N307" i="9"/>
  <c r="N299" i="9"/>
  <c r="M295" i="9"/>
  <c r="L289" i="9"/>
  <c r="M285" i="9"/>
  <c r="N284" i="9"/>
  <c r="N283" i="9"/>
  <c r="M277" i="9"/>
  <c r="N276" i="9"/>
  <c r="N275" i="9"/>
  <c r="M269" i="9"/>
  <c r="N268" i="9"/>
  <c r="N267" i="9"/>
  <c r="M261" i="9"/>
  <c r="N260" i="9"/>
  <c r="N259" i="9"/>
  <c r="M253" i="9"/>
  <c r="N252" i="9"/>
  <c r="N251" i="9"/>
  <c r="N245" i="9"/>
  <c r="L243" i="9"/>
  <c r="M242" i="9"/>
  <c r="N241" i="9"/>
  <c r="L239" i="9"/>
  <c r="M238" i="9"/>
  <c r="N237" i="9"/>
  <c r="L235" i="9"/>
  <c r="M234" i="9"/>
  <c r="N233" i="9"/>
  <c r="L231" i="9"/>
  <c r="M230" i="9"/>
  <c r="N229" i="9"/>
  <c r="L227" i="9"/>
  <c r="M226" i="9"/>
  <c r="N225" i="9"/>
  <c r="L223" i="9"/>
  <c r="M222" i="9"/>
  <c r="N221" i="9"/>
  <c r="L219" i="9"/>
  <c r="M218" i="9"/>
  <c r="N217" i="9"/>
  <c r="L215" i="9"/>
  <c r="M214" i="9"/>
  <c r="N213" i="9"/>
  <c r="L211" i="9"/>
  <c r="M210" i="9"/>
  <c r="N209" i="9"/>
  <c r="L207" i="9"/>
  <c r="M566" i="9"/>
  <c r="N246" i="9"/>
  <c r="M247" i="9"/>
  <c r="L248" i="9"/>
  <c r="N250" i="9"/>
  <c r="M251" i="9"/>
  <c r="L252" i="9"/>
  <c r="N254" i="9"/>
  <c r="M255" i="9"/>
  <c r="L256" i="9"/>
  <c r="N258" i="9"/>
  <c r="M259" i="9"/>
  <c r="L260" i="9"/>
  <c r="N262" i="9"/>
  <c r="M263" i="9"/>
  <c r="L264" i="9"/>
  <c r="N266" i="9"/>
  <c r="M267" i="9"/>
  <c r="L268" i="9"/>
  <c r="N270" i="9"/>
  <c r="M271" i="9"/>
  <c r="L272" i="9"/>
  <c r="N274" i="9"/>
  <c r="M275" i="9"/>
  <c r="L276" i="9"/>
  <c r="N278" i="9"/>
  <c r="M279" i="9"/>
  <c r="L280" i="9"/>
  <c r="N282" i="9"/>
  <c r="M283" i="9"/>
  <c r="L284" i="9"/>
  <c r="M291" i="9"/>
  <c r="L292" i="9"/>
  <c r="L293" i="9"/>
  <c r="M299" i="9"/>
  <c r="L300" i="9"/>
  <c r="L301" i="9"/>
  <c r="L305" i="9"/>
  <c r="M308" i="9"/>
  <c r="N311" i="9"/>
  <c r="L321" i="9"/>
  <c r="M324" i="9"/>
  <c r="N327" i="9"/>
  <c r="L337" i="9"/>
  <c r="M340" i="9"/>
  <c r="N343" i="9"/>
  <c r="L353" i="9"/>
  <c r="M356" i="9"/>
  <c r="N359" i="9"/>
  <c r="L369" i="9"/>
  <c r="M372" i="9"/>
  <c r="N375" i="9"/>
  <c r="L385" i="9"/>
  <c r="M388" i="9"/>
  <c r="N391" i="9"/>
  <c r="L401" i="9"/>
  <c r="M404" i="9"/>
  <c r="N407" i="9"/>
  <c r="L417" i="9"/>
  <c r="M420" i="9"/>
  <c r="N423" i="9"/>
  <c r="L433" i="9"/>
  <c r="M436" i="9"/>
  <c r="N439" i="9"/>
  <c r="L449" i="9"/>
  <c r="M452" i="9"/>
  <c r="N455" i="9"/>
  <c r="L465" i="9"/>
  <c r="M468" i="9"/>
  <c r="N471" i="9"/>
  <c r="L481" i="9"/>
  <c r="M490" i="9"/>
  <c r="L494" i="9"/>
  <c r="M502" i="9"/>
  <c r="L515" i="9"/>
  <c r="N553" i="9"/>
  <c r="L498" i="9"/>
  <c r="M497" i="9"/>
  <c r="N496" i="9"/>
  <c r="I496" i="9"/>
  <c r="N494" i="9"/>
  <c r="L492" i="9"/>
  <c r="M491" i="9"/>
  <c r="N490" i="9"/>
  <c r="L488" i="9"/>
  <c r="M487" i="9"/>
  <c r="N486" i="9"/>
  <c r="L484" i="9"/>
  <c r="M483" i="9"/>
  <c r="N482" i="9"/>
  <c r="N573" i="9"/>
  <c r="M572" i="9"/>
  <c r="M571" i="9"/>
  <c r="N570" i="9"/>
  <c r="L568" i="9"/>
  <c r="M567" i="9"/>
  <c r="N566" i="9"/>
  <c r="L564" i="9"/>
  <c r="M563" i="9"/>
  <c r="N562" i="9"/>
  <c r="L560" i="9"/>
  <c r="M559" i="9"/>
  <c r="N558" i="9"/>
  <c r="L556" i="9"/>
  <c r="M555" i="9"/>
  <c r="N554" i="9"/>
  <c r="L552" i="9"/>
  <c r="M551" i="9"/>
  <c r="N550" i="9"/>
  <c r="L548" i="9"/>
  <c r="M547" i="9"/>
  <c r="N546" i="9"/>
  <c r="L544" i="9"/>
  <c r="M543" i="9"/>
  <c r="N542" i="9"/>
  <c r="L540" i="9"/>
  <c r="M539" i="9"/>
  <c r="N538" i="9"/>
  <c r="L536" i="9"/>
  <c r="M535" i="9"/>
  <c r="N534" i="9"/>
  <c r="L532" i="9"/>
  <c r="M531" i="9"/>
  <c r="N530" i="9"/>
  <c r="L528" i="9"/>
  <c r="M527" i="9"/>
  <c r="N526" i="9"/>
  <c r="L524" i="9"/>
  <c r="M523" i="9"/>
  <c r="N522" i="9"/>
  <c r="L520" i="9"/>
  <c r="M519" i="9"/>
  <c r="N518" i="9"/>
  <c r="L516" i="9"/>
  <c r="M515" i="9"/>
  <c r="N514" i="9"/>
  <c r="L512" i="9"/>
  <c r="M511" i="9"/>
  <c r="N510" i="9"/>
  <c r="L508" i="9"/>
  <c r="M507" i="9"/>
  <c r="N506" i="9"/>
  <c r="L504" i="9"/>
  <c r="M503" i="9"/>
  <c r="N502" i="9"/>
  <c r="L500" i="9"/>
  <c r="M499" i="9"/>
  <c r="N498" i="9"/>
  <c r="I498" i="9"/>
  <c r="L497" i="9"/>
  <c r="L570" i="9"/>
  <c r="M569" i="9"/>
  <c r="N568" i="9"/>
  <c r="L566" i="9"/>
  <c r="M565" i="9"/>
  <c r="N564" i="9"/>
  <c r="L562" i="9"/>
  <c r="M561" i="9"/>
  <c r="N560" i="9"/>
  <c r="L558" i="9"/>
  <c r="M557" i="9"/>
  <c r="N556" i="9"/>
  <c r="L554" i="9"/>
  <c r="M553" i="9"/>
  <c r="N552" i="9"/>
  <c r="L550" i="9"/>
  <c r="M549" i="9"/>
  <c r="N548" i="9"/>
  <c r="L546" i="9"/>
  <c r="M545" i="9"/>
  <c r="N544" i="9"/>
  <c r="L542" i="9"/>
  <c r="M541" i="9"/>
  <c r="N540" i="9"/>
  <c r="L538" i="9"/>
  <c r="M537" i="9"/>
  <c r="N536" i="9"/>
  <c r="L534" i="9"/>
  <c r="M533" i="9"/>
  <c r="N532" i="9"/>
  <c r="L530" i="9"/>
  <c r="M529" i="9"/>
  <c r="N528" i="9"/>
  <c r="L526" i="9"/>
  <c r="M525" i="9"/>
  <c r="N524" i="9"/>
  <c r="L522" i="9"/>
  <c r="M521" i="9"/>
  <c r="N520" i="9"/>
  <c r="L518" i="9"/>
  <c r="M517" i="9"/>
  <c r="N516" i="9"/>
  <c r="L514" i="9"/>
  <c r="M513" i="9"/>
  <c r="N512" i="9"/>
  <c r="L510" i="9"/>
  <c r="M509" i="9"/>
  <c r="N508" i="9"/>
  <c r="L506" i="9"/>
  <c r="M505" i="9"/>
  <c r="N504" i="9"/>
  <c r="L502" i="9"/>
  <c r="M501" i="9"/>
  <c r="N500" i="9"/>
  <c r="I499" i="9"/>
  <c r="N497" i="9"/>
  <c r="L571" i="9"/>
  <c r="N561" i="9"/>
  <c r="M558" i="9"/>
  <c r="L555" i="9"/>
  <c r="N545" i="9"/>
  <c r="M542" i="9"/>
  <c r="L539" i="9"/>
  <c r="N529" i="9"/>
  <c r="M526" i="9"/>
  <c r="L523" i="9"/>
  <c r="N513" i="9"/>
  <c r="M510" i="9"/>
  <c r="L507" i="9"/>
  <c r="M498" i="9"/>
  <c r="J498" i="9"/>
  <c r="M496" i="9"/>
  <c r="J496" i="9"/>
  <c r="N495" i="9"/>
  <c r="L489" i="9"/>
  <c r="M488" i="9"/>
  <c r="L487" i="9"/>
  <c r="L486" i="9"/>
  <c r="M485" i="9"/>
  <c r="N484" i="9"/>
  <c r="N483" i="9"/>
  <c r="M482" i="9"/>
  <c r="N481" i="9"/>
  <c r="L479" i="9"/>
  <c r="M478" i="9"/>
  <c r="N477" i="9"/>
  <c r="L475" i="9"/>
  <c r="M474" i="9"/>
  <c r="N473" i="9"/>
  <c r="L471" i="9"/>
  <c r="M470" i="9"/>
  <c r="N469" i="9"/>
  <c r="L467" i="9"/>
  <c r="M466" i="9"/>
  <c r="N465" i="9"/>
  <c r="L463" i="9"/>
  <c r="M462" i="9"/>
  <c r="N461" i="9"/>
  <c r="L459" i="9"/>
  <c r="M458" i="9"/>
  <c r="N457" i="9"/>
  <c r="L455" i="9"/>
  <c r="M454" i="9"/>
  <c r="N453" i="9"/>
  <c r="L451" i="9"/>
  <c r="M450" i="9"/>
  <c r="N449" i="9"/>
  <c r="L447" i="9"/>
  <c r="M446" i="9"/>
  <c r="N445" i="9"/>
  <c r="L443" i="9"/>
  <c r="M442" i="9"/>
  <c r="N441" i="9"/>
  <c r="L439" i="9"/>
  <c r="M438" i="9"/>
  <c r="N437" i="9"/>
  <c r="L435" i="9"/>
  <c r="M434" i="9"/>
  <c r="N433" i="9"/>
  <c r="L431" i="9"/>
  <c r="M430" i="9"/>
  <c r="N429" i="9"/>
  <c r="L427" i="9"/>
  <c r="M426" i="9"/>
  <c r="N425" i="9"/>
  <c r="L423" i="9"/>
  <c r="M422" i="9"/>
  <c r="N421" i="9"/>
  <c r="L419" i="9"/>
  <c r="M418" i="9"/>
  <c r="N417" i="9"/>
  <c r="L415" i="9"/>
  <c r="M414" i="9"/>
  <c r="N413" i="9"/>
  <c r="L411" i="9"/>
  <c r="M410" i="9"/>
  <c r="N409" i="9"/>
  <c r="L407" i="9"/>
  <c r="M406" i="9"/>
  <c r="N405" i="9"/>
  <c r="L403" i="9"/>
  <c r="M402" i="9"/>
  <c r="N401" i="9"/>
  <c r="L399" i="9"/>
  <c r="M398" i="9"/>
  <c r="N397" i="9"/>
  <c r="L395" i="9"/>
  <c r="M394" i="9"/>
  <c r="N393" i="9"/>
  <c r="L391" i="9"/>
  <c r="M390" i="9"/>
  <c r="N389" i="9"/>
  <c r="L387" i="9"/>
  <c r="M386" i="9"/>
  <c r="N385" i="9"/>
  <c r="L383" i="9"/>
  <c r="M382" i="9"/>
  <c r="N381" i="9"/>
  <c r="L379" i="9"/>
  <c r="M378" i="9"/>
  <c r="N377" i="9"/>
  <c r="L375" i="9"/>
  <c r="M374" i="9"/>
  <c r="N373" i="9"/>
  <c r="L371" i="9"/>
  <c r="M370" i="9"/>
  <c r="N369" i="9"/>
  <c r="L367" i="9"/>
  <c r="M366" i="9"/>
  <c r="N365" i="9"/>
  <c r="L363" i="9"/>
  <c r="M362" i="9"/>
  <c r="N361" i="9"/>
  <c r="L359" i="9"/>
  <c r="M358" i="9"/>
  <c r="N357" i="9"/>
  <c r="L355" i="9"/>
  <c r="M354" i="9"/>
  <c r="N353" i="9"/>
  <c r="L351" i="9"/>
  <c r="M350" i="9"/>
  <c r="N349" i="9"/>
  <c r="L347" i="9"/>
  <c r="M346" i="9"/>
  <c r="N345" i="9"/>
  <c r="L343" i="9"/>
  <c r="M342" i="9"/>
  <c r="N341" i="9"/>
  <c r="L339" i="9"/>
  <c r="M338" i="9"/>
  <c r="N337" i="9"/>
  <c r="L335" i="9"/>
  <c r="M334" i="9"/>
  <c r="N333" i="9"/>
  <c r="L331" i="9"/>
  <c r="M330" i="9"/>
  <c r="N329" i="9"/>
  <c r="L327" i="9"/>
  <c r="M326" i="9"/>
  <c r="N325" i="9"/>
  <c r="L323" i="9"/>
  <c r="M322" i="9"/>
  <c r="N321" i="9"/>
  <c r="L319" i="9"/>
  <c r="M318" i="9"/>
  <c r="N317" i="9"/>
  <c r="L315" i="9"/>
  <c r="M314" i="9"/>
  <c r="N313" i="9"/>
  <c r="L311" i="9"/>
  <c r="M310" i="9"/>
  <c r="N309" i="9"/>
  <c r="L307" i="9"/>
  <c r="M306" i="9"/>
  <c r="N305" i="9"/>
  <c r="L303" i="9"/>
  <c r="M302" i="9"/>
  <c r="N301" i="9"/>
  <c r="L299" i="9"/>
  <c r="M298" i="9"/>
  <c r="N297" i="9"/>
  <c r="L295" i="9"/>
  <c r="M294" i="9"/>
  <c r="N293" i="9"/>
  <c r="L291" i="9"/>
  <c r="M290" i="9"/>
  <c r="N289" i="9"/>
  <c r="L287" i="9"/>
  <c r="N565" i="9"/>
  <c r="M562" i="9"/>
  <c r="L559" i="9"/>
  <c r="N549" i="9"/>
  <c r="M546" i="9"/>
  <c r="L543" i="9"/>
  <c r="N533" i="9"/>
  <c r="M530" i="9"/>
  <c r="L527" i="9"/>
  <c r="N517" i="9"/>
  <c r="M514" i="9"/>
  <c r="L511" i="9"/>
  <c r="N501" i="9"/>
  <c r="L496" i="9"/>
  <c r="M495" i="9"/>
  <c r="M494" i="9"/>
  <c r="N493" i="9"/>
  <c r="L485" i="9"/>
  <c r="M484" i="9"/>
  <c r="L483" i="9"/>
  <c r="L482" i="9"/>
  <c r="M481" i="9"/>
  <c r="N480" i="9"/>
  <c r="L478" i="9"/>
  <c r="M477" i="9"/>
  <c r="N476" i="9"/>
  <c r="L474" i="9"/>
  <c r="M473" i="9"/>
  <c r="N472" i="9"/>
  <c r="L470" i="9"/>
  <c r="M469" i="9"/>
  <c r="N468" i="9"/>
  <c r="L466" i="9"/>
  <c r="M465" i="9"/>
  <c r="N464" i="9"/>
  <c r="L462" i="9"/>
  <c r="M461" i="9"/>
  <c r="N460" i="9"/>
  <c r="L458" i="9"/>
  <c r="M457" i="9"/>
  <c r="N456" i="9"/>
  <c r="L454" i="9"/>
  <c r="M453" i="9"/>
  <c r="N452" i="9"/>
  <c r="L450" i="9"/>
  <c r="M449" i="9"/>
  <c r="N448" i="9"/>
  <c r="L446" i="9"/>
  <c r="M445" i="9"/>
  <c r="N444" i="9"/>
  <c r="L442" i="9"/>
  <c r="M441" i="9"/>
  <c r="N440" i="9"/>
  <c r="L438" i="9"/>
  <c r="M437" i="9"/>
  <c r="N436" i="9"/>
  <c r="L434" i="9"/>
  <c r="M433" i="9"/>
  <c r="N432" i="9"/>
  <c r="L430" i="9"/>
  <c r="M429" i="9"/>
  <c r="N428" i="9"/>
  <c r="L426" i="9"/>
  <c r="M425" i="9"/>
  <c r="N424" i="9"/>
  <c r="L422" i="9"/>
  <c r="M421" i="9"/>
  <c r="N420" i="9"/>
  <c r="L418" i="9"/>
  <c r="M417" i="9"/>
  <c r="N416" i="9"/>
  <c r="L414" i="9"/>
  <c r="M413" i="9"/>
  <c r="N412" i="9"/>
  <c r="L410" i="9"/>
  <c r="M409" i="9"/>
  <c r="N408" i="9"/>
  <c r="L406" i="9"/>
  <c r="M405" i="9"/>
  <c r="N404" i="9"/>
  <c r="L402" i="9"/>
  <c r="M401" i="9"/>
  <c r="N400" i="9"/>
  <c r="L398" i="9"/>
  <c r="M397" i="9"/>
  <c r="N396" i="9"/>
  <c r="L394" i="9"/>
  <c r="M393" i="9"/>
  <c r="N392" i="9"/>
  <c r="L390" i="9"/>
  <c r="M389" i="9"/>
  <c r="N388" i="9"/>
  <c r="L386" i="9"/>
  <c r="M385" i="9"/>
  <c r="N384" i="9"/>
  <c r="L382" i="9"/>
  <c r="M381" i="9"/>
  <c r="N380" i="9"/>
  <c r="L378" i="9"/>
  <c r="M377" i="9"/>
  <c r="N376" i="9"/>
  <c r="L374" i="9"/>
  <c r="M373" i="9"/>
  <c r="N372" i="9"/>
  <c r="L370" i="9"/>
  <c r="M369" i="9"/>
  <c r="N368" i="9"/>
  <c r="L366" i="9"/>
  <c r="M365" i="9"/>
  <c r="N364" i="9"/>
  <c r="L362" i="9"/>
  <c r="M361" i="9"/>
  <c r="N360" i="9"/>
  <c r="L358" i="9"/>
  <c r="M357" i="9"/>
  <c r="N356" i="9"/>
  <c r="L354" i="9"/>
  <c r="M353" i="9"/>
  <c r="N352" i="9"/>
  <c r="L350" i="9"/>
  <c r="M349" i="9"/>
  <c r="N348" i="9"/>
  <c r="L346" i="9"/>
  <c r="M345" i="9"/>
  <c r="N344" i="9"/>
  <c r="L342" i="9"/>
  <c r="M341" i="9"/>
  <c r="N340" i="9"/>
  <c r="L338" i="9"/>
  <c r="M337" i="9"/>
  <c r="N336" i="9"/>
  <c r="L334" i="9"/>
  <c r="M333" i="9"/>
  <c r="N332" i="9"/>
  <c r="L330" i="9"/>
  <c r="M329" i="9"/>
  <c r="N328" i="9"/>
  <c r="L326" i="9"/>
  <c r="M325" i="9"/>
  <c r="N324" i="9"/>
  <c r="L322" i="9"/>
  <c r="M321" i="9"/>
  <c r="N320" i="9"/>
  <c r="L318" i="9"/>
  <c r="M317" i="9"/>
  <c r="N316" i="9"/>
  <c r="L314" i="9"/>
  <c r="M313" i="9"/>
  <c r="N312" i="9"/>
  <c r="L310" i="9"/>
  <c r="M309" i="9"/>
  <c r="N308" i="9"/>
  <c r="L306" i="9"/>
  <c r="M305" i="9"/>
  <c r="N304" i="9"/>
  <c r="L302" i="9"/>
  <c r="M301" i="9"/>
  <c r="N300" i="9"/>
  <c r="L298" i="9"/>
  <c r="M297" i="9"/>
  <c r="N296" i="9"/>
  <c r="L294" i="9"/>
  <c r="M293" i="9"/>
  <c r="N292" i="9"/>
  <c r="L290" i="9"/>
  <c r="M289" i="9"/>
  <c r="N288" i="9"/>
  <c r="L286" i="9"/>
  <c r="M570" i="9"/>
  <c r="L567" i="9"/>
  <c r="N557" i="9"/>
  <c r="M554" i="9"/>
  <c r="L551" i="9"/>
  <c r="N541" i="9"/>
  <c r="M538" i="9"/>
  <c r="L535" i="9"/>
  <c r="N525" i="9"/>
  <c r="M522" i="9"/>
  <c r="L519" i="9"/>
  <c r="N509" i="9"/>
  <c r="M506" i="9"/>
  <c r="L503" i="9"/>
  <c r="I495" i="9"/>
  <c r="L493" i="9"/>
  <c r="M492" i="9"/>
  <c r="L491" i="9"/>
  <c r="L490" i="9"/>
  <c r="M489" i="9"/>
  <c r="N488" i="9"/>
  <c r="N487" i="9"/>
  <c r="M486" i="9"/>
  <c r="N485" i="9"/>
  <c r="L480" i="9"/>
  <c r="M479" i="9"/>
  <c r="N478" i="9"/>
  <c r="L476" i="9"/>
  <c r="M475" i="9"/>
  <c r="N474" i="9"/>
  <c r="L472" i="9"/>
  <c r="M471" i="9"/>
  <c r="N470" i="9"/>
  <c r="L468" i="9"/>
  <c r="M467" i="9"/>
  <c r="N466" i="9"/>
  <c r="L464" i="9"/>
  <c r="M463" i="9"/>
  <c r="N462" i="9"/>
  <c r="L460" i="9"/>
  <c r="M459" i="9"/>
  <c r="N458" i="9"/>
  <c r="L456" i="9"/>
  <c r="M455" i="9"/>
  <c r="N454" i="9"/>
  <c r="L452" i="9"/>
  <c r="M451" i="9"/>
  <c r="N450" i="9"/>
  <c r="L448" i="9"/>
  <c r="M447" i="9"/>
  <c r="N446" i="9"/>
  <c r="L444" i="9"/>
  <c r="M443" i="9"/>
  <c r="N442" i="9"/>
  <c r="L440" i="9"/>
  <c r="M439" i="9"/>
  <c r="N438" i="9"/>
  <c r="L436" i="9"/>
  <c r="M435" i="9"/>
  <c r="N434" i="9"/>
  <c r="L432" i="9"/>
  <c r="M431" i="9"/>
  <c r="N430" i="9"/>
  <c r="L428" i="9"/>
  <c r="M427" i="9"/>
  <c r="N426" i="9"/>
  <c r="L424" i="9"/>
  <c r="M423" i="9"/>
  <c r="N422" i="9"/>
  <c r="L420" i="9"/>
  <c r="M419" i="9"/>
  <c r="N418" i="9"/>
  <c r="L416" i="9"/>
  <c r="M415" i="9"/>
  <c r="N414" i="9"/>
  <c r="L412" i="9"/>
  <c r="M411" i="9"/>
  <c r="N410" i="9"/>
  <c r="L408" i="9"/>
  <c r="M407" i="9"/>
  <c r="N406" i="9"/>
  <c r="L404" i="9"/>
  <c r="M403" i="9"/>
  <c r="N402" i="9"/>
  <c r="L400" i="9"/>
  <c r="M399" i="9"/>
  <c r="N398" i="9"/>
  <c r="L396" i="9"/>
  <c r="M395" i="9"/>
  <c r="N394" i="9"/>
  <c r="L392" i="9"/>
  <c r="M391" i="9"/>
  <c r="N390" i="9"/>
  <c r="L388" i="9"/>
  <c r="M387" i="9"/>
  <c r="N386" i="9"/>
  <c r="L384" i="9"/>
  <c r="M383" i="9"/>
  <c r="N382" i="9"/>
  <c r="L380" i="9"/>
  <c r="M379" i="9"/>
  <c r="N378" i="9"/>
  <c r="L376" i="9"/>
  <c r="M375" i="9"/>
  <c r="N374" i="9"/>
  <c r="L372" i="9"/>
  <c r="M371" i="9"/>
  <c r="N370" i="9"/>
  <c r="L368" i="9"/>
  <c r="M367" i="9"/>
  <c r="N366" i="9"/>
  <c r="L364" i="9"/>
  <c r="M363" i="9"/>
  <c r="N362" i="9"/>
  <c r="L360" i="9"/>
  <c r="M359" i="9"/>
  <c r="N358" i="9"/>
  <c r="L356" i="9"/>
  <c r="M355" i="9"/>
  <c r="N354" i="9"/>
  <c r="L352" i="9"/>
  <c r="M351" i="9"/>
  <c r="N350" i="9"/>
  <c r="L348" i="9"/>
  <c r="M347" i="9"/>
  <c r="N346" i="9"/>
  <c r="L344" i="9"/>
  <c r="M343" i="9"/>
  <c r="N342" i="9"/>
  <c r="L340" i="9"/>
  <c r="M339" i="9"/>
  <c r="N338" i="9"/>
  <c r="L336" i="9"/>
  <c r="M335" i="9"/>
  <c r="N334" i="9"/>
  <c r="L332" i="9"/>
  <c r="M331" i="9"/>
  <c r="N330" i="9"/>
  <c r="L328" i="9"/>
  <c r="M327" i="9"/>
  <c r="N326" i="9"/>
  <c r="L324" i="9"/>
  <c r="M323" i="9"/>
  <c r="N322" i="9"/>
  <c r="L320" i="9"/>
  <c r="M319" i="9"/>
  <c r="N318" i="9"/>
  <c r="L316" i="9"/>
  <c r="M315" i="9"/>
  <c r="N314" i="9"/>
  <c r="L312" i="9"/>
  <c r="M311" i="9"/>
  <c r="N310" i="9"/>
  <c r="L308" i="9"/>
  <c r="M307" i="9"/>
  <c r="N306" i="9"/>
  <c r="L304" i="9"/>
  <c r="M303" i="9"/>
  <c r="M246" i="9"/>
  <c r="L247" i="9"/>
  <c r="N249" i="9"/>
  <c r="M250" i="9"/>
  <c r="L251" i="9"/>
  <c r="N253" i="9"/>
  <c r="M254" i="9"/>
  <c r="L255" i="9"/>
  <c r="N257" i="9"/>
  <c r="M258" i="9"/>
  <c r="L259" i="9"/>
  <c r="N261" i="9"/>
  <c r="M262" i="9"/>
  <c r="L263" i="9"/>
  <c r="N265" i="9"/>
  <c r="M266" i="9"/>
  <c r="L267" i="9"/>
  <c r="N269" i="9"/>
  <c r="M270" i="9"/>
  <c r="L271" i="9"/>
  <c r="N273" i="9"/>
  <c r="M274" i="9"/>
  <c r="L275" i="9"/>
  <c r="N277" i="9"/>
  <c r="M278" i="9"/>
  <c r="L279" i="9"/>
  <c r="N281" i="9"/>
  <c r="M282" i="9"/>
  <c r="L283" i="9"/>
  <c r="N285" i="9"/>
  <c r="N286" i="9"/>
  <c r="N287" i="9"/>
  <c r="M288" i="9"/>
  <c r="N294" i="9"/>
  <c r="N295" i="9"/>
  <c r="M296" i="9"/>
  <c r="N302" i="9"/>
  <c r="L309" i="9"/>
  <c r="M312" i="9"/>
  <c r="N315" i="9"/>
  <c r="L325" i="9"/>
  <c r="M328" i="9"/>
  <c r="N331" i="9"/>
  <c r="L341" i="9"/>
  <c r="M344" i="9"/>
  <c r="N347" i="9"/>
  <c r="L357" i="9"/>
  <c r="M360" i="9"/>
  <c r="N363" i="9"/>
  <c r="L373" i="9"/>
  <c r="M376" i="9"/>
  <c r="N379" i="9"/>
  <c r="L389" i="9"/>
  <c r="M392" i="9"/>
  <c r="N395" i="9"/>
  <c r="L405" i="9"/>
  <c r="M408" i="9"/>
  <c r="N411" i="9"/>
  <c r="L421" i="9"/>
  <c r="M424" i="9"/>
  <c r="N427" i="9"/>
  <c r="L437" i="9"/>
  <c r="M440" i="9"/>
  <c r="N443" i="9"/>
  <c r="L453" i="9"/>
  <c r="M456" i="9"/>
  <c r="N459" i="9"/>
  <c r="L469" i="9"/>
  <c r="M472" i="9"/>
  <c r="N475" i="9"/>
  <c r="N491" i="9"/>
  <c r="N505" i="9"/>
  <c r="M518" i="9"/>
  <c r="L531" i="9"/>
  <c r="N569" i="9"/>
  <c r="M573" i="9"/>
  <c r="N499" i="9"/>
  <c r="M500" i="9"/>
  <c r="L501" i="9"/>
  <c r="N503" i="9"/>
  <c r="M504" i="9"/>
  <c r="L505" i="9"/>
  <c r="N507" i="9"/>
  <c r="M508" i="9"/>
  <c r="L509" i="9"/>
  <c r="N511" i="9"/>
  <c r="M512" i="9"/>
  <c r="L513" i="9"/>
  <c r="N515" i="9"/>
  <c r="M516" i="9"/>
  <c r="L517" i="9"/>
  <c r="N519" i="9"/>
  <c r="M520" i="9"/>
  <c r="L521" i="9"/>
  <c r="N523" i="9"/>
  <c r="M524" i="9"/>
  <c r="L525" i="9"/>
  <c r="N527" i="9"/>
  <c r="M528" i="9"/>
  <c r="L529" i="9"/>
  <c r="N531" i="9"/>
  <c r="M532" i="9"/>
  <c r="L533" i="9"/>
  <c r="N535" i="9"/>
  <c r="M536" i="9"/>
  <c r="L537" i="9"/>
  <c r="N539" i="9"/>
  <c r="M540" i="9"/>
  <c r="L541" i="9"/>
  <c r="N543" i="9"/>
  <c r="M544" i="9"/>
  <c r="L545" i="9"/>
  <c r="N547" i="9"/>
  <c r="M548" i="9"/>
  <c r="L549" i="9"/>
  <c r="N551" i="9"/>
  <c r="M552" i="9"/>
  <c r="L553" i="9"/>
  <c r="N555" i="9"/>
  <c r="M556" i="9"/>
  <c r="L557" i="9"/>
  <c r="N559" i="9"/>
  <c r="M560" i="9"/>
  <c r="L561" i="9"/>
  <c r="N563" i="9"/>
  <c r="M564" i="9"/>
  <c r="L565" i="9"/>
  <c r="N567" i="9"/>
  <c r="M568" i="9"/>
  <c r="L569" i="9"/>
  <c r="N571" i="9"/>
  <c r="N572" i="9"/>
  <c r="H3" i="9"/>
  <c r="J495" i="9"/>
  <c r="M1" i="9"/>
  <c r="N1" i="9"/>
  <c r="J499" i="9"/>
  <c r="J497" i="9"/>
  <c r="L1" i="9"/>
  <c r="E573" i="9"/>
  <c r="I572" i="9"/>
  <c r="I573" i="9"/>
  <c r="G573" i="9"/>
  <c r="E4" i="9"/>
  <c r="E174" i="9"/>
  <c r="E172" i="9"/>
  <c r="G85" i="3"/>
  <c r="G27" i="3"/>
  <c r="E546" i="9"/>
  <c r="E555" i="9"/>
  <c r="E421" i="9"/>
  <c r="E426" i="9"/>
  <c r="E437" i="9"/>
  <c r="E456" i="9"/>
  <c r="E373" i="9"/>
  <c r="E432" i="9"/>
  <c r="E472" i="9"/>
  <c r="E468" i="9"/>
  <c r="E479" i="9"/>
  <c r="E480" i="9"/>
  <c r="E424" i="9"/>
  <c r="E470" i="9"/>
  <c r="E476" i="9"/>
  <c r="E440" i="9"/>
  <c r="E486" i="9"/>
  <c r="E483" i="9"/>
  <c r="E484" i="9"/>
  <c r="E494" i="9"/>
  <c r="E556" i="9"/>
  <c r="E454" i="9"/>
  <c r="E462" i="9"/>
  <c r="E434" i="9"/>
  <c r="E551" i="9"/>
  <c r="E552" i="9"/>
  <c r="E464" i="9"/>
  <c r="E563" i="9"/>
  <c r="E548" i="9"/>
  <c r="E478" i="9"/>
  <c r="E466" i="9"/>
  <c r="E488" i="9"/>
  <c r="E447" i="9"/>
  <c r="E448" i="9"/>
  <c r="E559" i="9"/>
  <c r="E554" i="9"/>
  <c r="E444" i="9"/>
  <c r="E482" i="9"/>
  <c r="E572" i="9"/>
  <c r="E288" i="9"/>
  <c r="E536" i="9"/>
  <c r="E317" i="9"/>
  <c r="E262" i="9"/>
  <c r="E178" i="9"/>
  <c r="E211" i="9"/>
  <c r="E544" i="9"/>
  <c r="E343" i="9"/>
  <c r="E48" i="9"/>
  <c r="E336" i="9"/>
  <c r="E283" i="9"/>
  <c r="E101" i="9"/>
  <c r="E327" i="9"/>
  <c r="E121" i="9"/>
  <c r="E250" i="9"/>
  <c r="E281" i="9"/>
  <c r="E333" i="9"/>
  <c r="E25" i="9"/>
  <c r="E291" i="9"/>
  <c r="E79" i="9"/>
  <c r="E332" i="9"/>
  <c r="E416" i="9"/>
  <c r="E532" i="9"/>
  <c r="E125" i="9"/>
  <c r="E219" i="9"/>
  <c r="E404" i="9"/>
  <c r="E76" i="9"/>
  <c r="E249" i="9"/>
  <c r="E203" i="9"/>
  <c r="E550" i="9"/>
  <c r="E255" i="9"/>
  <c r="E348" i="9"/>
  <c r="E369" i="9"/>
  <c r="E349" i="9"/>
  <c r="E305" i="9"/>
  <c r="E353" i="9"/>
  <c r="E153" i="9"/>
  <c r="E420" i="9"/>
  <c r="E287" i="9"/>
  <c r="E75" i="9"/>
  <c r="E319" i="9"/>
  <c r="E15" i="9"/>
  <c r="E252" i="9"/>
  <c r="E20" i="9"/>
  <c r="E323" i="9"/>
  <c r="E55" i="9"/>
  <c r="E391" i="9"/>
  <c r="E81" i="9"/>
  <c r="E374" i="9"/>
  <c r="E93" i="9"/>
  <c r="E361" i="9"/>
  <c r="E324" i="9"/>
  <c r="E23" i="9"/>
  <c r="E257" i="9"/>
  <c r="E28" i="9"/>
  <c r="E65" i="9"/>
  <c r="E335" i="9"/>
  <c r="E167" i="9"/>
  <c r="E564" i="9"/>
  <c r="E303" i="9"/>
  <c r="E26" i="9"/>
  <c r="E284" i="9"/>
  <c r="E31" i="9"/>
  <c r="E265" i="9"/>
  <c r="E92" i="9"/>
  <c r="E321" i="9"/>
  <c r="E186" i="9"/>
  <c r="E382" i="9"/>
  <c r="E523" i="9"/>
  <c r="E118" i="9"/>
  <c r="E390" i="9"/>
  <c r="E100" i="9"/>
  <c r="E273" i="9"/>
  <c r="E278" i="9"/>
  <c r="E17" i="9"/>
  <c r="E71" i="9"/>
  <c r="E539" i="9"/>
  <c r="E388" i="9"/>
  <c r="E105" i="9"/>
  <c r="E414" i="9"/>
  <c r="E111" i="9"/>
  <c r="E57" i="9"/>
  <c r="E357" i="9"/>
  <c r="E134" i="9"/>
  <c r="E402" i="9"/>
  <c r="E110" i="9"/>
  <c r="E166" i="9"/>
  <c r="E230" i="9"/>
  <c r="E162" i="9"/>
  <c r="E151" i="9"/>
  <c r="E418" i="9"/>
  <c r="E116" i="9"/>
  <c r="E137" i="9"/>
  <c r="E21" i="9"/>
  <c r="E279" i="9"/>
  <c r="E123" i="9"/>
  <c r="E381" i="9"/>
  <c r="E44" i="9"/>
  <c r="E520" i="9"/>
  <c r="E315" i="9"/>
  <c r="E266" i="9"/>
  <c r="E61" i="9"/>
  <c r="E311" i="9"/>
  <c r="E184" i="9"/>
  <c r="E109" i="9"/>
  <c r="E380" i="9"/>
  <c r="E514" i="9"/>
  <c r="E280" i="9"/>
  <c r="E241" i="9"/>
  <c r="E73" i="9"/>
  <c r="E83" i="9"/>
  <c r="E190" i="9"/>
  <c r="E430" i="9"/>
  <c r="E408" i="9"/>
  <c r="E94" i="9"/>
  <c r="E385" i="9"/>
  <c r="E132" i="9"/>
  <c r="E513" i="9"/>
  <c r="E131" i="9"/>
  <c r="E122" i="9"/>
  <c r="E140" i="9"/>
  <c r="E164" i="9"/>
  <c r="E395" i="9"/>
  <c r="E269" i="9"/>
  <c r="E177" i="9"/>
  <c r="E406" i="9"/>
  <c r="E85" i="9"/>
  <c r="E368" i="9"/>
  <c r="E328" i="9"/>
  <c r="E365" i="9"/>
  <c r="E521" i="9"/>
  <c r="E180" i="9"/>
  <c r="E460" i="9"/>
  <c r="E526" i="9"/>
  <c r="E351" i="9"/>
  <c r="E95" i="9"/>
  <c r="E171" i="9"/>
  <c r="E401" i="9"/>
  <c r="E99" i="9"/>
  <c r="E527" i="9"/>
  <c r="E396" i="9"/>
  <c r="E233" i="9"/>
  <c r="E227" i="9"/>
  <c r="E436" i="9"/>
  <c r="E271" i="9"/>
  <c r="E537" i="9"/>
  <c r="E69" i="9"/>
  <c r="E145" i="9"/>
  <c r="E543" i="9"/>
  <c r="E260" i="9"/>
  <c r="E120" i="9"/>
  <c r="E398" i="9"/>
  <c r="E133" i="9"/>
  <c r="E114" i="9"/>
  <c r="E221" i="9"/>
  <c r="E354" i="9"/>
  <c r="E387" i="9"/>
  <c r="E56" i="9"/>
  <c r="E341" i="9"/>
  <c r="E77" i="9"/>
  <c r="E313" i="9"/>
  <c r="E394" i="9"/>
  <c r="E173" i="9"/>
  <c r="E359" i="9"/>
  <c r="E32" i="9"/>
  <c r="E428" i="9"/>
  <c r="E417" i="9"/>
  <c r="E139" i="9"/>
  <c r="E63" i="9"/>
  <c r="E356" i="9"/>
  <c r="E82" i="9"/>
  <c r="E525" i="9"/>
  <c r="E130" i="9"/>
  <c r="E400" i="9"/>
  <c r="E246" i="9"/>
  <c r="E298" i="9"/>
  <c r="E54" i="9"/>
  <c r="E384" i="9"/>
  <c r="E331" i="9"/>
  <c r="E72" i="9"/>
  <c r="E363" i="9"/>
  <c r="E157" i="9"/>
  <c r="E389" i="9"/>
  <c r="E74" i="9"/>
  <c r="E540" i="9"/>
  <c r="E251" i="9"/>
  <c r="E156" i="9"/>
  <c r="E113" i="9"/>
  <c r="E155" i="9"/>
  <c r="E97" i="9"/>
  <c r="E87" i="9"/>
  <c r="E135" i="9"/>
  <c r="E458" i="9"/>
  <c r="E160" i="9"/>
  <c r="E143" i="9"/>
  <c r="E170" i="9"/>
  <c r="E129" i="9"/>
  <c r="E399" i="9"/>
  <c r="E193" i="9"/>
  <c r="E443" i="9"/>
  <c r="E169" i="9"/>
  <c r="E53" i="9"/>
  <c r="E294" i="9"/>
  <c r="E489" i="9"/>
  <c r="E214" i="9"/>
  <c r="E183" i="9"/>
  <c r="E78" i="9"/>
  <c r="E475" i="9"/>
  <c r="E165" i="9"/>
  <c r="E312" i="9"/>
  <c r="E158" i="9"/>
  <c r="E141" i="9"/>
  <c r="E189" i="9"/>
  <c r="E562" i="9"/>
  <c r="E231" i="9"/>
  <c r="E465" i="9"/>
  <c r="E545" i="9"/>
  <c r="E461" i="9"/>
  <c r="E304" i="9"/>
  <c r="E320" i="9"/>
  <c r="E103" i="9"/>
  <c r="E531" i="9"/>
  <c r="E419" i="9"/>
  <c r="E340" i="9"/>
  <c r="E490" i="9"/>
  <c r="E522" i="9"/>
  <c r="E146" i="9"/>
  <c r="E224" i="9"/>
  <c r="E253" i="9"/>
  <c r="E126" i="9"/>
  <c r="E530" i="9"/>
  <c r="E163" i="9"/>
  <c r="E541" i="9"/>
  <c r="E445" i="9"/>
  <c r="E225" i="9"/>
  <c r="E154" i="9"/>
  <c r="E263" i="9"/>
  <c r="E33" i="9"/>
  <c r="E272" i="9"/>
  <c r="E524" i="9"/>
  <c r="E491" i="9"/>
  <c r="E297" i="9"/>
  <c r="E89" i="9"/>
  <c r="E367" i="9"/>
  <c r="E307" i="9"/>
  <c r="E150" i="9"/>
  <c r="E538" i="9"/>
  <c r="E179" i="9"/>
  <c r="E364" i="9"/>
  <c r="E339" i="9"/>
  <c r="E115" i="9"/>
  <c r="E442" i="9"/>
  <c r="E168" i="9"/>
  <c r="E208" i="9"/>
  <c r="E452" i="9"/>
  <c r="E316" i="9"/>
  <c r="E192" i="9"/>
  <c r="E549" i="9"/>
  <c r="E181" i="9"/>
  <c r="E24" i="9"/>
  <c r="E282" i="9"/>
  <c r="E200" i="9"/>
  <c r="E435" i="9"/>
  <c r="E128" i="9"/>
  <c r="E360" i="9"/>
  <c r="E239" i="9"/>
  <c r="E201" i="9"/>
  <c r="E161" i="9"/>
  <c r="E500" i="9"/>
  <c r="E205" i="9"/>
  <c r="E136" i="9"/>
  <c r="E542" i="9"/>
  <c r="E149" i="9"/>
  <c r="E199" i="9"/>
  <c r="E91" i="9"/>
  <c r="E45" i="9"/>
  <c r="E379" i="9"/>
  <c r="E147" i="9"/>
  <c r="E144" i="9"/>
  <c r="E212" i="9"/>
  <c r="E547" i="9"/>
  <c r="E138" i="9"/>
  <c r="E67" i="9"/>
  <c r="E277" i="9"/>
  <c r="E175" i="9"/>
  <c r="E553" i="9"/>
  <c r="E245" i="9"/>
  <c r="E223" i="9"/>
  <c r="E449" i="9"/>
  <c r="E152" i="9"/>
  <c r="E529" i="9"/>
  <c r="E415" i="9"/>
  <c r="E194" i="9"/>
  <c r="E342" i="9"/>
  <c r="E185" i="9"/>
  <c r="E220" i="9"/>
  <c r="E264" i="9"/>
  <c r="E11" i="9"/>
  <c r="E229" i="9"/>
  <c r="E431" i="9"/>
  <c r="E188" i="9"/>
  <c r="E561" i="9"/>
  <c r="E306" i="9"/>
  <c r="E289" i="9"/>
  <c r="E117" i="9"/>
  <c r="E338" i="9"/>
  <c r="E299" i="9"/>
  <c r="E22" i="9"/>
  <c r="E19" i="9"/>
  <c r="E301" i="9"/>
  <c r="E376" i="9"/>
  <c r="E235" i="9"/>
  <c r="E347" i="9"/>
  <c r="E197" i="9"/>
  <c r="E501" i="9"/>
  <c r="E296" i="9"/>
  <c r="E450" i="9"/>
  <c r="E207" i="9"/>
  <c r="E516" i="9"/>
  <c r="E275" i="9"/>
  <c r="E127" i="9"/>
  <c r="E292" i="9"/>
  <c r="E285" i="9"/>
  <c r="E438" i="9"/>
  <c r="E228" i="9"/>
  <c r="E571" i="9"/>
  <c r="E286" i="9"/>
  <c r="E222" i="9"/>
  <c r="E519" i="9"/>
  <c r="E293" i="9"/>
  <c r="E329" i="9"/>
  <c r="E375" i="9"/>
  <c r="E337" i="9"/>
  <c r="E191" i="9"/>
  <c r="E13" i="9"/>
  <c r="E64" i="9"/>
  <c r="E302" i="9"/>
  <c r="E159" i="9"/>
  <c r="E124" i="9"/>
  <c r="E213" i="9"/>
  <c r="E43" i="9"/>
  <c r="E232" i="9"/>
  <c r="E410" i="9"/>
  <c r="E142" i="9"/>
  <c r="E535" i="9"/>
  <c r="E182" i="9"/>
  <c r="E392" i="9"/>
  <c r="E237" i="9"/>
  <c r="E274" i="9"/>
  <c r="E247" i="9"/>
  <c r="E308" i="9"/>
  <c r="E560" i="9"/>
  <c r="E254" i="9"/>
  <c r="E557" i="9"/>
  <c r="E352" i="9"/>
  <c r="E86" i="9"/>
  <c r="E371" i="9"/>
  <c r="E218" i="9"/>
  <c r="E268" i="9"/>
  <c r="E187" i="9"/>
  <c r="E412" i="9"/>
  <c r="E259" i="9"/>
  <c r="E261" i="9"/>
  <c r="E290" i="9"/>
  <c r="E517" i="9"/>
  <c r="E295" i="9"/>
  <c r="E276" i="9"/>
  <c r="E487" i="9"/>
  <c r="E195" i="9"/>
  <c r="E492" i="9"/>
  <c r="E202" i="9"/>
  <c r="E267" i="9"/>
  <c r="E119" i="9"/>
  <c r="E397" i="9"/>
  <c r="E148" i="9"/>
  <c r="E377" i="9"/>
  <c r="E108" i="9"/>
  <c r="E446" i="9"/>
  <c r="E210" i="9"/>
  <c r="E270" i="9"/>
  <c r="E533" i="9"/>
  <c r="E325" i="9"/>
  <c r="E243" i="9"/>
  <c r="E59" i="9"/>
  <c r="E309" i="9"/>
  <c r="E515" i="9"/>
  <c r="E558" i="9"/>
  <c r="E215" i="9"/>
  <c r="E217" i="9"/>
  <c r="E209" i="9"/>
  <c r="E474" i="9"/>
  <c r="E345" i="9"/>
  <c r="E393" i="9"/>
  <c r="E518" i="9"/>
  <c r="E300" i="9"/>
  <c r="E102" i="9"/>
  <c r="E355" i="9"/>
  <c r="E258" i="9"/>
  <c r="E50" i="9"/>
  <c r="E528" i="9"/>
  <c r="E107" i="9"/>
  <c r="E386" i="9"/>
  <c r="E534" i="9"/>
  <c r="E84" i="9"/>
  <c r="E362" i="9"/>
  <c r="E51" i="9"/>
  <c r="E42" i="9"/>
  <c r="E411" i="9"/>
  <c r="E70" i="9"/>
  <c r="E12" i="9"/>
  <c r="E46" i="9"/>
  <c r="E429" i="9"/>
  <c r="E27" i="9"/>
  <c r="G200" i="9"/>
  <c r="G93" i="9"/>
  <c r="G434" i="9"/>
  <c r="G559" i="9"/>
  <c r="G129" i="9"/>
  <c r="G232" i="9"/>
  <c r="G181" i="9"/>
  <c r="G290" i="9"/>
  <c r="G273" i="9"/>
  <c r="G84" i="9"/>
  <c r="G187" i="9"/>
  <c r="G475" i="9"/>
  <c r="G257" i="9"/>
  <c r="G113" i="9"/>
  <c r="G418" i="9"/>
  <c r="G121" i="9"/>
  <c r="G312" i="9"/>
  <c r="G438" i="9"/>
  <c r="G77" i="9"/>
  <c r="G143" i="9"/>
  <c r="G417" i="9"/>
  <c r="G474" i="9"/>
  <c r="G349" i="9"/>
  <c r="G170" i="9"/>
  <c r="G337" i="9"/>
  <c r="G381" i="9"/>
  <c r="G445" i="9"/>
  <c r="G262" i="9"/>
  <c r="G266" i="9"/>
  <c r="G325" i="9"/>
  <c r="G54" i="9"/>
  <c r="G354" i="9"/>
  <c r="G404" i="9"/>
  <c r="G167" i="9"/>
  <c r="G446" i="9"/>
  <c r="G380" i="9"/>
  <c r="G115" i="9"/>
  <c r="G532" i="9"/>
  <c r="G384" i="9"/>
  <c r="G178" i="9"/>
  <c r="G127" i="9"/>
  <c r="G4" i="9"/>
  <c r="G26" i="9"/>
  <c r="G541" i="9"/>
  <c r="G554" i="9"/>
  <c r="G340" i="9"/>
  <c r="G17" i="9"/>
  <c r="G220" i="9"/>
  <c r="G402" i="9"/>
  <c r="G15" i="9"/>
  <c r="G444" i="9"/>
  <c r="G284" i="9"/>
  <c r="G274" i="9"/>
  <c r="G533" i="9"/>
  <c r="G87" i="9"/>
  <c r="G281" i="9"/>
  <c r="G487" i="9"/>
  <c r="G237" i="9"/>
  <c r="G56" i="9"/>
  <c r="G130" i="9"/>
  <c r="G144" i="9"/>
  <c r="G171" i="9"/>
  <c r="G64" i="9"/>
  <c r="G137" i="9"/>
  <c r="G148" i="9"/>
  <c r="G365" i="9"/>
  <c r="G188" i="9"/>
  <c r="G551" i="9"/>
  <c r="G323" i="9"/>
  <c r="G542" i="9"/>
  <c r="G483" i="9"/>
  <c r="G292" i="9"/>
  <c r="G351" i="9"/>
  <c r="G289" i="9"/>
  <c r="G343" i="9"/>
  <c r="G71" i="9"/>
  <c r="G355" i="9"/>
  <c r="G302" i="9"/>
  <c r="G55" i="9"/>
  <c r="G108" i="9"/>
  <c r="G369" i="9"/>
  <c r="G260" i="9"/>
  <c r="G111" i="9"/>
  <c r="G22" i="9"/>
  <c r="G524" i="9"/>
  <c r="G128" i="9"/>
  <c r="G470" i="9"/>
  <c r="G28" i="9"/>
  <c r="G208" i="9"/>
  <c r="G179" i="9"/>
  <c r="G116" i="9"/>
  <c r="G21" i="9"/>
  <c r="G239" i="9"/>
  <c r="G199" i="9"/>
  <c r="G393" i="9"/>
  <c r="G367" i="9"/>
  <c r="G519" i="9"/>
  <c r="G183" i="9"/>
  <c r="G279" i="9"/>
  <c r="G296" i="9"/>
  <c r="G447" i="9"/>
  <c r="G468" i="9"/>
  <c r="G332" i="9"/>
  <c r="G61" i="9"/>
  <c r="G458" i="9"/>
  <c r="G212" i="9"/>
  <c r="G221" i="9"/>
  <c r="G23" i="9"/>
  <c r="G571" i="9"/>
  <c r="G110" i="9"/>
  <c r="G252" i="9"/>
  <c r="G540" i="9"/>
  <c r="G500" i="9"/>
  <c r="G209" i="9"/>
  <c r="G550" i="9"/>
  <c r="G189" i="9"/>
  <c r="G520" i="9"/>
  <c r="G478" i="9"/>
  <c r="G561" i="9"/>
  <c r="G316" i="9"/>
  <c r="G139" i="9"/>
  <c r="G45" i="9"/>
  <c r="G450" i="9"/>
  <c r="G452" i="9"/>
  <c r="G564" i="9"/>
  <c r="G31" i="9"/>
  <c r="G535" i="9"/>
  <c r="G494" i="9"/>
  <c r="G267" i="9"/>
  <c r="G180" i="9"/>
  <c r="G517" i="9"/>
  <c r="G97" i="9"/>
  <c r="G356" i="9"/>
  <c r="G329" i="9"/>
  <c r="G513" i="9"/>
  <c r="G379" i="9"/>
  <c r="G101" i="9"/>
  <c r="G543" i="9"/>
  <c r="G191" i="9"/>
  <c r="G431" i="9"/>
  <c r="G211" i="9"/>
  <c r="G74" i="9"/>
  <c r="G415" i="9"/>
  <c r="G79" i="9"/>
  <c r="G24" i="9"/>
  <c r="G182" i="9"/>
  <c r="G472" i="9"/>
  <c r="G164" i="9"/>
  <c r="G538" i="9"/>
  <c r="G156" i="9"/>
  <c r="G327" i="9"/>
  <c r="G294" i="9"/>
  <c r="G556" i="9"/>
  <c r="G261" i="9"/>
  <c r="G400" i="9"/>
  <c r="G419" i="9"/>
  <c r="G217" i="9"/>
  <c r="G401" i="9"/>
  <c r="G299" i="9"/>
  <c r="G547" i="9"/>
  <c r="G253" i="9"/>
  <c r="G437" i="9"/>
  <c r="G219" i="9"/>
  <c r="G161" i="9"/>
  <c r="G210" i="9"/>
  <c r="G59" i="9"/>
  <c r="G126" i="9"/>
  <c r="G408" i="9"/>
  <c r="G120" i="9"/>
  <c r="G241" i="9"/>
  <c r="G122" i="9"/>
  <c r="G51" i="9"/>
  <c r="G268" i="9"/>
  <c r="G132" i="9"/>
  <c r="G406" i="9"/>
  <c r="G461" i="9"/>
  <c r="G134" i="9"/>
  <c r="G410" i="9"/>
  <c r="G371" i="9"/>
  <c r="G247" i="9"/>
  <c r="G282" i="9"/>
  <c r="G193" i="9"/>
  <c r="G555" i="9"/>
  <c r="G420" i="9"/>
  <c r="G548" i="9"/>
  <c r="G215" i="9"/>
  <c r="G530" i="9"/>
  <c r="G549" i="9"/>
  <c r="G125" i="9"/>
  <c r="G394" i="9"/>
  <c r="G160" i="9"/>
  <c r="G141" i="9"/>
  <c r="G225" i="9"/>
  <c r="G33" i="9"/>
  <c r="G348" i="9"/>
  <c r="G155" i="9"/>
  <c r="G91" i="9"/>
  <c r="G436" i="9"/>
  <c r="G89" i="9"/>
  <c r="G320" i="9"/>
  <c r="G275" i="9"/>
  <c r="G228" i="9"/>
  <c r="G75" i="9"/>
  <c r="G303" i="9"/>
  <c r="G362" i="9"/>
  <c r="G264" i="9"/>
  <c r="G20" i="9"/>
  <c r="G207" i="9"/>
  <c r="G184" i="9"/>
  <c r="G335" i="9"/>
  <c r="G309" i="9"/>
  <c r="G195" i="9"/>
  <c r="G523" i="9"/>
  <c r="G537" i="9"/>
  <c r="G82" i="9"/>
  <c r="G147" i="9"/>
  <c r="G529" i="9"/>
  <c r="G572" i="9"/>
  <c r="G177" i="9"/>
  <c r="G229" i="9"/>
  <c r="G430" i="9"/>
  <c r="G124" i="9"/>
  <c r="G456" i="9"/>
  <c r="G213" i="9"/>
  <c r="G185" i="9"/>
  <c r="G386" i="9"/>
  <c r="G109" i="9"/>
  <c r="G480" i="9"/>
  <c r="G374" i="9"/>
  <c r="G298" i="9"/>
  <c r="G311" i="9"/>
  <c r="G368" i="9"/>
  <c r="G396" i="9"/>
  <c r="G123" i="9"/>
  <c r="G222" i="9"/>
  <c r="G553" i="9"/>
  <c r="G168" i="9"/>
  <c r="G135" i="9"/>
  <c r="G202" i="9"/>
  <c r="G353" i="9"/>
  <c r="G224" i="9"/>
  <c r="G57" i="9"/>
  <c r="G339" i="9"/>
  <c r="G448" i="9"/>
  <c r="G140" i="9"/>
  <c r="G388" i="9"/>
  <c r="G258" i="9"/>
  <c r="G163" i="9"/>
  <c r="G359" i="9"/>
  <c r="G86" i="9"/>
  <c r="G286" i="9"/>
  <c r="G63" i="9"/>
  <c r="G103" i="9"/>
  <c r="G491" i="9"/>
  <c r="G518" i="9"/>
  <c r="G214" i="9"/>
  <c r="G352" i="9"/>
  <c r="G544" i="9"/>
  <c r="G464" i="9"/>
  <c r="G421" i="9"/>
  <c r="G414" i="9"/>
  <c r="G301" i="9"/>
  <c r="G424" i="9"/>
  <c r="G175" i="9"/>
  <c r="G300" i="9"/>
  <c r="G490" i="9"/>
  <c r="G153" i="9"/>
  <c r="G205" i="9"/>
  <c r="G157" i="9"/>
  <c r="G563" i="9"/>
  <c r="G95" i="9"/>
  <c r="G263" i="9"/>
  <c r="G271" i="9"/>
  <c r="G114" i="9"/>
  <c r="G81" i="9"/>
  <c r="G376" i="9"/>
  <c r="G197" i="9"/>
  <c r="G516" i="9"/>
  <c r="G328" i="9"/>
  <c r="G482" i="9"/>
  <c r="G166" i="9"/>
  <c r="G546" i="9"/>
  <c r="G319" i="9"/>
  <c r="G336" i="9"/>
  <c r="G107" i="9"/>
  <c r="G173" i="9"/>
  <c r="G233" i="9"/>
  <c r="G558" i="9"/>
  <c r="G387" i="9"/>
  <c r="G552" i="9"/>
  <c r="G389" i="9"/>
  <c r="G146" i="9"/>
  <c r="G373" i="9"/>
  <c r="G338" i="9"/>
  <c r="G514" i="9"/>
  <c r="G317" i="9"/>
  <c r="G254" i="9"/>
  <c r="G465" i="9"/>
  <c r="G285" i="9"/>
  <c r="G479" i="9"/>
  <c r="G230" i="9"/>
  <c r="G435" i="9"/>
  <c r="G259" i="9"/>
  <c r="G19" i="9"/>
  <c r="G280" i="9"/>
  <c r="G488" i="9"/>
  <c r="G150" i="9"/>
  <c r="G315" i="9"/>
  <c r="G76" i="9"/>
  <c r="G432" i="9"/>
  <c r="G151" i="9"/>
  <c r="G385" i="9"/>
  <c r="G201" i="9"/>
  <c r="G169" i="9"/>
  <c r="G391" i="9"/>
  <c r="G246" i="9"/>
  <c r="G390" i="9"/>
  <c r="G165" i="9"/>
  <c r="G50" i="9"/>
  <c r="G460" i="9"/>
  <c r="G287" i="9"/>
  <c r="G308" i="9"/>
  <c r="G138" i="9"/>
  <c r="G360" i="9"/>
  <c r="G361" i="9"/>
  <c r="G133" i="9"/>
  <c r="G382" i="9"/>
  <c r="G416" i="9"/>
  <c r="G223" i="9"/>
  <c r="G100" i="9"/>
  <c r="G489" i="9"/>
  <c r="G399" i="9"/>
  <c r="G48" i="9"/>
  <c r="G449" i="9"/>
  <c r="G377" i="9"/>
  <c r="G119" i="9"/>
  <c r="G92" i="9"/>
  <c r="G539" i="9"/>
  <c r="G85" i="9"/>
  <c r="G250" i="9"/>
  <c r="G94" i="9"/>
  <c r="G142" i="9"/>
  <c r="G305" i="9"/>
  <c r="G293" i="9"/>
  <c r="G288" i="9"/>
  <c r="G118" i="9"/>
  <c r="G154" i="9"/>
  <c r="G375" i="9"/>
  <c r="G69" i="9"/>
  <c r="G412" i="9"/>
  <c r="G324" i="9"/>
  <c r="G270" i="9"/>
  <c r="G276" i="9"/>
  <c r="G307" i="9"/>
  <c r="G545" i="9"/>
  <c r="G265" i="9"/>
  <c r="G159" i="9"/>
  <c r="G357" i="9"/>
  <c r="G235" i="9"/>
  <c r="G83" i="9"/>
  <c r="G534" i="9"/>
  <c r="G462" i="9"/>
  <c r="G251" i="9"/>
  <c r="G44" i="9"/>
  <c r="G78" i="9"/>
  <c r="G145" i="9"/>
  <c r="G304" i="9"/>
  <c r="G395" i="9"/>
  <c r="G476" i="9"/>
  <c r="G291" i="9"/>
  <c r="G283" i="9"/>
  <c r="G525" i="9"/>
  <c r="G531" i="9"/>
  <c r="G245" i="9"/>
  <c r="G501" i="9"/>
  <c r="G440" i="9"/>
  <c r="G203" i="9"/>
  <c r="G192" i="9"/>
  <c r="G231" i="9"/>
  <c r="G190" i="9"/>
  <c r="G557" i="9"/>
  <c r="G347" i="9"/>
  <c r="G306" i="9"/>
  <c r="G269" i="9"/>
  <c r="G278" i="9"/>
  <c r="G397" i="9"/>
  <c r="G321" i="9"/>
  <c r="G152" i="9"/>
  <c r="G526" i="9"/>
  <c r="G53" i="9"/>
  <c r="G297" i="9"/>
  <c r="G158" i="9"/>
  <c r="G136" i="9"/>
  <c r="G515" i="9"/>
  <c r="G105" i="9"/>
  <c r="G528" i="9"/>
  <c r="G484" i="9"/>
  <c r="G65" i="9"/>
  <c r="G72" i="9"/>
  <c r="G426" i="9"/>
  <c r="G102" i="9"/>
  <c r="G536" i="9"/>
  <c r="G341" i="9"/>
  <c r="G466" i="9"/>
  <c r="G562" i="9"/>
  <c r="G243" i="9"/>
  <c r="G342" i="9"/>
  <c r="G73" i="9"/>
  <c r="G13" i="9"/>
  <c r="G363" i="9"/>
  <c r="G522" i="9"/>
  <c r="G333" i="9"/>
  <c r="G255" i="9"/>
  <c r="G131" i="9"/>
  <c r="G149" i="9"/>
  <c r="G186" i="9"/>
  <c r="G428" i="9"/>
  <c r="G99" i="9"/>
  <c r="G117" i="9"/>
  <c r="G392" i="9"/>
  <c r="G218" i="9"/>
  <c r="G398" i="9"/>
  <c r="G32" i="9"/>
  <c r="G67" i="9"/>
  <c r="G345" i="9"/>
  <c r="G11" i="9"/>
  <c r="G162" i="9"/>
  <c r="G443" i="9"/>
  <c r="G249" i="9"/>
  <c r="G295" i="9"/>
  <c r="G194" i="9"/>
  <c r="G364" i="9"/>
  <c r="G331" i="9"/>
  <c r="G25" i="9"/>
  <c r="G227" i="9"/>
  <c r="G492" i="9"/>
  <c r="G313" i="9"/>
  <c r="G486" i="9"/>
  <c r="G454" i="9"/>
  <c r="G521" i="9"/>
  <c r="G527" i="9"/>
  <c r="G272" i="9"/>
  <c r="G442" i="9"/>
  <c r="G560" i="9"/>
  <c r="G277" i="9"/>
  <c r="G174" i="9"/>
  <c r="G172" i="9"/>
  <c r="E48" i="6"/>
  <c r="G48" i="6" s="1"/>
  <c r="G43" i="9"/>
  <c r="G42" i="9"/>
  <c r="D27" i="3"/>
  <c r="E17" i="6"/>
  <c r="G17" i="6" s="1"/>
  <c r="G46" i="9"/>
  <c r="G70" i="9"/>
  <c r="G27" i="9"/>
  <c r="G429" i="9"/>
  <c r="G411" i="9"/>
  <c r="G12" i="9"/>
  <c r="E570" i="9"/>
  <c r="G570" i="9"/>
  <c r="J573" i="9"/>
  <c r="J570" i="9"/>
  <c r="J4" i="9"/>
  <c r="E318" i="9"/>
  <c r="E60" i="9"/>
  <c r="E96" i="9"/>
  <c r="E238" i="9"/>
  <c r="E366" i="9"/>
  <c r="E344" i="9"/>
  <c r="E14" i="9"/>
  <c r="E112" i="9"/>
  <c r="E66" i="9"/>
  <c r="E8" i="9"/>
  <c r="E88" i="9"/>
  <c r="H27" i="3"/>
  <c r="E471" i="9"/>
  <c r="E240" i="9"/>
  <c r="E322" i="9"/>
  <c r="E427" i="9"/>
  <c r="E469" i="9"/>
  <c r="E206" i="9"/>
  <c r="E236" i="9"/>
  <c r="E198" i="9"/>
  <c r="E10" i="9"/>
  <c r="E98" i="9"/>
  <c r="E326" i="9"/>
  <c r="E204" i="9"/>
  <c r="E6" i="9"/>
  <c r="E30" i="9"/>
  <c r="E68" i="9"/>
  <c r="E493" i="9"/>
  <c r="H100" i="3"/>
  <c r="E330" i="9"/>
  <c r="E334" i="9"/>
  <c r="E455" i="9"/>
  <c r="E58" i="9"/>
  <c r="E106" i="9"/>
  <c r="E244" i="9"/>
  <c r="E346" i="9"/>
  <c r="E62" i="9"/>
  <c r="E463" i="9"/>
  <c r="H85" i="3"/>
  <c r="E226" i="9"/>
  <c r="E459" i="9"/>
  <c r="E473" i="9"/>
  <c r="E242" i="9"/>
  <c r="E7" i="9"/>
  <c r="E453" i="9"/>
  <c r="G459" i="9"/>
  <c r="G463" i="9"/>
  <c r="G244" i="9"/>
  <c r="G206" i="9"/>
  <c r="G471" i="9"/>
  <c r="G242" i="9"/>
  <c r="G96" i="9"/>
  <c r="G204" i="9"/>
  <c r="G198" i="9"/>
  <c r="G66" i="9"/>
  <c r="G346" i="9"/>
  <c r="G236" i="9"/>
  <c r="G427" i="9"/>
  <c r="G238" i="9"/>
  <c r="G455" i="9"/>
  <c r="G330" i="9"/>
  <c r="G68" i="9"/>
  <c r="G6" i="9"/>
  <c r="G8" i="9"/>
  <c r="G112" i="9"/>
  <c r="G318" i="9"/>
  <c r="G60" i="9"/>
  <c r="G226" i="9"/>
  <c r="G62" i="9"/>
  <c r="G30" i="9"/>
  <c r="G344" i="9"/>
  <c r="G58" i="9"/>
  <c r="G453" i="9"/>
  <c r="G106" i="9"/>
  <c r="G334" i="9"/>
  <c r="G326" i="9"/>
  <c r="G10" i="9"/>
  <c r="G98" i="9"/>
  <c r="G469" i="9"/>
  <c r="G322" i="9"/>
  <c r="G88" i="9"/>
  <c r="G366" i="9"/>
  <c r="G14" i="9"/>
  <c r="G7" i="9"/>
  <c r="G473" i="9"/>
  <c r="G493" i="9"/>
  <c r="G240" i="9"/>
  <c r="E16" i="9"/>
  <c r="E18" i="9"/>
  <c r="E47" i="9"/>
  <c r="E176" i="9"/>
  <c r="E314" i="9"/>
  <c r="E216" i="9"/>
  <c r="E405" i="9"/>
  <c r="E80" i="9"/>
  <c r="E370" i="9"/>
  <c r="E457" i="9"/>
  <c r="E90" i="9"/>
  <c r="E383" i="9"/>
  <c r="E403" i="9"/>
  <c r="E467" i="9"/>
  <c r="E413" i="9"/>
  <c r="E104" i="9"/>
  <c r="E248" i="9"/>
  <c r="E29" i="9"/>
  <c r="E423" i="9"/>
  <c r="E196" i="9"/>
  <c r="E52" i="9"/>
  <c r="E433" i="9"/>
  <c r="E407" i="9"/>
  <c r="E378" i="9"/>
  <c r="E409" i="9"/>
  <c r="E350" i="9"/>
  <c r="E5" i="9"/>
  <c r="E256" i="9"/>
  <c r="E358" i="9"/>
  <c r="E41" i="9"/>
  <c r="E451" i="9"/>
  <c r="E485" i="9"/>
  <c r="E441" i="9"/>
  <c r="E9" i="9"/>
  <c r="E481" i="9"/>
  <c r="E234" i="9"/>
  <c r="E372" i="9"/>
  <c r="E310" i="9"/>
  <c r="E425" i="9"/>
  <c r="E439" i="9"/>
  <c r="E34" i="9"/>
  <c r="G413" i="9"/>
  <c r="G80" i="9"/>
  <c r="G9" i="9"/>
  <c r="G372" i="9"/>
  <c r="G234" i="9"/>
  <c r="G5" i="9"/>
  <c r="G248" i="9"/>
  <c r="G370" i="9"/>
  <c r="G314" i="9"/>
  <c r="G34" i="9"/>
  <c r="G441" i="9"/>
  <c r="G196" i="9"/>
  <c r="G47" i="9"/>
  <c r="G481" i="9"/>
  <c r="G358" i="9"/>
  <c r="G407" i="9"/>
  <c r="G433" i="9"/>
  <c r="G104" i="9"/>
  <c r="G90" i="9"/>
  <c r="G16" i="9"/>
  <c r="G41" i="9"/>
  <c r="G423" i="9"/>
  <c r="G467" i="9"/>
  <c r="G403" i="9"/>
  <c r="G216" i="9"/>
  <c r="G176" i="9"/>
  <c r="G451" i="9"/>
  <c r="G350" i="9"/>
  <c r="G29" i="9"/>
  <c r="G383" i="9"/>
  <c r="G439" i="9"/>
  <c r="G310" i="9"/>
  <c r="G425" i="9"/>
  <c r="G485" i="9"/>
  <c r="G256" i="9"/>
  <c r="G409" i="9"/>
  <c r="G52" i="9"/>
  <c r="G405" i="9"/>
  <c r="G18" i="9"/>
  <c r="G378" i="9"/>
  <c r="G457" i="9"/>
  <c r="G503" i="9"/>
  <c r="E503" i="9"/>
  <c r="E565" i="9"/>
  <c r="E505" i="9"/>
  <c r="G565" i="9"/>
  <c r="G505" i="9"/>
  <c r="E569" i="9"/>
  <c r="E567" i="9"/>
  <c r="E507" i="9"/>
  <c r="E509" i="9"/>
  <c r="E511" i="9"/>
  <c r="G569" i="9"/>
  <c r="E568" i="9"/>
  <c r="E566" i="9"/>
  <c r="J569" i="9"/>
  <c r="G507" i="9"/>
  <c r="G509" i="9"/>
  <c r="G568" i="9"/>
  <c r="E78" i="6"/>
  <c r="G78" i="6" s="1"/>
  <c r="J568" i="9"/>
  <c r="G566" i="9"/>
  <c r="J566" i="9"/>
  <c r="G567" i="9"/>
  <c r="J567" i="9"/>
  <c r="G511" i="9"/>
  <c r="E36" i="9"/>
  <c r="E38" i="9"/>
  <c r="E40" i="9"/>
  <c r="G49" i="9"/>
  <c r="E37" i="9"/>
  <c r="E49" i="9"/>
  <c r="G38" i="9"/>
  <c r="E39" i="9"/>
  <c r="G37" i="9"/>
  <c r="E35" i="9"/>
  <c r="G39" i="9"/>
  <c r="G40" i="9"/>
  <c r="G36" i="9"/>
  <c r="E43" i="6"/>
  <c r="G43" i="6" s="1"/>
  <c r="E477" i="9"/>
  <c r="G35" i="9"/>
  <c r="G477" i="9"/>
  <c r="E422" i="9"/>
  <c r="G422" i="9"/>
  <c r="E3" i="9"/>
  <c r="G3" i="9"/>
  <c r="J3" i="9"/>
  <c r="E506" i="9"/>
  <c r="E512" i="9"/>
  <c r="E510" i="9"/>
  <c r="E508" i="9"/>
  <c r="E504" i="9"/>
  <c r="G512" i="9"/>
  <c r="G508" i="9"/>
  <c r="G504" i="9"/>
  <c r="G510" i="9"/>
  <c r="G506" i="9"/>
  <c r="E502" i="9"/>
  <c r="G502" i="9"/>
  <c r="I512" i="9"/>
  <c r="I510" i="9"/>
  <c r="I508" i="9"/>
  <c r="H168" i="9"/>
  <c r="H75" i="9"/>
  <c r="H127" i="9"/>
  <c r="H290" i="9"/>
  <c r="H63" i="9"/>
  <c r="H79" i="9"/>
  <c r="H97" i="9"/>
  <c r="H557" i="9"/>
  <c r="H556" i="9"/>
  <c r="H472" i="9"/>
  <c r="H553" i="9"/>
  <c r="H493" i="9"/>
  <c r="H454" i="9"/>
  <c r="H93" i="9"/>
  <c r="H193" i="9"/>
  <c r="H283" i="9"/>
  <c r="H459" i="9"/>
  <c r="H114" i="9"/>
  <c r="H139" i="9"/>
  <c r="H156" i="9"/>
  <c r="H522" i="9"/>
  <c r="H172" i="9"/>
  <c r="H189" i="9"/>
  <c r="H198" i="9"/>
  <c r="H207" i="9"/>
  <c r="H570" i="9"/>
  <c r="H245" i="9"/>
  <c r="H273" i="9"/>
  <c r="H350" i="9"/>
  <c r="H359" i="9"/>
  <c r="H368" i="9"/>
  <c r="H383" i="9"/>
  <c r="H390" i="9"/>
  <c r="H397" i="9"/>
  <c r="H462" i="9"/>
  <c r="H385" i="9"/>
  <c r="H67" i="9"/>
  <c r="H91" i="9"/>
  <c r="H108" i="9"/>
  <c r="H117" i="9"/>
  <c r="H126" i="9"/>
  <c r="H143" i="9"/>
  <c r="H152" i="9"/>
  <c r="H161" i="9"/>
  <c r="H482" i="9"/>
  <c r="H181" i="9"/>
  <c r="H527" i="9"/>
  <c r="H515" i="9"/>
  <c r="H53" i="9"/>
  <c r="H62" i="9"/>
  <c r="H87" i="9"/>
  <c r="H96" i="9"/>
  <c r="H105" i="9"/>
  <c r="H564" i="9"/>
  <c r="H562" i="9"/>
  <c r="H59" i="9"/>
  <c r="H208" i="9"/>
  <c r="H233" i="9"/>
  <c r="H250" i="9"/>
  <c r="H259" i="9"/>
  <c r="H268" i="9"/>
  <c r="H285" i="9"/>
  <c r="H294" i="9"/>
  <c r="H303" i="9"/>
  <c r="H280" i="9"/>
  <c r="H258" i="9"/>
  <c r="H267" i="9"/>
  <c r="H276" i="9"/>
  <c r="H293" i="9"/>
  <c r="H302" i="9"/>
  <c r="H309" i="9"/>
  <c r="H340" i="9"/>
  <c r="H98" i="9"/>
  <c r="H123" i="9"/>
  <c r="H140" i="9"/>
  <c r="H149" i="9"/>
  <c r="H158" i="9"/>
  <c r="H173" i="9"/>
  <c r="H182" i="9"/>
  <c r="H191" i="9"/>
  <c r="H508" i="9"/>
  <c r="H481" i="9"/>
  <c r="H56" i="9"/>
  <c r="H274" i="9"/>
  <c r="H92" i="9"/>
  <c r="H145" i="9"/>
  <c r="H83" i="9"/>
  <c r="H321" i="9"/>
  <c r="H339" i="9"/>
  <c r="H484" i="9"/>
  <c r="H54" i="9"/>
  <c r="H88" i="9"/>
  <c r="H356" i="9"/>
  <c r="H102" i="9"/>
  <c r="H210" i="9"/>
  <c r="H292" i="9"/>
  <c r="H307" i="9"/>
  <c r="H176" i="9"/>
  <c r="H201" i="9"/>
  <c r="H218" i="9"/>
  <c r="H227" i="9"/>
  <c r="H236" i="9"/>
  <c r="H253" i="9"/>
  <c r="H262" i="9"/>
  <c r="H271" i="9"/>
  <c r="H559" i="9"/>
  <c r="H65" i="9"/>
  <c r="H393" i="9"/>
  <c r="H534" i="9"/>
  <c r="H539" i="9"/>
  <c r="H419" i="9"/>
  <c r="H426" i="9"/>
  <c r="H435" i="9"/>
  <c r="H444" i="9"/>
  <c r="H566" i="9"/>
  <c r="H130" i="9"/>
  <c r="H155" i="9"/>
  <c r="H170" i="9"/>
  <c r="H179" i="9"/>
  <c r="H188" i="9"/>
  <c r="H205" i="9"/>
  <c r="H214" i="9"/>
  <c r="H223" i="9"/>
  <c r="H147" i="9"/>
  <c r="H99" i="9"/>
  <c r="H116" i="9"/>
  <c r="H125" i="9"/>
  <c r="H134" i="9"/>
  <c r="H151" i="9"/>
  <c r="H160" i="9"/>
  <c r="H167" i="9"/>
  <c r="H490" i="9"/>
  <c r="H369" i="9"/>
  <c r="H248" i="9"/>
  <c r="H272" i="9"/>
  <c r="H297" i="9"/>
  <c r="H319" i="9"/>
  <c r="H328" i="9"/>
  <c r="H345" i="9"/>
  <c r="H354" i="9"/>
  <c r="H363" i="9"/>
  <c r="H565" i="9"/>
  <c r="H398" i="9"/>
  <c r="H318" i="9"/>
  <c r="H327" i="9"/>
  <c r="H336" i="9"/>
  <c r="H353" i="9"/>
  <c r="H362" i="9"/>
  <c r="H371" i="9"/>
  <c r="H445" i="9"/>
  <c r="H162" i="9"/>
  <c r="H185" i="9"/>
  <c r="H202" i="9"/>
  <c r="H211" i="9"/>
  <c r="H220" i="9"/>
  <c r="H237" i="9"/>
  <c r="H246" i="9"/>
  <c r="H255" i="9"/>
  <c r="H483" i="9"/>
  <c r="H68" i="9"/>
  <c r="H257" i="9"/>
  <c r="H343" i="9"/>
  <c r="H64" i="9"/>
  <c r="H81" i="9"/>
  <c r="H479" i="9"/>
  <c r="H84" i="9"/>
  <c r="H352" i="9"/>
  <c r="H101" i="9"/>
  <c r="H136" i="9"/>
  <c r="H467" i="9"/>
  <c r="H299" i="9"/>
  <c r="H379" i="9"/>
  <c r="H131" i="9"/>
  <c r="H219" i="9"/>
  <c r="H106" i="9"/>
  <c r="H128" i="9"/>
  <c r="H240" i="9"/>
  <c r="H265" i="9"/>
  <c r="H282" i="9"/>
  <c r="H291" i="9"/>
  <c r="H300" i="9"/>
  <c r="H315" i="9"/>
  <c r="H322" i="9"/>
  <c r="H331" i="9"/>
  <c r="H376" i="9"/>
  <c r="H438" i="9"/>
  <c r="H554" i="9"/>
  <c r="H457" i="9"/>
  <c r="H494" i="9"/>
  <c r="H192" i="9"/>
  <c r="H217" i="9"/>
  <c r="H234" i="9"/>
  <c r="H243" i="9"/>
  <c r="H252" i="9"/>
  <c r="H269" i="9"/>
  <c r="H278" i="9"/>
  <c r="H287" i="9"/>
  <c r="H509" i="9"/>
  <c r="H254" i="9"/>
  <c r="H163" i="9"/>
  <c r="H178" i="9"/>
  <c r="H187" i="9"/>
  <c r="H196" i="9"/>
  <c r="H213" i="9"/>
  <c r="H222" i="9"/>
  <c r="H231" i="9"/>
  <c r="H460" i="9"/>
  <c r="H190" i="9"/>
  <c r="H332" i="9"/>
  <c r="H357" i="9"/>
  <c r="H372" i="9"/>
  <c r="H381" i="9"/>
  <c r="H388" i="9"/>
  <c r="H401" i="9"/>
  <c r="H536" i="9"/>
  <c r="H541" i="9"/>
  <c r="H485" i="9"/>
  <c r="H52" i="9"/>
  <c r="H380" i="9"/>
  <c r="H387" i="9"/>
  <c r="H396" i="9"/>
  <c r="H406" i="9"/>
  <c r="H540" i="9"/>
  <c r="H416" i="9"/>
  <c r="H561" i="9"/>
  <c r="H115" i="9"/>
  <c r="H224" i="9"/>
  <c r="H249" i="9"/>
  <c r="H266" i="9"/>
  <c r="H275" i="9"/>
  <c r="H284" i="9"/>
  <c r="H301" i="9"/>
  <c r="H308" i="9"/>
  <c r="H317" i="9"/>
  <c r="H461" i="9"/>
  <c r="H110" i="9"/>
  <c r="H306" i="9"/>
  <c r="H330" i="9"/>
  <c r="H137" i="9"/>
  <c r="H394" i="9"/>
  <c r="H148" i="9"/>
  <c r="H228" i="9"/>
  <c r="H296" i="9"/>
  <c r="H304" i="9"/>
  <c r="H325" i="9"/>
  <c r="H342" i="9"/>
  <c r="H351" i="9"/>
  <c r="H360" i="9"/>
  <c r="H375" i="9"/>
  <c r="H384" i="9"/>
  <c r="H391" i="9"/>
  <c r="H263" i="9"/>
  <c r="H55" i="9"/>
  <c r="H71" i="9"/>
  <c r="H80" i="9"/>
  <c r="H489" i="9"/>
  <c r="H487" i="9"/>
  <c r="H184" i="9"/>
  <c r="H281" i="9"/>
  <c r="H298" i="9"/>
  <c r="H524" i="9"/>
  <c r="H329" i="9"/>
  <c r="H338" i="9"/>
  <c r="H347" i="9"/>
  <c r="H492" i="9"/>
  <c r="H73" i="9"/>
  <c r="H200" i="9"/>
  <c r="H225" i="9"/>
  <c r="H242" i="9"/>
  <c r="H251" i="9"/>
  <c r="H260" i="9"/>
  <c r="H277" i="9"/>
  <c r="H286" i="9"/>
  <c r="H295" i="9"/>
  <c r="H567" i="9"/>
  <c r="H421" i="9"/>
  <c r="H74" i="9"/>
  <c r="H392" i="9"/>
  <c r="H408" i="9"/>
  <c r="H417" i="9"/>
  <c r="H441" i="9"/>
  <c r="H549" i="9"/>
  <c r="H452" i="9"/>
  <c r="H480" i="9"/>
  <c r="H471" i="9"/>
  <c r="H241" i="9"/>
  <c r="H423" i="9"/>
  <c r="H432" i="9"/>
  <c r="H548" i="9"/>
  <c r="H451" i="9"/>
  <c r="H473" i="9"/>
  <c r="H488" i="9"/>
  <c r="H555" i="9"/>
  <c r="H177" i="9"/>
  <c r="H288" i="9"/>
  <c r="H311" i="9"/>
  <c r="H326" i="9"/>
  <c r="H335" i="9"/>
  <c r="H344" i="9"/>
  <c r="H361" i="9"/>
  <c r="H370" i="9"/>
  <c r="H377" i="9"/>
  <c r="H568" i="9"/>
  <c r="H531" i="9"/>
  <c r="H157" i="9"/>
  <c r="H526" i="9"/>
  <c r="H364" i="9"/>
  <c r="H400" i="9"/>
  <c r="H535" i="9"/>
  <c r="H542" i="9"/>
  <c r="H420" i="9"/>
  <c r="H427" i="9"/>
  <c r="H436" i="9"/>
  <c r="H100" i="9"/>
  <c r="H109" i="9"/>
  <c r="H118" i="9"/>
  <c r="H135" i="9"/>
  <c r="H144" i="9"/>
  <c r="H153" i="9"/>
  <c r="H475" i="9"/>
  <c r="H119" i="9"/>
  <c r="H544" i="9"/>
  <c r="H525" i="9"/>
  <c r="H341" i="9"/>
  <c r="H358" i="9"/>
  <c r="H367" i="9"/>
  <c r="H374" i="9"/>
  <c r="H389" i="9"/>
  <c r="H530" i="9"/>
  <c r="H533" i="9"/>
  <c r="H470" i="9"/>
  <c r="H323" i="9"/>
  <c r="H264" i="9"/>
  <c r="H289" i="9"/>
  <c r="H523" i="9"/>
  <c r="H313" i="9"/>
  <c r="H320" i="9"/>
  <c r="H337" i="9"/>
  <c r="H346" i="9"/>
  <c r="H355" i="9"/>
  <c r="H560" i="9"/>
  <c r="H199" i="9"/>
  <c r="H138" i="9"/>
  <c r="H437" i="9"/>
  <c r="H455" i="9"/>
  <c r="H305" i="9"/>
  <c r="H58" i="9"/>
  <c r="H458" i="9"/>
  <c r="H365" i="9"/>
  <c r="H348" i="9"/>
  <c r="H528" i="9"/>
  <c r="H395" i="9"/>
  <c r="H532" i="9"/>
  <c r="H410" i="9"/>
  <c r="H415" i="9"/>
  <c r="H503" i="9"/>
  <c r="H448" i="9"/>
  <c r="H547" i="9"/>
  <c r="H563" i="9"/>
  <c r="H164" i="9"/>
  <c r="H232" i="9"/>
  <c r="H334" i="9"/>
  <c r="H491" i="9"/>
  <c r="H430" i="9"/>
  <c r="H447" i="9"/>
  <c r="H449" i="9"/>
  <c r="H506" i="9"/>
  <c r="H122" i="9"/>
  <c r="H521" i="9"/>
  <c r="H171" i="9"/>
  <c r="H180" i="9"/>
  <c r="H206" i="9"/>
  <c r="H215" i="9"/>
  <c r="H543" i="9"/>
  <c r="H209" i="9"/>
  <c r="H399" i="9"/>
  <c r="H538" i="9"/>
  <c r="H414" i="9"/>
  <c r="H434" i="9"/>
  <c r="H443" i="9"/>
  <c r="H551" i="9"/>
  <c r="H474" i="9"/>
  <c r="H324" i="9"/>
  <c r="H349" i="9"/>
  <c r="H382" i="9"/>
  <c r="H529" i="9"/>
  <c r="H402" i="9"/>
  <c r="H537" i="9"/>
  <c r="H478" i="9"/>
  <c r="H428" i="9"/>
  <c r="H518" i="9"/>
  <c r="H61" i="9"/>
  <c r="H520" i="9"/>
  <c r="H78" i="9"/>
  <c r="H95" i="9"/>
  <c r="H113" i="9"/>
  <c r="H507" i="9"/>
  <c r="H412" i="9"/>
  <c r="H77" i="9"/>
  <c r="H86" i="9"/>
  <c r="H103" i="9"/>
  <c r="H112" i="9"/>
  <c r="H121" i="9"/>
  <c r="H545" i="9"/>
  <c r="H431" i="9"/>
  <c r="H440" i="9"/>
  <c r="H450" i="9"/>
  <c r="H465" i="9"/>
  <c r="H500" i="9"/>
  <c r="H72" i="9"/>
  <c r="H226" i="9"/>
  <c r="H244" i="9"/>
  <c r="H261" i="9"/>
  <c r="H270" i="9"/>
  <c r="H279" i="9"/>
  <c r="H316" i="9"/>
  <c r="H333" i="9"/>
  <c r="H546" i="9"/>
  <c r="H446" i="9"/>
  <c r="H456" i="9"/>
  <c r="H569" i="9"/>
  <c r="H469" i="9"/>
  <c r="H386" i="9"/>
  <c r="H404" i="9"/>
  <c r="H418" i="9"/>
  <c r="H550" i="9"/>
  <c r="H82" i="9"/>
  <c r="H107" i="9"/>
  <c r="H124" i="9"/>
  <c r="H133" i="9"/>
  <c r="H142" i="9"/>
  <c r="H159" i="9"/>
  <c r="H166" i="9"/>
  <c r="H175" i="9"/>
  <c r="H558" i="9"/>
  <c r="H69" i="9"/>
  <c r="H141" i="9"/>
  <c r="H150" i="9"/>
  <c r="H165" i="9"/>
  <c r="H183" i="9"/>
  <c r="H501" i="9"/>
  <c r="H132" i="9"/>
  <c r="H552" i="9"/>
  <c r="H57" i="9"/>
  <c r="H66" i="9"/>
  <c r="H466" i="9"/>
  <c r="H464" i="9"/>
  <c r="H511" i="9"/>
  <c r="H146" i="9"/>
  <c r="H169" i="9"/>
  <c r="H186" i="9"/>
  <c r="H195" i="9"/>
  <c r="H204" i="9"/>
  <c r="H221" i="9"/>
  <c r="H230" i="9"/>
  <c r="H239" i="9"/>
  <c r="H194" i="9"/>
  <c r="H203" i="9"/>
  <c r="H212" i="9"/>
  <c r="H229" i="9"/>
  <c r="H238" i="9"/>
  <c r="H247" i="9"/>
  <c r="H476" i="9"/>
  <c r="H154" i="9"/>
  <c r="H76" i="9"/>
  <c r="H85" i="9"/>
  <c r="H94" i="9"/>
  <c r="H111" i="9"/>
  <c r="H120" i="9"/>
  <c r="H129" i="9"/>
  <c r="H312" i="9"/>
  <c r="H429" i="9"/>
  <c r="J508" i="9"/>
  <c r="H504" i="9"/>
  <c r="H407" i="9"/>
  <c r="H424" i="9"/>
  <c r="H453" i="9"/>
  <c r="H403" i="9"/>
  <c r="J572" i="9"/>
  <c r="H572" i="9"/>
  <c r="H60" i="9"/>
  <c r="H512" i="9"/>
  <c r="J512" i="9"/>
  <c r="H486" i="9"/>
  <c r="H505" i="9"/>
  <c r="H366" i="9"/>
  <c r="H425" i="9"/>
  <c r="H502" i="9"/>
  <c r="H373" i="9"/>
  <c r="H216" i="9"/>
  <c r="H442" i="9"/>
  <c r="H314" i="9"/>
  <c r="H89" i="9"/>
  <c r="H90" i="9"/>
  <c r="H104" i="9"/>
  <c r="H433" i="9"/>
  <c r="H413" i="9"/>
  <c r="H235" i="9"/>
  <c r="H378" i="9"/>
  <c r="H411" i="9"/>
  <c r="H439" i="9"/>
  <c r="H197" i="9"/>
  <c r="H405" i="9"/>
  <c r="H573" i="9"/>
  <c r="H256" i="9"/>
  <c r="J510" i="9"/>
  <c r="H510" i="9"/>
  <c r="H468" i="9"/>
  <c r="H174" i="9"/>
  <c r="H463" i="9"/>
  <c r="H310" i="9"/>
  <c r="H70" i="9"/>
  <c r="J504" i="9"/>
  <c r="J493" i="9"/>
  <c r="J473" i="9"/>
  <c r="J469" i="9"/>
  <c r="J467" i="9"/>
  <c r="J505" i="9"/>
  <c r="J429" i="9"/>
  <c r="J370" i="9"/>
  <c r="J485" i="9"/>
  <c r="J350" i="9"/>
  <c r="J425" i="9"/>
  <c r="J216" i="9"/>
  <c r="J423" i="9"/>
  <c r="J441" i="9"/>
  <c r="J378" i="9"/>
  <c r="J312" i="9"/>
  <c r="J380" i="9"/>
  <c r="J439" i="9"/>
  <c r="J196" i="9"/>
  <c r="J481" i="9"/>
  <c r="J66" i="9"/>
  <c r="J451" i="9"/>
  <c r="J58" i="9"/>
  <c r="J234" i="9"/>
  <c r="J62" i="9"/>
  <c r="J457" i="9"/>
  <c r="J433" i="9"/>
  <c r="J358" i="9"/>
  <c r="J310" i="9"/>
  <c r="J68" i="9"/>
  <c r="J372" i="9"/>
  <c r="J248" i="9"/>
  <c r="J256" i="9"/>
  <c r="J89" i="9"/>
  <c r="J70" i="9"/>
  <c r="J80" i="9"/>
  <c r="J172" i="9"/>
  <c r="J565" i="9"/>
  <c r="J90" i="9"/>
  <c r="J104" i="9"/>
  <c r="J421" i="9"/>
  <c r="J14" i="9"/>
  <c r="J40" i="9"/>
  <c r="J12" i="9"/>
  <c r="J422" i="9"/>
  <c r="J9" i="9"/>
  <c r="J41" i="9"/>
  <c r="J43" i="9"/>
  <c r="J16" i="9"/>
  <c r="J46" i="9"/>
  <c r="J29" i="9"/>
  <c r="J38" i="9"/>
  <c r="J47" i="9"/>
  <c r="J18" i="9"/>
  <c r="J35" i="9"/>
  <c r="J39" i="9"/>
  <c r="J49" i="9"/>
  <c r="J42" i="9"/>
  <c r="J37" i="9"/>
  <c r="J27" i="9"/>
  <c r="J36" i="9"/>
  <c r="J34" i="9"/>
  <c r="J5" i="9"/>
  <c r="J60" i="9"/>
  <c r="J52" i="9"/>
  <c r="J502" i="9"/>
  <c r="I33" i="9"/>
  <c r="I23" i="9"/>
  <c r="I513" i="9"/>
  <c r="I48" i="9"/>
  <c r="I51" i="9"/>
  <c r="I422" i="9"/>
  <c r="I7" i="9"/>
  <c r="I514" i="9"/>
  <c r="I519" i="9"/>
  <c r="I31" i="9"/>
  <c r="I517" i="9"/>
  <c r="I17" i="9"/>
  <c r="I516" i="9"/>
  <c r="I44" i="9"/>
  <c r="I22" i="9"/>
  <c r="I50" i="9"/>
  <c r="I19" i="9"/>
  <c r="I24" i="9"/>
  <c r="I45" i="9"/>
  <c r="I13" i="9"/>
  <c r="I26" i="9"/>
  <c r="I6" i="9"/>
  <c r="I11" i="9"/>
  <c r="I32" i="9"/>
  <c r="I21" i="9"/>
  <c r="I25" i="9"/>
  <c r="I20" i="9"/>
  <c r="I28" i="9"/>
  <c r="I15" i="9"/>
  <c r="I571" i="9"/>
  <c r="I8" i="9"/>
  <c r="I297" i="9"/>
  <c r="J297" i="9"/>
  <c r="I46" i="9"/>
  <c r="J201" i="9"/>
  <c r="I201" i="9"/>
  <c r="J53" i="9"/>
  <c r="I53" i="9"/>
  <c r="I67" i="9"/>
  <c r="J67" i="9"/>
  <c r="I248" i="9"/>
  <c r="I480" i="9"/>
  <c r="J480" i="9"/>
  <c r="I540" i="9"/>
  <c r="J540" i="9"/>
  <c r="J287" i="9"/>
  <c r="I287" i="9"/>
  <c r="I9" i="9"/>
  <c r="J74" i="9"/>
  <c r="I74" i="9"/>
  <c r="I546" i="9"/>
  <c r="J546" i="9"/>
  <c r="J301" i="9"/>
  <c r="I301" i="9"/>
  <c r="J199" i="9"/>
  <c r="I199" i="9"/>
  <c r="J260" i="9"/>
  <c r="I260" i="9"/>
  <c r="J180" i="9"/>
  <c r="I180" i="9"/>
  <c r="J56" i="9"/>
  <c r="I56" i="9"/>
  <c r="I515" i="9"/>
  <c r="J515" i="9"/>
  <c r="J198" i="9"/>
  <c r="I198" i="9"/>
  <c r="I470" i="9"/>
  <c r="J470" i="9"/>
  <c r="J220" i="9"/>
  <c r="I220" i="9"/>
  <c r="J313" i="9"/>
  <c r="I313" i="9"/>
  <c r="I467" i="9"/>
  <c r="J464" i="9"/>
  <c r="I464" i="9"/>
  <c r="I118" i="9"/>
  <c r="J118" i="9"/>
  <c r="I174" i="9"/>
  <c r="J174" i="9"/>
  <c r="I239" i="9"/>
  <c r="J239" i="9"/>
  <c r="J268" i="9"/>
  <c r="I268" i="9"/>
  <c r="I238" i="9"/>
  <c r="J238" i="9"/>
  <c r="J176" i="9"/>
  <c r="I176" i="9"/>
  <c r="J243" i="9"/>
  <c r="I243" i="9"/>
  <c r="I298" i="9"/>
  <c r="J298" i="9"/>
  <c r="I61" i="9"/>
  <c r="J61" i="9"/>
  <c r="I562" i="9"/>
  <c r="J562" i="9"/>
  <c r="J386" i="9"/>
  <c r="I386" i="9"/>
  <c r="J553" i="9"/>
  <c r="I553" i="9"/>
  <c r="J406" i="9"/>
  <c r="I406" i="9"/>
  <c r="I157" i="9"/>
  <c r="J157" i="9"/>
  <c r="I413" i="9"/>
  <c r="J435" i="9"/>
  <c r="I435" i="9"/>
  <c r="I569" i="9"/>
  <c r="I528" i="9"/>
  <c r="J528" i="9"/>
  <c r="J393" i="9"/>
  <c r="I393" i="9"/>
  <c r="I551" i="9"/>
  <c r="J551" i="9"/>
  <c r="I278" i="9"/>
  <c r="J278" i="9"/>
  <c r="I476" i="9"/>
  <c r="J476" i="9"/>
  <c r="I12" i="9"/>
  <c r="J400" i="9"/>
  <c r="I400" i="9"/>
  <c r="J231" i="9"/>
  <c r="I231" i="9"/>
  <c r="J158" i="9"/>
  <c r="I158" i="9"/>
  <c r="I275" i="9"/>
  <c r="J275" i="9"/>
  <c r="J379" i="9"/>
  <c r="I379" i="9"/>
  <c r="J330" i="9"/>
  <c r="I330" i="9"/>
  <c r="J474" i="9"/>
  <c r="I474" i="9"/>
  <c r="I444" i="9"/>
  <c r="J444" i="9"/>
  <c r="I430" i="9"/>
  <c r="J430" i="9"/>
  <c r="I465" i="9"/>
  <c r="J465" i="9"/>
  <c r="J440" i="9"/>
  <c r="I440" i="9"/>
  <c r="J500" i="9"/>
  <c r="I500" i="9"/>
  <c r="I94" i="9"/>
  <c r="J94" i="9"/>
  <c r="I58" i="9"/>
  <c r="J253" i="9"/>
  <c r="I253" i="9"/>
  <c r="J115" i="9"/>
  <c r="I115" i="9"/>
  <c r="I274" i="9"/>
  <c r="J274" i="9"/>
  <c r="I42" i="9"/>
  <c r="J558" i="9"/>
  <c r="I558" i="9"/>
  <c r="J281" i="9"/>
  <c r="I281" i="9"/>
  <c r="I75" i="9"/>
  <c r="J75" i="9"/>
  <c r="J461" i="9"/>
  <c r="I461" i="9"/>
  <c r="I240" i="9"/>
  <c r="J240" i="9"/>
  <c r="I142" i="9"/>
  <c r="J142" i="9"/>
  <c r="I472" i="9"/>
  <c r="J472" i="9"/>
  <c r="I425" i="9"/>
  <c r="I101" i="9"/>
  <c r="J101" i="9"/>
  <c r="J396" i="9"/>
  <c r="I396" i="9"/>
  <c r="I179" i="9"/>
  <c r="J179" i="9"/>
  <c r="J132" i="9"/>
  <c r="I132" i="9"/>
  <c r="J453" i="9"/>
  <c r="I453" i="9"/>
  <c r="I324" i="9"/>
  <c r="J324" i="9"/>
  <c r="J535" i="9"/>
  <c r="I535" i="9"/>
  <c r="I207" i="9"/>
  <c r="J207" i="9"/>
  <c r="J428" i="9"/>
  <c r="I428" i="9"/>
  <c r="J148" i="9"/>
  <c r="I148" i="9"/>
  <c r="J356" i="9"/>
  <c r="I356" i="9"/>
  <c r="I124" i="9"/>
  <c r="J124" i="9"/>
  <c r="I57" i="9"/>
  <c r="J57" i="9"/>
  <c r="J63" i="9"/>
  <c r="I63" i="9"/>
  <c r="I139" i="9"/>
  <c r="J139" i="9"/>
  <c r="J336" i="9"/>
  <c r="I336" i="9"/>
  <c r="J228" i="9"/>
  <c r="I228" i="9"/>
  <c r="I27" i="9"/>
  <c r="I222" i="9"/>
  <c r="J222" i="9"/>
  <c r="J211" i="9"/>
  <c r="I211" i="9"/>
  <c r="I417" i="9"/>
  <c r="J417" i="9"/>
  <c r="I460" i="9"/>
  <c r="J460" i="9"/>
  <c r="I548" i="9"/>
  <c r="J548" i="9"/>
  <c r="J427" i="9"/>
  <c r="I427" i="9"/>
  <c r="J327" i="9"/>
  <c r="I327" i="9"/>
  <c r="I258" i="9"/>
  <c r="J258" i="9"/>
  <c r="I288" i="9"/>
  <c r="J288" i="9"/>
  <c r="J192" i="9"/>
  <c r="I192" i="9"/>
  <c r="I167" i="9"/>
  <c r="J167" i="9"/>
  <c r="J219" i="9"/>
  <c r="I219" i="9"/>
  <c r="I479" i="9"/>
  <c r="J479" i="9"/>
  <c r="I184" i="9"/>
  <c r="J184" i="9"/>
  <c r="I194" i="9"/>
  <c r="J194" i="9"/>
  <c r="I532" i="9"/>
  <c r="J532" i="9"/>
  <c r="I520" i="9"/>
  <c r="J520" i="9"/>
  <c r="I394" i="9"/>
  <c r="J394" i="9"/>
  <c r="J397" i="9"/>
  <c r="I397" i="9"/>
  <c r="I347" i="9"/>
  <c r="J347" i="9"/>
  <c r="I171" i="9"/>
  <c r="J171" i="9"/>
  <c r="J204" i="9"/>
  <c r="I204" i="9"/>
  <c r="J107" i="9"/>
  <c r="I107" i="9"/>
  <c r="I411" i="9"/>
  <c r="J121" i="9"/>
  <c r="I121" i="9"/>
  <c r="J110" i="9"/>
  <c r="I110" i="9"/>
  <c r="I267" i="9"/>
  <c r="J267" i="9"/>
  <c r="I140" i="9"/>
  <c r="J140" i="9"/>
  <c r="J170" i="9"/>
  <c r="I170" i="9"/>
  <c r="J79" i="9"/>
  <c r="I79" i="9"/>
  <c r="J547" i="9"/>
  <c r="I547" i="9"/>
  <c r="I371" i="9"/>
  <c r="J371" i="9"/>
  <c r="I308" i="9"/>
  <c r="J308" i="9"/>
  <c r="I117" i="9"/>
  <c r="J117" i="9"/>
  <c r="I70" i="9"/>
  <c r="J555" i="9"/>
  <c r="I555" i="9"/>
  <c r="I291" i="9"/>
  <c r="J291" i="9"/>
  <c r="J349" i="9"/>
  <c r="I349" i="9"/>
  <c r="J399" i="9"/>
  <c r="I399" i="9"/>
  <c r="I409" i="9"/>
  <c r="I127" i="9"/>
  <c r="J127" i="9"/>
  <c r="J112" i="9"/>
  <c r="I112" i="9"/>
  <c r="I329" i="9"/>
  <c r="J329" i="9"/>
  <c r="I462" i="9"/>
  <c r="J462" i="9"/>
  <c r="I358" i="9"/>
  <c r="I538" i="9"/>
  <c r="J538" i="9"/>
  <c r="I350" i="9"/>
  <c r="I286" i="9"/>
  <c r="J286" i="9"/>
  <c r="I449" i="9"/>
  <c r="J449" i="9"/>
  <c r="I292" i="9"/>
  <c r="J292" i="9"/>
  <c r="I543" i="9"/>
  <c r="J543" i="9"/>
  <c r="I130" i="9"/>
  <c r="J130" i="9"/>
  <c r="I185" i="9"/>
  <c r="J185" i="9"/>
  <c r="I426" i="9"/>
  <c r="J426" i="9"/>
  <c r="I418" i="9"/>
  <c r="J418" i="9"/>
  <c r="I90" i="9"/>
  <c r="I304" i="9"/>
  <c r="J304" i="9"/>
  <c r="I284" i="9"/>
  <c r="J284" i="9"/>
  <c r="I262" i="9"/>
  <c r="J262" i="9"/>
  <c r="J415" i="9"/>
  <c r="I415" i="9"/>
  <c r="I54" i="9"/>
  <c r="J54" i="9"/>
  <c r="I466" i="9"/>
  <c r="J466" i="9"/>
  <c r="I289" i="9"/>
  <c r="J289" i="9"/>
  <c r="I257" i="9"/>
  <c r="J257" i="9"/>
  <c r="J525" i="9"/>
  <c r="I525" i="9"/>
  <c r="J446" i="9"/>
  <c r="I446" i="9"/>
  <c r="J91" i="9"/>
  <c r="I91" i="9"/>
  <c r="J280" i="9"/>
  <c r="I280" i="9"/>
  <c r="I469" i="9"/>
  <c r="I47" i="9"/>
  <c r="J392" i="9"/>
  <c r="I392" i="9"/>
  <c r="I485" i="9"/>
  <c r="I111" i="9"/>
  <c r="J111" i="9"/>
  <c r="J155" i="9"/>
  <c r="I155" i="9"/>
  <c r="I104" i="9"/>
  <c r="J213" i="9"/>
  <c r="I213" i="9"/>
  <c r="J322" i="9"/>
  <c r="I322" i="9"/>
  <c r="I482" i="9"/>
  <c r="J482" i="9"/>
  <c r="J98" i="9"/>
  <c r="I98" i="9"/>
  <c r="I3" i="9"/>
  <c r="J208" i="9"/>
  <c r="I208" i="9"/>
  <c r="I190" i="9"/>
  <c r="J190" i="9"/>
  <c r="J436" i="9"/>
  <c r="I436" i="9"/>
  <c r="J285" i="9"/>
  <c r="I285" i="9"/>
  <c r="J369" i="9"/>
  <c r="I369" i="9"/>
  <c r="I203" i="9"/>
  <c r="J203" i="9"/>
  <c r="J419" i="9"/>
  <c r="I419" i="9"/>
  <c r="J269" i="9"/>
  <c r="I269" i="9"/>
  <c r="J374" i="9"/>
  <c r="I374" i="9"/>
  <c r="I89" i="9"/>
  <c r="I143" i="9"/>
  <c r="J143" i="9"/>
  <c r="I492" i="9"/>
  <c r="J492" i="9"/>
  <c r="I340" i="9"/>
  <c r="J340" i="9"/>
  <c r="I295" i="9"/>
  <c r="J295" i="9"/>
  <c r="I332" i="9"/>
  <c r="J332" i="9"/>
  <c r="I536" i="9"/>
  <c r="J536" i="9"/>
  <c r="I490" i="9"/>
  <c r="J490" i="9"/>
  <c r="I178" i="9"/>
  <c r="J178" i="9"/>
  <c r="I557" i="9"/>
  <c r="J557" i="9"/>
  <c r="I131" i="9"/>
  <c r="J131" i="9"/>
  <c r="I168" i="9"/>
  <c r="J168" i="9"/>
  <c r="I312" i="9"/>
  <c r="I134" i="9"/>
  <c r="J134" i="9"/>
  <c r="I326" i="9"/>
  <c r="J326" i="9"/>
  <c r="I556" i="9"/>
  <c r="J556" i="9"/>
  <c r="I259" i="9"/>
  <c r="J259" i="9"/>
  <c r="I323" i="9"/>
  <c r="J323" i="9"/>
  <c r="I261" i="9"/>
  <c r="J261" i="9"/>
  <c r="J368" i="9"/>
  <c r="I368" i="9"/>
  <c r="J443" i="9"/>
  <c r="I443" i="9"/>
  <c r="I494" i="9"/>
  <c r="J494" i="9"/>
  <c r="J317" i="9"/>
  <c r="I317" i="9"/>
  <c r="J563" i="9"/>
  <c r="I563" i="9"/>
  <c r="I433" i="9"/>
  <c r="J463" i="9"/>
  <c r="I463" i="9"/>
  <c r="J197" i="9"/>
  <c r="I197" i="9"/>
  <c r="I233" i="9"/>
  <c r="J233" i="9"/>
  <c r="I161" i="9"/>
  <c r="J161" i="9"/>
  <c r="I352" i="9"/>
  <c r="J352" i="9"/>
  <c r="J316" i="9"/>
  <c r="I316" i="9"/>
  <c r="I250" i="9"/>
  <c r="J250" i="9"/>
  <c r="J241" i="9"/>
  <c r="I241" i="9"/>
  <c r="J230" i="9"/>
  <c r="I230" i="9"/>
  <c r="I223" i="9"/>
  <c r="J223" i="9"/>
  <c r="J542" i="9"/>
  <c r="I542" i="9"/>
  <c r="I438" i="9"/>
  <c r="J438" i="9"/>
  <c r="J206" i="9"/>
  <c r="I206" i="9"/>
  <c r="I200" i="9"/>
  <c r="J200" i="9"/>
  <c r="I355" i="9"/>
  <c r="J355" i="9"/>
  <c r="I189" i="9"/>
  <c r="J189" i="9"/>
  <c r="J524" i="9"/>
  <c r="I524" i="9"/>
  <c r="I302" i="9"/>
  <c r="J302" i="9"/>
  <c r="I404" i="9"/>
  <c r="J404" i="9"/>
  <c r="J564" i="9"/>
  <c r="I564" i="9"/>
  <c r="J398" i="9"/>
  <c r="I398" i="9"/>
  <c r="I59" i="9"/>
  <c r="J59" i="9"/>
  <c r="I283" i="9"/>
  <c r="J283" i="9"/>
  <c r="I95" i="9"/>
  <c r="J95" i="9"/>
  <c r="I160" i="9"/>
  <c r="J160" i="9"/>
  <c r="I256" i="9"/>
  <c r="J416" i="9"/>
  <c r="I416" i="9"/>
  <c r="I305" i="9"/>
  <c r="J305" i="9"/>
  <c r="I504" i="9"/>
  <c r="I451" i="9"/>
  <c r="I272" i="9"/>
  <c r="J272" i="9"/>
  <c r="J432" i="9"/>
  <c r="I432" i="9"/>
  <c r="I229" i="9"/>
  <c r="J229" i="9"/>
  <c r="J550" i="9"/>
  <c r="I550" i="9"/>
  <c r="J254" i="9"/>
  <c r="I254" i="9"/>
  <c r="I247" i="9"/>
  <c r="J247" i="9"/>
  <c r="I412" i="9"/>
  <c r="J412" i="9"/>
  <c r="I187" i="9"/>
  <c r="J187" i="9"/>
  <c r="I114" i="9"/>
  <c r="J114" i="9"/>
  <c r="I264" i="9"/>
  <c r="J264" i="9"/>
  <c r="J526" i="9"/>
  <c r="I526" i="9"/>
  <c r="J135" i="9"/>
  <c r="I135" i="9"/>
  <c r="I320" i="9"/>
  <c r="J320" i="9"/>
  <c r="J82" i="9"/>
  <c r="I82" i="9"/>
  <c r="J177" i="9"/>
  <c r="I177" i="9"/>
  <c r="I133" i="9"/>
  <c r="J133" i="9"/>
  <c r="I345" i="9"/>
  <c r="J345" i="9"/>
  <c r="I420" i="9"/>
  <c r="J420" i="9"/>
  <c r="J266" i="9"/>
  <c r="I266" i="9"/>
  <c r="I125" i="9"/>
  <c r="J125" i="9"/>
  <c r="J147" i="9"/>
  <c r="I147" i="9"/>
  <c r="J182" i="9"/>
  <c r="I182" i="9"/>
  <c r="J337" i="9"/>
  <c r="I337" i="9"/>
  <c r="J81" i="9"/>
  <c r="I81" i="9"/>
  <c r="I410" i="9"/>
  <c r="J410" i="9"/>
  <c r="J144" i="9"/>
  <c r="I144" i="9"/>
  <c r="J72" i="9"/>
  <c r="I72" i="9"/>
  <c r="I442" i="9"/>
  <c r="J442" i="9"/>
  <c r="I533" i="9"/>
  <c r="J533" i="9"/>
  <c r="I116" i="9"/>
  <c r="J116" i="9"/>
  <c r="I303" i="9"/>
  <c r="J303" i="9"/>
  <c r="I277" i="9"/>
  <c r="J277" i="9"/>
  <c r="I218" i="9"/>
  <c r="J218" i="9"/>
  <c r="J344" i="9"/>
  <c r="I344" i="9"/>
  <c r="I311" i="9"/>
  <c r="J311" i="9"/>
  <c r="I169" i="9"/>
  <c r="J169" i="9"/>
  <c r="I506" i="9"/>
  <c r="J506" i="9"/>
  <c r="I385" i="9"/>
  <c r="J385" i="9"/>
  <c r="I566" i="9"/>
  <c r="I545" i="9"/>
  <c r="J545" i="9"/>
  <c r="I544" i="9"/>
  <c r="J544" i="9"/>
  <c r="I382" i="9"/>
  <c r="J382" i="9"/>
  <c r="J414" i="9"/>
  <c r="I414" i="9"/>
  <c r="J105" i="9"/>
  <c r="I105" i="9"/>
  <c r="J244" i="9"/>
  <c r="I244" i="9"/>
  <c r="I186" i="9"/>
  <c r="J186" i="9"/>
  <c r="I456" i="9"/>
  <c r="J456" i="9"/>
  <c r="I468" i="9"/>
  <c r="J468" i="9"/>
  <c r="I366" i="9"/>
  <c r="J366" i="9"/>
  <c r="I175" i="9"/>
  <c r="J175" i="9"/>
  <c r="I136" i="9"/>
  <c r="J136" i="9"/>
  <c r="I279" i="9"/>
  <c r="J279" i="9"/>
  <c r="I282" i="9"/>
  <c r="J282" i="9"/>
  <c r="I109" i="9"/>
  <c r="J109" i="9"/>
  <c r="I334" i="9"/>
  <c r="J334" i="9"/>
  <c r="I407" i="9"/>
  <c r="I471" i="9"/>
  <c r="J471" i="9"/>
  <c r="I455" i="9"/>
  <c r="J455" i="9"/>
  <c r="I86" i="9"/>
  <c r="J86" i="9"/>
  <c r="I232" i="9"/>
  <c r="J232" i="9"/>
  <c r="J445" i="9"/>
  <c r="I445" i="9"/>
  <c r="I123" i="9"/>
  <c r="J123" i="9"/>
  <c r="I172" i="9"/>
  <c r="J293" i="9"/>
  <c r="I293" i="9"/>
  <c r="I373" i="9"/>
  <c r="J373" i="9"/>
  <c r="J486" i="9"/>
  <c r="I486" i="9"/>
  <c r="J351" i="9"/>
  <c r="I351" i="9"/>
  <c r="I421" i="9"/>
  <c r="J534" i="9"/>
  <c r="I534" i="9"/>
  <c r="I227" i="9"/>
  <c r="J227" i="9"/>
  <c r="I306" i="9"/>
  <c r="J306" i="9"/>
  <c r="I294" i="9"/>
  <c r="J294" i="9"/>
  <c r="J554" i="9"/>
  <c r="I554" i="9"/>
  <c r="I478" i="9"/>
  <c r="J478" i="9"/>
  <c r="I493" i="9"/>
  <c r="J338" i="9"/>
  <c r="I338" i="9"/>
  <c r="J529" i="9"/>
  <c r="I529" i="9"/>
  <c r="I541" i="9"/>
  <c r="J541" i="9"/>
  <c r="J237" i="9"/>
  <c r="I237" i="9"/>
  <c r="J383" i="9"/>
  <c r="I383" i="9"/>
  <c r="I473" i="9"/>
  <c r="J300" i="9"/>
  <c r="I300" i="9"/>
  <c r="J92" i="9"/>
  <c r="I92" i="9"/>
  <c r="I452" i="9"/>
  <c r="J452" i="9"/>
  <c r="J484" i="9"/>
  <c r="I484" i="9"/>
  <c r="J188" i="9"/>
  <c r="I188" i="9"/>
  <c r="J245" i="9"/>
  <c r="I245" i="9"/>
  <c r="J364" i="9"/>
  <c r="I364" i="9"/>
  <c r="J339" i="9"/>
  <c r="I339" i="9"/>
  <c r="I518" i="9"/>
  <c r="J518" i="9"/>
  <c r="I251" i="9"/>
  <c r="J251" i="9"/>
  <c r="J249" i="9"/>
  <c r="I249" i="9"/>
  <c r="I62" i="9"/>
  <c r="J360" i="9"/>
  <c r="I360" i="9"/>
  <c r="J454" i="9"/>
  <c r="I454" i="9"/>
  <c r="I309" i="9"/>
  <c r="J309" i="9"/>
  <c r="J163" i="9"/>
  <c r="I163" i="9"/>
  <c r="J367" i="9"/>
  <c r="I367" i="9"/>
  <c r="J181" i="9"/>
  <c r="I181" i="9"/>
  <c r="J138" i="9"/>
  <c r="I138" i="9"/>
  <c r="J395" i="9"/>
  <c r="I395" i="9"/>
  <c r="I502" i="9"/>
  <c r="J434" i="9"/>
  <c r="I434" i="9"/>
  <c r="I431" i="9"/>
  <c r="J431" i="9"/>
  <c r="I505" i="9"/>
  <c r="I509" i="9"/>
  <c r="J509" i="9"/>
  <c r="J71" i="9"/>
  <c r="I71" i="9"/>
  <c r="I328" i="9"/>
  <c r="J328" i="9"/>
  <c r="J459" i="9"/>
  <c r="I459" i="9"/>
  <c r="J246" i="9"/>
  <c r="I246" i="9"/>
  <c r="J408" i="9"/>
  <c r="I408" i="9"/>
  <c r="J263" i="9"/>
  <c r="I263" i="9"/>
  <c r="J361" i="9"/>
  <c r="I361" i="9"/>
  <c r="I5" i="9"/>
  <c r="J401" i="9"/>
  <c r="I401" i="9"/>
  <c r="J212" i="9"/>
  <c r="I212" i="9"/>
  <c r="J307" i="9"/>
  <c r="I307" i="9"/>
  <c r="J236" i="9"/>
  <c r="I236" i="9"/>
  <c r="J77" i="9"/>
  <c r="I77" i="9"/>
  <c r="J559" i="9"/>
  <c r="I559" i="9"/>
  <c r="I567" i="9"/>
  <c r="J521" i="9"/>
  <c r="I521" i="9"/>
  <c r="J483" i="9"/>
  <c r="I483" i="9"/>
  <c r="J85" i="9"/>
  <c r="I85" i="9"/>
  <c r="J560" i="9"/>
  <c r="I560" i="9"/>
  <c r="I481" i="9"/>
  <c r="J488" i="9"/>
  <c r="I488" i="9"/>
  <c r="J437" i="9"/>
  <c r="I437" i="9"/>
  <c r="I531" i="9"/>
  <c r="J531" i="9"/>
  <c r="I65" i="9"/>
  <c r="J65" i="9"/>
  <c r="J137" i="9"/>
  <c r="I137" i="9"/>
  <c r="J119" i="9"/>
  <c r="I119" i="9"/>
  <c r="I83" i="9"/>
  <c r="J83" i="9"/>
  <c r="I527" i="9"/>
  <c r="J527" i="9"/>
  <c r="J149" i="9"/>
  <c r="I149" i="9"/>
  <c r="J390" i="9"/>
  <c r="I390" i="9"/>
  <c r="J113" i="9"/>
  <c r="I113" i="9"/>
  <c r="I359" i="9"/>
  <c r="J359" i="9"/>
  <c r="J165" i="9"/>
  <c r="I165" i="9"/>
  <c r="I503" i="9"/>
  <c r="J503" i="9"/>
  <c r="J552" i="9"/>
  <c r="I552" i="9"/>
  <c r="I522" i="9"/>
  <c r="J522" i="9"/>
  <c r="J475" i="9"/>
  <c r="I475" i="9"/>
  <c r="I93" i="9"/>
  <c r="J93" i="9"/>
  <c r="I43" i="9"/>
  <c r="J183" i="9"/>
  <c r="I183" i="9"/>
  <c r="I120" i="9"/>
  <c r="J120" i="9"/>
  <c r="I448" i="9"/>
  <c r="J448" i="9"/>
  <c r="J166" i="9"/>
  <c r="I166" i="9"/>
  <c r="J129" i="9"/>
  <c r="I129" i="9"/>
  <c r="I570" i="9"/>
  <c r="I41" i="9"/>
  <c r="J315" i="9"/>
  <c r="I315" i="9"/>
  <c r="I377" i="9"/>
  <c r="J377" i="9"/>
  <c r="I290" i="9"/>
  <c r="J290" i="9"/>
  <c r="I173" i="9"/>
  <c r="J173" i="9"/>
  <c r="J164" i="9"/>
  <c r="I164" i="9"/>
  <c r="J354" i="9"/>
  <c r="I354" i="9"/>
  <c r="J88" i="9"/>
  <c r="I88" i="9"/>
  <c r="I523" i="9"/>
  <c r="J523" i="9"/>
  <c r="I381" i="9"/>
  <c r="J381" i="9"/>
  <c r="J152" i="9"/>
  <c r="I152" i="9"/>
  <c r="J391" i="9"/>
  <c r="I391" i="9"/>
  <c r="I370" i="9"/>
  <c r="I108" i="9"/>
  <c r="J108" i="9"/>
  <c r="J73" i="9"/>
  <c r="I73" i="9"/>
  <c r="J162" i="9"/>
  <c r="I162" i="9"/>
  <c r="I372" i="9"/>
  <c r="J348" i="9"/>
  <c r="I348" i="9"/>
  <c r="J447" i="9"/>
  <c r="I447" i="9"/>
  <c r="J530" i="9"/>
  <c r="I530" i="9"/>
  <c r="J299" i="9"/>
  <c r="I299" i="9"/>
  <c r="J458" i="9"/>
  <c r="I458" i="9"/>
  <c r="J549" i="9"/>
  <c r="I549" i="9"/>
  <c r="I66" i="9"/>
  <c r="J126" i="9"/>
  <c r="I126" i="9"/>
  <c r="J191" i="9"/>
  <c r="I191" i="9"/>
  <c r="J97" i="9"/>
  <c r="I97" i="9"/>
  <c r="J319" i="9"/>
  <c r="I319" i="9"/>
  <c r="J363" i="9"/>
  <c r="I363" i="9"/>
  <c r="J69" i="9"/>
  <c r="I69" i="9"/>
  <c r="I234" i="9"/>
  <c r="I346" i="9"/>
  <c r="J346" i="9"/>
  <c r="I423" i="9"/>
  <c r="J159" i="9"/>
  <c r="I159" i="9"/>
  <c r="J341" i="9"/>
  <c r="I341" i="9"/>
  <c r="J321" i="9"/>
  <c r="I321" i="9"/>
  <c r="I68" i="9"/>
  <c r="I196" i="9"/>
  <c r="I128" i="9"/>
  <c r="J128" i="9"/>
  <c r="J122" i="9"/>
  <c r="I122" i="9"/>
  <c r="I405" i="9"/>
  <c r="I296" i="9"/>
  <c r="J296" i="9"/>
  <c r="I439" i="9"/>
  <c r="J537" i="9"/>
  <c r="I537" i="9"/>
  <c r="I380" i="9"/>
  <c r="I156" i="9"/>
  <c r="J156" i="9"/>
  <c r="J487" i="9"/>
  <c r="I487" i="9"/>
  <c r="I310" i="9"/>
  <c r="J333" i="9"/>
  <c r="I333" i="9"/>
  <c r="I441" i="9"/>
  <c r="I318" i="9"/>
  <c r="J318" i="9"/>
  <c r="J151" i="9"/>
  <c r="I151" i="9"/>
  <c r="I388" i="9"/>
  <c r="J388" i="9"/>
  <c r="I96" i="9"/>
  <c r="J96" i="9"/>
  <c r="I378" i="9"/>
  <c r="I55" i="9"/>
  <c r="J55" i="9"/>
  <c r="I376" i="9"/>
  <c r="J376" i="9"/>
  <c r="J205" i="9"/>
  <c r="I205" i="9"/>
  <c r="J87" i="9"/>
  <c r="I87" i="9"/>
  <c r="J141" i="9"/>
  <c r="I141" i="9"/>
  <c r="J102" i="9"/>
  <c r="I102" i="9"/>
  <c r="I539" i="9"/>
  <c r="J539" i="9"/>
  <c r="I202" i="9"/>
  <c r="J202" i="9"/>
  <c r="J76" i="9"/>
  <c r="I76" i="9"/>
  <c r="I429" i="9"/>
  <c r="I457" i="9"/>
  <c r="I507" i="9"/>
  <c r="I389" i="9"/>
  <c r="J389" i="9"/>
  <c r="I217" i="9"/>
  <c r="J217" i="9"/>
  <c r="J252" i="9"/>
  <c r="I252" i="9"/>
  <c r="J225" i="9"/>
  <c r="I225" i="9"/>
  <c r="I568" i="9"/>
  <c r="I193" i="9"/>
  <c r="J193" i="9"/>
  <c r="J362" i="9"/>
  <c r="I362" i="9"/>
  <c r="J99" i="9"/>
  <c r="I99" i="9"/>
  <c r="J154" i="9"/>
  <c r="I154" i="9"/>
  <c r="I80" i="9"/>
  <c r="I335" i="9"/>
  <c r="J335" i="9"/>
  <c r="J64" i="9"/>
  <c r="I64" i="9"/>
  <c r="J450" i="9"/>
  <c r="I450" i="9"/>
  <c r="I375" i="9"/>
  <c r="J375" i="9"/>
  <c r="I255" i="9"/>
  <c r="J255" i="9"/>
  <c r="I342" i="9"/>
  <c r="J342" i="9"/>
  <c r="I403" i="9"/>
  <c r="J106" i="9"/>
  <c r="I106" i="9"/>
  <c r="I210" i="9"/>
  <c r="J210" i="9"/>
  <c r="J78" i="9"/>
  <c r="I78" i="9"/>
  <c r="J325" i="9"/>
  <c r="I325" i="9"/>
  <c r="J146" i="9"/>
  <c r="I146" i="9"/>
  <c r="I242" i="9"/>
  <c r="J242" i="9"/>
  <c r="J273" i="9"/>
  <c r="I273" i="9"/>
  <c r="J214" i="9"/>
  <c r="I214" i="9"/>
  <c r="J331" i="9"/>
  <c r="I331" i="9"/>
  <c r="J424" i="9"/>
  <c r="I424" i="9"/>
  <c r="I565" i="9"/>
  <c r="I387" i="9"/>
  <c r="J387" i="9"/>
  <c r="J357" i="9"/>
  <c r="I357" i="9"/>
  <c r="I84" i="9"/>
  <c r="J84" i="9"/>
  <c r="J103" i="9"/>
  <c r="I103" i="9"/>
  <c r="J209" i="9"/>
  <c r="I209" i="9"/>
  <c r="I561" i="9"/>
  <c r="J561" i="9"/>
  <c r="J501" i="9"/>
  <c r="I501" i="9"/>
  <c r="I402" i="9"/>
  <c r="J402" i="9"/>
  <c r="J271" i="9"/>
  <c r="I271" i="9"/>
  <c r="I195" i="9"/>
  <c r="J195" i="9"/>
  <c r="J353" i="9"/>
  <c r="I353" i="9"/>
  <c r="I270" i="9"/>
  <c r="J270" i="9"/>
  <c r="I221" i="9"/>
  <c r="J221" i="9"/>
  <c r="J314" i="9"/>
  <c r="I314" i="9"/>
  <c r="J343" i="9"/>
  <c r="I343" i="9"/>
  <c r="I150" i="9"/>
  <c r="J150" i="9"/>
  <c r="I276" i="9"/>
  <c r="J276" i="9"/>
  <c r="J511" i="9"/>
  <c r="I511" i="9"/>
  <c r="I491" i="9"/>
  <c r="J491" i="9"/>
  <c r="I215" i="9"/>
  <c r="J215" i="9"/>
  <c r="I235" i="9"/>
  <c r="J235" i="9"/>
  <c r="I153" i="9"/>
  <c r="J153" i="9"/>
  <c r="J145" i="9"/>
  <c r="I145" i="9"/>
  <c r="I4" i="9"/>
  <c r="I224" i="9"/>
  <c r="J224" i="9"/>
  <c r="J100" i="9"/>
  <c r="I100" i="9"/>
  <c r="J384" i="9"/>
  <c r="I384" i="9"/>
  <c r="I489" i="9"/>
  <c r="J489" i="9"/>
  <c r="I265" i="9"/>
  <c r="J265" i="9"/>
  <c r="I365" i="9"/>
  <c r="J365" i="9"/>
  <c r="J226" i="9"/>
  <c r="I226" i="9"/>
  <c r="I216" i="9"/>
  <c r="J507" i="9"/>
  <c r="I30" i="9"/>
  <c r="I34" i="9"/>
  <c r="I14" i="9"/>
  <c r="I35" i="9"/>
  <c r="I37" i="9"/>
  <c r="I16" i="9"/>
  <c r="I29" i="9"/>
  <c r="H76" i="2"/>
  <c r="I36" i="9"/>
  <c r="I49" i="9"/>
  <c r="I477" i="9"/>
  <c r="I40" i="9"/>
  <c r="H80" i="2"/>
  <c r="I38" i="9"/>
  <c r="I18" i="9"/>
  <c r="I39" i="9"/>
  <c r="I10" i="9"/>
  <c r="H18" i="9"/>
  <c r="H42" i="9"/>
  <c r="H29" i="9"/>
  <c r="J51" i="9"/>
  <c r="H51" i="9"/>
  <c r="H44" i="9"/>
  <c r="J44" i="9"/>
  <c r="J20" i="9"/>
  <c r="H20" i="9"/>
  <c r="H16" i="9"/>
  <c r="H47" i="9"/>
  <c r="J571" i="9"/>
  <c r="H571" i="9"/>
  <c r="H45" i="9"/>
  <c r="J45" i="9"/>
  <c r="H38" i="9"/>
  <c r="H9" i="9"/>
  <c r="H12" i="9"/>
  <c r="J8" i="9"/>
  <c r="H8" i="9"/>
  <c r="J516" i="9"/>
  <c r="H516" i="9"/>
  <c r="H46" i="9"/>
  <c r="R66" i="6"/>
  <c r="T66" i="6" s="1"/>
  <c r="H39" i="9"/>
  <c r="H31" i="9"/>
  <c r="J31" i="9"/>
  <c r="J513" i="9"/>
  <c r="H513" i="9"/>
  <c r="H477" i="9"/>
  <c r="H48" i="9"/>
  <c r="J48" i="9"/>
  <c r="H40" i="9"/>
  <c r="H32" i="9"/>
  <c r="J32" i="9"/>
  <c r="J25" i="9"/>
  <c r="H25" i="9"/>
  <c r="H30" i="9"/>
  <c r="J30" i="9"/>
  <c r="H49" i="9"/>
  <c r="J517" i="9"/>
  <c r="H517" i="9"/>
  <c r="J13" i="9"/>
  <c r="H13" i="9"/>
  <c r="H33" i="9"/>
  <c r="J33" i="9"/>
  <c r="H26" i="9"/>
  <c r="J26" i="9"/>
  <c r="H17" i="9"/>
  <c r="J17" i="9"/>
  <c r="J21" i="9"/>
  <c r="H21" i="9"/>
  <c r="H43" i="9"/>
  <c r="J15" i="9"/>
  <c r="H15" i="9"/>
  <c r="H35" i="9"/>
  <c r="H36" i="9"/>
  <c r="H422" i="9"/>
  <c r="H37" i="9"/>
  <c r="H14" i="9"/>
  <c r="H28" i="9"/>
  <c r="J28" i="9"/>
  <c r="J519" i="9"/>
  <c r="H519" i="9"/>
  <c r="H10" i="9"/>
  <c r="H7" i="9"/>
  <c r="J7" i="9"/>
  <c r="J23" i="9"/>
  <c r="H23" i="9"/>
  <c r="H514" i="9"/>
  <c r="J514" i="9"/>
  <c r="H41" i="9"/>
  <c r="R22" i="6"/>
  <c r="T22" i="6" s="1"/>
  <c r="G15" i="2"/>
  <c r="H27" i="9"/>
  <c r="H19" i="9"/>
  <c r="J19" i="9"/>
  <c r="H11" i="9"/>
  <c r="J11" i="9"/>
  <c r="H50" i="9"/>
  <c r="J50" i="9"/>
  <c r="H6" i="9"/>
  <c r="J6" i="9"/>
  <c r="J22" i="9"/>
  <c r="H22" i="9"/>
  <c r="H24" i="9"/>
  <c r="J24" i="9"/>
  <c r="H34" i="9"/>
  <c r="H409" i="9"/>
  <c r="H5" i="9"/>
  <c r="I52" i="9"/>
  <c r="I60" i="9"/>
  <c r="J407" i="9"/>
  <c r="J411" i="9"/>
  <c r="J413" i="9"/>
  <c r="J405" i="9"/>
  <c r="J477" i="9"/>
  <c r="J10" i="9"/>
  <c r="J403" i="9"/>
  <c r="J409" i="9"/>
  <c r="D62" i="3"/>
  <c r="D116" i="3"/>
  <c r="D105" i="3"/>
  <c r="D100" i="3"/>
  <c r="D31" i="3"/>
  <c r="D87" i="3"/>
  <c r="D85" i="3"/>
  <c r="G62" i="3"/>
  <c r="G116" i="3"/>
  <c r="G31" i="3"/>
  <c r="G100" i="3"/>
  <c r="G105" i="3"/>
  <c r="L349" i="5"/>
  <c r="L476" i="5"/>
  <c r="L420" i="5"/>
  <c r="L87" i="5"/>
  <c r="L563" i="5"/>
  <c r="L137" i="5"/>
  <c r="L581" i="5"/>
  <c r="L294" i="5"/>
  <c r="L143" i="5"/>
  <c r="L352" i="5"/>
  <c r="L307" i="5"/>
  <c r="L503" i="5"/>
  <c r="L486" i="5"/>
  <c r="L100" i="5"/>
  <c r="L165" i="5"/>
  <c r="L229" i="5"/>
  <c r="L293" i="5"/>
  <c r="L357" i="5"/>
  <c r="L509" i="5"/>
  <c r="L595" i="5"/>
  <c r="L428" i="5"/>
  <c r="L516" i="5"/>
  <c r="L235" i="5"/>
  <c r="L363" i="5"/>
  <c r="L354" i="5"/>
  <c r="L329" i="5"/>
  <c r="L442" i="5"/>
  <c r="L572" i="5"/>
  <c r="L224" i="5"/>
  <c r="L436" i="5"/>
  <c r="L244" i="5"/>
  <c r="L455" i="5"/>
  <c r="L179" i="5"/>
  <c r="L447" i="5"/>
  <c r="L362" i="5"/>
  <c r="L209" i="5"/>
  <c r="L302" i="5"/>
  <c r="L450" i="5"/>
  <c r="L35" i="5"/>
  <c r="L279" i="5"/>
  <c r="L514" i="5"/>
  <c r="L103" i="5"/>
  <c r="L296" i="5"/>
  <c r="L17" i="5"/>
  <c r="L123" i="5"/>
  <c r="L316" i="5"/>
  <c r="L187" i="5"/>
  <c r="L379" i="5"/>
  <c r="L113" i="5"/>
  <c r="L306" i="5"/>
  <c r="L88" i="5"/>
  <c r="L345" i="5"/>
  <c r="L148" i="5"/>
  <c r="L560" i="5"/>
  <c r="L305" i="5"/>
  <c r="L206" i="5"/>
  <c r="L183" i="5"/>
  <c r="L108" i="5"/>
  <c r="L173" i="5"/>
  <c r="L237" i="5"/>
  <c r="L301" i="5"/>
  <c r="L365" i="5"/>
  <c r="L216" i="5"/>
  <c r="L172" i="5"/>
  <c r="L300" i="5"/>
  <c r="L395" i="5"/>
  <c r="L166" i="5"/>
  <c r="L207" i="5"/>
  <c r="L288" i="5"/>
  <c r="L51" i="5"/>
  <c r="L308" i="5"/>
  <c r="L524" i="5"/>
  <c r="L243" i="5"/>
  <c r="L515" i="5"/>
  <c r="L234" i="5"/>
  <c r="L80" i="5"/>
  <c r="L337" i="5"/>
  <c r="L544" i="5"/>
  <c r="L238" i="5"/>
  <c r="L518" i="5"/>
  <c r="L151" i="5"/>
  <c r="L215" i="5"/>
  <c r="L444" i="5"/>
  <c r="L60" i="5"/>
  <c r="L252" i="5"/>
  <c r="L59" i="5"/>
  <c r="L251" i="5"/>
  <c r="L454" i="5"/>
  <c r="L242" i="5"/>
  <c r="L370" i="5"/>
  <c r="L153" i="5"/>
  <c r="L281" i="5"/>
  <c r="L411" i="5"/>
  <c r="L480" i="5"/>
  <c r="L576" i="5"/>
  <c r="L54" i="5"/>
  <c r="L117" i="5"/>
  <c r="L310" i="5"/>
  <c r="L374" i="5"/>
  <c r="L526" i="5"/>
  <c r="L94" i="5"/>
  <c r="L159" i="5"/>
  <c r="L223" i="5"/>
  <c r="L287" i="5"/>
  <c r="L351" i="5"/>
  <c r="L417" i="5"/>
  <c r="L478" i="5"/>
  <c r="L460" i="5"/>
  <c r="L84" i="5"/>
  <c r="L149" i="5"/>
  <c r="L213" i="5"/>
  <c r="L277" i="5"/>
  <c r="L341" i="5"/>
  <c r="L415" i="5"/>
  <c r="L548" i="5"/>
  <c r="L453" i="5"/>
  <c r="L522" i="5"/>
  <c r="L592" i="5"/>
  <c r="L176" i="5"/>
  <c r="L452" i="5"/>
  <c r="L520" i="5"/>
  <c r="L68" i="5"/>
  <c r="L131" i="5"/>
  <c r="L196" i="5"/>
  <c r="L260" i="5"/>
  <c r="L324" i="5"/>
  <c r="L406" i="5"/>
  <c r="L546" i="5"/>
  <c r="L593" i="5"/>
  <c r="L130" i="5"/>
  <c r="L195" i="5"/>
  <c r="L259" i="5"/>
  <c r="L323" i="5"/>
  <c r="L387" i="5"/>
  <c r="L538" i="5"/>
  <c r="L569" i="5"/>
  <c r="L58" i="5"/>
  <c r="L121" i="5"/>
  <c r="L186" i="5"/>
  <c r="L314" i="5"/>
  <c r="L378" i="5"/>
  <c r="L96" i="5"/>
  <c r="L161" i="5"/>
  <c r="L225" i="5"/>
  <c r="L289" i="5"/>
  <c r="L353" i="5"/>
  <c r="L419" i="5"/>
  <c r="L594" i="5"/>
  <c r="L62" i="5"/>
  <c r="L125" i="5"/>
  <c r="L190" i="5"/>
  <c r="L318" i="5"/>
  <c r="L382" i="5"/>
  <c r="L533" i="5"/>
  <c r="L102" i="5"/>
  <c r="L167" i="5"/>
  <c r="L231" i="5"/>
  <c r="L295" i="5"/>
  <c r="L359" i="5"/>
  <c r="L427" i="5"/>
  <c r="L468" i="5"/>
  <c r="L92" i="5"/>
  <c r="L157" i="5"/>
  <c r="L221" i="5"/>
  <c r="L285" i="5"/>
  <c r="L530" i="5"/>
  <c r="L56" i="5"/>
  <c r="L119" i="5"/>
  <c r="L312" i="5"/>
  <c r="L394" i="5"/>
  <c r="L528" i="5"/>
  <c r="L75" i="5"/>
  <c r="L140" i="5"/>
  <c r="L340" i="5"/>
  <c r="L414" i="5"/>
  <c r="L475" i="5"/>
  <c r="L74" i="5"/>
  <c r="L139" i="5"/>
  <c r="L203" i="5"/>
  <c r="L267" i="5"/>
  <c r="L331" i="5"/>
  <c r="L466" i="5"/>
  <c r="L545" i="5"/>
  <c r="L66" i="5"/>
  <c r="L129" i="5"/>
  <c r="L194" i="5"/>
  <c r="L258" i="5"/>
  <c r="L322" i="5"/>
  <c r="L386" i="5"/>
  <c r="L104" i="5"/>
  <c r="L169" i="5"/>
  <c r="L233" i="5"/>
  <c r="L297" i="5"/>
  <c r="L361" i="5"/>
  <c r="L429" i="5"/>
  <c r="L571" i="5"/>
  <c r="L70" i="5"/>
  <c r="L198" i="5"/>
  <c r="L326" i="5"/>
  <c r="L541" i="5"/>
  <c r="L110" i="5"/>
  <c r="L175" i="5"/>
  <c r="L239" i="5"/>
  <c r="L303" i="5"/>
  <c r="L367" i="5"/>
  <c r="L435" i="5"/>
  <c r="L537" i="5"/>
  <c r="L64" i="5"/>
  <c r="L127" i="5"/>
  <c r="L192" i="5"/>
  <c r="L256" i="5"/>
  <c r="L320" i="5"/>
  <c r="L402" i="5"/>
  <c r="L535" i="5"/>
  <c r="L24" i="5"/>
  <c r="L212" i="5"/>
  <c r="L276" i="5"/>
  <c r="L348" i="5"/>
  <c r="L422" i="5"/>
  <c r="L485" i="5"/>
  <c r="L566" i="5"/>
  <c r="L31" i="5"/>
  <c r="L82" i="5"/>
  <c r="L147" i="5"/>
  <c r="L211" i="5"/>
  <c r="L275" i="5"/>
  <c r="L339" i="5"/>
  <c r="L474" i="5"/>
  <c r="L22" i="5"/>
  <c r="L73" i="5"/>
  <c r="L138" i="5"/>
  <c r="L202" i="5"/>
  <c r="L330" i="5"/>
  <c r="L396" i="5"/>
  <c r="L112" i="5"/>
  <c r="L177" i="5"/>
  <c r="L241" i="5"/>
  <c r="L369" i="5"/>
  <c r="L437" i="5"/>
  <c r="L513" i="5"/>
  <c r="L14" i="5"/>
  <c r="L77" i="5"/>
  <c r="L142" i="5"/>
  <c r="L270" i="5"/>
  <c r="L334" i="5"/>
  <c r="L400" i="5"/>
  <c r="L118" i="5"/>
  <c r="L247" i="5"/>
  <c r="L311" i="5"/>
  <c r="L375" i="5"/>
  <c r="L443" i="5"/>
  <c r="L561" i="5"/>
  <c r="L577" i="5"/>
  <c r="L72" i="5"/>
  <c r="L136" i="5"/>
  <c r="L200" i="5"/>
  <c r="L328" i="5"/>
  <c r="L410" i="5"/>
  <c r="L40" i="5"/>
  <c r="L156" i="5"/>
  <c r="L220" i="5"/>
  <c r="L284" i="5"/>
  <c r="L364" i="5"/>
  <c r="L432" i="5"/>
  <c r="L500" i="5"/>
  <c r="L39" i="5"/>
  <c r="L90" i="5"/>
  <c r="L155" i="5"/>
  <c r="L219" i="5"/>
  <c r="L283" i="5"/>
  <c r="L347" i="5"/>
  <c r="L413" i="5"/>
  <c r="L482" i="5"/>
  <c r="L565" i="5"/>
  <c r="L30" i="5"/>
  <c r="L146" i="5"/>
  <c r="L210" i="5"/>
  <c r="L274" i="5"/>
  <c r="L404" i="5"/>
  <c r="L57" i="5"/>
  <c r="L120" i="5"/>
  <c r="L185" i="5"/>
  <c r="L249" i="5"/>
  <c r="L313" i="5"/>
  <c r="L377" i="5"/>
  <c r="L521" i="5"/>
  <c r="L26" i="5"/>
  <c r="L85" i="5"/>
  <c r="L150" i="5"/>
  <c r="L214" i="5"/>
  <c r="L278" i="5"/>
  <c r="L408" i="5"/>
  <c r="L562" i="5"/>
  <c r="L126" i="5"/>
  <c r="L191" i="5"/>
  <c r="L255" i="5"/>
  <c r="L319" i="5"/>
  <c r="L383" i="5"/>
  <c r="L451" i="5"/>
  <c r="L433" i="5"/>
  <c r="L52" i="5"/>
  <c r="L116" i="5"/>
  <c r="L181" i="5"/>
  <c r="L245" i="5"/>
  <c r="L309" i="5"/>
  <c r="L373" i="5"/>
  <c r="L574" i="5"/>
  <c r="L344" i="5"/>
  <c r="L380" i="5"/>
  <c r="L431" i="5"/>
  <c r="L226" i="5"/>
  <c r="L265" i="5"/>
  <c r="L510" i="5"/>
  <c r="L438" i="5"/>
  <c r="L160" i="5"/>
  <c r="L570" i="5"/>
  <c r="L180" i="5"/>
  <c r="L591" i="5"/>
  <c r="L114" i="5"/>
  <c r="L371" i="5"/>
  <c r="L105" i="5"/>
  <c r="L298" i="5"/>
  <c r="L145" i="5"/>
  <c r="L273" i="5"/>
  <c r="L472" i="5"/>
  <c r="L174" i="5"/>
  <c r="L366" i="5"/>
  <c r="L86" i="5"/>
  <c r="L343" i="5"/>
  <c r="L446" i="5"/>
  <c r="L168" i="5"/>
  <c r="L360" i="5"/>
  <c r="L512" i="5"/>
  <c r="L398" i="5"/>
  <c r="L539" i="5"/>
  <c r="L122" i="5"/>
  <c r="L315" i="5"/>
  <c r="L29" i="5"/>
  <c r="L217" i="5"/>
  <c r="L412" i="5"/>
  <c r="L481" i="5"/>
  <c r="L567" i="5"/>
  <c r="L79" i="5"/>
  <c r="L144" i="5"/>
  <c r="L208" i="5"/>
  <c r="L336" i="5"/>
  <c r="L418" i="5"/>
  <c r="L479" i="5"/>
  <c r="L164" i="5"/>
  <c r="L292" i="5"/>
  <c r="L372" i="5"/>
  <c r="L440" i="5"/>
  <c r="L508" i="5"/>
  <c r="L98" i="5"/>
  <c r="L163" i="5"/>
  <c r="L227" i="5"/>
  <c r="L291" i="5"/>
  <c r="L355" i="5"/>
  <c r="L499" i="5"/>
  <c r="L573" i="5"/>
  <c r="L38" i="5"/>
  <c r="L89" i="5"/>
  <c r="L154" i="5"/>
  <c r="L218" i="5"/>
  <c r="L282" i="5"/>
  <c r="L575" i="5"/>
  <c r="L65" i="5"/>
  <c r="L128" i="5"/>
  <c r="L193" i="5"/>
  <c r="L257" i="5"/>
  <c r="L321" i="5"/>
  <c r="L385" i="5"/>
  <c r="L529" i="5"/>
  <c r="L158" i="5"/>
  <c r="L286" i="5"/>
  <c r="L416" i="5"/>
  <c r="L502" i="5"/>
  <c r="L568" i="5"/>
  <c r="L135" i="5"/>
  <c r="L199" i="5"/>
  <c r="L263" i="5"/>
  <c r="L327" i="5"/>
  <c r="L393" i="5"/>
  <c r="L534" i="5"/>
  <c r="L441" i="5"/>
  <c r="L532" i="5"/>
  <c r="L124" i="5"/>
  <c r="L189" i="5"/>
  <c r="L253" i="5"/>
  <c r="L317" i="5"/>
  <c r="L391" i="5"/>
  <c r="L280" i="5"/>
  <c r="L448" i="5"/>
  <c r="L171" i="5"/>
  <c r="L299" i="5"/>
  <c r="L162" i="5"/>
  <c r="L201" i="5"/>
  <c r="L536" i="5"/>
  <c r="L358" i="5"/>
  <c r="L271" i="5"/>
  <c r="L335" i="5"/>
  <c r="L401" i="5"/>
  <c r="L462" i="5"/>
  <c r="L542" i="5"/>
  <c r="L449" i="5"/>
  <c r="L132" i="5"/>
  <c r="L197" i="5"/>
  <c r="L261" i="5"/>
  <c r="L325" i="5"/>
  <c r="L399" i="5"/>
  <c r="L564" i="5"/>
  <c r="L152" i="5"/>
  <c r="L106" i="5"/>
  <c r="L580" i="5"/>
  <c r="L464" i="5"/>
  <c r="L78" i="5"/>
  <c r="L506" i="5"/>
  <c r="L504" i="5"/>
  <c r="L390" i="5"/>
  <c r="L470" i="5"/>
  <c r="L558" i="5"/>
  <c r="L456" i="5"/>
  <c r="L76" i="5"/>
  <c r="L141" i="5"/>
  <c r="L205" i="5"/>
  <c r="L269" i="5"/>
  <c r="L333" i="5"/>
  <c r="L407" i="5"/>
  <c r="L37" i="5"/>
  <c r="L36" i="5"/>
  <c r="L32" i="5"/>
  <c r="L41" i="5"/>
  <c r="L27" i="5"/>
  <c r="L33" i="5"/>
  <c r="H2" i="5"/>
  <c r="H50" i="3"/>
  <c r="H53" i="3"/>
  <c r="H116" i="3"/>
  <c r="H15" i="3"/>
  <c r="H31" i="3"/>
  <c r="H49" i="3"/>
  <c r="H62" i="3"/>
  <c r="H57" i="3"/>
  <c r="H54" i="3"/>
  <c r="H129" i="3"/>
  <c r="H124" i="3"/>
  <c r="H128" i="3"/>
  <c r="H83" i="3"/>
  <c r="H123" i="3"/>
  <c r="H130" i="3"/>
  <c r="H125" i="3"/>
  <c r="H115" i="3"/>
  <c r="H111" i="3"/>
  <c r="H51" i="3"/>
  <c r="G50" i="3"/>
  <c r="G54" i="3"/>
  <c r="G49" i="3"/>
  <c r="G51" i="3"/>
  <c r="D25" i="3"/>
  <c r="E8" i="6"/>
  <c r="G8" i="6" s="1"/>
  <c r="D30" i="3"/>
  <c r="E76" i="6"/>
  <c r="G76" i="6" s="1"/>
  <c r="D125" i="3"/>
  <c r="E25" i="6"/>
  <c r="G25" i="6" s="1"/>
  <c r="D28" i="3"/>
  <c r="E14" i="6"/>
  <c r="G14" i="6" s="1"/>
  <c r="E20" i="6"/>
  <c r="G20" i="6" s="1"/>
  <c r="D29" i="3"/>
  <c r="D26" i="3"/>
  <c r="D92" i="3"/>
  <c r="D93" i="3"/>
  <c r="D94" i="3"/>
  <c r="D48" i="3"/>
  <c r="D39" i="3"/>
  <c r="E44" i="6"/>
  <c r="G44" i="6" s="1"/>
  <c r="E68" i="6"/>
  <c r="G68" i="6" s="1"/>
  <c r="D82" i="3"/>
  <c r="D99" i="3"/>
  <c r="D129" i="3"/>
  <c r="E84" i="6"/>
  <c r="G84" i="6" s="1"/>
  <c r="D128" i="3"/>
  <c r="E83" i="6"/>
  <c r="D60" i="3"/>
  <c r="E53" i="6"/>
  <c r="G53" i="6" s="1"/>
  <c r="D22" i="3"/>
  <c r="E22" i="6"/>
  <c r="G22" i="6" s="1"/>
  <c r="D10" i="3"/>
  <c r="E7" i="6"/>
  <c r="G7" i="6" s="1"/>
  <c r="G2" i="5"/>
  <c r="B7" i="12" s="1"/>
  <c r="E45" i="6"/>
  <c r="G45" i="6" s="1"/>
  <c r="D40" i="3"/>
  <c r="E11" i="6"/>
  <c r="G11" i="6" s="1"/>
  <c r="E19" i="6"/>
  <c r="G19" i="6" s="1"/>
  <c r="D14" i="3"/>
  <c r="D101" i="3"/>
  <c r="D50" i="3"/>
  <c r="D113" i="3"/>
  <c r="D52" i="3"/>
  <c r="D80" i="3"/>
  <c r="E66" i="6"/>
  <c r="G66" i="6" s="1"/>
  <c r="D111" i="3"/>
  <c r="E10" i="6"/>
  <c r="G10" i="6" s="1"/>
  <c r="D11" i="3"/>
  <c r="D112" i="3"/>
  <c r="E33" i="6"/>
  <c r="G33" i="6" s="1"/>
  <c r="D15" i="3"/>
  <c r="E46" i="6"/>
  <c r="G46" i="6" s="1"/>
  <c r="D41" i="3"/>
  <c r="D84" i="3"/>
  <c r="E71" i="6"/>
  <c r="G71" i="6" s="1"/>
  <c r="D104" i="3"/>
  <c r="E64" i="6"/>
  <c r="G64" i="6" s="1"/>
  <c r="D78" i="3"/>
  <c r="E61" i="6"/>
  <c r="G61" i="6" s="1"/>
  <c r="D75" i="3"/>
  <c r="D79" i="3"/>
  <c r="E65" i="6"/>
  <c r="G65" i="6" s="1"/>
  <c r="D118" i="3"/>
  <c r="D81" i="3"/>
  <c r="E67" i="6"/>
  <c r="G67" i="6" s="1"/>
  <c r="D106" i="3"/>
  <c r="D91" i="3"/>
  <c r="E74" i="6"/>
  <c r="G74" i="6" s="1"/>
  <c r="D63" i="3"/>
  <c r="D102" i="3"/>
  <c r="D54" i="3"/>
  <c r="D90" i="3"/>
  <c r="D109" i="3"/>
  <c r="E75" i="6"/>
  <c r="G75" i="6" s="1"/>
  <c r="D61" i="3"/>
  <c r="D124" i="3"/>
  <c r="E41" i="6"/>
  <c r="G41" i="6" s="1"/>
  <c r="D42" i="3"/>
  <c r="D51" i="3"/>
  <c r="D115" i="3"/>
  <c r="D110" i="3"/>
  <c r="E55" i="6"/>
  <c r="G55" i="6" s="1"/>
  <c r="D97" i="3"/>
  <c r="D53" i="3"/>
  <c r="E16" i="6"/>
  <c r="G16" i="6" s="1"/>
  <c r="D13" i="3"/>
  <c r="D49" i="3"/>
  <c r="D103" i="3"/>
  <c r="E62" i="6"/>
  <c r="G62" i="6" s="1"/>
  <c r="D76" i="3"/>
  <c r="E24" i="6"/>
  <c r="G24" i="6" s="1"/>
  <c r="D16" i="3"/>
  <c r="D64" i="3"/>
  <c r="D114" i="3"/>
  <c r="D117" i="3"/>
  <c r="D98" i="3"/>
  <c r="D119" i="3"/>
  <c r="D123" i="3"/>
  <c r="E77" i="6"/>
  <c r="G77" i="6" s="1"/>
  <c r="E13" i="6"/>
  <c r="G13" i="6" s="1"/>
  <c r="D12" i="3"/>
  <c r="E85" i="6"/>
  <c r="G85" i="6" s="1"/>
  <c r="D130" i="3"/>
  <c r="E63" i="6"/>
  <c r="G63" i="6" s="1"/>
  <c r="D77" i="3"/>
  <c r="D57" i="3"/>
  <c r="E69" i="6"/>
  <c r="G69" i="6" s="1"/>
  <c r="D83" i="3"/>
  <c r="E42" i="6"/>
  <c r="G42" i="6" s="1"/>
  <c r="G57" i="3"/>
  <c r="G53" i="3"/>
  <c r="H61" i="3"/>
  <c r="H82" i="3"/>
  <c r="H119" i="3"/>
  <c r="H102" i="3"/>
  <c r="H118" i="3"/>
  <c r="H91" i="3"/>
  <c r="H64" i="3"/>
  <c r="H78" i="3"/>
  <c r="H63" i="3"/>
  <c r="H98" i="3"/>
  <c r="H112" i="3"/>
  <c r="H109" i="3"/>
  <c r="H75" i="3"/>
  <c r="H26" i="3"/>
  <c r="H48" i="3"/>
  <c r="H10" i="3"/>
  <c r="H114" i="3"/>
  <c r="H117" i="3"/>
  <c r="H80" i="3"/>
  <c r="H77" i="3"/>
  <c r="H76" i="3"/>
  <c r="H13" i="3"/>
  <c r="H90" i="3"/>
  <c r="H79" i="3"/>
  <c r="H81" i="3"/>
  <c r="H103" i="3"/>
  <c r="H16" i="3"/>
  <c r="H92" i="3"/>
  <c r="H29" i="3"/>
  <c r="H97" i="3"/>
  <c r="H99" i="3"/>
  <c r="H93" i="3"/>
  <c r="H94" i="3"/>
  <c r="H28" i="3"/>
  <c r="H30" i="3"/>
  <c r="H106" i="3"/>
  <c r="H22" i="3"/>
  <c r="H101" i="3"/>
  <c r="H104" i="3"/>
  <c r="H60" i="3"/>
  <c r="H110" i="3"/>
  <c r="H14" i="3"/>
  <c r="H113" i="3"/>
  <c r="H84" i="3"/>
  <c r="H25" i="3"/>
  <c r="L55" i="5"/>
  <c r="L556" i="5"/>
  <c r="L63" i="5"/>
  <c r="L83" i="5"/>
  <c r="L540" i="5"/>
  <c r="L34" i="5"/>
  <c r="L45" i="5"/>
  <c r="K63" i="6" s="1"/>
  <c r="M63" i="6" s="1"/>
  <c r="L44" i="5"/>
  <c r="L23" i="5"/>
  <c r="L236" i="5"/>
  <c r="L28" i="5"/>
  <c r="K24" i="6" s="1"/>
  <c r="M24" i="6" s="1"/>
  <c r="L91" i="5"/>
  <c r="L47" i="5"/>
  <c r="L61" i="5"/>
  <c r="L81" i="5"/>
  <c r="L93" i="5"/>
  <c r="L49" i="5"/>
  <c r="K67" i="6" s="1"/>
  <c r="M67" i="6" s="1"/>
  <c r="L115" i="5"/>
  <c r="L262" i="5"/>
  <c r="L95" i="5"/>
  <c r="L67" i="5"/>
  <c r="L184" i="5"/>
  <c r="L71" i="5"/>
  <c r="L188" i="5"/>
  <c r="L97" i="5"/>
  <c r="L46" i="5"/>
  <c r="L43" i="5"/>
  <c r="K61" i="6" s="1"/>
  <c r="M61" i="6" s="1"/>
  <c r="L25" i="5"/>
  <c r="L264" i="5"/>
  <c r="L50" i="5"/>
  <c r="K68" i="6" s="1"/>
  <c r="M68" i="6" s="1"/>
  <c r="L48" i="5"/>
  <c r="L228" i="5"/>
  <c r="L232" i="5"/>
  <c r="L342" i="5"/>
  <c r="L69" i="5"/>
  <c r="L457" i="5"/>
  <c r="L13" i="5"/>
  <c r="L397" i="5"/>
  <c r="L107" i="5"/>
  <c r="L254" i="5"/>
  <c r="L471" i="5"/>
  <c r="L332" i="5"/>
  <c r="L240" i="5"/>
  <c r="L467" i="5"/>
  <c r="L459" i="5"/>
  <c r="L248" i="5"/>
  <c r="L461" i="5"/>
  <c r="L381" i="5"/>
  <c r="L458" i="5"/>
  <c r="L111" i="5"/>
  <c r="L304" i="5"/>
  <c r="L222" i="5"/>
  <c r="L368" i="5"/>
  <c r="L505" i="5"/>
  <c r="L527" i="5"/>
  <c r="L101" i="5"/>
  <c r="L134" i="5"/>
  <c r="L511" i="5"/>
  <c r="L525" i="5"/>
  <c r="L268" i="5"/>
  <c r="L290" i="5"/>
  <c r="L473" i="5"/>
  <c r="L507" i="5"/>
  <c r="L523" i="5"/>
  <c r="L517" i="5"/>
  <c r="L531" i="5"/>
  <c r="L356" i="5"/>
  <c r="L178" i="5"/>
  <c r="L501" i="5"/>
  <c r="L170" i="5"/>
  <c r="L477" i="5"/>
  <c r="L182" i="5"/>
  <c r="L246" i="5"/>
  <c r="L392" i="5"/>
  <c r="L204" i="5"/>
  <c r="L519" i="5"/>
  <c r="L543" i="5"/>
  <c r="L250" i="5"/>
  <c r="L465" i="5"/>
  <c r="L350" i="5"/>
  <c r="L230" i="5"/>
  <c r="L463" i="5"/>
  <c r="L469" i="5"/>
  <c r="L99" i="5"/>
  <c r="L266" i="5"/>
  <c r="L109" i="5"/>
  <c r="L272" i="5"/>
  <c r="H12" i="3"/>
  <c r="L18" i="5"/>
  <c r="L338" i="5"/>
  <c r="L384" i="5"/>
  <c r="L346" i="5"/>
  <c r="L376" i="5"/>
  <c r="H52" i="3"/>
  <c r="L421" i="5"/>
  <c r="L439" i="5"/>
  <c r="L445" i="5"/>
  <c r="L403" i="5"/>
  <c r="H11" i="3"/>
  <c r="H41" i="3"/>
  <c r="L15" i="5"/>
  <c r="L405" i="5"/>
  <c r="L430" i="5"/>
  <c r="L426" i="5"/>
  <c r="L409" i="5"/>
  <c r="L434" i="5"/>
  <c r="I2" i="5"/>
  <c r="N2" i="5"/>
  <c r="H40" i="3"/>
  <c r="H42" i="3"/>
  <c r="H39" i="3"/>
  <c r="O41" i="5"/>
  <c r="O52" i="5"/>
  <c r="O61" i="5"/>
  <c r="O69" i="5"/>
  <c r="O76" i="5"/>
  <c r="O84" i="5"/>
  <c r="O92" i="5"/>
  <c r="O100" i="5"/>
  <c r="O108" i="5"/>
  <c r="O116" i="5"/>
  <c r="O124" i="5"/>
  <c r="O132" i="5"/>
  <c r="O141" i="5"/>
  <c r="O149" i="5"/>
  <c r="O157" i="5"/>
  <c r="O165" i="5"/>
  <c r="O173" i="5"/>
  <c r="O181" i="5"/>
  <c r="O189" i="5"/>
  <c r="O197" i="5"/>
  <c r="O205" i="5"/>
  <c r="O213" i="5"/>
  <c r="O221" i="5"/>
  <c r="O229" i="5"/>
  <c r="O237" i="5"/>
  <c r="O245" i="5"/>
  <c r="O253" i="5"/>
  <c r="O261" i="5"/>
  <c r="O269" i="5"/>
  <c r="O277" i="5"/>
  <c r="O285" i="5"/>
  <c r="O293" i="5"/>
  <c r="O301" i="5"/>
  <c r="O309" i="5"/>
  <c r="O317" i="5"/>
  <c r="O325" i="5"/>
  <c r="O333" i="5"/>
  <c r="O341" i="5"/>
  <c r="O349" i="5"/>
  <c r="O357" i="5"/>
  <c r="O365" i="5"/>
  <c r="O373" i="5"/>
  <c r="O391" i="5"/>
  <c r="O399" i="5"/>
  <c r="O407" i="5"/>
  <c r="O415" i="5"/>
  <c r="O433" i="5"/>
  <c r="O441" i="5"/>
  <c r="O449" i="5"/>
  <c r="O456" i="5"/>
  <c r="O460" i="5"/>
  <c r="O468" i="5"/>
  <c r="O476" i="5"/>
  <c r="O486" i="5"/>
  <c r="O532" i="5"/>
  <c r="O560" i="5"/>
  <c r="O27" i="5"/>
  <c r="O35" i="5"/>
  <c r="O63" i="5"/>
  <c r="O71" i="5"/>
  <c r="O78" i="5"/>
  <c r="O86" i="5"/>
  <c r="O94" i="5"/>
  <c r="O102" i="5"/>
  <c r="O110" i="5"/>
  <c r="O118" i="5"/>
  <c r="O126" i="5"/>
  <c r="O135" i="5"/>
  <c r="O143" i="5"/>
  <c r="O151" i="5"/>
  <c r="O159" i="5"/>
  <c r="O167" i="5"/>
  <c r="O175" i="5"/>
  <c r="O183" i="5"/>
  <c r="O31" i="5"/>
  <c r="O39" i="5"/>
  <c r="O59" i="5"/>
  <c r="O67" i="5"/>
  <c r="O74" i="5"/>
  <c r="O82" i="5"/>
  <c r="O90" i="5"/>
  <c r="O98" i="5"/>
  <c r="O106" i="5"/>
  <c r="O114" i="5"/>
  <c r="O122" i="5"/>
  <c r="O130" i="5"/>
  <c r="O139" i="5"/>
  <c r="O147" i="5"/>
  <c r="O155" i="5"/>
  <c r="O163" i="5"/>
  <c r="O171" i="5"/>
  <c r="O179" i="5"/>
  <c r="O187" i="5"/>
  <c r="O195" i="5"/>
  <c r="O203" i="5"/>
  <c r="O211" i="5"/>
  <c r="O219" i="5"/>
  <c r="O227" i="5"/>
  <c r="O235" i="5"/>
  <c r="O243" i="5"/>
  <c r="O251" i="5"/>
  <c r="O259" i="5"/>
  <c r="O267" i="5"/>
  <c r="O275" i="5"/>
  <c r="O283" i="5"/>
  <c r="O291" i="5"/>
  <c r="O299" i="5"/>
  <c r="O307" i="5"/>
  <c r="O315" i="5"/>
  <c r="O323" i="5"/>
  <c r="O331" i="5"/>
  <c r="O339" i="5"/>
  <c r="O347" i="5"/>
  <c r="O355" i="5"/>
  <c r="O363" i="5"/>
  <c r="O371" i="5"/>
  <c r="O379" i="5"/>
  <c r="O387" i="5"/>
  <c r="O405" i="5"/>
  <c r="O413" i="5"/>
  <c r="O421" i="5"/>
  <c r="O431" i="5"/>
  <c r="O447" i="5"/>
  <c r="O454" i="5"/>
  <c r="O466" i="5"/>
  <c r="O474" i="5"/>
  <c r="O482" i="5"/>
  <c r="O499" i="5"/>
  <c r="O515" i="5"/>
  <c r="O538" i="5"/>
  <c r="O545" i="5"/>
  <c r="O24" i="5"/>
  <c r="O32" i="5"/>
  <c r="O40" i="5"/>
  <c r="O51" i="5"/>
  <c r="O60" i="5"/>
  <c r="O68" i="5"/>
  <c r="O91" i="5"/>
  <c r="O99" i="5"/>
  <c r="O115" i="5"/>
  <c r="O123" i="5"/>
  <c r="O131" i="5"/>
  <c r="O140" i="5"/>
  <c r="O148" i="5"/>
  <c r="O156" i="5"/>
  <c r="O164" i="5"/>
  <c r="O172" i="5"/>
  <c r="O180" i="5"/>
  <c r="O188" i="5"/>
  <c r="O196" i="5"/>
  <c r="O204" i="5"/>
  <c r="O212" i="5"/>
  <c r="O220" i="5"/>
  <c r="O228" i="5"/>
  <c r="O236" i="5"/>
  <c r="O244" i="5"/>
  <c r="O252" i="5"/>
  <c r="O260" i="5"/>
  <c r="O268" i="5"/>
  <c r="O276" i="5"/>
  <c r="O284" i="5"/>
  <c r="O292" i="5"/>
  <c r="O300" i="5"/>
  <c r="O308" i="5"/>
  <c r="O316" i="5"/>
  <c r="O324" i="5"/>
  <c r="O340" i="5"/>
  <c r="O348" i="5"/>
  <c r="O364" i="5"/>
  <c r="O372" i="5"/>
  <c r="O380" i="5"/>
  <c r="O390" i="5"/>
  <c r="O398" i="5"/>
  <c r="O406" i="5"/>
  <c r="O414" i="5"/>
  <c r="O422" i="5"/>
  <c r="O432" i="5"/>
  <c r="O440" i="5"/>
  <c r="O448" i="5"/>
  <c r="O455" i="5"/>
  <c r="O485" i="5"/>
  <c r="O500" i="5"/>
  <c r="O508" i="5"/>
  <c r="O516" i="5"/>
  <c r="O524" i="5"/>
  <c r="O539" i="5"/>
  <c r="O546" i="5"/>
  <c r="O564" i="5"/>
  <c r="O572" i="5"/>
  <c r="O14" i="5"/>
  <c r="O26" i="5"/>
  <c r="O54" i="5"/>
  <c r="O62" i="5"/>
  <c r="O70" i="5"/>
  <c r="O77" i="5"/>
  <c r="O85" i="5"/>
  <c r="O101" i="5"/>
  <c r="O109" i="5"/>
  <c r="O117" i="5"/>
  <c r="O125" i="5"/>
  <c r="O142" i="5"/>
  <c r="O150" i="5"/>
  <c r="O158" i="5"/>
  <c r="O166" i="5"/>
  <c r="O190" i="5"/>
  <c r="O198" i="5"/>
  <c r="O206" i="5"/>
  <c r="O214" i="5"/>
  <c r="O230" i="5"/>
  <c r="O238" i="5"/>
  <c r="O246" i="5"/>
  <c r="O254" i="5"/>
  <c r="O262" i="5"/>
  <c r="O270" i="5"/>
  <c r="O278" i="5"/>
  <c r="O286" i="5"/>
  <c r="O294" i="5"/>
  <c r="O302" i="5"/>
  <c r="O310" i="5"/>
  <c r="O318" i="5"/>
  <c r="O326" i="5"/>
  <c r="O334" i="5"/>
  <c r="O342" i="5"/>
  <c r="O350" i="5"/>
  <c r="O358" i="5"/>
  <c r="O366" i="5"/>
  <c r="O374" i="5"/>
  <c r="O382" i="5"/>
  <c r="O400" i="5"/>
  <c r="O408" i="5"/>
  <c r="O416" i="5"/>
  <c r="O442" i="5"/>
  <c r="O450" i="5"/>
  <c r="O502" i="5"/>
  <c r="O510" i="5"/>
  <c r="O518" i="5"/>
  <c r="O526" i="5"/>
  <c r="O533" i="5"/>
  <c r="O541" i="5"/>
  <c r="O566" i="5"/>
  <c r="O591" i="5"/>
  <c r="O191" i="5"/>
  <c r="O199" i="5"/>
  <c r="O207" i="5"/>
  <c r="O215" i="5"/>
  <c r="O223" i="5"/>
  <c r="O231" i="5"/>
  <c r="O239" i="5"/>
  <c r="O247" i="5"/>
  <c r="O255" i="5"/>
  <c r="O263" i="5"/>
  <c r="O271" i="5"/>
  <c r="O279" i="5"/>
  <c r="O287" i="5"/>
  <c r="O295" i="5"/>
  <c r="O303" i="5"/>
  <c r="O311" i="5"/>
  <c r="O319" i="5"/>
  <c r="O327" i="5"/>
  <c r="O335" i="5"/>
  <c r="O343" i="5"/>
  <c r="O351" i="5"/>
  <c r="O359" i="5"/>
  <c r="O367" i="5"/>
  <c r="O375" i="5"/>
  <c r="O383" i="5"/>
  <c r="O393" i="5"/>
  <c r="O401" i="5"/>
  <c r="O409" i="5"/>
  <c r="O417" i="5"/>
  <c r="O427" i="5"/>
  <c r="O435" i="5"/>
  <c r="O443" i="5"/>
  <c r="O451" i="5"/>
  <c r="O462" i="5"/>
  <c r="O470" i="5"/>
  <c r="O478" i="5"/>
  <c r="O511" i="5"/>
  <c r="O534" i="5"/>
  <c r="O542" i="5"/>
  <c r="O561" i="5"/>
  <c r="O574" i="5"/>
  <c r="O592" i="5"/>
  <c r="O17" i="5"/>
  <c r="O56" i="5"/>
  <c r="O64" i="5"/>
  <c r="O72" i="5"/>
  <c r="O79" i="5"/>
  <c r="O87" i="5"/>
  <c r="O95" i="5"/>
  <c r="O103" i="5"/>
  <c r="O111" i="5"/>
  <c r="O119" i="5"/>
  <c r="O127" i="5"/>
  <c r="O136" i="5"/>
  <c r="O144" i="5"/>
  <c r="O152" i="5"/>
  <c r="O160" i="5"/>
  <c r="O168" i="5"/>
  <c r="O176" i="5"/>
  <c r="O184" i="5"/>
  <c r="O192" i="5"/>
  <c r="O200" i="5"/>
  <c r="O208" i="5"/>
  <c r="O216" i="5"/>
  <c r="O224" i="5"/>
  <c r="O232" i="5"/>
  <c r="O248" i="5"/>
  <c r="O256" i="5"/>
  <c r="O264" i="5"/>
  <c r="O272" i="5"/>
  <c r="O280" i="5"/>
  <c r="O288" i="5"/>
  <c r="O296" i="5"/>
  <c r="O304" i="5"/>
  <c r="O312" i="5"/>
  <c r="O320" i="5"/>
  <c r="O328" i="5"/>
  <c r="O336" i="5"/>
  <c r="O344" i="5"/>
  <c r="O352" i="5"/>
  <c r="O360" i="5"/>
  <c r="O384" i="5"/>
  <c r="O394" i="5"/>
  <c r="O402" i="5"/>
  <c r="O410" i="5"/>
  <c r="O418" i="5"/>
  <c r="O428" i="5"/>
  <c r="O436" i="5"/>
  <c r="O444" i="5"/>
  <c r="O452" i="5"/>
  <c r="O471" i="5"/>
  <c r="O479" i="5"/>
  <c r="O504" i="5"/>
  <c r="O512" i="5"/>
  <c r="O520" i="5"/>
  <c r="O528" i="5"/>
  <c r="O535" i="5"/>
  <c r="O562" i="5"/>
  <c r="O568" i="5"/>
  <c r="O575" i="5"/>
  <c r="O580" i="5"/>
  <c r="O593" i="5"/>
  <c r="O29" i="5"/>
  <c r="O37" i="5"/>
  <c r="O57" i="5"/>
  <c r="O65" i="5"/>
  <c r="O80" i="5"/>
  <c r="O88" i="5"/>
  <c r="O96" i="5"/>
  <c r="O104" i="5"/>
  <c r="O112" i="5"/>
  <c r="O120" i="5"/>
  <c r="O128" i="5"/>
  <c r="O137" i="5"/>
  <c r="O145" i="5"/>
  <c r="O153" i="5"/>
  <c r="O161" i="5"/>
  <c r="O169" i="5"/>
  <c r="O177" i="5"/>
  <c r="O185" i="5"/>
  <c r="O193" i="5"/>
  <c r="O201" i="5"/>
  <c r="O209" i="5"/>
  <c r="O217" i="5"/>
  <c r="O225" i="5"/>
  <c r="O233" i="5"/>
  <c r="O241" i="5"/>
  <c r="O249" i="5"/>
  <c r="O257" i="5"/>
  <c r="O265" i="5"/>
  <c r="O273" i="5"/>
  <c r="O281" i="5"/>
  <c r="O289" i="5"/>
  <c r="O297" i="5"/>
  <c r="O305" i="5"/>
  <c r="O313" i="5"/>
  <c r="O321" i="5"/>
  <c r="O329" i="5"/>
  <c r="O337" i="5"/>
  <c r="O345" i="5"/>
  <c r="O353" i="5"/>
  <c r="O361" i="5"/>
  <c r="O369" i="5"/>
  <c r="O377" i="5"/>
  <c r="O385" i="5"/>
  <c r="O395" i="5"/>
  <c r="O403" i="5"/>
  <c r="O411" i="5"/>
  <c r="O419" i="5"/>
  <c r="O429" i="5"/>
  <c r="O437" i="5"/>
  <c r="O464" i="5"/>
  <c r="O472" i="5"/>
  <c r="O480" i="5"/>
  <c r="O513" i="5"/>
  <c r="O521" i="5"/>
  <c r="O529" i="5"/>
  <c r="O536" i="5"/>
  <c r="O544" i="5"/>
  <c r="O576" i="5"/>
  <c r="O581" i="5"/>
  <c r="O594" i="5"/>
  <c r="O22" i="5"/>
  <c r="O30" i="5"/>
  <c r="O38" i="5"/>
  <c r="O58" i="5"/>
  <c r="O66" i="5"/>
  <c r="O73" i="5"/>
  <c r="O81" i="5"/>
  <c r="O89" i="5"/>
  <c r="O97" i="5"/>
  <c r="O105" i="5"/>
  <c r="O113" i="5"/>
  <c r="O121" i="5"/>
  <c r="O129" i="5"/>
  <c r="O138" i="5"/>
  <c r="O146" i="5"/>
  <c r="O154" i="5"/>
  <c r="O162" i="5"/>
  <c r="O170" i="5"/>
  <c r="O178" i="5"/>
  <c r="O186" i="5"/>
  <c r="O194" i="5"/>
  <c r="O202" i="5"/>
  <c r="O210" i="5"/>
  <c r="O218" i="5"/>
  <c r="O226" i="5"/>
  <c r="O234" i="5"/>
  <c r="O242" i="5"/>
  <c r="O250" i="5"/>
  <c r="O258" i="5"/>
  <c r="O266" i="5"/>
  <c r="O274" i="5"/>
  <c r="O282" i="5"/>
  <c r="O290" i="5"/>
  <c r="O298" i="5"/>
  <c r="O306" i="5"/>
  <c r="O314" i="5"/>
  <c r="O322" i="5"/>
  <c r="O330" i="5"/>
  <c r="O338" i="5"/>
  <c r="O346" i="5"/>
  <c r="O354" i="5"/>
  <c r="O362" i="5"/>
  <c r="O370" i="5"/>
  <c r="O378" i="5"/>
  <c r="O386" i="5"/>
  <c r="O396" i="5"/>
  <c r="O404" i="5"/>
  <c r="O412" i="5"/>
  <c r="O420" i="5"/>
  <c r="O438" i="5"/>
  <c r="O446" i="5"/>
  <c r="O453" i="5"/>
  <c r="O458" i="5"/>
  <c r="O465" i="5"/>
  <c r="O481" i="5"/>
  <c r="O506" i="5"/>
  <c r="O514" i="5"/>
  <c r="O522" i="5"/>
  <c r="O530" i="5"/>
  <c r="O537" i="5"/>
  <c r="O563" i="5"/>
  <c r="O570" i="5"/>
  <c r="O577" i="5"/>
  <c r="O595" i="5"/>
  <c r="G25" i="3"/>
  <c r="O55" i="5"/>
  <c r="O25" i="5"/>
  <c r="G14" i="3"/>
  <c r="G61" i="3"/>
  <c r="O182" i="5"/>
  <c r="G82" i="3"/>
  <c r="O50" i="5"/>
  <c r="U68" i="6" s="1"/>
  <c r="W68" i="6" s="1"/>
  <c r="G64" i="3"/>
  <c r="O240" i="5"/>
  <c r="G76" i="3"/>
  <c r="O44" i="5"/>
  <c r="O28" i="5"/>
  <c r="U24" i="6" s="1"/>
  <c r="W24" i="6" s="1"/>
  <c r="G16" i="3"/>
  <c r="G63" i="3"/>
  <c r="O222" i="5"/>
  <c r="G29" i="3"/>
  <c r="O93" i="5"/>
  <c r="G80" i="3"/>
  <c r="O46" i="5"/>
  <c r="G40" i="3"/>
  <c r="O430" i="5"/>
  <c r="G22" i="3"/>
  <c r="O34" i="5"/>
  <c r="G60" i="3"/>
  <c r="O174" i="5"/>
  <c r="G81" i="3"/>
  <c r="O49" i="5"/>
  <c r="U67" i="6" s="1"/>
  <c r="W67" i="6" s="1"/>
  <c r="G48" i="3"/>
  <c r="O332" i="5"/>
  <c r="G26" i="3"/>
  <c r="O75" i="5"/>
  <c r="O558" i="5"/>
  <c r="G125" i="3"/>
  <c r="G79" i="3"/>
  <c r="O48" i="5"/>
  <c r="U65" i="6" s="1"/>
  <c r="W65" i="6" s="1"/>
  <c r="G28" i="3"/>
  <c r="O83" i="5"/>
  <c r="O18" i="5"/>
  <c r="G12" i="3"/>
  <c r="G84" i="3"/>
  <c r="O556" i="5"/>
  <c r="O134" i="5"/>
  <c r="G32" i="4"/>
  <c r="G30" i="3"/>
  <c r="O107" i="5"/>
  <c r="G13" i="3"/>
  <c r="O23" i="5"/>
  <c r="G11" i="3"/>
  <c r="O15" i="5"/>
  <c r="G52" i="3"/>
  <c r="O376" i="5"/>
  <c r="O47" i="5"/>
  <c r="G78" i="3"/>
  <c r="O33" i="5"/>
  <c r="G15" i="3"/>
  <c r="O434" i="5"/>
  <c r="G41" i="3"/>
  <c r="O43" i="5"/>
  <c r="U61" i="6" s="1"/>
  <c r="W61" i="6" s="1"/>
  <c r="G75" i="3"/>
  <c r="G42" i="3"/>
  <c r="O439" i="5"/>
  <c r="O445" i="5"/>
  <c r="G39" i="3"/>
  <c r="O426" i="5"/>
  <c r="O548" i="5"/>
  <c r="G83" i="3"/>
  <c r="G93" i="3"/>
  <c r="O356" i="5"/>
  <c r="O36" i="5"/>
  <c r="O368" i="5"/>
  <c r="G94" i="3"/>
  <c r="G90" i="3"/>
  <c r="O397" i="5"/>
  <c r="O392" i="5"/>
  <c r="G91" i="3"/>
  <c r="G92" i="3"/>
  <c r="O381" i="5"/>
  <c r="G130" i="3"/>
  <c r="O573" i="5"/>
  <c r="O571" i="5"/>
  <c r="G129" i="3"/>
  <c r="G124" i="3"/>
  <c r="O567" i="5"/>
  <c r="O569" i="5"/>
  <c r="G128" i="3"/>
  <c r="O531" i="5"/>
  <c r="G112" i="3"/>
  <c r="O540" i="5"/>
  <c r="G119" i="3"/>
  <c r="O45" i="5"/>
  <c r="G77" i="3"/>
  <c r="G123" i="3"/>
  <c r="O565" i="5"/>
  <c r="O543" i="5"/>
  <c r="O525" i="5"/>
  <c r="G103" i="3"/>
  <c r="O469" i="5"/>
  <c r="O501" i="5"/>
  <c r="G109" i="3"/>
  <c r="O503" i="5"/>
  <c r="G111" i="3"/>
  <c r="O475" i="5"/>
  <c r="O527" i="5"/>
  <c r="O507" i="5"/>
  <c r="G114" i="3"/>
  <c r="G115" i="3"/>
  <c r="O509" i="5"/>
  <c r="G117" i="3"/>
  <c r="O517" i="5"/>
  <c r="O523" i="5"/>
  <c r="G110" i="3"/>
  <c r="G104" i="3"/>
  <c r="O467" i="5"/>
  <c r="G113" i="3"/>
  <c r="O505" i="5"/>
  <c r="O473" i="5"/>
  <c r="G106" i="3"/>
  <c r="G98" i="3"/>
  <c r="O477" i="5"/>
  <c r="O459" i="5"/>
  <c r="G99" i="3"/>
  <c r="O461" i="5"/>
  <c r="G101" i="3"/>
  <c r="O463" i="5"/>
  <c r="G102" i="3"/>
  <c r="O519" i="5"/>
  <c r="G118" i="3"/>
  <c r="G97" i="3"/>
  <c r="O457" i="5"/>
  <c r="G10" i="3"/>
  <c r="R35" i="6" l="1"/>
  <c r="T35" i="6" s="1"/>
  <c r="R30" i="6"/>
  <c r="T30" i="6" s="1"/>
  <c r="K69" i="6"/>
  <c r="M69" i="6" s="1"/>
  <c r="U7" i="6"/>
  <c r="W7" i="6" s="1"/>
  <c r="D62" i="4"/>
  <c r="D124" i="2"/>
  <c r="A135" i="2"/>
  <c r="D38" i="4"/>
  <c r="G76" i="2"/>
  <c r="D97" i="4"/>
  <c r="B124" i="2"/>
  <c r="R78" i="6"/>
  <c r="T78" i="6" s="1"/>
  <c r="R49" i="6"/>
  <c r="O49" i="6" s="1"/>
  <c r="Q49" i="6" s="1"/>
  <c r="R38" i="6"/>
  <c r="T38" i="6" s="1"/>
  <c r="R7" i="6"/>
  <c r="T61" i="6"/>
  <c r="O61" i="6"/>
  <c r="K62" i="4"/>
  <c r="M62" i="4" s="1"/>
  <c r="B62" i="4"/>
  <c r="G91" i="4"/>
  <c r="G80" i="2"/>
  <c r="O80" i="2" s="1"/>
  <c r="H81" i="2"/>
  <c r="P81" i="2" s="1"/>
  <c r="B81" i="1"/>
  <c r="K35" i="6"/>
  <c r="M35" i="6" s="1"/>
  <c r="R17" i="6"/>
  <c r="T17" i="6" s="1"/>
  <c r="K48" i="6"/>
  <c r="M48" i="6" s="1"/>
  <c r="D15" i="2"/>
  <c r="D75" i="2"/>
  <c r="D76" i="2"/>
  <c r="G63" i="4"/>
  <c r="D93" i="2"/>
  <c r="O63" i="3"/>
  <c r="D80" i="2"/>
  <c r="D11" i="2"/>
  <c r="H89" i="4"/>
  <c r="P89" i="4" s="1"/>
  <c r="G38" i="4"/>
  <c r="O38" i="4" s="1"/>
  <c r="G81" i="2"/>
  <c r="G11" i="2"/>
  <c r="B59" i="1"/>
  <c r="D127" i="1"/>
  <c r="D105" i="2"/>
  <c r="B89" i="4"/>
  <c r="G127" i="1"/>
  <c r="D115" i="4"/>
  <c r="G89" i="4"/>
  <c r="G96" i="1"/>
  <c r="D113" i="2"/>
  <c r="K125" i="1"/>
  <c r="D28" i="2"/>
  <c r="D81" i="2"/>
  <c r="D112" i="2"/>
  <c r="D89" i="4"/>
  <c r="D25" i="1"/>
  <c r="D89" i="2"/>
  <c r="D14" i="2"/>
  <c r="U35" i="6"/>
  <c r="W35" i="6" s="1"/>
  <c r="R45" i="6"/>
  <c r="T45" i="6" s="1"/>
  <c r="R27" i="6"/>
  <c r="T27" i="6" s="1"/>
  <c r="K47" i="6"/>
  <c r="M47" i="6" s="1"/>
  <c r="R47" i="6"/>
  <c r="T47" i="6" s="1"/>
  <c r="R36" i="6"/>
  <c r="O36" i="6" s="1"/>
  <c r="Q36" i="6" s="1"/>
  <c r="U48" i="6"/>
  <c r="W48" i="6" s="1"/>
  <c r="K36" i="6"/>
  <c r="M36" i="6" s="1"/>
  <c r="U36" i="6"/>
  <c r="W36" i="6" s="1"/>
  <c r="U47" i="6"/>
  <c r="W47" i="6" s="1"/>
  <c r="K43" i="6"/>
  <c r="M43" i="6" s="1"/>
  <c r="U43" i="6"/>
  <c r="W43" i="6" s="1"/>
  <c r="U49" i="6"/>
  <c r="W49" i="6" s="1"/>
  <c r="U54" i="6"/>
  <c r="W54" i="6" s="1"/>
  <c r="R70" i="6"/>
  <c r="AA42" i="5"/>
  <c r="K50" i="6"/>
  <c r="K71" i="6"/>
  <c r="M71" i="6" s="1"/>
  <c r="U45" i="6"/>
  <c r="W45" i="6" s="1"/>
  <c r="K52" i="6"/>
  <c r="K41" i="6"/>
  <c r="M41" i="6" s="1"/>
  <c r="K54" i="6"/>
  <c r="K49" i="6"/>
  <c r="U42" i="6"/>
  <c r="W42" i="6" s="1"/>
  <c r="P52" i="3"/>
  <c r="O50" i="6"/>
  <c r="Q50" i="6" s="1"/>
  <c r="T50" i="6"/>
  <c r="U52" i="6"/>
  <c r="W52" i="6" s="1"/>
  <c r="U70" i="6"/>
  <c r="W70" i="6" s="1"/>
  <c r="U38" i="6"/>
  <c r="W38" i="6" s="1"/>
  <c r="R13" i="6"/>
  <c r="T13" i="6" s="1"/>
  <c r="R52" i="6"/>
  <c r="R54" i="6"/>
  <c r="U44" i="6"/>
  <c r="W44" i="6" s="1"/>
  <c r="K70" i="6"/>
  <c r="D91" i="1"/>
  <c r="G15" i="1"/>
  <c r="D15" i="1"/>
  <c r="K97" i="1"/>
  <c r="D30" i="1"/>
  <c r="G91" i="1"/>
  <c r="G28" i="1"/>
  <c r="K28" i="1"/>
  <c r="K126" i="1"/>
  <c r="K100" i="1"/>
  <c r="G100" i="1"/>
  <c r="G101" i="1"/>
  <c r="G30" i="1"/>
  <c r="D101" i="1"/>
  <c r="D26" i="1"/>
  <c r="K101" i="1"/>
  <c r="D41" i="1"/>
  <c r="G114" i="1"/>
  <c r="D114" i="1"/>
  <c r="G60" i="1"/>
  <c r="G40" i="1"/>
  <c r="K40" i="1"/>
  <c r="K81" i="1"/>
  <c r="K96" i="1"/>
  <c r="G56" i="1"/>
  <c r="G53" i="1"/>
  <c r="K15" i="1"/>
  <c r="K127" i="1"/>
  <c r="D56" i="1"/>
  <c r="D60" i="1"/>
  <c r="D59" i="1"/>
  <c r="D117" i="1"/>
  <c r="G59" i="1"/>
  <c r="G117" i="1"/>
  <c r="G41" i="1"/>
  <c r="G81" i="1"/>
  <c r="G12" i="1"/>
  <c r="G125" i="1"/>
  <c r="D40" i="1"/>
  <c r="D49" i="1"/>
  <c r="G111" i="1"/>
  <c r="G110" i="1"/>
  <c r="K110" i="1"/>
  <c r="D96" i="1"/>
  <c r="D126" i="1"/>
  <c r="K112" i="1"/>
  <c r="G26" i="1"/>
  <c r="D28" i="1"/>
  <c r="G79" i="1"/>
  <c r="G126" i="1"/>
  <c r="D112" i="1"/>
  <c r="D125" i="1"/>
  <c r="K41" i="1"/>
  <c r="D110" i="1"/>
  <c r="G112" i="1"/>
  <c r="K26" i="1"/>
  <c r="G105" i="4"/>
  <c r="O105" i="4" s="1"/>
  <c r="G111" i="4"/>
  <c r="O111" i="4" s="1"/>
  <c r="G99" i="4"/>
  <c r="D105" i="4"/>
  <c r="D91" i="4"/>
  <c r="G115" i="4"/>
  <c r="I115" i="4" s="1"/>
  <c r="G53" i="4"/>
  <c r="O53" i="4" s="1"/>
  <c r="H124" i="4"/>
  <c r="P124" i="4" s="1"/>
  <c r="D63" i="4"/>
  <c r="D56" i="4"/>
  <c r="D124" i="4"/>
  <c r="D99" i="4"/>
  <c r="G11" i="4"/>
  <c r="H11" i="4"/>
  <c r="P11" i="4" s="1"/>
  <c r="H99" i="4"/>
  <c r="P99" i="4" s="1"/>
  <c r="H62" i="4"/>
  <c r="P62" i="4" s="1"/>
  <c r="G124" i="4"/>
  <c r="D11" i="4"/>
  <c r="H50" i="4"/>
  <c r="I50" i="4" s="1"/>
  <c r="K124" i="4"/>
  <c r="M124" i="4" s="1"/>
  <c r="G62" i="4"/>
  <c r="D22" i="4"/>
  <c r="D82" i="4"/>
  <c r="G101" i="4"/>
  <c r="O101" i="4" s="1"/>
  <c r="D53" i="4"/>
  <c r="H112" i="4"/>
  <c r="G30" i="4"/>
  <c r="O30" i="4" s="1"/>
  <c r="G56" i="4"/>
  <c r="I56" i="4" s="1"/>
  <c r="D92" i="4"/>
  <c r="H63" i="4"/>
  <c r="B99" i="4"/>
  <c r="G96" i="4"/>
  <c r="E119" i="4"/>
  <c r="G114" i="4"/>
  <c r="O114" i="4" s="1"/>
  <c r="G16" i="4"/>
  <c r="H16" i="4"/>
  <c r="G127" i="4"/>
  <c r="D114" i="4"/>
  <c r="L16" i="4"/>
  <c r="M16" i="4" s="1"/>
  <c r="D16" i="4"/>
  <c r="D52" i="4"/>
  <c r="L29" i="4"/>
  <c r="B59" i="4"/>
  <c r="B82" i="4"/>
  <c r="G12" i="4"/>
  <c r="L10" i="4"/>
  <c r="M10" i="4" s="1"/>
  <c r="G29" i="4"/>
  <c r="D50" i="4"/>
  <c r="G76" i="4"/>
  <c r="O76" i="4" s="1"/>
  <c r="D76" i="4"/>
  <c r="D29" i="4"/>
  <c r="H76" i="4"/>
  <c r="G47" i="4"/>
  <c r="H117" i="4"/>
  <c r="H29" i="4"/>
  <c r="H52" i="4"/>
  <c r="D111" i="4"/>
  <c r="G52" i="4"/>
  <c r="H82" i="4"/>
  <c r="B52" i="4"/>
  <c r="L82" i="4"/>
  <c r="M82" i="4" s="1"/>
  <c r="G112" i="4"/>
  <c r="H51" i="4"/>
  <c r="L52" i="4"/>
  <c r="G82" i="4"/>
  <c r="O82" i="4" s="1"/>
  <c r="D51" i="4"/>
  <c r="H124" i="2"/>
  <c r="G124" i="2"/>
  <c r="G113" i="2"/>
  <c r="D116" i="2"/>
  <c r="D90" i="2"/>
  <c r="D74" i="2"/>
  <c r="H29" i="2"/>
  <c r="B29" i="2"/>
  <c r="G10" i="2"/>
  <c r="D122" i="2"/>
  <c r="G29" i="2"/>
  <c r="D29" i="2"/>
  <c r="D117" i="2"/>
  <c r="L29" i="2"/>
  <c r="D38" i="2"/>
  <c r="L122" i="2"/>
  <c r="G122" i="2"/>
  <c r="H63" i="2"/>
  <c r="G74" i="2"/>
  <c r="H12" i="2"/>
  <c r="D97" i="2"/>
  <c r="K77" i="2"/>
  <c r="G116" i="2"/>
  <c r="H11" i="2"/>
  <c r="H102" i="2"/>
  <c r="K89" i="4"/>
  <c r="G105" i="1"/>
  <c r="G25" i="4"/>
  <c r="K29" i="4"/>
  <c r="H28" i="2"/>
  <c r="H25" i="4"/>
  <c r="P25" i="4" s="1"/>
  <c r="B16" i="4"/>
  <c r="K76" i="1"/>
  <c r="K83" i="1"/>
  <c r="L28" i="2"/>
  <c r="G83" i="1"/>
  <c r="D83" i="1"/>
  <c r="K28" i="2"/>
  <c r="D99" i="1"/>
  <c r="H98" i="4"/>
  <c r="P98" i="4" s="1"/>
  <c r="D25" i="2"/>
  <c r="G28" i="2"/>
  <c r="D102" i="2"/>
  <c r="D76" i="1"/>
  <c r="D25" i="4"/>
  <c r="K25" i="4"/>
  <c r="M25" i="4" s="1"/>
  <c r="G97" i="4"/>
  <c r="G76" i="1"/>
  <c r="B25" i="4"/>
  <c r="H90" i="4"/>
  <c r="P90" i="4" s="1"/>
  <c r="G11" i="1"/>
  <c r="K49" i="4"/>
  <c r="B113" i="1"/>
  <c r="K113" i="1"/>
  <c r="G113" i="1"/>
  <c r="D11" i="1"/>
  <c r="H122" i="2"/>
  <c r="K11" i="1"/>
  <c r="D86" i="1"/>
  <c r="B51" i="4"/>
  <c r="P115" i="3"/>
  <c r="D50" i="2"/>
  <c r="D84" i="1"/>
  <c r="P112" i="3"/>
  <c r="K111" i="2"/>
  <c r="G78" i="2"/>
  <c r="B78" i="2"/>
  <c r="H78" i="2"/>
  <c r="K62" i="2"/>
  <c r="D111" i="2"/>
  <c r="D78" i="2"/>
  <c r="H111" i="2"/>
  <c r="D12" i="2"/>
  <c r="L119" i="4"/>
  <c r="K119" i="4"/>
  <c r="H119" i="4"/>
  <c r="H129" i="2"/>
  <c r="D119" i="4"/>
  <c r="G74" i="1"/>
  <c r="H127" i="4"/>
  <c r="D16" i="2"/>
  <c r="G49" i="2"/>
  <c r="L49" i="2"/>
  <c r="D74" i="1"/>
  <c r="K74" i="1"/>
  <c r="B114" i="1"/>
  <c r="B53" i="4"/>
  <c r="D39" i="2"/>
  <c r="B90" i="4"/>
  <c r="D90" i="4"/>
  <c r="K90" i="4"/>
  <c r="G90" i="4"/>
  <c r="D93" i="4"/>
  <c r="B100" i="4"/>
  <c r="G116" i="4"/>
  <c r="H49" i="2"/>
  <c r="L100" i="4"/>
  <c r="M100" i="4" s="1"/>
  <c r="G100" i="4"/>
  <c r="D116" i="4"/>
  <c r="H100" i="4"/>
  <c r="G112" i="2"/>
  <c r="D27" i="1"/>
  <c r="L112" i="2"/>
  <c r="D39" i="4"/>
  <c r="K60" i="1"/>
  <c r="B90" i="2"/>
  <c r="B41" i="2"/>
  <c r="D41" i="2"/>
  <c r="H15" i="4"/>
  <c r="P15" i="4" s="1"/>
  <c r="K41" i="2"/>
  <c r="G15" i="4"/>
  <c r="G101" i="2"/>
  <c r="D74" i="4"/>
  <c r="G74" i="4"/>
  <c r="G92" i="4"/>
  <c r="K112" i="2"/>
  <c r="K74" i="4"/>
  <c r="G75" i="1"/>
  <c r="H74" i="4"/>
  <c r="G41" i="2"/>
  <c r="H10" i="2"/>
  <c r="H116" i="2"/>
  <c r="L101" i="2"/>
  <c r="D15" i="4"/>
  <c r="H89" i="2"/>
  <c r="H112" i="2"/>
  <c r="B75" i="1"/>
  <c r="L116" i="2"/>
  <c r="H101" i="2"/>
  <c r="G79" i="2"/>
  <c r="K27" i="1"/>
  <c r="D75" i="1"/>
  <c r="D120" i="1"/>
  <c r="D100" i="4"/>
  <c r="H41" i="2"/>
  <c r="L59" i="4"/>
  <c r="M59" i="4" s="1"/>
  <c r="A135" i="4"/>
  <c r="G119" i="4"/>
  <c r="H69" i="2"/>
  <c r="G69" i="2"/>
  <c r="H26" i="4"/>
  <c r="P26" i="4" s="1"/>
  <c r="G99" i="2"/>
  <c r="G127" i="2"/>
  <c r="B129" i="4"/>
  <c r="K129" i="4"/>
  <c r="M129" i="4" s="1"/>
  <c r="O84" i="3"/>
  <c r="G50" i="1"/>
  <c r="D38" i="1"/>
  <c r="H99" i="2"/>
  <c r="H48" i="2"/>
  <c r="G84" i="2"/>
  <c r="P84" i="3"/>
  <c r="G77" i="4"/>
  <c r="L96" i="4"/>
  <c r="G129" i="4"/>
  <c r="G16" i="1"/>
  <c r="D111" i="1"/>
  <c r="D28" i="4"/>
  <c r="D99" i="2"/>
  <c r="G69" i="4"/>
  <c r="K39" i="2"/>
  <c r="K96" i="4"/>
  <c r="G38" i="1"/>
  <c r="D50" i="1"/>
  <c r="H77" i="4"/>
  <c r="P77" i="4" s="1"/>
  <c r="H69" i="4"/>
  <c r="P69" i="4" s="1"/>
  <c r="G39" i="2"/>
  <c r="L127" i="2"/>
  <c r="D129" i="4"/>
  <c r="D48" i="2"/>
  <c r="K38" i="1"/>
  <c r="G77" i="2"/>
  <c r="H129" i="4"/>
  <c r="P129" i="4" s="1"/>
  <c r="H98" i="2"/>
  <c r="D77" i="4"/>
  <c r="G38" i="2"/>
  <c r="L63" i="2"/>
  <c r="B115" i="4"/>
  <c r="D77" i="2"/>
  <c r="H77" i="2"/>
  <c r="H38" i="2"/>
  <c r="L117" i="4"/>
  <c r="M117" i="4" s="1"/>
  <c r="D97" i="1"/>
  <c r="G39" i="4"/>
  <c r="G98" i="1"/>
  <c r="D63" i="2"/>
  <c r="H100" i="2"/>
  <c r="B111" i="1"/>
  <c r="K127" i="2"/>
  <c r="B77" i="2"/>
  <c r="D26" i="4"/>
  <c r="G39" i="1"/>
  <c r="B84" i="2"/>
  <c r="K98" i="2"/>
  <c r="B47" i="4"/>
  <c r="K63" i="2"/>
  <c r="H39" i="2"/>
  <c r="B50" i="1"/>
  <c r="K99" i="2"/>
  <c r="B99" i="2"/>
  <c r="K39" i="1"/>
  <c r="K38" i="2"/>
  <c r="K77" i="4"/>
  <c r="M77" i="4" s="1"/>
  <c r="G117" i="4"/>
  <c r="O117" i="4" s="1"/>
  <c r="D96" i="4"/>
  <c r="D30" i="4"/>
  <c r="H96" i="4"/>
  <c r="B38" i="2"/>
  <c r="D98" i="1"/>
  <c r="D117" i="4"/>
  <c r="D84" i="2"/>
  <c r="B77" i="4"/>
  <c r="G26" i="4"/>
  <c r="D39" i="1"/>
  <c r="B48" i="2"/>
  <c r="D62" i="2"/>
  <c r="H62" i="2"/>
  <c r="L62" i="2"/>
  <c r="H97" i="2"/>
  <c r="L12" i="4"/>
  <c r="M12" i="4" s="1"/>
  <c r="K99" i="1"/>
  <c r="G61" i="2"/>
  <c r="K90" i="2"/>
  <c r="L60" i="4"/>
  <c r="B80" i="1"/>
  <c r="G60" i="4"/>
  <c r="K63" i="1"/>
  <c r="L113" i="4"/>
  <c r="K60" i="4"/>
  <c r="G90" i="2"/>
  <c r="L114" i="2"/>
  <c r="D123" i="2"/>
  <c r="B63" i="1"/>
  <c r="B25" i="1"/>
  <c r="D60" i="2"/>
  <c r="D100" i="1"/>
  <c r="D59" i="4"/>
  <c r="H79" i="2"/>
  <c r="B61" i="2"/>
  <c r="G59" i="4"/>
  <c r="O59" i="4" s="1"/>
  <c r="G25" i="1"/>
  <c r="D60" i="4"/>
  <c r="G61" i="1"/>
  <c r="K25" i="1"/>
  <c r="G75" i="2"/>
  <c r="A134" i="2"/>
  <c r="B79" i="2"/>
  <c r="K84" i="1"/>
  <c r="H13" i="4"/>
  <c r="P13" i="4" s="1"/>
  <c r="H123" i="2"/>
  <c r="G10" i="4"/>
  <c r="O10" i="4" s="1"/>
  <c r="D79" i="2"/>
  <c r="G99" i="1"/>
  <c r="H10" i="4"/>
  <c r="H12" i="4"/>
  <c r="K61" i="1"/>
  <c r="H59" i="4"/>
  <c r="K75" i="2"/>
  <c r="K79" i="2"/>
  <c r="L63" i="4"/>
  <c r="D114" i="2"/>
  <c r="D61" i="2"/>
  <c r="H61" i="2"/>
  <c r="H90" i="2"/>
  <c r="K123" i="2"/>
  <c r="B29" i="1"/>
  <c r="B105" i="2"/>
  <c r="G93" i="4"/>
  <c r="G13" i="4"/>
  <c r="H38" i="4"/>
  <c r="K60" i="2"/>
  <c r="G63" i="1"/>
  <c r="D61" i="1"/>
  <c r="A134" i="4"/>
  <c r="L10" i="2"/>
  <c r="H60" i="4"/>
  <c r="G123" i="2"/>
  <c r="P117" i="3"/>
  <c r="D12" i="4"/>
  <c r="D10" i="4"/>
  <c r="G84" i="1"/>
  <c r="D13" i="4"/>
  <c r="K81" i="2"/>
  <c r="K13" i="4"/>
  <c r="M13" i="4" s="1"/>
  <c r="B81" i="2"/>
  <c r="H50" i="2"/>
  <c r="K59" i="2"/>
  <c r="L61" i="2"/>
  <c r="K63" i="4"/>
  <c r="H53" i="4"/>
  <c r="G44" i="4"/>
  <c r="H44" i="4"/>
  <c r="P44" i="4" s="1"/>
  <c r="D44" i="4"/>
  <c r="K102" i="1"/>
  <c r="B78" i="1"/>
  <c r="L128" i="4"/>
  <c r="M128" i="4" s="1"/>
  <c r="D40" i="4"/>
  <c r="H14" i="2"/>
  <c r="K108" i="2"/>
  <c r="K49" i="2"/>
  <c r="L110" i="4"/>
  <c r="M110" i="4" s="1"/>
  <c r="D110" i="4"/>
  <c r="D47" i="4"/>
  <c r="G108" i="2"/>
  <c r="B108" i="2"/>
  <c r="B44" i="4"/>
  <c r="B104" i="1"/>
  <c r="G47" i="2"/>
  <c r="H26" i="2"/>
  <c r="G128" i="4"/>
  <c r="O128" i="4" s="1"/>
  <c r="D78" i="4"/>
  <c r="D47" i="1"/>
  <c r="K77" i="1"/>
  <c r="H47" i="4"/>
  <c r="K122" i="1"/>
  <c r="B110" i="4"/>
  <c r="D82" i="2"/>
  <c r="G22" i="4"/>
  <c r="I22" i="4" s="1"/>
  <c r="D78" i="1"/>
  <c r="D127" i="4"/>
  <c r="H110" i="4"/>
  <c r="H47" i="2"/>
  <c r="K47" i="4"/>
  <c r="M47" i="4" s="1"/>
  <c r="L39" i="4"/>
  <c r="K10" i="1"/>
  <c r="K12" i="1"/>
  <c r="G40" i="4"/>
  <c r="G82" i="2"/>
  <c r="K47" i="1"/>
  <c r="H128" i="4"/>
  <c r="K48" i="2"/>
  <c r="G104" i="1"/>
  <c r="G78" i="4"/>
  <c r="O78" i="4" s="1"/>
  <c r="D40" i="2"/>
  <c r="H40" i="2"/>
  <c r="G78" i="1"/>
  <c r="G122" i="1"/>
  <c r="D128" i="4"/>
  <c r="K127" i="4"/>
  <c r="L40" i="4"/>
  <c r="D26" i="2"/>
  <c r="D47" i="2"/>
  <c r="D31" i="4"/>
  <c r="H40" i="4"/>
  <c r="B127" i="4"/>
  <c r="K44" i="4"/>
  <c r="M44" i="4" s="1"/>
  <c r="B77" i="1"/>
  <c r="B102" i="1"/>
  <c r="L22" i="2"/>
  <c r="D105" i="1"/>
  <c r="D77" i="1"/>
  <c r="D10" i="2"/>
  <c r="D27" i="4"/>
  <c r="K22" i="2"/>
  <c r="G109" i="4"/>
  <c r="D10" i="1"/>
  <c r="G110" i="4"/>
  <c r="O110" i="4" s="1"/>
  <c r="G79" i="4"/>
  <c r="G22" i="2"/>
  <c r="G31" i="4"/>
  <c r="H78" i="4"/>
  <c r="H108" i="2"/>
  <c r="K109" i="4"/>
  <c r="L78" i="4"/>
  <c r="M78" i="4" s="1"/>
  <c r="D102" i="1"/>
  <c r="D109" i="4"/>
  <c r="H109" i="4"/>
  <c r="P109" i="4" s="1"/>
  <c r="G47" i="1"/>
  <c r="D108" i="2"/>
  <c r="D49" i="2"/>
  <c r="D22" i="2"/>
  <c r="D104" i="1"/>
  <c r="H113" i="2"/>
  <c r="B27" i="4"/>
  <c r="B109" i="4"/>
  <c r="G26" i="2"/>
  <c r="D122" i="1"/>
  <c r="G14" i="2"/>
  <c r="H84" i="2"/>
  <c r="G40" i="2"/>
  <c r="B47" i="2"/>
  <c r="K47" i="2"/>
  <c r="K84" i="2"/>
  <c r="B22" i="2"/>
  <c r="L56" i="4"/>
  <c r="P56" i="4" s="1"/>
  <c r="G13" i="1"/>
  <c r="K79" i="1"/>
  <c r="L98" i="2"/>
  <c r="L111" i="4"/>
  <c r="M111" i="4" s="1"/>
  <c r="D115" i="1"/>
  <c r="H79" i="4"/>
  <c r="P79" i="4" s="1"/>
  <c r="D79" i="1"/>
  <c r="K116" i="2"/>
  <c r="D79" i="4"/>
  <c r="B49" i="1"/>
  <c r="B39" i="2"/>
  <c r="A133" i="4"/>
  <c r="H111" i="4"/>
  <c r="A131" i="1"/>
  <c r="B98" i="2"/>
  <c r="B11" i="4"/>
  <c r="B50" i="2"/>
  <c r="H104" i="2"/>
  <c r="K13" i="1"/>
  <c r="G104" i="2"/>
  <c r="B105" i="1"/>
  <c r="K53" i="2"/>
  <c r="G49" i="1"/>
  <c r="L105" i="2"/>
  <c r="B104" i="2"/>
  <c r="D53" i="2"/>
  <c r="L48" i="2"/>
  <c r="L104" i="2"/>
  <c r="D104" i="2"/>
  <c r="B76" i="4"/>
  <c r="B123" i="4"/>
  <c r="G86" i="2"/>
  <c r="B86" i="2"/>
  <c r="G51" i="1"/>
  <c r="D81" i="4"/>
  <c r="D59" i="2"/>
  <c r="G49" i="4"/>
  <c r="D86" i="2"/>
  <c r="H122" i="4"/>
  <c r="G100" i="2"/>
  <c r="K123" i="4"/>
  <c r="B108" i="1"/>
  <c r="B28" i="4"/>
  <c r="B38" i="4"/>
  <c r="G52" i="1"/>
  <c r="H113" i="4"/>
  <c r="H28" i="4"/>
  <c r="P28" i="4" s="1"/>
  <c r="H49" i="4"/>
  <c r="H105" i="4"/>
  <c r="K115" i="2"/>
  <c r="K56" i="1"/>
  <c r="B93" i="2"/>
  <c r="H81" i="4"/>
  <c r="P81" i="4" s="1"/>
  <c r="G118" i="4"/>
  <c r="I118" i="4" s="1"/>
  <c r="D89" i="1"/>
  <c r="D80" i="1"/>
  <c r="B120" i="1"/>
  <c r="B122" i="4"/>
  <c r="L38" i="4"/>
  <c r="L11" i="2"/>
  <c r="K11" i="4"/>
  <c r="M11" i="4" s="1"/>
  <c r="L103" i="4"/>
  <c r="L118" i="2"/>
  <c r="K93" i="2"/>
  <c r="D80" i="4"/>
  <c r="G102" i="2"/>
  <c r="L129" i="2"/>
  <c r="K25" i="2"/>
  <c r="B11" i="2"/>
  <c r="L53" i="2"/>
  <c r="K93" i="1"/>
  <c r="G108" i="1"/>
  <c r="G80" i="4"/>
  <c r="O80" i="4" s="1"/>
  <c r="K52" i="1"/>
  <c r="B60" i="2"/>
  <c r="B48" i="4"/>
  <c r="H103" i="4"/>
  <c r="D108" i="1"/>
  <c r="D118" i="2"/>
  <c r="D16" i="1"/>
  <c r="D100" i="2"/>
  <c r="B16" i="1"/>
  <c r="G81" i="4"/>
  <c r="D127" i="2"/>
  <c r="G28" i="4"/>
  <c r="G80" i="1"/>
  <c r="P12" i="3"/>
  <c r="D53" i="1"/>
  <c r="D51" i="1"/>
  <c r="L48" i="4"/>
  <c r="M48" i="4" s="1"/>
  <c r="L49" i="4"/>
  <c r="H114" i="2"/>
  <c r="G60" i="2"/>
  <c r="P22" i="3"/>
  <c r="G62" i="1"/>
  <c r="H48" i="4"/>
  <c r="B129" i="2"/>
  <c r="K28" i="4"/>
  <c r="M28" i="4" s="1"/>
  <c r="K112" i="4"/>
  <c r="L97" i="4"/>
  <c r="B76" i="2"/>
  <c r="L76" i="4"/>
  <c r="M76" i="4" s="1"/>
  <c r="B22" i="4"/>
  <c r="G118" i="2"/>
  <c r="K76" i="2"/>
  <c r="G114" i="2"/>
  <c r="H86" i="2"/>
  <c r="G109" i="1"/>
  <c r="D118" i="4"/>
  <c r="K89" i="1"/>
  <c r="K120" i="1"/>
  <c r="G92" i="1"/>
  <c r="D52" i="1"/>
  <c r="G113" i="4"/>
  <c r="D103" i="4"/>
  <c r="G104" i="4"/>
  <c r="G59" i="2"/>
  <c r="H127" i="2"/>
  <c r="B102" i="2"/>
  <c r="D129" i="2"/>
  <c r="D101" i="2"/>
  <c r="D103" i="1"/>
  <c r="D112" i="4"/>
  <c r="H80" i="4"/>
  <c r="G50" i="2"/>
  <c r="K101" i="2"/>
  <c r="A134" i="1"/>
  <c r="B100" i="2"/>
  <c r="L74" i="2"/>
  <c r="B74" i="2"/>
  <c r="K75" i="4"/>
  <c r="M75" i="4" s="1"/>
  <c r="B117" i="4"/>
  <c r="B92" i="4"/>
  <c r="G93" i="1"/>
  <c r="K109" i="1"/>
  <c r="H60" i="2"/>
  <c r="D113" i="4"/>
  <c r="D123" i="4"/>
  <c r="H74" i="2"/>
  <c r="H123" i="4"/>
  <c r="I123" i="4" s="1"/>
  <c r="G97" i="2"/>
  <c r="L122" i="4"/>
  <c r="M122" i="4" s="1"/>
  <c r="B128" i="2"/>
  <c r="B109" i="1"/>
  <c r="L80" i="4"/>
  <c r="M80" i="4" s="1"/>
  <c r="L100" i="2"/>
  <c r="B49" i="4"/>
  <c r="K81" i="4"/>
  <c r="M81" i="4" s="1"/>
  <c r="H114" i="4"/>
  <c r="K113" i="4"/>
  <c r="D104" i="4"/>
  <c r="H59" i="2"/>
  <c r="G103" i="4"/>
  <c r="K51" i="1"/>
  <c r="H83" i="2"/>
  <c r="B59" i="2"/>
  <c r="L123" i="4"/>
  <c r="G103" i="1"/>
  <c r="G89" i="1"/>
  <c r="D62" i="1"/>
  <c r="D93" i="1"/>
  <c r="K62" i="1"/>
  <c r="B80" i="4"/>
  <c r="G122" i="4"/>
  <c r="O122" i="4" s="1"/>
  <c r="P11" i="3"/>
  <c r="D56" i="2"/>
  <c r="D122" i="4"/>
  <c r="D48" i="4"/>
  <c r="G48" i="4"/>
  <c r="O48" i="4" s="1"/>
  <c r="P16" i="3"/>
  <c r="G75" i="4"/>
  <c r="D115" i="2"/>
  <c r="G129" i="2"/>
  <c r="B114" i="4"/>
  <c r="K86" i="2"/>
  <c r="L31" i="2"/>
  <c r="B30" i="4"/>
  <c r="K31" i="2"/>
  <c r="H31" i="2"/>
  <c r="G31" i="2"/>
  <c r="H30" i="4"/>
  <c r="P30" i="3"/>
  <c r="D31" i="2"/>
  <c r="O30" i="3"/>
  <c r="G27" i="2"/>
  <c r="D27" i="2"/>
  <c r="L27" i="2"/>
  <c r="B27" i="2"/>
  <c r="B26" i="4"/>
  <c r="H27" i="2"/>
  <c r="K26" i="4"/>
  <c r="M26" i="4" s="1"/>
  <c r="G22" i="1"/>
  <c r="D22" i="1"/>
  <c r="K44" i="1"/>
  <c r="G51" i="2"/>
  <c r="B113" i="2"/>
  <c r="L89" i="2"/>
  <c r="A139" i="1"/>
  <c r="L25" i="2"/>
  <c r="B97" i="1"/>
  <c r="L32" i="4"/>
  <c r="A141" i="2"/>
  <c r="B26" i="2"/>
  <c r="D116" i="1"/>
  <c r="K103" i="1"/>
  <c r="D44" i="1"/>
  <c r="D41" i="4"/>
  <c r="H101" i="4"/>
  <c r="K90" i="1"/>
  <c r="H109" i="2"/>
  <c r="B101" i="4"/>
  <c r="A139" i="4"/>
  <c r="K41" i="4"/>
  <c r="B81" i="4"/>
  <c r="D91" i="2"/>
  <c r="A139" i="2"/>
  <c r="B102" i="4"/>
  <c r="B122" i="2"/>
  <c r="L105" i="4"/>
  <c r="K114" i="2"/>
  <c r="L119" i="2"/>
  <c r="L31" i="4"/>
  <c r="G116" i="1"/>
  <c r="G44" i="1"/>
  <c r="K119" i="2"/>
  <c r="B30" i="2"/>
  <c r="G83" i="2"/>
  <c r="H52" i="2"/>
  <c r="B89" i="2"/>
  <c r="A136" i="1"/>
  <c r="L74" i="4"/>
  <c r="L22" i="4"/>
  <c r="G105" i="2"/>
  <c r="H119" i="2"/>
  <c r="H92" i="4"/>
  <c r="P92" i="4" s="1"/>
  <c r="D52" i="2"/>
  <c r="G41" i="4"/>
  <c r="H25" i="2"/>
  <c r="G25" i="2"/>
  <c r="K89" i="2"/>
  <c r="A138" i="4"/>
  <c r="B128" i="4"/>
  <c r="K69" i="4"/>
  <c r="B80" i="2"/>
  <c r="L80" i="2"/>
  <c r="L83" i="2"/>
  <c r="K22" i="4"/>
  <c r="H105" i="2"/>
  <c r="K92" i="4"/>
  <c r="M92" i="4" s="1"/>
  <c r="D51" i="2"/>
  <c r="L51" i="2"/>
  <c r="K83" i="2"/>
  <c r="L30" i="2"/>
  <c r="D102" i="4"/>
  <c r="D101" i="4"/>
  <c r="L50" i="2"/>
  <c r="K113" i="2"/>
  <c r="K78" i="2"/>
  <c r="B124" i="4"/>
  <c r="H30" i="2"/>
  <c r="H41" i="4"/>
  <c r="K109" i="2"/>
  <c r="K30" i="2"/>
  <c r="H102" i="4"/>
  <c r="P102" i="4" s="1"/>
  <c r="B50" i="4"/>
  <c r="B22" i="1"/>
  <c r="D109" i="2"/>
  <c r="G52" i="2"/>
  <c r="B91" i="1"/>
  <c r="D30" i="2"/>
  <c r="B51" i="2"/>
  <c r="H31" i="4"/>
  <c r="G102" i="4"/>
  <c r="B52" i="2"/>
  <c r="K99" i="4"/>
  <c r="K40" i="4"/>
  <c r="B30" i="1"/>
  <c r="K32" i="4"/>
  <c r="O32" i="4" s="1"/>
  <c r="H51" i="2"/>
  <c r="D83" i="2"/>
  <c r="G90" i="1"/>
  <c r="O28" i="3"/>
  <c r="D90" i="1"/>
  <c r="B116" i="1"/>
  <c r="K53" i="1"/>
  <c r="D14" i="4"/>
  <c r="K14" i="1"/>
  <c r="L14" i="4"/>
  <c r="K14" i="2"/>
  <c r="B15" i="4"/>
  <c r="G14" i="1"/>
  <c r="H14" i="4"/>
  <c r="G14" i="4"/>
  <c r="O43" i="6"/>
  <c r="Q43" i="6" s="1"/>
  <c r="T43" i="6"/>
  <c r="O48" i="6"/>
  <c r="Q48" i="6" s="1"/>
  <c r="T48" i="6"/>
  <c r="E82" i="6"/>
  <c r="G83" i="6"/>
  <c r="P93" i="3"/>
  <c r="O119" i="3"/>
  <c r="K28" i="6"/>
  <c r="P104" i="3"/>
  <c r="P57" i="3"/>
  <c r="P118" i="3"/>
  <c r="O129" i="3"/>
  <c r="P123" i="3"/>
  <c r="O97" i="3"/>
  <c r="O118" i="3"/>
  <c r="P28" i="3"/>
  <c r="U13" i="6"/>
  <c r="W13" i="6" s="1"/>
  <c r="K39" i="6"/>
  <c r="U33" i="6"/>
  <c r="W33" i="6" s="1"/>
  <c r="K85" i="6"/>
  <c r="R28" i="6"/>
  <c r="K27" i="6"/>
  <c r="U39" i="6"/>
  <c r="W39" i="6" s="1"/>
  <c r="U17" i="6"/>
  <c r="W17" i="6" s="1"/>
  <c r="K16" i="6"/>
  <c r="K38" i="6"/>
  <c r="U28" i="6"/>
  <c r="W28" i="6" s="1"/>
  <c r="U30" i="6"/>
  <c r="W30" i="6" s="1"/>
  <c r="K30" i="6"/>
  <c r="U22" i="6"/>
  <c r="W22" i="6" s="1"/>
  <c r="P92" i="3"/>
  <c r="K31" i="6"/>
  <c r="K78" i="6"/>
  <c r="O30" i="6"/>
  <c r="Q30" i="6" s="1"/>
  <c r="U27" i="6"/>
  <c r="W27" i="6" s="1"/>
  <c r="U78" i="6"/>
  <c r="W78" i="6" s="1"/>
  <c r="K17" i="6"/>
  <c r="U31" i="6"/>
  <c r="W31" i="6" s="1"/>
  <c r="R31" i="6"/>
  <c r="R39" i="6"/>
  <c r="K22" i="6"/>
  <c r="U10" i="6"/>
  <c r="W10" i="6" s="1"/>
  <c r="K10" i="6"/>
  <c r="P125" i="3"/>
  <c r="K84" i="6"/>
  <c r="K33" i="6"/>
  <c r="P53" i="3"/>
  <c r="O13" i="6"/>
  <c r="Q13" i="6" s="1"/>
  <c r="P63" i="3"/>
  <c r="P82" i="3"/>
  <c r="P14" i="3"/>
  <c r="R46" i="6"/>
  <c r="R44" i="6"/>
  <c r="R65" i="6"/>
  <c r="R16" i="6"/>
  <c r="R10" i="6"/>
  <c r="R64" i="6"/>
  <c r="R41" i="6"/>
  <c r="R63" i="6"/>
  <c r="R24" i="6"/>
  <c r="R42" i="6"/>
  <c r="R71" i="6"/>
  <c r="R69" i="6"/>
  <c r="R68" i="6"/>
  <c r="R33" i="6"/>
  <c r="R19" i="6"/>
  <c r="R67" i="6"/>
  <c r="P94" i="3"/>
  <c r="O78" i="3"/>
  <c r="P113" i="3"/>
  <c r="P29" i="3"/>
  <c r="O48" i="3"/>
  <c r="P83" i="3"/>
  <c r="O14" i="3"/>
  <c r="P64" i="3"/>
  <c r="P103" i="3"/>
  <c r="P130" i="3"/>
  <c r="O104" i="3"/>
  <c r="P106" i="3"/>
  <c r="P40" i="3"/>
  <c r="O103" i="3"/>
  <c r="P77" i="3"/>
  <c r="P54" i="3"/>
  <c r="O90" i="3"/>
  <c r="P129" i="3"/>
  <c r="P102" i="3"/>
  <c r="O29" i="3"/>
  <c r="P13" i="3"/>
  <c r="O53" i="3"/>
  <c r="P97" i="3"/>
  <c r="O66" i="6"/>
  <c r="Q66" i="6" s="1"/>
  <c r="O50" i="3"/>
  <c r="O1" i="2"/>
  <c r="G27" i="4"/>
  <c r="O27" i="4" s="1"/>
  <c r="H118" i="2"/>
  <c r="L91" i="4"/>
  <c r="M91" i="4" s="1"/>
  <c r="K56" i="2"/>
  <c r="B115" i="1"/>
  <c r="H56" i="2"/>
  <c r="H92" i="2"/>
  <c r="B56" i="2"/>
  <c r="K92" i="2"/>
  <c r="B93" i="4"/>
  <c r="K15" i="4"/>
  <c r="L118" i="4"/>
  <c r="P118" i="4" s="1"/>
  <c r="B118" i="2"/>
  <c r="L92" i="2"/>
  <c r="H27" i="4"/>
  <c r="G35" i="2"/>
  <c r="G115" i="1"/>
  <c r="H115" i="2"/>
  <c r="B35" i="2"/>
  <c r="L56" i="2"/>
  <c r="B27" i="1"/>
  <c r="B115" i="2"/>
  <c r="G35" i="4"/>
  <c r="I35" i="4" s="1"/>
  <c r="L115" i="2"/>
  <c r="B91" i="4"/>
  <c r="H91" i="4"/>
  <c r="D92" i="2"/>
  <c r="L27" i="4"/>
  <c r="M27" i="4" s="1"/>
  <c r="R55" i="6"/>
  <c r="O115" i="3"/>
  <c r="P75" i="3"/>
  <c r="O11" i="3"/>
  <c r="P31" i="3"/>
  <c r="P61" i="3"/>
  <c r="P25" i="3"/>
  <c r="P50" i="3"/>
  <c r="P90" i="3"/>
  <c r="P110" i="3"/>
  <c r="P80" i="3"/>
  <c r="R74" i="6"/>
  <c r="A130" i="1"/>
  <c r="A140" i="2"/>
  <c r="K44" i="2"/>
  <c r="L128" i="2"/>
  <c r="B48" i="1"/>
  <c r="B82" i="1"/>
  <c r="B121" i="1"/>
  <c r="K98" i="4"/>
  <c r="M98" i="4" s="1"/>
  <c r="K61" i="4"/>
  <c r="L108" i="4"/>
  <c r="K96" i="2"/>
  <c r="L103" i="2"/>
  <c r="K103" i="2"/>
  <c r="A135" i="1"/>
  <c r="L102" i="2"/>
  <c r="L51" i="4"/>
  <c r="A138" i="1"/>
  <c r="B75" i="4"/>
  <c r="H104" i="4"/>
  <c r="K116" i="4"/>
  <c r="K31" i="4"/>
  <c r="D35" i="4"/>
  <c r="L53" i="4"/>
  <c r="H93" i="2"/>
  <c r="B92" i="1"/>
  <c r="B16" i="2"/>
  <c r="B15" i="2"/>
  <c r="K103" i="4"/>
  <c r="L115" i="4"/>
  <c r="P115" i="4" s="1"/>
  <c r="E119" i="2"/>
  <c r="L35" i="2"/>
  <c r="B35" i="4"/>
  <c r="K92" i="1"/>
  <c r="G29" i="1"/>
  <c r="H82" i="2"/>
  <c r="K121" i="1"/>
  <c r="H97" i="4"/>
  <c r="H39" i="4"/>
  <c r="K97" i="4"/>
  <c r="L26" i="2"/>
  <c r="L15" i="2"/>
  <c r="H103" i="2"/>
  <c r="K117" i="1"/>
  <c r="L114" i="4"/>
  <c r="D119" i="2"/>
  <c r="K35" i="2"/>
  <c r="K56" i="4"/>
  <c r="L93" i="2"/>
  <c r="B75" i="2"/>
  <c r="K97" i="2"/>
  <c r="B61" i="4"/>
  <c r="G103" i="2"/>
  <c r="B105" i="4"/>
  <c r="B118" i="4"/>
  <c r="G119" i="2"/>
  <c r="G53" i="2"/>
  <c r="B56" i="4"/>
  <c r="H93" i="4"/>
  <c r="P93" i="4" s="1"/>
  <c r="K82" i="2"/>
  <c r="K12" i="2"/>
  <c r="L97" i="2"/>
  <c r="B79" i="4"/>
  <c r="K39" i="4"/>
  <c r="K124" i="2"/>
  <c r="B103" i="2"/>
  <c r="L116" i="4"/>
  <c r="H35" i="2"/>
  <c r="G86" i="1"/>
  <c r="G82" i="1"/>
  <c r="D96" i="2"/>
  <c r="G48" i="1"/>
  <c r="O15" i="2"/>
  <c r="H128" i="2"/>
  <c r="D48" i="1"/>
  <c r="D108" i="4"/>
  <c r="G110" i="2"/>
  <c r="G98" i="2"/>
  <c r="H75" i="2"/>
  <c r="H61" i="4"/>
  <c r="G44" i="2"/>
  <c r="B44" i="2"/>
  <c r="L109" i="2"/>
  <c r="K102" i="4"/>
  <c r="L101" i="4"/>
  <c r="B78" i="4"/>
  <c r="A136" i="2"/>
  <c r="B62" i="2"/>
  <c r="K79" i="4"/>
  <c r="L112" i="4"/>
  <c r="B96" i="2"/>
  <c r="B104" i="4"/>
  <c r="K104" i="4"/>
  <c r="H117" i="2"/>
  <c r="K115" i="4"/>
  <c r="B91" i="2"/>
  <c r="K93" i="4"/>
  <c r="M93" i="4" s="1"/>
  <c r="L96" i="2"/>
  <c r="G91" i="2"/>
  <c r="B98" i="4"/>
  <c r="G98" i="4"/>
  <c r="G108" i="4"/>
  <c r="D75" i="4"/>
  <c r="D13" i="2"/>
  <c r="D110" i="2"/>
  <c r="G12" i="2"/>
  <c r="H75" i="4"/>
  <c r="P75" i="4" s="1"/>
  <c r="K29" i="1"/>
  <c r="G111" i="2"/>
  <c r="K110" i="2"/>
  <c r="L111" i="2"/>
  <c r="A132" i="4"/>
  <c r="K50" i="4"/>
  <c r="O50" i="4" s="1"/>
  <c r="A137" i="2"/>
  <c r="B63" i="2"/>
  <c r="B111" i="4"/>
  <c r="H116" i="4"/>
  <c r="H91" i="2"/>
  <c r="H16" i="2"/>
  <c r="K108" i="4"/>
  <c r="D82" i="1"/>
  <c r="H96" i="2"/>
  <c r="K13" i="2"/>
  <c r="H13" i="2"/>
  <c r="D128" i="2"/>
  <c r="H108" i="4"/>
  <c r="D98" i="4"/>
  <c r="H15" i="2"/>
  <c r="G109" i="2"/>
  <c r="L110" i="2"/>
  <c r="K91" i="2"/>
  <c r="K40" i="2"/>
  <c r="B53" i="2"/>
  <c r="B40" i="2"/>
  <c r="L117" i="2"/>
  <c r="K118" i="4"/>
  <c r="B32" i="4"/>
  <c r="B86" i="1"/>
  <c r="B92" i="2"/>
  <c r="G61" i="4"/>
  <c r="H44" i="2"/>
  <c r="D44" i="2"/>
  <c r="L61" i="4"/>
  <c r="L13" i="2"/>
  <c r="K128" i="2"/>
  <c r="B123" i="2"/>
  <c r="L82" i="2"/>
  <c r="L52" i="2"/>
  <c r="L41" i="4"/>
  <c r="L50" i="4"/>
  <c r="G117" i="2"/>
  <c r="L30" i="4"/>
  <c r="L35" i="4"/>
  <c r="P35" i="4" s="1"/>
  <c r="H32" i="4"/>
  <c r="I32" i="4" s="1"/>
  <c r="K16" i="2"/>
  <c r="G16" i="2"/>
  <c r="G121" i="1"/>
  <c r="G51" i="4"/>
  <c r="H110" i="2"/>
  <c r="K98" i="1"/>
  <c r="B117" i="2"/>
  <c r="K35" i="4"/>
  <c r="AA12" i="5"/>
  <c r="AA10" i="5"/>
  <c r="AA582" i="5"/>
  <c r="AA133" i="5"/>
  <c r="P109" i="3"/>
  <c r="P60" i="3"/>
  <c r="P49" i="3"/>
  <c r="P79" i="3"/>
  <c r="P39" i="3"/>
  <c r="P99" i="3"/>
  <c r="D69" i="2"/>
  <c r="D69" i="4"/>
  <c r="B69" i="4"/>
  <c r="K69" i="2"/>
  <c r="B69" i="2"/>
  <c r="O52" i="3"/>
  <c r="O12" i="3"/>
  <c r="P124" i="3"/>
  <c r="O22" i="6"/>
  <c r="Q22" i="6" s="1"/>
  <c r="P119" i="3"/>
  <c r="O91" i="4"/>
  <c r="K378" i="9"/>
  <c r="AA552" i="5"/>
  <c r="AA487" i="5"/>
  <c r="P116" i="3"/>
  <c r="I64" i="3"/>
  <c r="I101" i="3"/>
  <c r="R53" i="6"/>
  <c r="O1" i="1"/>
  <c r="G2" i="4"/>
  <c r="G2" i="2"/>
  <c r="AA11" i="5"/>
  <c r="R77" i="6"/>
  <c r="I105" i="3"/>
  <c r="R14" i="6"/>
  <c r="AA486" i="5"/>
  <c r="AA555" i="5"/>
  <c r="K540" i="9"/>
  <c r="K172" i="9"/>
  <c r="P41" i="3"/>
  <c r="O54" i="3"/>
  <c r="AA583" i="5"/>
  <c r="AA553" i="5"/>
  <c r="AA388" i="5"/>
  <c r="K89" i="9"/>
  <c r="AA598" i="5"/>
  <c r="O99" i="3"/>
  <c r="AA584" i="5"/>
  <c r="AA554" i="5"/>
  <c r="AA497" i="5"/>
  <c r="AA489" i="5"/>
  <c r="AA389" i="5"/>
  <c r="P10" i="3"/>
  <c r="O49" i="3"/>
  <c r="P114" i="3"/>
  <c r="O60" i="3"/>
  <c r="K67" i="9"/>
  <c r="K568" i="9"/>
  <c r="P78" i="3"/>
  <c r="P48" i="3"/>
  <c r="O51" i="3"/>
  <c r="K60" i="9"/>
  <c r="K61" i="9"/>
  <c r="K158" i="9"/>
  <c r="P76" i="3"/>
  <c r="P15" i="3"/>
  <c r="P76" i="2"/>
  <c r="K104" i="9"/>
  <c r="O62" i="3"/>
  <c r="K52" i="9"/>
  <c r="AA586" i="5"/>
  <c r="AA557" i="5"/>
  <c r="AA547" i="5"/>
  <c r="AA424" i="5"/>
  <c r="M54" i="3"/>
  <c r="AA585" i="5"/>
  <c r="AA498" i="5"/>
  <c r="AA490" i="5"/>
  <c r="AA423" i="5"/>
  <c r="AA19" i="5"/>
  <c r="K429" i="9"/>
  <c r="K330" i="9"/>
  <c r="K90" i="9"/>
  <c r="K370" i="9"/>
  <c r="R11" i="6"/>
  <c r="O120" i="3"/>
  <c r="K231" i="9"/>
  <c r="K457" i="9"/>
  <c r="O27" i="3"/>
  <c r="AA313" i="5"/>
  <c r="AA17" i="5"/>
  <c r="AA474" i="5"/>
  <c r="AA418" i="5"/>
  <c r="AA537" i="5"/>
  <c r="AA576" i="5"/>
  <c r="AA378" i="5"/>
  <c r="AA314" i="5"/>
  <c r="AA562" i="5"/>
  <c r="AA267" i="5"/>
  <c r="AA221" i="5"/>
  <c r="AA279" i="5"/>
  <c r="AA400" i="5"/>
  <c r="M117" i="3"/>
  <c r="K70" i="9"/>
  <c r="K216" i="9"/>
  <c r="K310" i="9"/>
  <c r="K421" i="9"/>
  <c r="AA446" i="5"/>
  <c r="AA249" i="5"/>
  <c r="AA401" i="5"/>
  <c r="AA564" i="5"/>
  <c r="AA390" i="5"/>
  <c r="AA457" i="5"/>
  <c r="E96" i="2" s="1"/>
  <c r="AA452" i="5"/>
  <c r="AA546" i="5"/>
  <c r="AA315" i="5"/>
  <c r="P85" i="3"/>
  <c r="M11" i="3"/>
  <c r="M31" i="3"/>
  <c r="K558" i="9"/>
  <c r="K74" i="9"/>
  <c r="K480" i="9"/>
  <c r="M30" i="3"/>
  <c r="AA9" i="5"/>
  <c r="AA429" i="5"/>
  <c r="P100" i="3"/>
  <c r="M75" i="3"/>
  <c r="M130" i="3"/>
  <c r="M93" i="3"/>
  <c r="AA245" i="5"/>
  <c r="AA38" i="5"/>
  <c r="AA280" i="5"/>
  <c r="AA330" i="5"/>
  <c r="AA395" i="5"/>
  <c r="AA336" i="5"/>
  <c r="AA136" i="5"/>
  <c r="AA112" i="5"/>
  <c r="AA419" i="5"/>
  <c r="AA144" i="5"/>
  <c r="AA276" i="5"/>
  <c r="AA467" i="5"/>
  <c r="AA275" i="5"/>
  <c r="AA102" i="5"/>
  <c r="AA256" i="5"/>
  <c r="AA343" i="5"/>
  <c r="AA526" i="5"/>
  <c r="AA482" i="5"/>
  <c r="AA532" i="5"/>
  <c r="AA157" i="5"/>
  <c r="M49" i="3"/>
  <c r="M60" i="3"/>
  <c r="M109" i="3"/>
  <c r="K440" i="9"/>
  <c r="K27" i="9"/>
  <c r="K22" i="9"/>
  <c r="K94" i="9"/>
  <c r="K430" i="9"/>
  <c r="K379" i="9"/>
  <c r="K400" i="9"/>
  <c r="K551" i="9"/>
  <c r="K435" i="9"/>
  <c r="K406" i="9"/>
  <c r="K238" i="9"/>
  <c r="K313" i="9"/>
  <c r="K199" i="9"/>
  <c r="K174" i="9"/>
  <c r="K53" i="9"/>
  <c r="K515" i="9"/>
  <c r="K118" i="9"/>
  <c r="K386" i="9"/>
  <c r="K66" i="9"/>
  <c r="P42" i="3"/>
  <c r="K566" i="9"/>
  <c r="K451" i="9"/>
  <c r="AA288" i="5"/>
  <c r="AA443" i="5"/>
  <c r="AA142" i="5"/>
  <c r="P51" i="3"/>
  <c r="K44" i="9"/>
  <c r="K234" i="9"/>
  <c r="P81" i="3"/>
  <c r="K505" i="9"/>
  <c r="AA469" i="5"/>
  <c r="AA239" i="5"/>
  <c r="P101" i="3"/>
  <c r="P111" i="3"/>
  <c r="K4" i="9"/>
  <c r="K570" i="9"/>
  <c r="K350" i="9"/>
  <c r="AA480" i="5"/>
  <c r="AA273" i="5"/>
  <c r="AA72" i="5"/>
  <c r="AA231" i="5"/>
  <c r="O15" i="3"/>
  <c r="AA295" i="5"/>
  <c r="P91" i="3"/>
  <c r="O114" i="3"/>
  <c r="AA475" i="5"/>
  <c r="I13" i="3"/>
  <c r="AA134" i="5"/>
  <c r="I80" i="3"/>
  <c r="O76" i="3"/>
  <c r="AA25" i="5"/>
  <c r="AA386" i="5"/>
  <c r="AA472" i="5"/>
  <c r="AA167" i="5"/>
  <c r="AA100" i="5"/>
  <c r="P128" i="3"/>
  <c r="AA589" i="5"/>
  <c r="AA579" i="5"/>
  <c r="AA484" i="5"/>
  <c r="AA55" i="5"/>
  <c r="AA250" i="5"/>
  <c r="AA201" i="5"/>
  <c r="AA406" i="5"/>
  <c r="AA20" i="5"/>
  <c r="AA459" i="5"/>
  <c r="AA473" i="5"/>
  <c r="AA501" i="5"/>
  <c r="AA368" i="5"/>
  <c r="AA174" i="5"/>
  <c r="AA535" i="5"/>
  <c r="AA248" i="5"/>
  <c r="AA518" i="5"/>
  <c r="AA387" i="5"/>
  <c r="AA277" i="5"/>
  <c r="K25" i="9"/>
  <c r="AA543" i="5"/>
  <c r="AA558" i="5"/>
  <c r="I62" i="3"/>
  <c r="M61" i="3"/>
  <c r="M80" i="3"/>
  <c r="M118" i="3"/>
  <c r="M120" i="3"/>
  <c r="P87" i="3"/>
  <c r="AA369" i="5"/>
  <c r="AA263" i="5"/>
  <c r="K7" i="6"/>
  <c r="H7" i="6" s="1"/>
  <c r="AA282" i="5"/>
  <c r="AA319" i="5"/>
  <c r="AA150" i="5"/>
  <c r="AA454" i="5"/>
  <c r="AA325" i="5"/>
  <c r="M116" i="3"/>
  <c r="M87" i="3"/>
  <c r="AA481" i="5"/>
  <c r="AA31" i="5"/>
  <c r="P27" i="3"/>
  <c r="AA210" i="5"/>
  <c r="AA164" i="5"/>
  <c r="AA253" i="5"/>
  <c r="AA183" i="5"/>
  <c r="K29" i="9"/>
  <c r="M14" i="3"/>
  <c r="R75" i="6"/>
  <c r="K324" i="9"/>
  <c r="K180" i="9"/>
  <c r="K546" i="9"/>
  <c r="M39" i="3"/>
  <c r="K59" i="3"/>
  <c r="M85" i="3"/>
  <c r="M99" i="3"/>
  <c r="M26" i="3"/>
  <c r="M104" i="3"/>
  <c r="AA357" i="5"/>
  <c r="K15" i="9"/>
  <c r="I91" i="3"/>
  <c r="AA242" i="5"/>
  <c r="AA66" i="5"/>
  <c r="AA534" i="5"/>
  <c r="AA58" i="5"/>
  <c r="AA471" i="5"/>
  <c r="AA166" i="5"/>
  <c r="AA130" i="5"/>
  <c r="AA341" i="5"/>
  <c r="AA517" i="5"/>
  <c r="AA312" i="5"/>
  <c r="AA32" i="5"/>
  <c r="AA151" i="5"/>
  <c r="AA505" i="5"/>
  <c r="AA420" i="5"/>
  <c r="AA113" i="5"/>
  <c r="AA37" i="5"/>
  <c r="AA310" i="5"/>
  <c r="AA158" i="5"/>
  <c r="AA24" i="5"/>
  <c r="AA122" i="5"/>
  <c r="AA78" i="5"/>
  <c r="AA141" i="5"/>
  <c r="AA76" i="5"/>
  <c r="AA200" i="5"/>
  <c r="AA509" i="5"/>
  <c r="AA305" i="5"/>
  <c r="AA476" i="5"/>
  <c r="AA233" i="5"/>
  <c r="AA238" i="5"/>
  <c r="AA371" i="5"/>
  <c r="AA243" i="5"/>
  <c r="AA179" i="5"/>
  <c r="AA261" i="5"/>
  <c r="AA594" i="5"/>
  <c r="K18" i="9"/>
  <c r="K470" i="9"/>
  <c r="M53" i="3"/>
  <c r="M64" i="3"/>
  <c r="M98" i="3"/>
  <c r="AA413" i="5"/>
  <c r="AA318" i="5"/>
  <c r="AA143" i="5"/>
  <c r="I83" i="3"/>
  <c r="AA519" i="5"/>
  <c r="AA381" i="5"/>
  <c r="AA97" i="5"/>
  <c r="AA436" i="5"/>
  <c r="AA352" i="5"/>
  <c r="AA152" i="5"/>
  <c r="AA311" i="5"/>
  <c r="AA450" i="5"/>
  <c r="AA62" i="5"/>
  <c r="AA432" i="5"/>
  <c r="AA447" i="5"/>
  <c r="AA235" i="5"/>
  <c r="K19" i="6"/>
  <c r="M51" i="3"/>
  <c r="K127" i="3"/>
  <c r="K240" i="9"/>
  <c r="K157" i="9"/>
  <c r="K562" i="9"/>
  <c r="K176" i="9"/>
  <c r="K220" i="9"/>
  <c r="M27" i="3"/>
  <c r="M42" i="3"/>
  <c r="M81" i="3"/>
  <c r="M101" i="3"/>
  <c r="M128" i="3"/>
  <c r="AA463" i="5"/>
  <c r="I16" i="3"/>
  <c r="AA186" i="5"/>
  <c r="AA65" i="5"/>
  <c r="AA264" i="5"/>
  <c r="AA260" i="5"/>
  <c r="AA51" i="5"/>
  <c r="AA499" i="5"/>
  <c r="AA332" i="5"/>
  <c r="AA370" i="5"/>
  <c r="AA306" i="5"/>
  <c r="AA56" i="5"/>
  <c r="AA478" i="5"/>
  <c r="AA409" i="5"/>
  <c r="AA215" i="5"/>
  <c r="AA398" i="5"/>
  <c r="AA196" i="5"/>
  <c r="AA40" i="5"/>
  <c r="AA74" i="5"/>
  <c r="AA159" i="5"/>
  <c r="AA433" i="5"/>
  <c r="H68" i="6"/>
  <c r="J68" i="6" s="1"/>
  <c r="D127" i="3"/>
  <c r="H69" i="6"/>
  <c r="J69" i="6" s="1"/>
  <c r="K12" i="9"/>
  <c r="K553" i="9"/>
  <c r="K298" i="9"/>
  <c r="K464" i="9"/>
  <c r="M79" i="3"/>
  <c r="AA544" i="5"/>
  <c r="K239" i="9"/>
  <c r="M105" i="3"/>
  <c r="AA531" i="5"/>
  <c r="AA394" i="5"/>
  <c r="AA259" i="5"/>
  <c r="AA536" i="5"/>
  <c r="M12" i="3"/>
  <c r="M28" i="3"/>
  <c r="K74" i="3"/>
  <c r="M82" i="3"/>
  <c r="M124" i="3"/>
  <c r="AA462" i="5"/>
  <c r="AA333" i="5"/>
  <c r="E57" i="6"/>
  <c r="G57" i="6" s="1"/>
  <c r="AA412" i="5"/>
  <c r="AA30" i="5"/>
  <c r="AA361" i="5"/>
  <c r="AA169" i="5"/>
  <c r="AA104" i="5"/>
  <c r="AA520" i="5"/>
  <c r="AA296" i="5"/>
  <c r="AA224" i="5"/>
  <c r="AA160" i="5"/>
  <c r="AA574" i="5"/>
  <c r="AA451" i="5"/>
  <c r="AA70" i="5"/>
  <c r="AA372" i="5"/>
  <c r="AA292" i="5"/>
  <c r="AA399" i="5"/>
  <c r="I50" i="3"/>
  <c r="K528" i="9"/>
  <c r="H43" i="6"/>
  <c r="J43" i="6" s="1"/>
  <c r="M13" i="3"/>
  <c r="AA587" i="5"/>
  <c r="AA392" i="5"/>
  <c r="AA503" i="5"/>
  <c r="AA36" i="5"/>
  <c r="AA154" i="5"/>
  <c r="AA521" i="5"/>
  <c r="AA353" i="5"/>
  <c r="AA593" i="5"/>
  <c r="AA247" i="5"/>
  <c r="AA591" i="5"/>
  <c r="K74" i="6"/>
  <c r="D9" i="3"/>
  <c r="K43" i="9"/>
  <c r="M103" i="3"/>
  <c r="M113" i="3"/>
  <c r="M94" i="3"/>
  <c r="I110" i="3"/>
  <c r="AA577" i="5"/>
  <c r="AA404" i="5"/>
  <c r="AA22" i="5"/>
  <c r="AA411" i="5"/>
  <c r="AA538" i="5"/>
  <c r="AA363" i="5"/>
  <c r="AA126" i="5"/>
  <c r="AA460" i="5"/>
  <c r="AA391" i="5"/>
  <c r="D89" i="3"/>
  <c r="AA540" i="5"/>
  <c r="E118" i="2" s="1"/>
  <c r="AA571" i="5"/>
  <c r="AA397" i="5"/>
  <c r="AA570" i="5"/>
  <c r="AA202" i="5"/>
  <c r="AA146" i="5"/>
  <c r="AA513" i="5"/>
  <c r="AA217" i="5"/>
  <c r="AA344" i="5"/>
  <c r="AA79" i="5"/>
  <c r="AA303" i="5"/>
  <c r="AA286" i="5"/>
  <c r="AA54" i="5"/>
  <c r="AA348" i="5"/>
  <c r="AA212" i="5"/>
  <c r="AA156" i="5"/>
  <c r="AA431" i="5"/>
  <c r="AA227" i="5"/>
  <c r="AA163" i="5"/>
  <c r="AA118" i="5"/>
  <c r="AA35" i="5"/>
  <c r="AA456" i="5"/>
  <c r="AA373" i="5"/>
  <c r="AA309" i="5"/>
  <c r="AA181" i="5"/>
  <c r="K288" i="9"/>
  <c r="M48" i="3"/>
  <c r="M78" i="3"/>
  <c r="H1" i="9"/>
  <c r="M22" i="3"/>
  <c r="M115" i="3"/>
  <c r="R8" i="6"/>
  <c r="K146" i="9"/>
  <c r="K393" i="9"/>
  <c r="K297" i="9"/>
  <c r="K363" i="9"/>
  <c r="K159" i="9"/>
  <c r="K155" i="9"/>
  <c r="K289" i="9"/>
  <c r="K565" i="9"/>
  <c r="K256" i="9"/>
  <c r="K301" i="9"/>
  <c r="K56" i="9"/>
  <c r="K548" i="9"/>
  <c r="K80" i="9"/>
  <c r="K222" i="9"/>
  <c r="K472" i="9"/>
  <c r="K10" i="9"/>
  <c r="K380" i="9"/>
  <c r="K411" i="9"/>
  <c r="K130" i="9"/>
  <c r="K23" i="9"/>
  <c r="K446" i="9"/>
  <c r="K79" i="9"/>
  <c r="K110" i="9"/>
  <c r="R20" i="6"/>
  <c r="AA528" i="5"/>
  <c r="AA507" i="5"/>
  <c r="AA439" i="5"/>
  <c r="AA194" i="5"/>
  <c r="AA88" i="5"/>
  <c r="AA580" i="5"/>
  <c r="AA87" i="5"/>
  <c r="AA561" i="5"/>
  <c r="AA375" i="5"/>
  <c r="AA366" i="5"/>
  <c r="AA539" i="5"/>
  <c r="AA172" i="5"/>
  <c r="AA39" i="5"/>
  <c r="AA468" i="5"/>
  <c r="AA197" i="5"/>
  <c r="D47" i="3"/>
  <c r="AA575" i="5"/>
  <c r="K28" i="9"/>
  <c r="K91" i="9"/>
  <c r="K171" i="9"/>
  <c r="K520" i="9"/>
  <c r="K479" i="9"/>
  <c r="AA107" i="5"/>
  <c r="AA73" i="5"/>
  <c r="AA581" i="5"/>
  <c r="AA80" i="5"/>
  <c r="AA208" i="5"/>
  <c r="AA542" i="5"/>
  <c r="AA367" i="5"/>
  <c r="AA284" i="5"/>
  <c r="D122" i="3"/>
  <c r="D96" i="3"/>
  <c r="D74" i="3"/>
  <c r="K475" i="9"/>
  <c r="K165" i="9"/>
  <c r="K149" i="9"/>
  <c r="K137" i="9"/>
  <c r="K488" i="9"/>
  <c r="M112" i="3"/>
  <c r="M129" i="3"/>
  <c r="AA8" i="5"/>
  <c r="AA75" i="5"/>
  <c r="AA595" i="5"/>
  <c r="AA522" i="5"/>
  <c r="AA438" i="5"/>
  <c r="AA362" i="5"/>
  <c r="AA298" i="5"/>
  <c r="AA170" i="5"/>
  <c r="AA121" i="5"/>
  <c r="AA464" i="5"/>
  <c r="AA257" i="5"/>
  <c r="AA193" i="5"/>
  <c r="AA57" i="5"/>
  <c r="AA568" i="5"/>
  <c r="AA328" i="5"/>
  <c r="AA192" i="5"/>
  <c r="AA127" i="5"/>
  <c r="AA351" i="5"/>
  <c r="AA223" i="5"/>
  <c r="AA541" i="5"/>
  <c r="AA416" i="5"/>
  <c r="AA342" i="5"/>
  <c r="AA278" i="5"/>
  <c r="AA340" i="5"/>
  <c r="AA268" i="5"/>
  <c r="AA515" i="5"/>
  <c r="AA347" i="5"/>
  <c r="AA219" i="5"/>
  <c r="AA155" i="5"/>
  <c r="AA175" i="5"/>
  <c r="AA110" i="5"/>
  <c r="AA449" i="5"/>
  <c r="AA237" i="5"/>
  <c r="AA173" i="5"/>
  <c r="AA41" i="5"/>
  <c r="D24" i="3"/>
  <c r="K21" i="9"/>
  <c r="AA527" i="5"/>
  <c r="AA548" i="5"/>
  <c r="AA514" i="5"/>
  <c r="AA185" i="5"/>
  <c r="AA320" i="5"/>
  <c r="AA334" i="5"/>
  <c r="AA14" i="5"/>
  <c r="AA324" i="5"/>
  <c r="AA147" i="5"/>
  <c r="AA560" i="5"/>
  <c r="AA165" i="5"/>
  <c r="E80" i="6"/>
  <c r="G80" i="6" s="1"/>
  <c r="K17" i="9"/>
  <c r="K214" i="9"/>
  <c r="K375" i="9"/>
  <c r="K397" i="9"/>
  <c r="K194" i="9"/>
  <c r="L37" i="2"/>
  <c r="AA461" i="5"/>
  <c r="AA565" i="5"/>
  <c r="E122" i="2" s="1"/>
  <c r="I92" i="3"/>
  <c r="AA506" i="5"/>
  <c r="AA218" i="5"/>
  <c r="AA105" i="5"/>
  <c r="AA176" i="5"/>
  <c r="AA190" i="5"/>
  <c r="AA572" i="5"/>
  <c r="AA485" i="5"/>
  <c r="AA131" i="5"/>
  <c r="AA139" i="5"/>
  <c r="K441" i="9"/>
  <c r="K481" i="9"/>
  <c r="K361" i="9"/>
  <c r="K473" i="9"/>
  <c r="K366" i="9"/>
  <c r="K114" i="9"/>
  <c r="K485" i="9"/>
  <c r="AA29" i="5"/>
  <c r="AA168" i="5"/>
  <c r="AA195" i="5"/>
  <c r="K62" i="9"/>
  <c r="I85" i="3"/>
  <c r="AA338" i="5"/>
  <c r="AA297" i="5"/>
  <c r="AA213" i="5"/>
  <c r="AA573" i="5"/>
  <c r="AA396" i="5"/>
  <c r="AA266" i="5"/>
  <c r="AA289" i="5"/>
  <c r="AA383" i="5"/>
  <c r="AA246" i="5"/>
  <c r="AA236" i="5"/>
  <c r="AA115" i="5"/>
  <c r="AA379" i="5"/>
  <c r="AA251" i="5"/>
  <c r="AA205" i="5"/>
  <c r="K66" i="6"/>
  <c r="M66" i="6" s="1"/>
  <c r="D108" i="3"/>
  <c r="D59" i="3"/>
  <c r="K425" i="9"/>
  <c r="P120" i="3"/>
  <c r="P36" i="3"/>
  <c r="M52" i="3"/>
  <c r="M63" i="3"/>
  <c r="M102" i="3"/>
  <c r="M41" i="3"/>
  <c r="M106" i="3"/>
  <c r="M36" i="3"/>
  <c r="AA597" i="5"/>
  <c r="R2" i="5"/>
  <c r="M92" i="3"/>
  <c r="L122" i="3"/>
  <c r="M16" i="3"/>
  <c r="M119" i="3"/>
  <c r="M29" i="3"/>
  <c r="M83" i="3"/>
  <c r="M97" i="3"/>
  <c r="M84" i="3"/>
  <c r="AA588" i="5"/>
  <c r="AA559" i="5"/>
  <c r="AA425" i="5"/>
  <c r="K26" i="9"/>
  <c r="K513" i="9"/>
  <c r="K20" i="9"/>
  <c r="K38" i="9"/>
  <c r="K37" i="9"/>
  <c r="K434" i="9"/>
  <c r="K188" i="9"/>
  <c r="K433" i="9"/>
  <c r="K332" i="9"/>
  <c r="K269" i="9"/>
  <c r="K285" i="9"/>
  <c r="K3" i="9"/>
  <c r="K228" i="9"/>
  <c r="K57" i="9"/>
  <c r="M15" i="3"/>
  <c r="L59" i="3"/>
  <c r="M76" i="3"/>
  <c r="M114" i="3"/>
  <c r="M57" i="3"/>
  <c r="AA7" i="5"/>
  <c r="AA523" i="5"/>
  <c r="O64" i="3"/>
  <c r="AA458" i="5"/>
  <c r="AA161" i="5"/>
  <c r="AA96" i="5"/>
  <c r="AA384" i="5"/>
  <c r="AA592" i="5"/>
  <c r="AA470" i="5"/>
  <c r="AA271" i="5"/>
  <c r="AA262" i="5"/>
  <c r="AA316" i="5"/>
  <c r="AA252" i="5"/>
  <c r="AA405" i="5"/>
  <c r="AA203" i="5"/>
  <c r="K55" i="6"/>
  <c r="D38" i="3"/>
  <c r="K14" i="9"/>
  <c r="I48" i="3"/>
  <c r="AA403" i="5"/>
  <c r="AA153" i="5"/>
  <c r="AA95" i="5"/>
  <c r="AA199" i="5"/>
  <c r="AA382" i="5"/>
  <c r="AA254" i="5"/>
  <c r="AA85" i="5"/>
  <c r="AA308" i="5"/>
  <c r="I76" i="2"/>
  <c r="K32" i="9"/>
  <c r="AA530" i="5"/>
  <c r="AA145" i="5"/>
  <c r="AA380" i="5"/>
  <c r="AA300" i="5"/>
  <c r="AA180" i="5"/>
  <c r="K64" i="6"/>
  <c r="L2" i="5"/>
  <c r="C7" i="12" s="1"/>
  <c r="AA99" i="5"/>
  <c r="AA69" i="5"/>
  <c r="I94" i="3"/>
  <c r="AA376" i="5"/>
  <c r="AA222" i="5"/>
  <c r="AA290" i="5"/>
  <c r="AA435" i="5"/>
  <c r="AA294" i="5"/>
  <c r="AA230" i="5"/>
  <c r="AA364" i="5"/>
  <c r="AA91" i="5"/>
  <c r="AA299" i="5"/>
  <c r="AA63" i="5"/>
  <c r="K514" i="9"/>
  <c r="K519" i="9"/>
  <c r="AA525" i="5"/>
  <c r="AA437" i="5"/>
  <c r="AA479" i="5"/>
  <c r="AA566" i="5"/>
  <c r="AA442" i="5"/>
  <c r="AA516" i="5"/>
  <c r="AA98" i="5"/>
  <c r="K42" i="6"/>
  <c r="I82" i="3"/>
  <c r="AA283" i="5"/>
  <c r="K44" i="6"/>
  <c r="K14" i="6"/>
  <c r="M14" i="6" s="1"/>
  <c r="K83" i="6"/>
  <c r="M83" i="6" s="1"/>
  <c r="K16" i="9"/>
  <c r="K360" i="9"/>
  <c r="K484" i="9"/>
  <c r="K24" i="9"/>
  <c r="K11" i="9"/>
  <c r="K41" i="9"/>
  <c r="I49" i="3"/>
  <c r="K19" i="9"/>
  <c r="K7" i="9"/>
  <c r="K33" i="9"/>
  <c r="K48" i="9"/>
  <c r="K45" i="9"/>
  <c r="K35" i="9"/>
  <c r="K31" i="9"/>
  <c r="K40" i="9"/>
  <c r="K418" i="9"/>
  <c r="K543" i="9"/>
  <c r="K236" i="9"/>
  <c r="K518" i="9"/>
  <c r="K47" i="9"/>
  <c r="K517" i="9"/>
  <c r="K39" i="9"/>
  <c r="K128" i="9"/>
  <c r="K299" i="9"/>
  <c r="K108" i="9"/>
  <c r="K152" i="9"/>
  <c r="K377" i="9"/>
  <c r="K77" i="9"/>
  <c r="K401" i="9"/>
  <c r="K112" i="9"/>
  <c r="K349" i="9"/>
  <c r="M62" i="3"/>
  <c r="M91" i="3"/>
  <c r="L96" i="3"/>
  <c r="K9" i="3"/>
  <c r="M10" i="3"/>
  <c r="M111" i="3"/>
  <c r="L108" i="3"/>
  <c r="M125" i="3"/>
  <c r="K122" i="3"/>
  <c r="K347" i="9"/>
  <c r="K260" i="9"/>
  <c r="L38" i="3"/>
  <c r="M77" i="3"/>
  <c r="K571" i="9"/>
  <c r="K107" i="9"/>
  <c r="K422" i="9"/>
  <c r="K9" i="9"/>
  <c r="K5" i="9"/>
  <c r="K98" i="9"/>
  <c r="K198" i="9"/>
  <c r="K459" i="9"/>
  <c r="K46" i="9"/>
  <c r="K278" i="9"/>
  <c r="K476" i="9"/>
  <c r="K287" i="9"/>
  <c r="K201" i="9"/>
  <c r="M25" i="3"/>
  <c r="K24" i="3"/>
  <c r="M40" i="3"/>
  <c r="K38" i="3"/>
  <c r="K47" i="3"/>
  <c r="M50" i="3"/>
  <c r="L74" i="3"/>
  <c r="K89" i="3"/>
  <c r="M90" i="3"/>
  <c r="K96" i="3"/>
  <c r="M100" i="3"/>
  <c r="M110" i="3"/>
  <c r="K108" i="3"/>
  <c r="L127" i="3"/>
  <c r="L24" i="3"/>
  <c r="L47" i="3"/>
  <c r="L89" i="3"/>
  <c r="AA578" i="5"/>
  <c r="K516" i="9"/>
  <c r="K51" i="9"/>
  <c r="K36" i="9"/>
  <c r="K34" i="9"/>
  <c r="P105" i="3"/>
  <c r="M123" i="3"/>
  <c r="L9" i="3"/>
  <c r="AA496" i="5"/>
  <c r="AA488" i="5"/>
  <c r="K253" i="9"/>
  <c r="K42" i="9"/>
  <c r="K474" i="9"/>
  <c r="K243" i="9"/>
  <c r="K268" i="9"/>
  <c r="K410" i="9"/>
  <c r="H36" i="6"/>
  <c r="J36" i="6" s="1"/>
  <c r="I36" i="3"/>
  <c r="O87" i="3"/>
  <c r="R76" i="6"/>
  <c r="AA495" i="5"/>
  <c r="O85" i="3"/>
  <c r="I120" i="3"/>
  <c r="AA551" i="5"/>
  <c r="AA550" i="5"/>
  <c r="AA493" i="5"/>
  <c r="AA483" i="5"/>
  <c r="AA596" i="5"/>
  <c r="O36" i="3"/>
  <c r="K83" i="9"/>
  <c r="K482" i="9"/>
  <c r="I84" i="3"/>
  <c r="I41" i="3"/>
  <c r="P62" i="3"/>
  <c r="K413" i="9"/>
  <c r="K50" i="9"/>
  <c r="K49" i="9"/>
  <c r="H24" i="3"/>
  <c r="P26" i="3"/>
  <c r="H89" i="3"/>
  <c r="K296" i="9"/>
  <c r="K469" i="9"/>
  <c r="H108" i="3"/>
  <c r="K196" i="9"/>
  <c r="K423" i="9"/>
  <c r="K567" i="9"/>
  <c r="O22" i="3"/>
  <c r="I22" i="3"/>
  <c r="I10" i="3"/>
  <c r="U19" i="6"/>
  <c r="W19" i="6" s="1"/>
  <c r="K68" i="9"/>
  <c r="K340" i="9"/>
  <c r="O82" i="3"/>
  <c r="H74" i="3"/>
  <c r="K501" i="9"/>
  <c r="K156" i="9"/>
  <c r="K439" i="9"/>
  <c r="K458" i="9"/>
  <c r="K348" i="9"/>
  <c r="K290" i="9"/>
  <c r="K120" i="9"/>
  <c r="K493" i="9"/>
  <c r="K462" i="9"/>
  <c r="K258" i="9"/>
  <c r="K148" i="9"/>
  <c r="K396" i="9"/>
  <c r="Z2" i="5"/>
  <c r="K245" i="9"/>
  <c r="K303" i="9"/>
  <c r="K266" i="9"/>
  <c r="K177" i="9"/>
  <c r="K412" i="9"/>
  <c r="K241" i="9"/>
  <c r="K494" i="9"/>
  <c r="K323" i="9"/>
  <c r="K536" i="9"/>
  <c r="K280" i="9"/>
  <c r="K257" i="9"/>
  <c r="K415" i="9"/>
  <c r="K117" i="9"/>
  <c r="K327" i="9"/>
  <c r="K417" i="9"/>
  <c r="R25" i="6"/>
  <c r="K208" i="9"/>
  <c r="I109" i="3"/>
  <c r="I77" i="3"/>
  <c r="I26" i="3"/>
  <c r="K101" i="9"/>
  <c r="K372" i="9"/>
  <c r="K454" i="9"/>
  <c r="I119" i="3"/>
  <c r="H127" i="3"/>
  <c r="K13" i="9"/>
  <c r="K341" i="9"/>
  <c r="K300" i="9"/>
  <c r="H96" i="3"/>
  <c r="I54" i="3"/>
  <c r="K6" i="9"/>
  <c r="K276" i="9"/>
  <c r="K96" i="9"/>
  <c r="K504" i="9"/>
  <c r="K302" i="9"/>
  <c r="K284" i="9"/>
  <c r="K140" i="9"/>
  <c r="K502" i="9"/>
  <c r="K358" i="9"/>
  <c r="K312" i="9"/>
  <c r="K436" i="9"/>
  <c r="K449" i="9"/>
  <c r="K144" i="9"/>
  <c r="K82" i="9"/>
  <c r="K432" i="9"/>
  <c r="K355" i="9"/>
  <c r="K233" i="9"/>
  <c r="K170" i="9"/>
  <c r="I102" i="3"/>
  <c r="I113" i="3"/>
  <c r="I42" i="3"/>
  <c r="I60" i="3"/>
  <c r="I106" i="3"/>
  <c r="I79" i="3"/>
  <c r="I81" i="3"/>
  <c r="I63" i="3"/>
  <c r="AA61" i="5"/>
  <c r="P98" i="3"/>
  <c r="AA358" i="5"/>
  <c r="K103" i="9"/>
  <c r="K424" i="9"/>
  <c r="K487" i="9"/>
  <c r="K537" i="9"/>
  <c r="K447" i="9"/>
  <c r="K523" i="9"/>
  <c r="K173" i="9"/>
  <c r="K390" i="9"/>
  <c r="K437" i="9"/>
  <c r="K279" i="9"/>
  <c r="K105" i="9"/>
  <c r="K305" i="9"/>
  <c r="K352" i="9"/>
  <c r="K490" i="9"/>
  <c r="K292" i="9"/>
  <c r="K547" i="9"/>
  <c r="K532" i="9"/>
  <c r="K460" i="9"/>
  <c r="K535" i="9"/>
  <c r="K179" i="9"/>
  <c r="K461" i="9"/>
  <c r="K465" i="9"/>
  <c r="I27" i="3"/>
  <c r="H122" i="3"/>
  <c r="K190" i="9"/>
  <c r="K274" i="9"/>
  <c r="K227" i="9"/>
  <c r="K385" i="9"/>
  <c r="K420" i="9"/>
  <c r="K247" i="9"/>
  <c r="K404" i="9"/>
  <c r="K250" i="9"/>
  <c r="K259" i="9"/>
  <c r="I124" i="3"/>
  <c r="I103" i="3"/>
  <c r="I75" i="3"/>
  <c r="H59" i="3"/>
  <c r="I53" i="3"/>
  <c r="K319" i="9"/>
  <c r="K113" i="9"/>
  <c r="K123" i="9"/>
  <c r="K455" i="9"/>
  <c r="K506" i="9"/>
  <c r="K533" i="9"/>
  <c r="K345" i="9"/>
  <c r="K320" i="9"/>
  <c r="K254" i="9"/>
  <c r="K272" i="9"/>
  <c r="K59" i="9"/>
  <c r="K200" i="9"/>
  <c r="K223" i="9"/>
  <c r="K563" i="9"/>
  <c r="K478" i="9"/>
  <c r="K185" i="9"/>
  <c r="K329" i="9"/>
  <c r="H38" i="3"/>
  <c r="H9" i="3"/>
  <c r="H47" i="3"/>
  <c r="K541" i="9"/>
  <c r="K116" i="9"/>
  <c r="K182" i="9"/>
  <c r="K264" i="9"/>
  <c r="K283" i="9"/>
  <c r="K542" i="9"/>
  <c r="K308" i="9"/>
  <c r="K453" i="9"/>
  <c r="I111" i="3"/>
  <c r="AA15" i="5"/>
  <c r="K557" i="9"/>
  <c r="K143" i="9"/>
  <c r="I129" i="3"/>
  <c r="O80" i="3"/>
  <c r="AA209" i="5"/>
  <c r="AA374" i="5"/>
  <c r="AA34" i="5"/>
  <c r="O101" i="3"/>
  <c r="AA33" i="5"/>
  <c r="O81" i="3"/>
  <c r="AA207" i="5"/>
  <c r="I97" i="3"/>
  <c r="O109" i="3"/>
  <c r="I104" i="3"/>
  <c r="AA189" i="5"/>
  <c r="U69" i="6"/>
  <c r="W69" i="6" s="1"/>
  <c r="AA393" i="5"/>
  <c r="K13" i="6"/>
  <c r="M13" i="6" s="1"/>
  <c r="K65" i="6"/>
  <c r="M65" i="6" s="1"/>
  <c r="K331" i="9"/>
  <c r="K106" i="9"/>
  <c r="K255" i="9"/>
  <c r="K335" i="9"/>
  <c r="K217" i="9"/>
  <c r="K251" i="9"/>
  <c r="I112" i="3"/>
  <c r="O112" i="3"/>
  <c r="I115" i="3"/>
  <c r="AA44" i="5"/>
  <c r="E75" i="4" s="1"/>
  <c r="AA138" i="5"/>
  <c r="AA304" i="5"/>
  <c r="AA545" i="5"/>
  <c r="AA187" i="5"/>
  <c r="AA132" i="5"/>
  <c r="K25" i="6"/>
  <c r="M25" i="6" s="1"/>
  <c r="H63" i="6"/>
  <c r="J63" i="6" s="1"/>
  <c r="K20" i="6"/>
  <c r="AA90" i="5"/>
  <c r="AA427" i="5"/>
  <c r="O39" i="3"/>
  <c r="I39" i="3"/>
  <c r="U66" i="6"/>
  <c r="W66" i="6" s="1"/>
  <c r="AA46" i="5"/>
  <c r="E79" i="2" s="1"/>
  <c r="AA359" i="5"/>
  <c r="AA220" i="5"/>
  <c r="AA307" i="5"/>
  <c r="K45" i="6"/>
  <c r="M45" i="6" s="1"/>
  <c r="AA430" i="5"/>
  <c r="K62" i="6"/>
  <c r="AA567" i="5"/>
  <c r="AA323" i="5"/>
  <c r="O10" i="3"/>
  <c r="O93" i="3"/>
  <c r="I93" i="3"/>
  <c r="O75" i="3"/>
  <c r="I28" i="3"/>
  <c r="AA241" i="5"/>
  <c r="AA128" i="5"/>
  <c r="AA216" i="5"/>
  <c r="AA502" i="5"/>
  <c r="AA68" i="5"/>
  <c r="AA355" i="5"/>
  <c r="K53" i="6"/>
  <c r="O40" i="3"/>
  <c r="I40" i="3"/>
  <c r="AA335" i="5"/>
  <c r="K11" i="6"/>
  <c r="M11" i="6" s="1"/>
  <c r="K46" i="6"/>
  <c r="AA82" i="5"/>
  <c r="I118" i="3"/>
  <c r="AA28" i="5"/>
  <c r="AA287" i="5"/>
  <c r="AA302" i="5"/>
  <c r="AA77" i="5"/>
  <c r="AA455" i="5"/>
  <c r="H61" i="6"/>
  <c r="J61" i="6" s="1"/>
  <c r="H67" i="6"/>
  <c r="J67" i="6" s="1"/>
  <c r="AA385" i="5"/>
  <c r="K75" i="6"/>
  <c r="AA356" i="5"/>
  <c r="AA453" i="5"/>
  <c r="AA322" i="5"/>
  <c r="AA258" i="5"/>
  <c r="AA410" i="5"/>
  <c r="AA101" i="5"/>
  <c r="AA500" i="5"/>
  <c r="AA414" i="5"/>
  <c r="AA228" i="5"/>
  <c r="AA466" i="5"/>
  <c r="AA331" i="5"/>
  <c r="AA71" i="5"/>
  <c r="AA407" i="5"/>
  <c r="AA269" i="5"/>
  <c r="AA92" i="5"/>
  <c r="K333" i="9"/>
  <c r="U41" i="6"/>
  <c r="W41" i="6" s="1"/>
  <c r="AA81" i="5"/>
  <c r="AA337" i="5"/>
  <c r="AA281" i="5"/>
  <c r="AA120" i="5"/>
  <c r="AA512" i="5"/>
  <c r="AA444" i="5"/>
  <c r="AA360" i="5"/>
  <c r="AA232" i="5"/>
  <c r="AA184" i="5"/>
  <c r="AA119" i="5"/>
  <c r="AA64" i="5"/>
  <c r="AA327" i="5"/>
  <c r="AA350" i="5"/>
  <c r="AA448" i="5"/>
  <c r="AA204" i="5"/>
  <c r="AA148" i="5"/>
  <c r="AA60" i="5"/>
  <c r="AA421" i="5"/>
  <c r="AA365" i="5"/>
  <c r="AA301" i="5"/>
  <c r="AA124" i="5"/>
  <c r="K8" i="6"/>
  <c r="K409" i="9"/>
  <c r="I30" i="3"/>
  <c r="AA240" i="5"/>
  <c r="AA182" i="5"/>
  <c r="AA346" i="5"/>
  <c r="AA226" i="5"/>
  <c r="AA329" i="5"/>
  <c r="AA504" i="5"/>
  <c r="AA111" i="5"/>
  <c r="AA533" i="5"/>
  <c r="AA408" i="5"/>
  <c r="AA214" i="5"/>
  <c r="AA125" i="5"/>
  <c r="AA524" i="5"/>
  <c r="AA440" i="5"/>
  <c r="AA140" i="5"/>
  <c r="AA171" i="5"/>
  <c r="AA106" i="5"/>
  <c r="AA59" i="5"/>
  <c r="AA94" i="5"/>
  <c r="AA441" i="5"/>
  <c r="AA293" i="5"/>
  <c r="AA229" i="5"/>
  <c r="AA116" i="5"/>
  <c r="K77" i="6"/>
  <c r="AA415" i="5"/>
  <c r="AA177" i="5"/>
  <c r="AA84" i="5"/>
  <c r="AA477" i="5"/>
  <c r="U74" i="6"/>
  <c r="W74" i="6" s="1"/>
  <c r="AA93" i="5"/>
  <c r="AA563" i="5"/>
  <c r="AA465" i="5"/>
  <c r="AA274" i="5"/>
  <c r="AA162" i="5"/>
  <c r="AA377" i="5"/>
  <c r="AA321" i="5"/>
  <c r="AA265" i="5"/>
  <c r="AA428" i="5"/>
  <c r="AA103" i="5"/>
  <c r="AA511" i="5"/>
  <c r="AA255" i="5"/>
  <c r="AA206" i="5"/>
  <c r="AA117" i="5"/>
  <c r="AA244" i="5"/>
  <c r="AA86" i="5"/>
  <c r="AA178" i="5"/>
  <c r="K141" i="9"/>
  <c r="K489" i="9"/>
  <c r="K73" i="9"/>
  <c r="K391" i="9"/>
  <c r="K138" i="9"/>
  <c r="K72" i="9"/>
  <c r="AA354" i="5"/>
  <c r="AA234" i="5"/>
  <c r="AA129" i="5"/>
  <c r="AA89" i="5"/>
  <c r="AA529" i="5"/>
  <c r="AA345" i="5"/>
  <c r="AA225" i="5"/>
  <c r="AA137" i="5"/>
  <c r="AA402" i="5"/>
  <c r="AA272" i="5"/>
  <c r="AA417" i="5"/>
  <c r="AA191" i="5"/>
  <c r="AA510" i="5"/>
  <c r="AA326" i="5"/>
  <c r="AA270" i="5"/>
  <c r="AA198" i="5"/>
  <c r="AA109" i="5"/>
  <c r="AA26" i="5"/>
  <c r="AA508" i="5"/>
  <c r="AA422" i="5"/>
  <c r="AA188" i="5"/>
  <c r="AA123" i="5"/>
  <c r="AA339" i="5"/>
  <c r="AA211" i="5"/>
  <c r="AA135" i="5"/>
  <c r="AA349" i="5"/>
  <c r="AA285" i="5"/>
  <c r="AA108" i="5"/>
  <c r="AA52" i="5"/>
  <c r="K76" i="6"/>
  <c r="K76" i="9"/>
  <c r="K55" i="9"/>
  <c r="K388" i="9"/>
  <c r="K162" i="9"/>
  <c r="AA291" i="5"/>
  <c r="AA114" i="5"/>
  <c r="AA67" i="5"/>
  <c r="AA27" i="5"/>
  <c r="AA317" i="5"/>
  <c r="AA149" i="5"/>
  <c r="K552" i="9"/>
  <c r="K399" i="9"/>
  <c r="K316" i="9"/>
  <c r="K368" i="9"/>
  <c r="K213" i="9"/>
  <c r="K121" i="9"/>
  <c r="K93" i="9"/>
  <c r="K503" i="9"/>
  <c r="K119" i="9"/>
  <c r="K452" i="9"/>
  <c r="K237" i="9"/>
  <c r="K306" i="9"/>
  <c r="K293" i="9"/>
  <c r="K445" i="9"/>
  <c r="K282" i="9"/>
  <c r="K544" i="9"/>
  <c r="K169" i="9"/>
  <c r="K277" i="9"/>
  <c r="K442" i="9"/>
  <c r="K81" i="9"/>
  <c r="K125" i="9"/>
  <c r="K133" i="9"/>
  <c r="K135" i="9"/>
  <c r="K550" i="9"/>
  <c r="K160" i="9"/>
  <c r="K398" i="9"/>
  <c r="K524" i="9"/>
  <c r="K230" i="9"/>
  <c r="K463" i="9"/>
  <c r="K351" i="9"/>
  <c r="K232" i="9"/>
  <c r="K468" i="9"/>
  <c r="K337" i="9"/>
  <c r="K526" i="9"/>
  <c r="K229" i="9"/>
  <c r="K95" i="9"/>
  <c r="K564" i="9"/>
  <c r="K189" i="9"/>
  <c r="K438" i="9"/>
  <c r="K161" i="9"/>
  <c r="K134" i="9"/>
  <c r="K267" i="9"/>
  <c r="AA494" i="5"/>
  <c r="AA53" i="5"/>
  <c r="K497" i="9"/>
  <c r="AA549" i="5"/>
  <c r="AA492" i="5"/>
  <c r="K498" i="9"/>
  <c r="AA21" i="5"/>
  <c r="K569" i="9"/>
  <c r="K224" i="9"/>
  <c r="K235" i="9"/>
  <c r="K221" i="9"/>
  <c r="K271" i="9"/>
  <c r="K387" i="9"/>
  <c r="K403" i="9"/>
  <c r="K450" i="9"/>
  <c r="K154" i="9"/>
  <c r="K126" i="9"/>
  <c r="K530" i="9"/>
  <c r="K164" i="9"/>
  <c r="K315" i="9"/>
  <c r="K166" i="9"/>
  <c r="K509" i="9"/>
  <c r="K367" i="9"/>
  <c r="K75" i="9"/>
  <c r="AA491" i="5"/>
  <c r="AA16" i="5"/>
  <c r="K145" i="9"/>
  <c r="K362" i="9"/>
  <c r="K202" i="9"/>
  <c r="K87" i="9"/>
  <c r="K151" i="9"/>
  <c r="K97" i="9"/>
  <c r="K560" i="9"/>
  <c r="K263" i="9"/>
  <c r="K328" i="9"/>
  <c r="K383" i="9"/>
  <c r="K338" i="9"/>
  <c r="K294" i="9"/>
  <c r="K373" i="9"/>
  <c r="K122" i="9"/>
  <c r="K88" i="9"/>
  <c r="K249" i="9"/>
  <c r="K244" i="9"/>
  <c r="O77" i="3"/>
  <c r="G38" i="3"/>
  <c r="AA48" i="5"/>
  <c r="H78" i="1" s="1"/>
  <c r="K153" i="9"/>
  <c r="K511" i="9"/>
  <c r="K314" i="9"/>
  <c r="K195" i="9"/>
  <c r="K561" i="9"/>
  <c r="K193" i="9"/>
  <c r="K539" i="9"/>
  <c r="K318" i="9"/>
  <c r="K321" i="9"/>
  <c r="K191" i="9"/>
  <c r="K309" i="9"/>
  <c r="I99" i="3"/>
  <c r="O91" i="3"/>
  <c r="K405" i="9"/>
  <c r="K346" i="9"/>
  <c r="K129" i="9"/>
  <c r="K183" i="9"/>
  <c r="K522" i="9"/>
  <c r="K359" i="9"/>
  <c r="U84" i="6"/>
  <c r="W84" i="6" s="1"/>
  <c r="AA426" i="5"/>
  <c r="I29" i="3"/>
  <c r="U8" i="6"/>
  <c r="W8" i="6" s="1"/>
  <c r="H24" i="6"/>
  <c r="J24" i="6" s="1"/>
  <c r="O102" i="3"/>
  <c r="O124" i="3"/>
  <c r="I15" i="3"/>
  <c r="O42" i="3"/>
  <c r="U16" i="6"/>
  <c r="W16" i="6" s="1"/>
  <c r="AA23" i="5"/>
  <c r="U11" i="6"/>
  <c r="W11" i="6" s="1"/>
  <c r="K109" i="9"/>
  <c r="K175" i="9"/>
  <c r="K186" i="9"/>
  <c r="K382" i="9"/>
  <c r="K538" i="9"/>
  <c r="K573" i="9"/>
  <c r="K286" i="9"/>
  <c r="K572" i="9"/>
  <c r="K65" i="9"/>
  <c r="K483" i="9"/>
  <c r="K246" i="9"/>
  <c r="K181" i="9"/>
  <c r="K471" i="9"/>
  <c r="K187" i="9"/>
  <c r="K206" i="9"/>
  <c r="K317" i="9"/>
  <c r="K261" i="9"/>
  <c r="K326" i="9"/>
  <c r="K111" i="9"/>
  <c r="K139" i="9"/>
  <c r="K356" i="9"/>
  <c r="K407" i="9"/>
  <c r="K215" i="9"/>
  <c r="K150" i="9"/>
  <c r="K270" i="9"/>
  <c r="K402" i="9"/>
  <c r="K448" i="9"/>
  <c r="K531" i="9"/>
  <c r="K529" i="9"/>
  <c r="K554" i="9"/>
  <c r="K534" i="9"/>
  <c r="K486" i="9"/>
  <c r="K334" i="9"/>
  <c r="K136" i="9"/>
  <c r="K456" i="9"/>
  <c r="K414" i="9"/>
  <c r="K203" i="9"/>
  <c r="K426" i="9"/>
  <c r="K58" i="9"/>
  <c r="K496" i="9"/>
  <c r="V2" i="5"/>
  <c r="AA43" i="5"/>
  <c r="U25" i="6"/>
  <c r="W25" i="6" s="1"/>
  <c r="I12" i="3"/>
  <c r="O106" i="3"/>
  <c r="U85" i="6"/>
  <c r="W85" i="6" s="1"/>
  <c r="AA13" i="5"/>
  <c r="O83" i="3"/>
  <c r="AA50" i="5"/>
  <c r="E81" i="4" s="1"/>
  <c r="I78" i="3"/>
  <c r="U75" i="6"/>
  <c r="W75" i="6" s="1"/>
  <c r="O94" i="3"/>
  <c r="O13" i="3"/>
  <c r="U62" i="6"/>
  <c r="W62" i="6" s="1"/>
  <c r="AA18" i="5"/>
  <c r="O41" i="3"/>
  <c r="I52" i="3"/>
  <c r="O79" i="3"/>
  <c r="I114" i="3"/>
  <c r="U76" i="6"/>
  <c r="W76" i="6" s="1"/>
  <c r="G59" i="3"/>
  <c r="O61" i="3"/>
  <c r="U55" i="6"/>
  <c r="W55" i="6" s="1"/>
  <c r="I61" i="3"/>
  <c r="O25" i="3"/>
  <c r="I25" i="3"/>
  <c r="AA45" i="5"/>
  <c r="U63" i="6"/>
  <c r="W63" i="6" s="1"/>
  <c r="I130" i="3"/>
  <c r="O130" i="3"/>
  <c r="G74" i="3"/>
  <c r="I76" i="3"/>
  <c r="AA556" i="5"/>
  <c r="U71" i="6"/>
  <c r="W71" i="6" s="1"/>
  <c r="AA83" i="5"/>
  <c r="U14" i="6"/>
  <c r="W14" i="6" s="1"/>
  <c r="I125" i="3"/>
  <c r="O125" i="3"/>
  <c r="U46" i="6"/>
  <c r="W46" i="6" s="1"/>
  <c r="AA434" i="5"/>
  <c r="U64" i="6"/>
  <c r="W64" i="6" s="1"/>
  <c r="AA47" i="5"/>
  <c r="G127" i="3"/>
  <c r="O128" i="3"/>
  <c r="O2" i="5"/>
  <c r="D7" i="12" s="1"/>
  <c r="I7" i="12" s="1"/>
  <c r="U77" i="6"/>
  <c r="W77" i="6" s="1"/>
  <c r="I128" i="3"/>
  <c r="AA569" i="5"/>
  <c r="U83" i="6"/>
  <c r="W83" i="6" s="1"/>
  <c r="O110" i="3"/>
  <c r="I11" i="3"/>
  <c r="U53" i="6"/>
  <c r="W53" i="6" s="1"/>
  <c r="O16" i="3"/>
  <c r="G47" i="3"/>
  <c r="AA445" i="5"/>
  <c r="O113" i="3"/>
  <c r="U20" i="6"/>
  <c r="W20" i="6" s="1"/>
  <c r="AA49" i="5"/>
  <c r="I57" i="3"/>
  <c r="O57" i="3"/>
  <c r="K507" i="9"/>
  <c r="K365" i="9"/>
  <c r="K100" i="9"/>
  <c r="K325" i="9"/>
  <c r="K389" i="9"/>
  <c r="K69" i="9"/>
  <c r="G24" i="3"/>
  <c r="K431" i="9"/>
  <c r="K204" i="9"/>
  <c r="K394" i="9"/>
  <c r="K184" i="9"/>
  <c r="K242" i="9"/>
  <c r="K210" i="9"/>
  <c r="K342" i="9"/>
  <c r="K252" i="9"/>
  <c r="K545" i="9"/>
  <c r="K419" i="9"/>
  <c r="K466" i="9"/>
  <c r="Q61" i="6"/>
  <c r="K549" i="9"/>
  <c r="K521" i="9"/>
  <c r="K357" i="9"/>
  <c r="K205" i="9"/>
  <c r="K86" i="9"/>
  <c r="K344" i="9"/>
  <c r="K131" i="9"/>
  <c r="K192" i="9"/>
  <c r="K427" i="9"/>
  <c r="K211" i="9"/>
  <c r="K336" i="9"/>
  <c r="K124" i="9"/>
  <c r="K207" i="9"/>
  <c r="K132" i="9"/>
  <c r="K142" i="9"/>
  <c r="K281" i="9"/>
  <c r="K115" i="9"/>
  <c r="K500" i="9"/>
  <c r="K444" i="9"/>
  <c r="K275" i="9"/>
  <c r="K248" i="9"/>
  <c r="K510" i="9"/>
  <c r="K226" i="9"/>
  <c r="K384" i="9"/>
  <c r="K491" i="9"/>
  <c r="K353" i="9"/>
  <c r="K84" i="9"/>
  <c r="K85" i="9"/>
  <c r="K559" i="9"/>
  <c r="K408" i="9"/>
  <c r="K71" i="9"/>
  <c r="K395" i="9"/>
  <c r="K163" i="9"/>
  <c r="K364" i="9"/>
  <c r="K218" i="9"/>
  <c r="K147" i="9"/>
  <c r="K197" i="9"/>
  <c r="K556" i="9"/>
  <c r="K525" i="9"/>
  <c r="K54" i="9"/>
  <c r="K304" i="9"/>
  <c r="K291" i="9"/>
  <c r="K495" i="9"/>
  <c r="K467" i="9"/>
  <c r="K92" i="9"/>
  <c r="K178" i="9"/>
  <c r="K295" i="9"/>
  <c r="K374" i="9"/>
  <c r="K369" i="9"/>
  <c r="K322" i="9"/>
  <c r="K555" i="9"/>
  <c r="E1" i="9"/>
  <c r="K219" i="9"/>
  <c r="K63" i="9"/>
  <c r="K508" i="9"/>
  <c r="G1" i="9"/>
  <c r="I87" i="3"/>
  <c r="K499" i="9"/>
  <c r="K477" i="9"/>
  <c r="K265" i="9"/>
  <c r="K273" i="9"/>
  <c r="K99" i="9"/>
  <c r="K225" i="9"/>
  <c r="K102" i="9"/>
  <c r="K376" i="9"/>
  <c r="K307" i="9"/>
  <c r="K311" i="9"/>
  <c r="K416" i="9"/>
  <c r="K168" i="9"/>
  <c r="K167" i="9"/>
  <c r="K428" i="9"/>
  <c r="K512" i="9"/>
  <c r="I123" i="3"/>
  <c r="G122" i="3"/>
  <c r="O123" i="3"/>
  <c r="G96" i="3"/>
  <c r="O111" i="3"/>
  <c r="G108" i="3"/>
  <c r="O117" i="3"/>
  <c r="I117" i="3"/>
  <c r="I98" i="3"/>
  <c r="I116" i="3"/>
  <c r="O116" i="3"/>
  <c r="O98" i="3"/>
  <c r="G89" i="3"/>
  <c r="J1" i="9"/>
  <c r="K8" i="9"/>
  <c r="G9" i="3"/>
  <c r="I90" i="3"/>
  <c r="O92" i="3"/>
  <c r="K30" i="9"/>
  <c r="O26" i="3"/>
  <c r="O100" i="3"/>
  <c r="I100" i="3"/>
  <c r="I14" i="3"/>
  <c r="O105" i="3"/>
  <c r="I31" i="3"/>
  <c r="O31" i="3"/>
  <c r="O62" i="6"/>
  <c r="Q62" i="6" s="1"/>
  <c r="K381" i="9"/>
  <c r="K527" i="9"/>
  <c r="K127" i="9"/>
  <c r="K371" i="9"/>
  <c r="I1" i="9"/>
  <c r="K209" i="9"/>
  <c r="I51" i="3"/>
  <c r="K443" i="9"/>
  <c r="K392" i="9"/>
  <c r="K78" i="9"/>
  <c r="K492" i="9"/>
  <c r="K262" i="9"/>
  <c r="K343" i="9"/>
  <c r="K64" i="9"/>
  <c r="K354" i="9"/>
  <c r="K212" i="9"/>
  <c r="K339" i="9"/>
  <c r="O35" i="6"/>
  <c r="Q35" i="6" s="1"/>
  <c r="H48" i="6" l="1"/>
  <c r="J48" i="6" s="1"/>
  <c r="T49" i="6"/>
  <c r="H35" i="6"/>
  <c r="J35" i="6" s="1"/>
  <c r="O38" i="6"/>
  <c r="Q38" i="6" s="1"/>
  <c r="E10" i="3"/>
  <c r="O17" i="6"/>
  <c r="Q17" i="6" s="1"/>
  <c r="O78" i="6"/>
  <c r="Q78" i="6" s="1"/>
  <c r="I91" i="4"/>
  <c r="I80" i="2"/>
  <c r="O63" i="4"/>
  <c r="M84" i="2"/>
  <c r="M81" i="2"/>
  <c r="M90" i="2"/>
  <c r="M47" i="2"/>
  <c r="M38" i="2"/>
  <c r="M39" i="2"/>
  <c r="O56" i="2"/>
  <c r="O13" i="2"/>
  <c r="M44" i="2"/>
  <c r="M108" i="2"/>
  <c r="M99" i="2"/>
  <c r="M75" i="2"/>
  <c r="O92" i="2"/>
  <c r="M123" i="2"/>
  <c r="M15" i="2"/>
  <c r="L134" i="2"/>
  <c r="M12" i="2"/>
  <c r="M51" i="2"/>
  <c r="O63" i="2"/>
  <c r="M122" i="2"/>
  <c r="P53" i="2"/>
  <c r="O115" i="2"/>
  <c r="M10" i="2"/>
  <c r="M29" i="2"/>
  <c r="M104" i="2"/>
  <c r="M14" i="2"/>
  <c r="M27" i="2"/>
  <c r="M100" i="2"/>
  <c r="O48" i="2"/>
  <c r="M60" i="2"/>
  <c r="M16" i="2"/>
  <c r="M117" i="2"/>
  <c r="M80" i="2"/>
  <c r="M76" i="2"/>
  <c r="O93" i="2"/>
  <c r="M105" i="2"/>
  <c r="P22" i="2"/>
  <c r="O62" i="2"/>
  <c r="O89" i="2"/>
  <c r="M118" i="2"/>
  <c r="M11" i="2"/>
  <c r="M91" i="2"/>
  <c r="O96" i="2"/>
  <c r="M59" i="2"/>
  <c r="O100" i="2"/>
  <c r="I89" i="2"/>
  <c r="P90" i="2"/>
  <c r="O11" i="2"/>
  <c r="I92" i="2"/>
  <c r="I56" i="2"/>
  <c r="P108" i="2"/>
  <c r="P47" i="2"/>
  <c r="O61" i="2"/>
  <c r="P60" i="2"/>
  <c r="P38" i="2"/>
  <c r="P124" i="2"/>
  <c r="O51" i="2"/>
  <c r="P12" i="2"/>
  <c r="P84" i="2"/>
  <c r="I22" i="2"/>
  <c r="P69" i="2"/>
  <c r="O74" i="2"/>
  <c r="O105" i="2"/>
  <c r="P14" i="2"/>
  <c r="I63" i="2"/>
  <c r="P44" i="2"/>
  <c r="P59" i="2"/>
  <c r="I62" i="2"/>
  <c r="O122" i="2"/>
  <c r="P40" i="2"/>
  <c r="P41" i="2"/>
  <c r="P16" i="2"/>
  <c r="P91" i="2"/>
  <c r="P75" i="2"/>
  <c r="I115" i="2"/>
  <c r="P113" i="2"/>
  <c r="I53" i="2"/>
  <c r="P86" i="2"/>
  <c r="O102" i="2"/>
  <c r="O29" i="2"/>
  <c r="O27" i="2"/>
  <c r="P123" i="2"/>
  <c r="I48" i="2"/>
  <c r="O50" i="2"/>
  <c r="O118" i="2"/>
  <c r="P99" i="2"/>
  <c r="P78" i="2"/>
  <c r="O117" i="2"/>
  <c r="I81" i="2"/>
  <c r="I108" i="2"/>
  <c r="I63" i="4"/>
  <c r="I69" i="2"/>
  <c r="L139" i="3"/>
  <c r="L136" i="3"/>
  <c r="L134" i="3"/>
  <c r="L140" i="3"/>
  <c r="L141" i="3"/>
  <c r="L138" i="3"/>
  <c r="L135" i="3"/>
  <c r="L143" i="3"/>
  <c r="H14" i="12" s="1"/>
  <c r="L137" i="3"/>
  <c r="L133" i="3"/>
  <c r="L142" i="3"/>
  <c r="I89" i="4"/>
  <c r="O47" i="6"/>
  <c r="Q47" i="6" s="1"/>
  <c r="O45" i="6"/>
  <c r="Q45" i="6" s="1"/>
  <c r="T36" i="6"/>
  <c r="K139" i="3"/>
  <c r="H47" i="6"/>
  <c r="J47" i="6" s="1"/>
  <c r="O27" i="6"/>
  <c r="Q27" i="6" s="1"/>
  <c r="K136" i="3"/>
  <c r="K140" i="3"/>
  <c r="K135" i="3"/>
  <c r="K143" i="3"/>
  <c r="G14" i="12" s="1"/>
  <c r="K134" i="3"/>
  <c r="K142" i="3"/>
  <c r="K141" i="3"/>
  <c r="K138" i="3"/>
  <c r="I38" i="4"/>
  <c r="K137" i="3"/>
  <c r="K133" i="3"/>
  <c r="H134" i="3"/>
  <c r="H133" i="3"/>
  <c r="H136" i="3"/>
  <c r="H137" i="3"/>
  <c r="H135" i="3"/>
  <c r="H143" i="3"/>
  <c r="E14" i="12" s="1"/>
  <c r="H140" i="3"/>
  <c r="H138" i="3"/>
  <c r="H142" i="3"/>
  <c r="H141" i="3"/>
  <c r="H139" i="3"/>
  <c r="G140" i="3"/>
  <c r="G141" i="3"/>
  <c r="G139" i="3"/>
  <c r="G138" i="3"/>
  <c r="G143" i="3"/>
  <c r="D14" i="12" s="1"/>
  <c r="G133" i="3"/>
  <c r="G135" i="3"/>
  <c r="G134" i="3"/>
  <c r="G137" i="3"/>
  <c r="I128" i="4"/>
  <c r="Q128" i="4" s="1"/>
  <c r="G136" i="3"/>
  <c r="I11" i="2"/>
  <c r="I99" i="4"/>
  <c r="D137" i="3"/>
  <c r="D134" i="3"/>
  <c r="D136" i="3"/>
  <c r="D143" i="3"/>
  <c r="B14" i="12" s="1"/>
  <c r="D141" i="3"/>
  <c r="D138" i="3"/>
  <c r="O89" i="4"/>
  <c r="D135" i="3"/>
  <c r="D140" i="3"/>
  <c r="D142" i="3"/>
  <c r="D133" i="3"/>
  <c r="O99" i="4"/>
  <c r="D139" i="3"/>
  <c r="I111" i="4"/>
  <c r="Q111" i="4" s="1"/>
  <c r="L121" i="2"/>
  <c r="I29" i="2"/>
  <c r="P82" i="4"/>
  <c r="M29" i="4"/>
  <c r="I30" i="4"/>
  <c r="I74" i="2"/>
  <c r="I124" i="2"/>
  <c r="P63" i="2"/>
  <c r="M28" i="2"/>
  <c r="O115" i="4"/>
  <c r="H41" i="6"/>
  <c r="J41" i="6" s="1"/>
  <c r="O116" i="2"/>
  <c r="E84" i="4"/>
  <c r="R84" i="4" s="1"/>
  <c r="P63" i="4"/>
  <c r="O113" i="2"/>
  <c r="O56" i="4"/>
  <c r="I124" i="4"/>
  <c r="I11" i="4"/>
  <c r="Q11" i="4" s="1"/>
  <c r="I53" i="4"/>
  <c r="I10" i="2"/>
  <c r="O124" i="2"/>
  <c r="H71" i="6"/>
  <c r="J71" i="6" s="1"/>
  <c r="E67" i="4"/>
  <c r="R67" i="4" s="1"/>
  <c r="H67" i="1"/>
  <c r="I67" i="1" s="1"/>
  <c r="O67" i="1" s="1"/>
  <c r="E67" i="2"/>
  <c r="R67" i="2" s="1"/>
  <c r="E68" i="3"/>
  <c r="E67" i="1"/>
  <c r="E70" i="3"/>
  <c r="H69" i="1"/>
  <c r="I69" i="1" s="1"/>
  <c r="O69" i="1" s="1"/>
  <c r="E69" i="1"/>
  <c r="E42" i="4"/>
  <c r="R42" i="4" s="1"/>
  <c r="E43" i="3"/>
  <c r="E42" i="2"/>
  <c r="R42" i="2" s="1"/>
  <c r="E42" i="1"/>
  <c r="H42" i="1"/>
  <c r="I42" i="1" s="1"/>
  <c r="O42" i="1" s="1"/>
  <c r="H19" i="1"/>
  <c r="I19" i="1" s="1"/>
  <c r="O19" i="1" s="1"/>
  <c r="E19" i="4"/>
  <c r="R19" i="4" s="1"/>
  <c r="E19" i="2"/>
  <c r="R19" i="2" s="1"/>
  <c r="E19" i="1"/>
  <c r="E19" i="3"/>
  <c r="O10" i="2"/>
  <c r="E66" i="3"/>
  <c r="E65" i="1"/>
  <c r="E65" i="2"/>
  <c r="R65" i="2" s="1"/>
  <c r="H65" i="1"/>
  <c r="I65" i="1" s="1"/>
  <c r="O65" i="1" s="1"/>
  <c r="E65" i="4"/>
  <c r="R65" i="4" s="1"/>
  <c r="E85" i="2"/>
  <c r="R85" i="2" s="1"/>
  <c r="E85" i="1"/>
  <c r="H85" i="1"/>
  <c r="I85" i="1" s="1"/>
  <c r="O85" i="1" s="1"/>
  <c r="E85" i="4"/>
  <c r="R85" i="4" s="1"/>
  <c r="E86" i="3"/>
  <c r="H18" i="1"/>
  <c r="I18" i="1" s="1"/>
  <c r="O18" i="1" s="1"/>
  <c r="E18" i="2"/>
  <c r="R18" i="2" s="1"/>
  <c r="E18" i="1"/>
  <c r="E18" i="3"/>
  <c r="E18" i="4"/>
  <c r="R18" i="4" s="1"/>
  <c r="E67" i="3"/>
  <c r="E66" i="4"/>
  <c r="R66" i="4" s="1"/>
  <c r="H66" i="1"/>
  <c r="I66" i="1" s="1"/>
  <c r="O66" i="1" s="1"/>
  <c r="E66" i="2"/>
  <c r="R66" i="2" s="1"/>
  <c r="E66" i="1"/>
  <c r="M54" i="6"/>
  <c r="H54" i="6"/>
  <c r="J54" i="6" s="1"/>
  <c r="E64" i="2"/>
  <c r="R64" i="2" s="1"/>
  <c r="E64" i="4"/>
  <c r="R64" i="4" s="1"/>
  <c r="E64" i="1"/>
  <c r="E65" i="3"/>
  <c r="H64" i="1"/>
  <c r="I64" i="1" s="1"/>
  <c r="O64" i="1" s="1"/>
  <c r="E86" i="1"/>
  <c r="E43" i="4"/>
  <c r="R43" i="4" s="1"/>
  <c r="E44" i="3"/>
  <c r="H43" i="1"/>
  <c r="I43" i="1" s="1"/>
  <c r="O43" i="1" s="1"/>
  <c r="E43" i="1"/>
  <c r="E43" i="2"/>
  <c r="R43" i="2" s="1"/>
  <c r="O98" i="2"/>
  <c r="M112" i="2"/>
  <c r="M52" i="6"/>
  <c r="H52" i="6"/>
  <c r="J52" i="6" s="1"/>
  <c r="E20" i="4"/>
  <c r="R20" i="4" s="1"/>
  <c r="H20" i="1"/>
  <c r="I20" i="1" s="1"/>
  <c r="O20" i="1" s="1"/>
  <c r="E20" i="3"/>
  <c r="E20" i="2"/>
  <c r="R20" i="2" s="1"/>
  <c r="E20" i="1"/>
  <c r="O52" i="6"/>
  <c r="Q52" i="6" s="1"/>
  <c r="T52" i="6"/>
  <c r="E54" i="2"/>
  <c r="R54" i="2" s="1"/>
  <c r="H54" i="1"/>
  <c r="I54" i="1" s="1"/>
  <c r="O54" i="1" s="1"/>
  <c r="E54" i="1"/>
  <c r="E54" i="4"/>
  <c r="E55" i="3"/>
  <c r="M98" i="2"/>
  <c r="M49" i="6"/>
  <c r="H49" i="6"/>
  <c r="J49" i="6" s="1"/>
  <c r="E21" i="1"/>
  <c r="E21" i="4"/>
  <c r="R21" i="4" s="1"/>
  <c r="E21" i="3"/>
  <c r="E21" i="2"/>
  <c r="R21" i="2" s="1"/>
  <c r="H21" i="1"/>
  <c r="I21" i="1" s="1"/>
  <c r="O21" i="1" s="1"/>
  <c r="M114" i="2"/>
  <c r="E69" i="3"/>
  <c r="E68" i="2"/>
  <c r="R68" i="2" s="1"/>
  <c r="E68" i="1"/>
  <c r="E68" i="4"/>
  <c r="R68" i="4" s="1"/>
  <c r="H68" i="1"/>
  <c r="I68" i="1" s="1"/>
  <c r="O68" i="1" s="1"/>
  <c r="O96" i="4"/>
  <c r="I105" i="4"/>
  <c r="M50" i="6"/>
  <c r="H50" i="6"/>
  <c r="J50" i="6" s="1"/>
  <c r="E32" i="3"/>
  <c r="E32" i="2"/>
  <c r="R32" i="2" s="1"/>
  <c r="H32" i="1"/>
  <c r="I32" i="1" s="1"/>
  <c r="O32" i="1" s="1"/>
  <c r="E32" i="1"/>
  <c r="E22" i="2"/>
  <c r="E17" i="2"/>
  <c r="R17" i="2" s="1"/>
  <c r="E17" i="4"/>
  <c r="R17" i="4" s="1"/>
  <c r="E17" i="1"/>
  <c r="H17" i="1"/>
  <c r="I17" i="1" s="1"/>
  <c r="O17" i="1" s="1"/>
  <c r="E17" i="3"/>
  <c r="O127" i="4"/>
  <c r="O79" i="2"/>
  <c r="I77" i="2"/>
  <c r="E86" i="4"/>
  <c r="R86" i="4" s="1"/>
  <c r="H70" i="6"/>
  <c r="J70" i="6" s="1"/>
  <c r="M70" i="6"/>
  <c r="E35" i="3"/>
  <c r="H35" i="1"/>
  <c r="I35" i="1" s="1"/>
  <c r="O35" i="1" s="1"/>
  <c r="E35" i="1"/>
  <c r="E55" i="2"/>
  <c r="R55" i="2" s="1"/>
  <c r="E56" i="3"/>
  <c r="E55" i="1"/>
  <c r="E55" i="4"/>
  <c r="H55" i="1"/>
  <c r="I55" i="1" s="1"/>
  <c r="O55" i="1" s="1"/>
  <c r="E34" i="4"/>
  <c r="R34" i="4" s="1"/>
  <c r="E34" i="3"/>
  <c r="H34" i="1"/>
  <c r="I34" i="1" s="1"/>
  <c r="O34" i="1" s="1"/>
  <c r="E34" i="1"/>
  <c r="E34" i="2"/>
  <c r="R34" i="2" s="1"/>
  <c r="P16" i="4"/>
  <c r="P50" i="4"/>
  <c r="H31" i="1"/>
  <c r="I31" i="1" s="1"/>
  <c r="O31" i="1" s="1"/>
  <c r="E31" i="1"/>
  <c r="E33" i="3"/>
  <c r="E33" i="2"/>
  <c r="R33" i="2" s="1"/>
  <c r="E33" i="4"/>
  <c r="R33" i="4" s="1"/>
  <c r="H33" i="1"/>
  <c r="I33" i="1" s="1"/>
  <c r="O33" i="1" s="1"/>
  <c r="E33" i="1"/>
  <c r="E45" i="3"/>
  <c r="E83" i="4"/>
  <c r="R83" i="4" s="1"/>
  <c r="P114" i="2"/>
  <c r="O54" i="6"/>
  <c r="Q54" i="6" s="1"/>
  <c r="T54" i="6"/>
  <c r="O70" i="6"/>
  <c r="Q70" i="6" s="1"/>
  <c r="T70" i="6"/>
  <c r="K124" i="1"/>
  <c r="K140" i="1" s="1"/>
  <c r="G24" i="12" s="1"/>
  <c r="D124" i="1"/>
  <c r="D140" i="1" s="1"/>
  <c r="B24" i="12" s="1"/>
  <c r="G124" i="1"/>
  <c r="G140" i="1" s="1"/>
  <c r="D24" i="12" s="1"/>
  <c r="I78" i="1"/>
  <c r="O78" i="1" s="1"/>
  <c r="G119" i="1"/>
  <c r="G139" i="1" s="1"/>
  <c r="D37" i="1"/>
  <c r="D132" i="1" s="1"/>
  <c r="I109" i="4"/>
  <c r="I16" i="4"/>
  <c r="Q16" i="4" s="1"/>
  <c r="O16" i="4"/>
  <c r="I98" i="4"/>
  <c r="Q98" i="4" s="1"/>
  <c r="M119" i="4"/>
  <c r="O69" i="4"/>
  <c r="I112" i="4"/>
  <c r="I96" i="4"/>
  <c r="I62" i="4"/>
  <c r="Q62" i="4" s="1"/>
  <c r="O124" i="4"/>
  <c r="I52" i="4"/>
  <c r="O97" i="4"/>
  <c r="O62" i="4"/>
  <c r="I97" i="4"/>
  <c r="O112" i="4"/>
  <c r="K121" i="4"/>
  <c r="K141" i="4" s="1"/>
  <c r="I47" i="4"/>
  <c r="Q47" i="4" s="1"/>
  <c r="O123" i="4"/>
  <c r="I49" i="4"/>
  <c r="P100" i="4"/>
  <c r="I127" i="4"/>
  <c r="P110" i="4"/>
  <c r="P119" i="4"/>
  <c r="O52" i="4"/>
  <c r="I114" i="4"/>
  <c r="I101" i="4"/>
  <c r="O29" i="4"/>
  <c r="P52" i="4"/>
  <c r="I90" i="4"/>
  <c r="I110" i="4"/>
  <c r="Q110" i="4" s="1"/>
  <c r="I117" i="4"/>
  <c r="Q117" i="4" s="1"/>
  <c r="P10" i="4"/>
  <c r="I76" i="4"/>
  <c r="Q76" i="4" s="1"/>
  <c r="I119" i="4"/>
  <c r="I12" i="4"/>
  <c r="Q12" i="4" s="1"/>
  <c r="P47" i="4"/>
  <c r="P114" i="4"/>
  <c r="O12" i="4"/>
  <c r="P29" i="4"/>
  <c r="I129" i="4"/>
  <c r="Q129" i="4" s="1"/>
  <c r="O74" i="4"/>
  <c r="O47" i="4"/>
  <c r="I44" i="4"/>
  <c r="Q44" i="4" s="1"/>
  <c r="I29" i="4"/>
  <c r="G126" i="4"/>
  <c r="G142" i="4" s="1"/>
  <c r="M49" i="4"/>
  <c r="I48" i="4"/>
  <c r="Q48" i="4" s="1"/>
  <c r="M123" i="4"/>
  <c r="M121" i="4" s="1"/>
  <c r="M127" i="4"/>
  <c r="M126" i="4" s="1"/>
  <c r="O11" i="4"/>
  <c r="O39" i="4"/>
  <c r="M52" i="4"/>
  <c r="M113" i="4"/>
  <c r="O77" i="4"/>
  <c r="L58" i="4"/>
  <c r="L136" i="4" s="1"/>
  <c r="I26" i="4"/>
  <c r="Q26" i="4" s="1"/>
  <c r="I25" i="4"/>
  <c r="Q25" i="4" s="1"/>
  <c r="I104" i="4"/>
  <c r="O119" i="4"/>
  <c r="I74" i="4"/>
  <c r="I77" i="4"/>
  <c r="Q77" i="4" s="1"/>
  <c r="I82" i="4"/>
  <c r="Q82" i="4" s="1"/>
  <c r="O104" i="4"/>
  <c r="P51" i="4"/>
  <c r="G88" i="4"/>
  <c r="G138" i="4" s="1"/>
  <c r="O60" i="4"/>
  <c r="I100" i="4"/>
  <c r="Q100" i="4" s="1"/>
  <c r="P12" i="4"/>
  <c r="P74" i="4"/>
  <c r="I40" i="4"/>
  <c r="I13" i="4"/>
  <c r="Q13" i="4" s="1"/>
  <c r="O13" i="4"/>
  <c r="O100" i="4"/>
  <c r="M89" i="4"/>
  <c r="P127" i="4"/>
  <c r="O22" i="4"/>
  <c r="P113" i="4"/>
  <c r="P123" i="4"/>
  <c r="H126" i="4"/>
  <c r="H142" i="4" s="1"/>
  <c r="P38" i="4"/>
  <c r="H121" i="4"/>
  <c r="H141" i="4" s="1"/>
  <c r="D24" i="4"/>
  <c r="D133" i="4" s="1"/>
  <c r="O40" i="4"/>
  <c r="P49" i="4"/>
  <c r="O25" i="4"/>
  <c r="O49" i="2"/>
  <c r="P29" i="2"/>
  <c r="M113" i="2"/>
  <c r="I78" i="2"/>
  <c r="P101" i="2"/>
  <c r="P112" i="2"/>
  <c r="O77" i="2"/>
  <c r="I38" i="2"/>
  <c r="M77" i="2"/>
  <c r="M48" i="2"/>
  <c r="P111" i="2"/>
  <c r="I127" i="2"/>
  <c r="O127" i="2"/>
  <c r="I111" i="2"/>
  <c r="P28" i="2"/>
  <c r="P77" i="2"/>
  <c r="O39" i="2"/>
  <c r="I12" i="2"/>
  <c r="I41" i="2"/>
  <c r="P50" i="2"/>
  <c r="M79" i="2"/>
  <c r="I97" i="2"/>
  <c r="I14" i="2"/>
  <c r="O112" i="2"/>
  <c r="O84" i="2"/>
  <c r="M127" i="2"/>
  <c r="O28" i="2"/>
  <c r="O119" i="2"/>
  <c r="I25" i="2"/>
  <c r="O22" i="2"/>
  <c r="H121" i="2"/>
  <c r="I102" i="2"/>
  <c r="I113" i="2"/>
  <c r="P48" i="2"/>
  <c r="I39" i="2"/>
  <c r="I99" i="2"/>
  <c r="M63" i="2"/>
  <c r="P129" i="2"/>
  <c r="D121" i="2"/>
  <c r="D141" i="2" s="1"/>
  <c r="I129" i="2"/>
  <c r="I28" i="2"/>
  <c r="I27" i="2"/>
  <c r="P122" i="2"/>
  <c r="O99" i="2"/>
  <c r="I116" i="2"/>
  <c r="O38" i="2"/>
  <c r="I40" i="2"/>
  <c r="M49" i="2"/>
  <c r="P39" i="2"/>
  <c r="I101" i="2"/>
  <c r="P97" i="2"/>
  <c r="P102" i="2"/>
  <c r="I122" i="2"/>
  <c r="O101" i="2"/>
  <c r="M22" i="2"/>
  <c r="K58" i="2"/>
  <c r="M62" i="2"/>
  <c r="P98" i="2"/>
  <c r="O78" i="2"/>
  <c r="I112" i="2"/>
  <c r="O49" i="4"/>
  <c r="O123" i="2"/>
  <c r="I79" i="2"/>
  <c r="D37" i="4"/>
  <c r="D134" i="4" s="1"/>
  <c r="M96" i="4"/>
  <c r="M31" i="2"/>
  <c r="O108" i="2"/>
  <c r="O109" i="4"/>
  <c r="I47" i="2"/>
  <c r="O90" i="2"/>
  <c r="P10" i="2"/>
  <c r="O47" i="2"/>
  <c r="P119" i="2"/>
  <c r="M109" i="4"/>
  <c r="G24" i="2"/>
  <c r="I79" i="4"/>
  <c r="O75" i="2"/>
  <c r="I113" i="4"/>
  <c r="D126" i="4"/>
  <c r="D142" i="4" s="1"/>
  <c r="M60" i="4"/>
  <c r="I100" i="2"/>
  <c r="D119" i="1"/>
  <c r="D139" i="1" s="1"/>
  <c r="I49" i="2"/>
  <c r="I103" i="4"/>
  <c r="I59" i="4"/>
  <c r="Q59" i="4" s="1"/>
  <c r="I50" i="2"/>
  <c r="I28" i="4"/>
  <c r="Q28" i="4" s="1"/>
  <c r="D24" i="1"/>
  <c r="D131" i="1" s="1"/>
  <c r="I114" i="2"/>
  <c r="O116" i="4"/>
  <c r="P11" i="2"/>
  <c r="M63" i="4"/>
  <c r="P89" i="2"/>
  <c r="D121" i="4"/>
  <c r="D141" i="4" s="1"/>
  <c r="M38" i="4"/>
  <c r="P49" i="2"/>
  <c r="I104" i="2"/>
  <c r="D95" i="1"/>
  <c r="D137" i="1" s="1"/>
  <c r="M116" i="2"/>
  <c r="O41" i="2"/>
  <c r="O90" i="4"/>
  <c r="P60" i="4"/>
  <c r="I15" i="4"/>
  <c r="G73" i="2"/>
  <c r="I26" i="2"/>
  <c r="P40" i="4"/>
  <c r="I80" i="4"/>
  <c r="Q80" i="4" s="1"/>
  <c r="O31" i="2"/>
  <c r="I10" i="4"/>
  <c r="Q10" i="4" s="1"/>
  <c r="P61" i="2"/>
  <c r="I90" i="2"/>
  <c r="D88" i="4"/>
  <c r="D138" i="4" s="1"/>
  <c r="G121" i="4"/>
  <c r="G141" i="4" s="1"/>
  <c r="P116" i="2"/>
  <c r="M50" i="2"/>
  <c r="G121" i="2"/>
  <c r="P122" i="4"/>
  <c r="I78" i="4"/>
  <c r="Q78" i="4" s="1"/>
  <c r="O104" i="2"/>
  <c r="P117" i="4"/>
  <c r="M89" i="2"/>
  <c r="G37" i="1"/>
  <c r="G132" i="1" s="1"/>
  <c r="L126" i="4"/>
  <c r="L142" i="4" s="1"/>
  <c r="I123" i="2"/>
  <c r="P62" i="2"/>
  <c r="M74" i="4"/>
  <c r="O26" i="2"/>
  <c r="O92" i="4"/>
  <c r="M101" i="2"/>
  <c r="L126" i="2"/>
  <c r="P100" i="2"/>
  <c r="P96" i="4"/>
  <c r="O129" i="4"/>
  <c r="K126" i="4"/>
  <c r="K142" i="4" s="1"/>
  <c r="K37" i="1"/>
  <c r="K132" i="1" s="1"/>
  <c r="M41" i="2"/>
  <c r="I60" i="4"/>
  <c r="L121" i="4"/>
  <c r="L141" i="4" s="1"/>
  <c r="O114" i="2"/>
  <c r="M90" i="4"/>
  <c r="O81" i="2"/>
  <c r="P79" i="2"/>
  <c r="K9" i="1"/>
  <c r="K130" i="1" s="1"/>
  <c r="I122" i="4"/>
  <c r="Q122" i="4" s="1"/>
  <c r="P128" i="4"/>
  <c r="I81" i="4"/>
  <c r="Q81" i="4" s="1"/>
  <c r="P48" i="4"/>
  <c r="P41" i="4"/>
  <c r="G88" i="2"/>
  <c r="O86" i="2"/>
  <c r="P76" i="4"/>
  <c r="D46" i="1"/>
  <c r="D133" i="1" s="1"/>
  <c r="P111" i="4"/>
  <c r="I82" i="2"/>
  <c r="D9" i="4"/>
  <c r="D132" i="4" s="1"/>
  <c r="P59" i="4"/>
  <c r="D9" i="2"/>
  <c r="D132" i="2" s="1"/>
  <c r="O113" i="4"/>
  <c r="O76" i="2"/>
  <c r="G95" i="1"/>
  <c r="G137" i="1" s="1"/>
  <c r="K73" i="1"/>
  <c r="K135" i="1" s="1"/>
  <c r="P104" i="2"/>
  <c r="D37" i="2"/>
  <c r="D134" i="2" s="1"/>
  <c r="M115" i="2"/>
  <c r="G9" i="4"/>
  <c r="G132" i="4" s="1"/>
  <c r="H9" i="4"/>
  <c r="H132" i="4" s="1"/>
  <c r="G73" i="4"/>
  <c r="G137" i="4" s="1"/>
  <c r="M86" i="2"/>
  <c r="H58" i="2"/>
  <c r="I69" i="4"/>
  <c r="L58" i="2"/>
  <c r="I61" i="2"/>
  <c r="G58" i="1"/>
  <c r="G134" i="1" s="1"/>
  <c r="K58" i="1"/>
  <c r="K134" i="1" s="1"/>
  <c r="M61" i="2"/>
  <c r="G58" i="2"/>
  <c r="G107" i="4"/>
  <c r="G140" i="4" s="1"/>
  <c r="M119" i="2"/>
  <c r="I59" i="2"/>
  <c r="P78" i="4"/>
  <c r="P127" i="2"/>
  <c r="O59" i="2"/>
  <c r="I84" i="2"/>
  <c r="O81" i="4"/>
  <c r="P30" i="2"/>
  <c r="O28" i="4"/>
  <c r="G46" i="4"/>
  <c r="G135" i="4" s="1"/>
  <c r="P105" i="4"/>
  <c r="P103" i="4"/>
  <c r="P39" i="4"/>
  <c r="I31" i="4"/>
  <c r="G46" i="1"/>
  <c r="G133" i="1" s="1"/>
  <c r="K95" i="1"/>
  <c r="K137" i="1" s="1"/>
  <c r="I92" i="4"/>
  <c r="Q92" i="4" s="1"/>
  <c r="I105" i="2"/>
  <c r="K24" i="2"/>
  <c r="D9" i="1"/>
  <c r="D130" i="1" s="1"/>
  <c r="D58" i="1"/>
  <c r="D134" i="1" s="1"/>
  <c r="O129" i="2"/>
  <c r="P109" i="2"/>
  <c r="M103" i="4"/>
  <c r="I51" i="2"/>
  <c r="H58" i="4"/>
  <c r="H136" i="4" s="1"/>
  <c r="D58" i="4"/>
  <c r="D136" i="4" s="1"/>
  <c r="D58" i="2"/>
  <c r="D136" i="2" s="1"/>
  <c r="O25" i="2"/>
  <c r="I86" i="2"/>
  <c r="M129" i="2"/>
  <c r="D107" i="4"/>
  <c r="D140" i="4" s="1"/>
  <c r="G9" i="1"/>
  <c r="G130" i="1" s="1"/>
  <c r="G126" i="2"/>
  <c r="O40" i="2"/>
  <c r="M112" i="4"/>
  <c r="I60" i="2"/>
  <c r="D95" i="2"/>
  <c r="D139" i="2" s="1"/>
  <c r="P25" i="2"/>
  <c r="K46" i="1"/>
  <c r="K133" i="1" s="1"/>
  <c r="D46" i="4"/>
  <c r="D135" i="4" s="1"/>
  <c r="M53" i="2"/>
  <c r="H46" i="4"/>
  <c r="H135" i="4" s="1"/>
  <c r="O44" i="4"/>
  <c r="G37" i="4"/>
  <c r="G134" i="4" s="1"/>
  <c r="M40" i="4"/>
  <c r="M99" i="4"/>
  <c r="M25" i="2"/>
  <c r="M69" i="4"/>
  <c r="O60" i="2"/>
  <c r="I83" i="2"/>
  <c r="I118" i="2"/>
  <c r="P52" i="2"/>
  <c r="G88" i="1"/>
  <c r="G136" i="1" s="1"/>
  <c r="D73" i="4"/>
  <c r="D137" i="4" s="1"/>
  <c r="G73" i="1"/>
  <c r="G135" i="1" s="1"/>
  <c r="O41" i="4"/>
  <c r="I41" i="4"/>
  <c r="O75" i="4"/>
  <c r="P83" i="2"/>
  <c r="H24" i="2"/>
  <c r="P31" i="4"/>
  <c r="I102" i="4"/>
  <c r="G24" i="1"/>
  <c r="G131" i="1" s="1"/>
  <c r="M78" i="2"/>
  <c r="D107" i="1"/>
  <c r="D138" i="1" s="1"/>
  <c r="I30" i="2"/>
  <c r="P105" i="2"/>
  <c r="I52" i="2"/>
  <c r="O83" i="2"/>
  <c r="P74" i="2"/>
  <c r="D73" i="2"/>
  <c r="D137" i="2" s="1"/>
  <c r="K58" i="4"/>
  <c r="K136" i="4" s="1"/>
  <c r="D88" i="1"/>
  <c r="D136" i="1" s="1"/>
  <c r="D95" i="4"/>
  <c r="D139" i="4" s="1"/>
  <c r="D126" i="2"/>
  <c r="D142" i="2" s="1"/>
  <c r="B17" i="12" s="1"/>
  <c r="P80" i="2"/>
  <c r="P31" i="2"/>
  <c r="P80" i="4"/>
  <c r="D24" i="2"/>
  <c r="D133" i="2" s="1"/>
  <c r="P27" i="2"/>
  <c r="K73" i="4"/>
  <c r="K137" i="4" s="1"/>
  <c r="M74" i="2"/>
  <c r="P14" i="4"/>
  <c r="O52" i="2"/>
  <c r="D46" i="2"/>
  <c r="D135" i="2" s="1"/>
  <c r="I31" i="2"/>
  <c r="D88" i="2"/>
  <c r="D138" i="2" s="1"/>
  <c r="L73" i="4"/>
  <c r="L137" i="4" s="1"/>
  <c r="D73" i="1"/>
  <c r="D135" i="1" s="1"/>
  <c r="M32" i="4"/>
  <c r="Q32" i="4" s="1"/>
  <c r="O30" i="2"/>
  <c r="M30" i="2"/>
  <c r="L24" i="2"/>
  <c r="M31" i="4"/>
  <c r="K24" i="1"/>
  <c r="K131" i="1" s="1"/>
  <c r="O26" i="4"/>
  <c r="M22" i="4"/>
  <c r="Q22" i="4" s="1"/>
  <c r="P22" i="4"/>
  <c r="M105" i="4"/>
  <c r="M83" i="2"/>
  <c r="L73" i="2"/>
  <c r="K88" i="1"/>
  <c r="K136" i="1" s="1"/>
  <c r="I14" i="4"/>
  <c r="P51" i="2"/>
  <c r="O109" i="2"/>
  <c r="P101" i="4"/>
  <c r="K9" i="4"/>
  <c r="K132" i="4" s="1"/>
  <c r="L9" i="4"/>
  <c r="L132" i="4" s="1"/>
  <c r="O14" i="4"/>
  <c r="M14" i="4"/>
  <c r="O14" i="2"/>
  <c r="O64" i="6"/>
  <c r="Q64" i="6" s="1"/>
  <c r="T64" i="6"/>
  <c r="O76" i="6"/>
  <c r="Q76" i="6" s="1"/>
  <c r="T76" i="6"/>
  <c r="O10" i="6"/>
  <c r="Q10" i="6" s="1"/>
  <c r="T10" i="6"/>
  <c r="O28" i="6"/>
  <c r="Q28" i="6" s="1"/>
  <c r="T28" i="6"/>
  <c r="O63" i="6"/>
  <c r="Q63" i="6" s="1"/>
  <c r="T63" i="6"/>
  <c r="O55" i="6"/>
  <c r="Q55" i="6" s="1"/>
  <c r="T55" i="6"/>
  <c r="O16" i="6"/>
  <c r="Q16" i="6" s="1"/>
  <c r="T16" i="6"/>
  <c r="O39" i="6"/>
  <c r="Q39" i="6" s="1"/>
  <c r="T39" i="6"/>
  <c r="O7" i="6"/>
  <c r="Q7" i="6" s="1"/>
  <c r="T7" i="6"/>
  <c r="O77" i="6"/>
  <c r="Q77" i="6" s="1"/>
  <c r="T77" i="6"/>
  <c r="O65" i="6"/>
  <c r="Q65" i="6" s="1"/>
  <c r="T65" i="6"/>
  <c r="O31" i="6"/>
  <c r="Q31" i="6" s="1"/>
  <c r="T31" i="6"/>
  <c r="O44" i="6"/>
  <c r="Q44" i="6" s="1"/>
  <c r="T44" i="6"/>
  <c r="O46" i="6"/>
  <c r="Q46" i="6" s="1"/>
  <c r="T46" i="6"/>
  <c r="O25" i="6"/>
  <c r="Q25" i="6" s="1"/>
  <c r="T25" i="6"/>
  <c r="O20" i="6"/>
  <c r="Q20" i="6" s="1"/>
  <c r="T20" i="6"/>
  <c r="O74" i="6"/>
  <c r="Q74" i="6" s="1"/>
  <c r="T74" i="6"/>
  <c r="O53" i="6"/>
  <c r="Q53" i="6" s="1"/>
  <c r="T53" i="6"/>
  <c r="O67" i="6"/>
  <c r="Q67" i="6" s="1"/>
  <c r="T67" i="6"/>
  <c r="O33" i="6"/>
  <c r="Q33" i="6" s="1"/>
  <c r="T33" i="6"/>
  <c r="O41" i="6"/>
  <c r="Q41" i="6" s="1"/>
  <c r="T41" i="6"/>
  <c r="O19" i="6"/>
  <c r="Q19" i="6" s="1"/>
  <c r="T19" i="6"/>
  <c r="O8" i="6"/>
  <c r="Q8" i="6" s="1"/>
  <c r="T8" i="6"/>
  <c r="O68" i="6"/>
  <c r="Q68" i="6" s="1"/>
  <c r="T68" i="6"/>
  <c r="O75" i="6"/>
  <c r="Q75" i="6" s="1"/>
  <c r="T75" i="6"/>
  <c r="O69" i="6"/>
  <c r="Q69" i="6" s="1"/>
  <c r="T69" i="6"/>
  <c r="O11" i="6"/>
  <c r="Q11" i="6" s="1"/>
  <c r="T11" i="6"/>
  <c r="O71" i="6"/>
  <c r="Q71" i="6" s="1"/>
  <c r="T71" i="6"/>
  <c r="O42" i="6"/>
  <c r="Q42" i="6" s="1"/>
  <c r="T42" i="6"/>
  <c r="O14" i="6"/>
  <c r="Q14" i="6" s="1"/>
  <c r="T14" i="6"/>
  <c r="O24" i="6"/>
  <c r="Q24" i="6" s="1"/>
  <c r="T24" i="6"/>
  <c r="AB84" i="6"/>
  <c r="AD84" i="6" s="1"/>
  <c r="M84" i="6"/>
  <c r="H75" i="6"/>
  <c r="J75" i="6" s="1"/>
  <c r="M75" i="6"/>
  <c r="H8" i="6"/>
  <c r="J8" i="6" s="1"/>
  <c r="M8" i="6"/>
  <c r="H62" i="6"/>
  <c r="J62" i="6" s="1"/>
  <c r="M62" i="6"/>
  <c r="H10" i="6"/>
  <c r="J10" i="6" s="1"/>
  <c r="M10" i="6"/>
  <c r="H64" i="6"/>
  <c r="J64" i="6" s="1"/>
  <c r="M64" i="6"/>
  <c r="H74" i="6"/>
  <c r="J74" i="6" s="1"/>
  <c r="M74" i="6"/>
  <c r="H27" i="6"/>
  <c r="J27" i="6" s="1"/>
  <c r="M27" i="6"/>
  <c r="H31" i="6"/>
  <c r="J31" i="6" s="1"/>
  <c r="M31" i="6"/>
  <c r="H30" i="6"/>
  <c r="J30" i="6" s="1"/>
  <c r="M30" i="6"/>
  <c r="H46" i="6"/>
  <c r="J46" i="6" s="1"/>
  <c r="M46" i="6"/>
  <c r="H16" i="6"/>
  <c r="J16" i="6" s="1"/>
  <c r="M16" i="6"/>
  <c r="H22" i="6"/>
  <c r="J22" i="6" s="1"/>
  <c r="M22" i="6"/>
  <c r="H28" i="6"/>
  <c r="J28" i="6" s="1"/>
  <c r="M28" i="6"/>
  <c r="AB85" i="6"/>
  <c r="AD85" i="6" s="1"/>
  <c r="M85" i="6"/>
  <c r="J7" i="6"/>
  <c r="M7" i="6"/>
  <c r="H19" i="6"/>
  <c r="J19" i="6" s="1"/>
  <c r="M19" i="6"/>
  <c r="H42" i="6"/>
  <c r="J42" i="6" s="1"/>
  <c r="M42" i="6"/>
  <c r="H39" i="6"/>
  <c r="J39" i="6" s="1"/>
  <c r="M39" i="6"/>
  <c r="H77" i="6"/>
  <c r="J77" i="6" s="1"/>
  <c r="M77" i="6"/>
  <c r="H38" i="6"/>
  <c r="J38" i="6" s="1"/>
  <c r="M38" i="6"/>
  <c r="H17" i="6"/>
  <c r="J17" i="6" s="1"/>
  <c r="M17" i="6"/>
  <c r="H76" i="6"/>
  <c r="J76" i="6" s="1"/>
  <c r="M76" i="6"/>
  <c r="H20" i="6"/>
  <c r="J20" i="6" s="1"/>
  <c r="M20" i="6"/>
  <c r="H53" i="6"/>
  <c r="J53" i="6" s="1"/>
  <c r="M53" i="6"/>
  <c r="H33" i="6"/>
  <c r="J33" i="6" s="1"/>
  <c r="M33" i="6"/>
  <c r="H44" i="6"/>
  <c r="J44" i="6" s="1"/>
  <c r="M44" i="6"/>
  <c r="H55" i="6"/>
  <c r="J55" i="6" s="1"/>
  <c r="M55" i="6"/>
  <c r="H78" i="6"/>
  <c r="J78" i="6" s="1"/>
  <c r="M78" i="6"/>
  <c r="G7" i="12"/>
  <c r="G82" i="6"/>
  <c r="AB83" i="6"/>
  <c r="AD83" i="6" s="1"/>
  <c r="K82" i="6"/>
  <c r="M82" i="6" s="1"/>
  <c r="U82" i="6"/>
  <c r="W82" i="6" s="1"/>
  <c r="P122" i="3"/>
  <c r="E11" i="3"/>
  <c r="E123" i="4"/>
  <c r="E101" i="1"/>
  <c r="E129" i="3"/>
  <c r="H86" i="1"/>
  <c r="I86" i="1" s="1"/>
  <c r="O86" i="1" s="1"/>
  <c r="E117" i="1"/>
  <c r="E27" i="4"/>
  <c r="H10" i="1"/>
  <c r="I10" i="1" s="1"/>
  <c r="O10" i="1" s="1"/>
  <c r="E129" i="2"/>
  <c r="E103" i="3"/>
  <c r="H38" i="1"/>
  <c r="I38" i="1" s="1"/>
  <c r="O38" i="1" s="1"/>
  <c r="E97" i="1"/>
  <c r="E16" i="3"/>
  <c r="E115" i="4"/>
  <c r="E115" i="1"/>
  <c r="E116" i="3"/>
  <c r="E115" i="2"/>
  <c r="E35" i="4"/>
  <c r="E36" i="3"/>
  <c r="E57" i="3"/>
  <c r="E56" i="1"/>
  <c r="H56" i="1"/>
  <c r="I56" i="1" s="1"/>
  <c r="O56" i="1" s="1"/>
  <c r="E56" i="4"/>
  <c r="E56" i="2"/>
  <c r="E103" i="2"/>
  <c r="E112" i="1"/>
  <c r="E114" i="1"/>
  <c r="E60" i="2"/>
  <c r="E62" i="3"/>
  <c r="E61" i="4"/>
  <c r="E61" i="2"/>
  <c r="E61" i="1"/>
  <c r="H61" i="1"/>
  <c r="I61" i="1" s="1"/>
  <c r="O61" i="1" s="1"/>
  <c r="H13" i="1"/>
  <c r="I13" i="1" s="1"/>
  <c r="O13" i="1" s="1"/>
  <c r="E15" i="3"/>
  <c r="E41" i="2"/>
  <c r="H116" i="1"/>
  <c r="I116" i="1" s="1"/>
  <c r="O116" i="1" s="1"/>
  <c r="H113" i="1"/>
  <c r="I113" i="1" s="1"/>
  <c r="O113" i="1" s="1"/>
  <c r="H108" i="1"/>
  <c r="I108" i="1" s="1"/>
  <c r="O108" i="1" s="1"/>
  <c r="H84" i="1"/>
  <c r="I84" i="1" s="1"/>
  <c r="O84" i="1" s="1"/>
  <c r="E84" i="1"/>
  <c r="E84" i="2"/>
  <c r="E85" i="3"/>
  <c r="E47" i="2"/>
  <c r="E106" i="3"/>
  <c r="E101" i="3"/>
  <c r="E98" i="1"/>
  <c r="E35" i="2"/>
  <c r="E90" i="3"/>
  <c r="E110" i="2"/>
  <c r="E39" i="1"/>
  <c r="E31" i="2"/>
  <c r="E31" i="4"/>
  <c r="E31" i="3"/>
  <c r="E83" i="3"/>
  <c r="E90" i="4"/>
  <c r="E111" i="4"/>
  <c r="E87" i="3"/>
  <c r="E86" i="2"/>
  <c r="E14" i="2"/>
  <c r="E91" i="2"/>
  <c r="H115" i="1"/>
  <c r="I115" i="1" s="1"/>
  <c r="O115" i="1" s="1"/>
  <c r="H27" i="1"/>
  <c r="I27" i="1" s="1"/>
  <c r="O27" i="1" s="1"/>
  <c r="E27" i="3"/>
  <c r="E27" i="2"/>
  <c r="E27" i="1"/>
  <c r="P26" i="2"/>
  <c r="M26" i="2"/>
  <c r="H95" i="2"/>
  <c r="K46" i="2"/>
  <c r="P127" i="3"/>
  <c r="L95" i="4"/>
  <c r="L139" i="4" s="1"/>
  <c r="M92" i="2"/>
  <c r="H46" i="2"/>
  <c r="M56" i="2"/>
  <c r="L24" i="4"/>
  <c r="L133" i="4" s="1"/>
  <c r="P97" i="4"/>
  <c r="O79" i="4"/>
  <c r="M15" i="4"/>
  <c r="M97" i="4"/>
  <c r="K37" i="4"/>
  <c r="K134" i="4" s="1"/>
  <c r="O15" i="4"/>
  <c r="M111" i="2"/>
  <c r="M52" i="2"/>
  <c r="M118" i="4"/>
  <c r="Q118" i="4" s="1"/>
  <c r="M102" i="2"/>
  <c r="L95" i="2"/>
  <c r="P56" i="2"/>
  <c r="P115" i="2"/>
  <c r="G24" i="4"/>
  <c r="G133" i="4" s="1"/>
  <c r="P92" i="2"/>
  <c r="M101" i="4"/>
  <c r="P128" i="2"/>
  <c r="M13" i="2"/>
  <c r="L88" i="2"/>
  <c r="P103" i="2"/>
  <c r="M128" i="2"/>
  <c r="P27" i="4"/>
  <c r="P118" i="2"/>
  <c r="H126" i="2"/>
  <c r="I128" i="2"/>
  <c r="I27" i="4"/>
  <c r="Q27" i="4" s="1"/>
  <c r="P91" i="4"/>
  <c r="O35" i="2"/>
  <c r="L88" i="4"/>
  <c r="L138" i="4" s="1"/>
  <c r="O35" i="4"/>
  <c r="M96" i="2"/>
  <c r="P15" i="2"/>
  <c r="O61" i="4"/>
  <c r="I35" i="2"/>
  <c r="I119" i="2"/>
  <c r="L9" i="2"/>
  <c r="O103" i="4"/>
  <c r="M39" i="4"/>
  <c r="O98" i="4"/>
  <c r="M30" i="4"/>
  <c r="M51" i="4"/>
  <c r="P30" i="4"/>
  <c r="O93" i="4"/>
  <c r="G95" i="2"/>
  <c r="E101" i="4"/>
  <c r="G46" i="2"/>
  <c r="O91" i="2"/>
  <c r="O53" i="2"/>
  <c r="O108" i="4"/>
  <c r="K126" i="2"/>
  <c r="I103" i="2"/>
  <c r="E118" i="3"/>
  <c r="O128" i="2"/>
  <c r="O111" i="2"/>
  <c r="G95" i="4"/>
  <c r="G139" i="4" s="1"/>
  <c r="M104" i="4"/>
  <c r="M97" i="2"/>
  <c r="I96" i="2"/>
  <c r="P96" i="2"/>
  <c r="P116" i="4"/>
  <c r="M124" i="2"/>
  <c r="K121" i="2"/>
  <c r="M109" i="2"/>
  <c r="K46" i="4"/>
  <c r="K135" i="4" s="1"/>
  <c r="P13" i="2"/>
  <c r="I75" i="4"/>
  <c r="Q75" i="4" s="1"/>
  <c r="M56" i="4"/>
  <c r="Q56" i="4" s="1"/>
  <c r="H9" i="2"/>
  <c r="K88" i="4"/>
  <c r="K138" i="4" s="1"/>
  <c r="H73" i="4"/>
  <c r="H137" i="4" s="1"/>
  <c r="H37" i="2"/>
  <c r="I13" i="2"/>
  <c r="O97" i="2"/>
  <c r="O31" i="4"/>
  <c r="G58" i="4"/>
  <c r="G136" i="4" s="1"/>
  <c r="I61" i="4"/>
  <c r="H24" i="4"/>
  <c r="H133" i="4" s="1"/>
  <c r="I116" i="4"/>
  <c r="M108" i="4"/>
  <c r="M116" i="4"/>
  <c r="P32" i="4"/>
  <c r="P108" i="4"/>
  <c r="K95" i="4"/>
  <c r="K139" i="4" s="1"/>
  <c r="O16" i="2"/>
  <c r="L107" i="2"/>
  <c r="I108" i="4"/>
  <c r="M50" i="4"/>
  <c r="Q50" i="4" s="1"/>
  <c r="I91" i="2"/>
  <c r="M102" i="4"/>
  <c r="K107" i="1"/>
  <c r="K138" i="1" s="1"/>
  <c r="M40" i="2"/>
  <c r="M114" i="4"/>
  <c r="K37" i="2"/>
  <c r="P35" i="2"/>
  <c r="I15" i="2"/>
  <c r="I98" i="2"/>
  <c r="M103" i="2"/>
  <c r="M93" i="2"/>
  <c r="H107" i="4"/>
  <c r="H140" i="4" s="1"/>
  <c r="I16" i="2"/>
  <c r="L46" i="4"/>
  <c r="L135" i="4" s="1"/>
  <c r="D107" i="2"/>
  <c r="D140" i="2" s="1"/>
  <c r="M115" i="4"/>
  <c r="Q115" i="4" s="1"/>
  <c r="O102" i="4"/>
  <c r="P117" i="2"/>
  <c r="K24" i="4"/>
  <c r="K133" i="4" s="1"/>
  <c r="G107" i="1"/>
  <c r="G138" i="1" s="1"/>
  <c r="H95" i="4"/>
  <c r="H139" i="4" s="1"/>
  <c r="P53" i="4"/>
  <c r="H37" i="4"/>
  <c r="H134" i="4" s="1"/>
  <c r="M61" i="4"/>
  <c r="H88" i="4"/>
  <c r="H138" i="4" s="1"/>
  <c r="I93" i="4"/>
  <c r="Q93" i="4" s="1"/>
  <c r="M79" i="4"/>
  <c r="P104" i="4"/>
  <c r="M35" i="4"/>
  <c r="Q35" i="4" s="1"/>
  <c r="I39" i="4"/>
  <c r="M53" i="4"/>
  <c r="M35" i="2"/>
  <c r="I75" i="2"/>
  <c r="M110" i="2"/>
  <c r="P82" i="2"/>
  <c r="P110" i="2"/>
  <c r="P93" i="2"/>
  <c r="H107" i="2"/>
  <c r="I110" i="2"/>
  <c r="M82" i="2"/>
  <c r="I117" i="2"/>
  <c r="I44" i="2"/>
  <c r="O51" i="4"/>
  <c r="G37" i="2"/>
  <c r="O12" i="2"/>
  <c r="L46" i="2"/>
  <c r="P61" i="4"/>
  <c r="G9" i="2"/>
  <c r="G107" i="2"/>
  <c r="K119" i="1"/>
  <c r="K139" i="1" s="1"/>
  <c r="O82" i="2"/>
  <c r="O110" i="2"/>
  <c r="P112" i="4"/>
  <c r="K107" i="4"/>
  <c r="K140" i="4" s="1"/>
  <c r="K73" i="2"/>
  <c r="H73" i="2"/>
  <c r="O44" i="2"/>
  <c r="K88" i="2"/>
  <c r="L37" i="4"/>
  <c r="L134" i="4" s="1"/>
  <c r="O103" i="2"/>
  <c r="K9" i="2"/>
  <c r="I93" i="2"/>
  <c r="I109" i="2"/>
  <c r="K107" i="2"/>
  <c r="O118" i="4"/>
  <c r="K95" i="2"/>
  <c r="I51" i="4"/>
  <c r="H88" i="2"/>
  <c r="L107" i="4"/>
  <c r="L140" i="4" s="1"/>
  <c r="M41" i="4"/>
  <c r="E99" i="2"/>
  <c r="E99" i="4"/>
  <c r="E99" i="1"/>
  <c r="E100" i="3"/>
  <c r="H99" i="1"/>
  <c r="I99" i="1" s="1"/>
  <c r="O99" i="1" s="1"/>
  <c r="E104" i="1"/>
  <c r="H104" i="1"/>
  <c r="I104" i="1" s="1"/>
  <c r="O104" i="1" s="1"/>
  <c r="E105" i="3"/>
  <c r="E104" i="2"/>
  <c r="E104" i="4"/>
  <c r="E101" i="2"/>
  <c r="H101" i="1"/>
  <c r="I101" i="1" s="1"/>
  <c r="O101" i="1" s="1"/>
  <c r="E102" i="3"/>
  <c r="H51" i="1"/>
  <c r="I51" i="1" s="1"/>
  <c r="O51" i="1" s="1"/>
  <c r="H50" i="1"/>
  <c r="I50" i="1" s="1"/>
  <c r="O50" i="1" s="1"/>
  <c r="E50" i="4"/>
  <c r="E50" i="2"/>
  <c r="E51" i="3"/>
  <c r="E50" i="1"/>
  <c r="H93" i="1"/>
  <c r="I93" i="1" s="1"/>
  <c r="O93" i="1" s="1"/>
  <c r="E49" i="4"/>
  <c r="E49" i="1"/>
  <c r="H49" i="1"/>
  <c r="I49" i="1" s="1"/>
  <c r="O49" i="1" s="1"/>
  <c r="E49" i="2"/>
  <c r="E50" i="3"/>
  <c r="E92" i="1"/>
  <c r="E48" i="4"/>
  <c r="E48" i="1"/>
  <c r="E49" i="3"/>
  <c r="E48" i="2"/>
  <c r="H48" i="1"/>
  <c r="I48" i="1" s="1"/>
  <c r="O48" i="1" s="1"/>
  <c r="H52" i="1"/>
  <c r="I52" i="1" s="1"/>
  <c r="O52" i="1" s="1"/>
  <c r="E52" i="4"/>
  <c r="E52" i="1"/>
  <c r="E52" i="2"/>
  <c r="E53" i="3"/>
  <c r="Q101" i="3"/>
  <c r="H53" i="1"/>
  <c r="I53" i="1" s="1"/>
  <c r="O53" i="1" s="1"/>
  <c r="E53" i="2"/>
  <c r="E53" i="4"/>
  <c r="E53" i="1"/>
  <c r="E54" i="3"/>
  <c r="E63" i="3"/>
  <c r="Q54" i="3"/>
  <c r="E69" i="4"/>
  <c r="E69" i="2"/>
  <c r="O69" i="2"/>
  <c r="M69" i="2"/>
  <c r="Q116" i="3"/>
  <c r="Q64" i="3"/>
  <c r="Q91" i="4"/>
  <c r="H41" i="1"/>
  <c r="I41" i="1" s="1"/>
  <c r="O41" i="1" s="1"/>
  <c r="E105" i="2"/>
  <c r="E94" i="3"/>
  <c r="Q105" i="3"/>
  <c r="Q102" i="3"/>
  <c r="P38" i="3"/>
  <c r="E110" i="1"/>
  <c r="Q75" i="3"/>
  <c r="H89" i="1"/>
  <c r="I89" i="1" s="1"/>
  <c r="O89" i="1" s="1"/>
  <c r="Q117" i="3"/>
  <c r="Q28" i="3"/>
  <c r="P47" i="3"/>
  <c r="E117" i="2"/>
  <c r="H117" i="1"/>
  <c r="I117" i="1" s="1"/>
  <c r="O117" i="1" s="1"/>
  <c r="E117" i="4"/>
  <c r="E93" i="1"/>
  <c r="E93" i="4"/>
  <c r="Q124" i="3"/>
  <c r="E113" i="4"/>
  <c r="Q60" i="3"/>
  <c r="E93" i="2"/>
  <c r="E63" i="1"/>
  <c r="Q51" i="3"/>
  <c r="E105" i="4"/>
  <c r="E105" i="1"/>
  <c r="Q103" i="3"/>
  <c r="H105" i="1"/>
  <c r="I105" i="1" s="1"/>
  <c r="O105" i="1" s="1"/>
  <c r="Q119" i="3"/>
  <c r="Q91" i="3"/>
  <c r="O47" i="3"/>
  <c r="P74" i="3"/>
  <c r="E96" i="4"/>
  <c r="E103" i="4"/>
  <c r="E103" i="1"/>
  <c r="E104" i="3"/>
  <c r="E91" i="4"/>
  <c r="P9" i="3"/>
  <c r="Q27" i="3"/>
  <c r="H103" i="1"/>
  <c r="I103" i="1" s="1"/>
  <c r="O103" i="1" s="1"/>
  <c r="H111" i="1"/>
  <c r="I111" i="1" s="1"/>
  <c r="O111" i="1" s="1"/>
  <c r="H126" i="1"/>
  <c r="I126" i="1" s="1"/>
  <c r="O126" i="1" s="1"/>
  <c r="Q128" i="3"/>
  <c r="E121" i="1"/>
  <c r="E124" i="3"/>
  <c r="E123" i="2"/>
  <c r="E51" i="4"/>
  <c r="H121" i="1"/>
  <c r="I121" i="1" s="1"/>
  <c r="O121" i="1" s="1"/>
  <c r="E52" i="3"/>
  <c r="E51" i="1"/>
  <c r="E118" i="4"/>
  <c r="P108" i="3"/>
  <c r="M127" i="3"/>
  <c r="Q129" i="3"/>
  <c r="E119" i="3"/>
  <c r="Q50" i="3"/>
  <c r="H82" i="1"/>
  <c r="I82" i="1" s="1"/>
  <c r="O82" i="1" s="1"/>
  <c r="E38" i="2"/>
  <c r="E38" i="1"/>
  <c r="Q79" i="3"/>
  <c r="E16" i="1"/>
  <c r="E26" i="1"/>
  <c r="Q80" i="3"/>
  <c r="E16" i="4"/>
  <c r="E16" i="2"/>
  <c r="E39" i="3"/>
  <c r="E38" i="4"/>
  <c r="H16" i="1"/>
  <c r="I16" i="1" s="1"/>
  <c r="O16" i="1" s="1"/>
  <c r="E51" i="2"/>
  <c r="E114" i="2"/>
  <c r="H114" i="1"/>
  <c r="I114" i="1" s="1"/>
  <c r="O114" i="1" s="1"/>
  <c r="E114" i="4"/>
  <c r="E115" i="3"/>
  <c r="Q99" i="3"/>
  <c r="Q62" i="3"/>
  <c r="H63" i="1"/>
  <c r="I63" i="1" s="1"/>
  <c r="O63" i="1" s="1"/>
  <c r="H26" i="1"/>
  <c r="I26" i="1" s="1"/>
  <c r="O26" i="1" s="1"/>
  <c r="E123" i="3"/>
  <c r="E99" i="3"/>
  <c r="E26" i="4"/>
  <c r="H98" i="1"/>
  <c r="I98" i="1" s="1"/>
  <c r="O98" i="1" s="1"/>
  <c r="E26" i="2"/>
  <c r="E98" i="2"/>
  <c r="E26" i="3"/>
  <c r="Q112" i="3"/>
  <c r="H110" i="1"/>
  <c r="I110" i="1" s="1"/>
  <c r="O110" i="1" s="1"/>
  <c r="E78" i="2"/>
  <c r="Q78" i="3"/>
  <c r="E79" i="3"/>
  <c r="E98" i="4"/>
  <c r="E63" i="4"/>
  <c r="Q114" i="3"/>
  <c r="E64" i="3"/>
  <c r="E15" i="4"/>
  <c r="Q109" i="3"/>
  <c r="E15" i="1"/>
  <c r="E102" i="1"/>
  <c r="E63" i="2"/>
  <c r="Q57" i="3"/>
  <c r="Q12" i="3"/>
  <c r="E112" i="2"/>
  <c r="Q41" i="3"/>
  <c r="H120" i="1"/>
  <c r="I120" i="1" s="1"/>
  <c r="O120" i="1" s="1"/>
  <c r="E122" i="4"/>
  <c r="Q13" i="3"/>
  <c r="Q25" i="3"/>
  <c r="E120" i="1"/>
  <c r="Q81" i="3"/>
  <c r="E47" i="1"/>
  <c r="E47" i="4"/>
  <c r="Q113" i="3"/>
  <c r="E92" i="3"/>
  <c r="E59" i="4"/>
  <c r="Q94" i="3"/>
  <c r="E102" i="2"/>
  <c r="H91" i="1"/>
  <c r="I91" i="1" s="1"/>
  <c r="O91" i="1" s="1"/>
  <c r="Q16" i="3"/>
  <c r="E48" i="3"/>
  <c r="H60" i="1"/>
  <c r="I60" i="1" s="1"/>
  <c r="O60" i="1" s="1"/>
  <c r="Q85" i="3"/>
  <c r="E109" i="4"/>
  <c r="Q61" i="3"/>
  <c r="E91" i="1"/>
  <c r="Q29" i="3"/>
  <c r="H47" i="1"/>
  <c r="I47" i="1" s="1"/>
  <c r="O47" i="1" s="1"/>
  <c r="E41" i="4"/>
  <c r="O59" i="3"/>
  <c r="H127" i="1"/>
  <c r="I127" i="1" s="1"/>
  <c r="O127" i="1" s="1"/>
  <c r="E116" i="4"/>
  <c r="E97" i="3"/>
  <c r="E42" i="3"/>
  <c r="E109" i="3"/>
  <c r="E130" i="3"/>
  <c r="E128" i="2"/>
  <c r="E116" i="2"/>
  <c r="E96" i="1"/>
  <c r="E127" i="1"/>
  <c r="E128" i="4"/>
  <c r="H96" i="1"/>
  <c r="I96" i="1" s="1"/>
  <c r="O96" i="1" s="1"/>
  <c r="E41" i="1"/>
  <c r="E129" i="4"/>
  <c r="E126" i="1"/>
  <c r="E108" i="1"/>
  <c r="Q49" i="3"/>
  <c r="E111" i="1"/>
  <c r="Q26" i="3"/>
  <c r="E60" i="4"/>
  <c r="Q30" i="3"/>
  <c r="E61" i="3"/>
  <c r="E82" i="4"/>
  <c r="E82" i="1"/>
  <c r="E112" i="3"/>
  <c r="Q118" i="3"/>
  <c r="Q42" i="3"/>
  <c r="E82" i="2"/>
  <c r="E111" i="2"/>
  <c r="P24" i="3"/>
  <c r="Q48" i="3"/>
  <c r="P89" i="3"/>
  <c r="E112" i="4"/>
  <c r="E113" i="3"/>
  <c r="H11" i="1"/>
  <c r="I11" i="1" s="1"/>
  <c r="O11" i="1" s="1"/>
  <c r="Q93" i="3"/>
  <c r="Q104" i="3"/>
  <c r="Q10" i="3"/>
  <c r="M38" i="3"/>
  <c r="H112" i="1"/>
  <c r="I112" i="1" s="1"/>
  <c r="O112" i="1" s="1"/>
  <c r="E10" i="1"/>
  <c r="Q97" i="3"/>
  <c r="Q120" i="3"/>
  <c r="E90" i="2"/>
  <c r="E87" i="6"/>
  <c r="E110" i="3"/>
  <c r="Q82" i="3"/>
  <c r="E10" i="2"/>
  <c r="E110" i="4"/>
  <c r="H109" i="1"/>
  <c r="I109" i="1" s="1"/>
  <c r="H66" i="6"/>
  <c r="J66" i="6" s="1"/>
  <c r="E11" i="2"/>
  <c r="E116" i="1"/>
  <c r="Q53" i="3"/>
  <c r="P96" i="3"/>
  <c r="M24" i="3"/>
  <c r="E117" i="3"/>
  <c r="E111" i="3"/>
  <c r="E81" i="2"/>
  <c r="E109" i="2"/>
  <c r="E100" i="2"/>
  <c r="E14" i="4"/>
  <c r="Q40" i="3"/>
  <c r="Q39" i="3"/>
  <c r="Q36" i="3"/>
  <c r="O127" i="3"/>
  <c r="Q125" i="3"/>
  <c r="E109" i="1"/>
  <c r="H102" i="1"/>
  <c r="I102" i="1" s="1"/>
  <c r="O102" i="1" s="1"/>
  <c r="H65" i="6"/>
  <c r="J65" i="6" s="1"/>
  <c r="H14" i="1"/>
  <c r="I14" i="1" s="1"/>
  <c r="O14" i="1" s="1"/>
  <c r="E108" i="4"/>
  <c r="E102" i="4"/>
  <c r="E11" i="1"/>
  <c r="E14" i="1"/>
  <c r="E108" i="2"/>
  <c r="Q83" i="3"/>
  <c r="E14" i="3"/>
  <c r="Q63" i="3"/>
  <c r="E11" i="4"/>
  <c r="M122" i="3"/>
  <c r="H29" i="1"/>
  <c r="I29" i="1" s="1"/>
  <c r="O29" i="1" s="1"/>
  <c r="E97" i="4"/>
  <c r="E62" i="2"/>
  <c r="Q115" i="3"/>
  <c r="E75" i="1"/>
  <c r="Q76" i="3"/>
  <c r="E89" i="1"/>
  <c r="H90" i="1"/>
  <c r="I90" i="1" s="1"/>
  <c r="O90" i="1" s="1"/>
  <c r="M108" i="3"/>
  <c r="K80" i="6"/>
  <c r="M80" i="6" s="1"/>
  <c r="E25" i="4"/>
  <c r="E29" i="2"/>
  <c r="Q52" i="3"/>
  <c r="E89" i="4"/>
  <c r="E91" i="3"/>
  <c r="E60" i="1"/>
  <c r="Q22" i="3"/>
  <c r="E90" i="1"/>
  <c r="E89" i="2"/>
  <c r="E124" i="2"/>
  <c r="R80" i="6"/>
  <c r="T80" i="6" s="1"/>
  <c r="R57" i="6"/>
  <c r="T57" i="6" s="1"/>
  <c r="H25" i="1"/>
  <c r="I25" i="1" s="1"/>
  <c r="E62" i="4"/>
  <c r="H100" i="1"/>
  <c r="I100" i="1" s="1"/>
  <c r="O100" i="1" s="1"/>
  <c r="E113" i="1"/>
  <c r="E25" i="2"/>
  <c r="M96" i="3"/>
  <c r="E39" i="4"/>
  <c r="E25" i="3"/>
  <c r="E100" i="1"/>
  <c r="E114" i="3"/>
  <c r="Q84" i="3"/>
  <c r="E40" i="3"/>
  <c r="E25" i="1"/>
  <c r="E113" i="2"/>
  <c r="M89" i="3"/>
  <c r="Q111" i="3"/>
  <c r="Q110" i="3"/>
  <c r="H62" i="1"/>
  <c r="I62" i="1" s="1"/>
  <c r="O62" i="1" s="1"/>
  <c r="H39" i="1"/>
  <c r="I39" i="1" s="1"/>
  <c r="O39" i="1" s="1"/>
  <c r="H14" i="6"/>
  <c r="J14" i="6" s="1"/>
  <c r="Q106" i="3"/>
  <c r="M9" i="3"/>
  <c r="E39" i="2"/>
  <c r="E62" i="1"/>
  <c r="M74" i="3"/>
  <c r="Q92" i="3"/>
  <c r="E100" i="4"/>
  <c r="Q15" i="3"/>
  <c r="Q100" i="3"/>
  <c r="E29" i="4"/>
  <c r="Q77" i="3"/>
  <c r="O38" i="3"/>
  <c r="E29" i="3"/>
  <c r="E29" i="1"/>
  <c r="I38" i="3"/>
  <c r="E22" i="4"/>
  <c r="P59" i="3"/>
  <c r="M47" i="3"/>
  <c r="E22" i="3"/>
  <c r="M59" i="3"/>
  <c r="H22" i="1"/>
  <c r="I22" i="1" s="1"/>
  <c r="O22" i="1" s="1"/>
  <c r="E22" i="1"/>
  <c r="E30" i="1"/>
  <c r="E59" i="2"/>
  <c r="E13" i="3"/>
  <c r="E59" i="1"/>
  <c r="H92" i="1"/>
  <c r="I92" i="1" s="1"/>
  <c r="O92" i="1" s="1"/>
  <c r="E82" i="3"/>
  <c r="E81" i="1"/>
  <c r="E30" i="4"/>
  <c r="H81" i="1"/>
  <c r="I81" i="1" s="1"/>
  <c r="O81" i="1" s="1"/>
  <c r="E79" i="1"/>
  <c r="E125" i="3"/>
  <c r="I74" i="3"/>
  <c r="E75" i="2"/>
  <c r="E76" i="3"/>
  <c r="H75" i="1"/>
  <c r="I75" i="1" s="1"/>
  <c r="O75" i="1" s="1"/>
  <c r="E30" i="3"/>
  <c r="H15" i="1"/>
  <c r="I15" i="1" s="1"/>
  <c r="O15" i="1" s="1"/>
  <c r="H30" i="1"/>
  <c r="I30" i="1" s="1"/>
  <c r="O30" i="1" s="1"/>
  <c r="E78" i="1"/>
  <c r="E13" i="2"/>
  <c r="H122" i="1"/>
  <c r="I122" i="1" s="1"/>
  <c r="O122" i="1" s="1"/>
  <c r="E93" i="3"/>
  <c r="E32" i="4"/>
  <c r="U80" i="6"/>
  <c r="W80" i="6" s="1"/>
  <c r="E30" i="2"/>
  <c r="E92" i="4"/>
  <c r="E80" i="3"/>
  <c r="E92" i="2"/>
  <c r="O89" i="3"/>
  <c r="H59" i="1"/>
  <c r="I59" i="1" s="1"/>
  <c r="O59" i="1" s="1"/>
  <c r="E78" i="4"/>
  <c r="E124" i="4"/>
  <c r="E15" i="2"/>
  <c r="E122" i="1"/>
  <c r="E60" i="3"/>
  <c r="H97" i="1"/>
  <c r="I97" i="1" s="1"/>
  <c r="O97" i="1" s="1"/>
  <c r="H13" i="6"/>
  <c r="J13" i="6" s="1"/>
  <c r="E98" i="3"/>
  <c r="K57" i="6"/>
  <c r="M57" i="6" s="1"/>
  <c r="H11" i="6"/>
  <c r="J11" i="6" s="1"/>
  <c r="E10" i="4"/>
  <c r="H79" i="1"/>
  <c r="I79" i="1" s="1"/>
  <c r="O79" i="1" s="1"/>
  <c r="E79" i="4"/>
  <c r="O74" i="3"/>
  <c r="E97" i="2"/>
  <c r="H25" i="6"/>
  <c r="J25" i="6" s="1"/>
  <c r="H45" i="6"/>
  <c r="J45" i="6" s="1"/>
  <c r="E13" i="1"/>
  <c r="AA2" i="5"/>
  <c r="P1" i="9"/>
  <c r="E13" i="4"/>
  <c r="E74" i="2"/>
  <c r="E75" i="3"/>
  <c r="E74" i="1"/>
  <c r="E74" i="4"/>
  <c r="H74" i="1"/>
  <c r="I74" i="1" s="1"/>
  <c r="O74" i="1" s="1"/>
  <c r="U57" i="6"/>
  <c r="W57" i="6" s="1"/>
  <c r="O122" i="3"/>
  <c r="E12" i="1"/>
  <c r="E12" i="4"/>
  <c r="H12" i="1"/>
  <c r="I12" i="1" s="1"/>
  <c r="O12" i="1" s="1"/>
  <c r="E12" i="3"/>
  <c r="E12" i="2"/>
  <c r="Q87" i="3"/>
  <c r="O9" i="3"/>
  <c r="H28" i="1"/>
  <c r="I28" i="1" s="1"/>
  <c r="O28" i="1" s="1"/>
  <c r="E28" i="4"/>
  <c r="E28" i="3"/>
  <c r="E28" i="2"/>
  <c r="E28" i="1"/>
  <c r="E125" i="1"/>
  <c r="E127" i="2"/>
  <c r="H125" i="1"/>
  <c r="E127" i="4"/>
  <c r="E128" i="3"/>
  <c r="H77" i="1"/>
  <c r="I77" i="1" s="1"/>
  <c r="O77" i="1" s="1"/>
  <c r="E78" i="3"/>
  <c r="E77" i="4"/>
  <c r="E77" i="2"/>
  <c r="E77" i="1"/>
  <c r="H44" i="1"/>
  <c r="I44" i="1" s="1"/>
  <c r="O44" i="1" s="1"/>
  <c r="E44" i="1"/>
  <c r="E44" i="2"/>
  <c r="E44" i="4"/>
  <c r="E83" i="1"/>
  <c r="E83" i="2"/>
  <c r="E84" i="3"/>
  <c r="H83" i="1"/>
  <c r="I83" i="1" s="1"/>
  <c r="O83" i="1" s="1"/>
  <c r="I59" i="3"/>
  <c r="E40" i="2"/>
  <c r="H40" i="1"/>
  <c r="E40" i="4"/>
  <c r="E40" i="1"/>
  <c r="E41" i="3"/>
  <c r="I127" i="3"/>
  <c r="Q130" i="3"/>
  <c r="E80" i="1"/>
  <c r="E80" i="2"/>
  <c r="E80" i="4"/>
  <c r="H80" i="1"/>
  <c r="I80" i="1" s="1"/>
  <c r="O80" i="1" s="1"/>
  <c r="E81" i="3"/>
  <c r="Q11" i="3"/>
  <c r="E77" i="3"/>
  <c r="H76" i="1"/>
  <c r="E76" i="1"/>
  <c r="E76" i="4"/>
  <c r="E76" i="2"/>
  <c r="O24" i="3"/>
  <c r="O96" i="3"/>
  <c r="Q14" i="3"/>
  <c r="I9" i="3"/>
  <c r="G142" i="3"/>
  <c r="I108" i="3"/>
  <c r="Q123" i="3"/>
  <c r="I122" i="3"/>
  <c r="I24" i="3"/>
  <c r="Q31" i="3"/>
  <c r="O108" i="3"/>
  <c r="I89" i="3"/>
  <c r="Q90" i="3"/>
  <c r="I96" i="3"/>
  <c r="Q98" i="3"/>
  <c r="I47" i="3"/>
  <c r="M139" i="3" l="1"/>
  <c r="Q81" i="2"/>
  <c r="M137" i="3"/>
  <c r="M136" i="3"/>
  <c r="M133" i="3"/>
  <c r="M135" i="3"/>
  <c r="M140" i="3"/>
  <c r="Q89" i="4"/>
  <c r="R89" i="4" s="1"/>
  <c r="Q76" i="2"/>
  <c r="R76" i="2" s="1"/>
  <c r="Q80" i="2"/>
  <c r="M142" i="3"/>
  <c r="O143" i="3"/>
  <c r="J14" i="12" s="1"/>
  <c r="P137" i="3"/>
  <c r="P136" i="3"/>
  <c r="P141" i="3"/>
  <c r="P138" i="3"/>
  <c r="O136" i="3"/>
  <c r="O142" i="3"/>
  <c r="O140" i="3"/>
  <c r="O138" i="3"/>
  <c r="O134" i="3"/>
  <c r="O139" i="3"/>
  <c r="O137" i="3"/>
  <c r="P140" i="3"/>
  <c r="O135" i="3"/>
  <c r="P135" i="3"/>
  <c r="P143" i="3"/>
  <c r="K14" i="12" s="1"/>
  <c r="O133" i="3"/>
  <c r="O141" i="3"/>
  <c r="P121" i="2"/>
  <c r="P134" i="3"/>
  <c r="P133" i="3"/>
  <c r="P139" i="3"/>
  <c r="P142" i="3"/>
  <c r="Q63" i="4"/>
  <c r="R63" i="4" s="1"/>
  <c r="Q29" i="2"/>
  <c r="P37" i="2"/>
  <c r="Q108" i="2"/>
  <c r="K137" i="2"/>
  <c r="K141" i="2"/>
  <c r="M121" i="2"/>
  <c r="L133" i="2"/>
  <c r="L136" i="2"/>
  <c r="L138" i="2"/>
  <c r="L142" i="2"/>
  <c r="H17" i="12" s="1"/>
  <c r="Q48" i="2"/>
  <c r="Q22" i="2"/>
  <c r="L132" i="2"/>
  <c r="K135" i="2"/>
  <c r="K139" i="2"/>
  <c r="L135" i="2"/>
  <c r="K134" i="2"/>
  <c r="M134" i="2" s="1"/>
  <c r="Q115" i="2"/>
  <c r="K140" i="2"/>
  <c r="L139" i="2"/>
  <c r="K142" i="2"/>
  <c r="G17" i="12" s="1"/>
  <c r="Q89" i="2"/>
  <c r="K132" i="2"/>
  <c r="L137" i="2"/>
  <c r="L141" i="2"/>
  <c r="K138" i="2"/>
  <c r="L140" i="2"/>
  <c r="K133" i="2"/>
  <c r="K136" i="2"/>
  <c r="Q63" i="2"/>
  <c r="Q56" i="2"/>
  <c r="Q92" i="2"/>
  <c r="Q53" i="2"/>
  <c r="Q100" i="2"/>
  <c r="H132" i="2"/>
  <c r="Q59" i="2"/>
  <c r="Q117" i="2"/>
  <c r="Q91" i="2"/>
  <c r="H133" i="2"/>
  <c r="Q12" i="2"/>
  <c r="H134" i="2"/>
  <c r="Q51" i="2"/>
  <c r="Q27" i="2"/>
  <c r="G135" i="2"/>
  <c r="Q104" i="2"/>
  <c r="Q62" i="2"/>
  <c r="H140" i="2"/>
  <c r="G136" i="2"/>
  <c r="G141" i="2"/>
  <c r="Q99" i="2"/>
  <c r="Q10" i="2"/>
  <c r="G134" i="2"/>
  <c r="Q44" i="2"/>
  <c r="G139" i="2"/>
  <c r="H142" i="2"/>
  <c r="E17" i="12" s="1"/>
  <c r="Q105" i="2"/>
  <c r="G133" i="2"/>
  <c r="Q39" i="2"/>
  <c r="H137" i="2"/>
  <c r="Q60" i="2"/>
  <c r="Q122" i="2"/>
  <c r="Q75" i="2"/>
  <c r="Q16" i="2"/>
  <c r="G142" i="2"/>
  <c r="D17" i="12" s="1"/>
  <c r="Q90" i="2"/>
  <c r="H141" i="2"/>
  <c r="Q11" i="2"/>
  <c r="Q38" i="2"/>
  <c r="G140" i="2"/>
  <c r="H135" i="2"/>
  <c r="H136" i="2"/>
  <c r="H138" i="2"/>
  <c r="G132" i="2"/>
  <c r="Q15" i="2"/>
  <c r="Q118" i="2"/>
  <c r="G138" i="2"/>
  <c r="Q47" i="2"/>
  <c r="H139" i="2"/>
  <c r="Q123" i="2"/>
  <c r="G137" i="2"/>
  <c r="Q84" i="2"/>
  <c r="Q14" i="2"/>
  <c r="Q38" i="4"/>
  <c r="R38" i="4" s="1"/>
  <c r="M138" i="3"/>
  <c r="I138" i="3"/>
  <c r="H7" i="3"/>
  <c r="L7" i="3"/>
  <c r="I139" i="3"/>
  <c r="L132" i="3"/>
  <c r="L72" i="3"/>
  <c r="K132" i="3"/>
  <c r="K72" i="3"/>
  <c r="M143" i="3"/>
  <c r="I14" i="12" s="1"/>
  <c r="M141" i="3"/>
  <c r="M134" i="3"/>
  <c r="I137" i="3"/>
  <c r="H72" i="3"/>
  <c r="Q99" i="4"/>
  <c r="R99" i="4" s="1"/>
  <c r="I134" i="3"/>
  <c r="I135" i="3"/>
  <c r="K7" i="3"/>
  <c r="I143" i="3"/>
  <c r="F14" i="12" s="1"/>
  <c r="I133" i="3"/>
  <c r="I140" i="3"/>
  <c r="H132" i="3"/>
  <c r="I141" i="3"/>
  <c r="Q74" i="2"/>
  <c r="I136" i="3"/>
  <c r="G7" i="3"/>
  <c r="G132" i="3"/>
  <c r="D72" i="3"/>
  <c r="Q29" i="4"/>
  <c r="R29" i="4" s="1"/>
  <c r="Q30" i="4"/>
  <c r="R30" i="4" s="1"/>
  <c r="D132" i="3"/>
  <c r="B13" i="12" s="1"/>
  <c r="D7" i="3"/>
  <c r="O121" i="4"/>
  <c r="O141" i="4" s="1"/>
  <c r="I121" i="4"/>
  <c r="Q28" i="2"/>
  <c r="Q124" i="4"/>
  <c r="R124" i="4" s="1"/>
  <c r="O121" i="2"/>
  <c r="M137" i="4"/>
  <c r="Q105" i="4"/>
  <c r="R105" i="4" s="1"/>
  <c r="O126" i="4"/>
  <c r="O142" i="4" s="1"/>
  <c r="Q113" i="2"/>
  <c r="Q127" i="2"/>
  <c r="Q53" i="4"/>
  <c r="Q101" i="2"/>
  <c r="I46" i="2"/>
  <c r="Q77" i="2"/>
  <c r="Q119" i="4"/>
  <c r="R119" i="4" s="1"/>
  <c r="Q52" i="4"/>
  <c r="R52" i="4" s="1"/>
  <c r="I126" i="4"/>
  <c r="Q114" i="4"/>
  <c r="R114" i="4" s="1"/>
  <c r="Q98" i="2"/>
  <c r="Q114" i="2"/>
  <c r="Q96" i="4"/>
  <c r="R96" i="4" s="1"/>
  <c r="Q79" i="2"/>
  <c r="Q112" i="2"/>
  <c r="Q109" i="4"/>
  <c r="R109" i="4" s="1"/>
  <c r="G7" i="1"/>
  <c r="D7" i="1"/>
  <c r="M141" i="4"/>
  <c r="Q49" i="4"/>
  <c r="R49" i="4" s="1"/>
  <c r="Q101" i="4"/>
  <c r="R101" i="4" s="1"/>
  <c r="Q112" i="4"/>
  <c r="R112" i="4" s="1"/>
  <c r="I95" i="4"/>
  <c r="Q127" i="4"/>
  <c r="R127" i="4" s="1"/>
  <c r="Q90" i="4"/>
  <c r="R90" i="4" s="1"/>
  <c r="Q123" i="4"/>
  <c r="R123" i="4" s="1"/>
  <c r="I46" i="4"/>
  <c r="M136" i="4"/>
  <c r="R81" i="4"/>
  <c r="P126" i="4"/>
  <c r="P142" i="4" s="1"/>
  <c r="Q103" i="4"/>
  <c r="R103" i="4" s="1"/>
  <c r="Q60" i="4"/>
  <c r="R60" i="4" s="1"/>
  <c r="M142" i="4"/>
  <c r="I141" i="4"/>
  <c r="Q74" i="4"/>
  <c r="R74" i="4" s="1"/>
  <c r="Q40" i="4"/>
  <c r="R40" i="4" s="1"/>
  <c r="Q104" i="4"/>
  <c r="R104" i="4" s="1"/>
  <c r="Q113" i="4"/>
  <c r="R113" i="4" s="1"/>
  <c r="O58" i="4"/>
  <c r="O136" i="4" s="1"/>
  <c r="R75" i="4"/>
  <c r="P73" i="4"/>
  <c r="P137" i="4" s="1"/>
  <c r="Q79" i="4"/>
  <c r="O73" i="4"/>
  <c r="O137" i="4" s="1"/>
  <c r="I138" i="4"/>
  <c r="O46" i="4"/>
  <c r="O135" i="4" s="1"/>
  <c r="I132" i="4"/>
  <c r="P121" i="4"/>
  <c r="P141" i="4" s="1"/>
  <c r="M88" i="4"/>
  <c r="Q69" i="4"/>
  <c r="R69" i="4" s="1"/>
  <c r="I9" i="4"/>
  <c r="P9" i="4"/>
  <c r="P132" i="4" s="1"/>
  <c r="Q14" i="4"/>
  <c r="R14" i="4" s="1"/>
  <c r="P58" i="2"/>
  <c r="Q111" i="2"/>
  <c r="Q78" i="2"/>
  <c r="Q41" i="2"/>
  <c r="Q86" i="2"/>
  <c r="Q40" i="2"/>
  <c r="Q31" i="2"/>
  <c r="O58" i="2"/>
  <c r="M126" i="2"/>
  <c r="Q129" i="2"/>
  <c r="I121" i="2"/>
  <c r="I126" i="2"/>
  <c r="Q25" i="2"/>
  <c r="Q49" i="2"/>
  <c r="Q50" i="2"/>
  <c r="Q97" i="2"/>
  <c r="M9" i="2"/>
  <c r="O126" i="2"/>
  <c r="Q116" i="2"/>
  <c r="Q102" i="2"/>
  <c r="O24" i="2"/>
  <c r="M58" i="2"/>
  <c r="P58" i="4"/>
  <c r="P136" i="4" s="1"/>
  <c r="Q119" i="2"/>
  <c r="P37" i="4"/>
  <c r="P134" i="4" s="1"/>
  <c r="D7" i="4"/>
  <c r="I140" i="4"/>
  <c r="D71" i="4"/>
  <c r="O9" i="4"/>
  <c r="O132" i="4" s="1"/>
  <c r="P46" i="4"/>
  <c r="P135" i="4" s="1"/>
  <c r="Q82" i="2"/>
  <c r="O24" i="4"/>
  <c r="O133" i="4" s="1"/>
  <c r="P126" i="2"/>
  <c r="O37" i="2"/>
  <c r="Q102" i="4"/>
  <c r="R102" i="4" s="1"/>
  <c r="Q31" i="4"/>
  <c r="M9" i="4"/>
  <c r="Q30" i="2"/>
  <c r="I24" i="2"/>
  <c r="O46" i="2"/>
  <c r="Q61" i="2"/>
  <c r="D129" i="1"/>
  <c r="B4" i="12" s="1"/>
  <c r="D71" i="1"/>
  <c r="D131" i="4"/>
  <c r="B20" i="12" s="1"/>
  <c r="I58" i="2"/>
  <c r="O73" i="2"/>
  <c r="I137" i="4"/>
  <c r="I58" i="4"/>
  <c r="I136" i="4"/>
  <c r="P24" i="2"/>
  <c r="Q83" i="2"/>
  <c r="K7" i="1"/>
  <c r="M58" i="4"/>
  <c r="O37" i="4"/>
  <c r="O134" i="4" s="1"/>
  <c r="Q41" i="4"/>
  <c r="R41" i="4" s="1"/>
  <c r="D71" i="2"/>
  <c r="R111" i="4"/>
  <c r="P46" i="2"/>
  <c r="P73" i="2"/>
  <c r="G129" i="1"/>
  <c r="P145" i="1" s="1"/>
  <c r="P160" i="1" s="1"/>
  <c r="D7" i="2"/>
  <c r="M24" i="2"/>
  <c r="M132" i="4"/>
  <c r="O80" i="6"/>
  <c r="Q80" i="6" s="1"/>
  <c r="O57" i="6"/>
  <c r="Q57" i="6" s="1"/>
  <c r="AB82" i="6"/>
  <c r="AD82" i="6" s="1"/>
  <c r="B10" i="12"/>
  <c r="G87" i="6"/>
  <c r="Q26" i="2"/>
  <c r="M73" i="4"/>
  <c r="R115" i="4"/>
  <c r="Q93" i="2"/>
  <c r="M139" i="4"/>
  <c r="O88" i="2"/>
  <c r="M73" i="2"/>
  <c r="M95" i="4"/>
  <c r="M46" i="2"/>
  <c r="Q97" i="4"/>
  <c r="R97" i="4" s="1"/>
  <c r="Q52" i="2"/>
  <c r="G71" i="1"/>
  <c r="Q15" i="4"/>
  <c r="Q124" i="2"/>
  <c r="M134" i="4"/>
  <c r="M24" i="4"/>
  <c r="P95" i="4"/>
  <c r="P139" i="4" s="1"/>
  <c r="L71" i="4"/>
  <c r="R100" i="4"/>
  <c r="P95" i="2"/>
  <c r="D131" i="2"/>
  <c r="M37" i="2"/>
  <c r="Q128" i="2"/>
  <c r="O95" i="4"/>
  <c r="O139" i="4" s="1"/>
  <c r="P88" i="2"/>
  <c r="I133" i="4"/>
  <c r="M138" i="4"/>
  <c r="Q13" i="2"/>
  <c r="R35" i="4"/>
  <c r="Q39" i="4"/>
  <c r="R39" i="4" s="1"/>
  <c r="Q96" i="2"/>
  <c r="R27" i="4"/>
  <c r="I24" i="4"/>
  <c r="I107" i="4"/>
  <c r="P88" i="4"/>
  <c r="P138" i="4" s="1"/>
  <c r="R98" i="4"/>
  <c r="I37" i="2"/>
  <c r="R22" i="4"/>
  <c r="M37" i="4"/>
  <c r="P107" i="2"/>
  <c r="P9" i="2"/>
  <c r="O88" i="4"/>
  <c r="O138" i="4" s="1"/>
  <c r="K7" i="4"/>
  <c r="Q108" i="4"/>
  <c r="R108" i="4" s="1"/>
  <c r="K129" i="1"/>
  <c r="I37" i="4"/>
  <c r="R77" i="4"/>
  <c r="I95" i="2"/>
  <c r="O107" i="2"/>
  <c r="I73" i="4"/>
  <c r="Q51" i="4"/>
  <c r="R51" i="4" s="1"/>
  <c r="K71" i="1"/>
  <c r="P24" i="4"/>
  <c r="P133" i="4" s="1"/>
  <c r="P107" i="4"/>
  <c r="P140" i="4" s="1"/>
  <c r="M133" i="4"/>
  <c r="Q35" i="2"/>
  <c r="M135" i="4"/>
  <c r="Q61" i="4"/>
  <c r="R32" i="4"/>
  <c r="H7" i="4"/>
  <c r="Q103" i="2"/>
  <c r="M46" i="4"/>
  <c r="I107" i="2"/>
  <c r="O107" i="4"/>
  <c r="O140" i="4" s="1"/>
  <c r="H131" i="4"/>
  <c r="E20" i="12" s="1"/>
  <c r="I88" i="4"/>
  <c r="M95" i="2"/>
  <c r="R80" i="4"/>
  <c r="R47" i="4"/>
  <c r="Q109" i="2"/>
  <c r="M107" i="2"/>
  <c r="Q116" i="4"/>
  <c r="Q110" i="2"/>
  <c r="H71" i="4"/>
  <c r="I9" i="2"/>
  <c r="O95" i="2"/>
  <c r="O9" i="2"/>
  <c r="M107" i="4"/>
  <c r="R81" i="2"/>
  <c r="I88" i="2"/>
  <c r="I73" i="2"/>
  <c r="K131" i="4"/>
  <c r="G20" i="12" s="1"/>
  <c r="L7" i="4"/>
  <c r="L131" i="4"/>
  <c r="H20" i="12" s="1"/>
  <c r="R48" i="4"/>
  <c r="M140" i="4"/>
  <c r="K71" i="4"/>
  <c r="M88" i="2"/>
  <c r="R28" i="4"/>
  <c r="Q69" i="2"/>
  <c r="E46" i="2"/>
  <c r="E135" i="2" s="1"/>
  <c r="R25" i="4"/>
  <c r="R44" i="4"/>
  <c r="E122" i="3"/>
  <c r="I46" i="1"/>
  <c r="R117" i="4"/>
  <c r="R10" i="4"/>
  <c r="E119" i="1"/>
  <c r="E139" i="1" s="1"/>
  <c r="R118" i="4"/>
  <c r="R16" i="4"/>
  <c r="R13" i="4"/>
  <c r="E47" i="3"/>
  <c r="Q127" i="3"/>
  <c r="R128" i="4"/>
  <c r="E46" i="1"/>
  <c r="E133" i="1" s="1"/>
  <c r="R82" i="4"/>
  <c r="R11" i="4"/>
  <c r="R122" i="4"/>
  <c r="Q59" i="3"/>
  <c r="H107" i="1"/>
  <c r="H138" i="1" s="1"/>
  <c r="I138" i="1" s="1"/>
  <c r="Q47" i="3"/>
  <c r="R59" i="4"/>
  <c r="R26" i="4"/>
  <c r="K87" i="6"/>
  <c r="E46" i="4"/>
  <c r="E135" i="4" s="1"/>
  <c r="E96" i="3"/>
  <c r="Q108" i="3"/>
  <c r="R110" i="4"/>
  <c r="E95" i="1"/>
  <c r="E137" i="1" s="1"/>
  <c r="R62" i="4"/>
  <c r="H46" i="1"/>
  <c r="H133" i="1" s="1"/>
  <c r="I133" i="1" s="1"/>
  <c r="E59" i="3"/>
  <c r="E107" i="4"/>
  <c r="E140" i="4" s="1"/>
  <c r="E58" i="2"/>
  <c r="E136" i="2" s="1"/>
  <c r="Q74" i="3"/>
  <c r="E88" i="2"/>
  <c r="E138" i="2" s="1"/>
  <c r="R78" i="4"/>
  <c r="E89" i="3"/>
  <c r="Q96" i="3"/>
  <c r="E107" i="1"/>
  <c r="E138" i="1" s="1"/>
  <c r="E88" i="1"/>
  <c r="E136" i="1" s="1"/>
  <c r="E124" i="1"/>
  <c r="E140" i="1" s="1"/>
  <c r="Q24" i="3"/>
  <c r="E121" i="2"/>
  <c r="E141" i="2" s="1"/>
  <c r="Q89" i="3"/>
  <c r="E58" i="4"/>
  <c r="E136" i="4" s="1"/>
  <c r="E88" i="4"/>
  <c r="E138" i="4" s="1"/>
  <c r="Q122" i="3"/>
  <c r="E95" i="4"/>
  <c r="E139" i="4" s="1"/>
  <c r="H80" i="6"/>
  <c r="J80" i="6" s="1"/>
  <c r="E58" i="1"/>
  <c r="E134" i="1" s="1"/>
  <c r="Q38" i="3"/>
  <c r="E95" i="2"/>
  <c r="R12" i="4"/>
  <c r="H57" i="6"/>
  <c r="J57" i="6" s="1"/>
  <c r="E121" i="4"/>
  <c r="E141" i="4" s="1"/>
  <c r="E108" i="3"/>
  <c r="R87" i="6"/>
  <c r="E107" i="2"/>
  <c r="I88" i="1"/>
  <c r="H88" i="1"/>
  <c r="H136" i="1" s="1"/>
  <c r="I136" i="1" s="1"/>
  <c r="E24" i="1"/>
  <c r="E131" i="1" s="1"/>
  <c r="H95" i="1"/>
  <c r="H137" i="1" s="1"/>
  <c r="I137" i="1" s="1"/>
  <c r="E9" i="3"/>
  <c r="O95" i="1"/>
  <c r="O137" i="1" s="1"/>
  <c r="I95" i="1"/>
  <c r="U87" i="6"/>
  <c r="H119" i="1"/>
  <c r="H139" i="1" s="1"/>
  <c r="I139" i="1" s="1"/>
  <c r="O58" i="1"/>
  <c r="I58" i="1"/>
  <c r="H58" i="1"/>
  <c r="H134" i="1" s="1"/>
  <c r="I134" i="1" s="1"/>
  <c r="E9" i="1"/>
  <c r="E130" i="1" s="1"/>
  <c r="E9" i="4"/>
  <c r="E132" i="4" s="1"/>
  <c r="E73" i="1"/>
  <c r="E135" i="1" s="1"/>
  <c r="E9" i="2"/>
  <c r="E37" i="1"/>
  <c r="E132" i="1" s="1"/>
  <c r="I119" i="1"/>
  <c r="E38" i="3"/>
  <c r="O9" i="1"/>
  <c r="O130" i="1" s="1"/>
  <c r="Q9" i="3"/>
  <c r="H9" i="1"/>
  <c r="H130" i="1" s="1"/>
  <c r="I130" i="1" s="1"/>
  <c r="G71" i="4"/>
  <c r="I9" i="1"/>
  <c r="I40" i="1"/>
  <c r="H37" i="1"/>
  <c r="H132" i="1" s="1"/>
  <c r="I132" i="1" s="1"/>
  <c r="E74" i="3"/>
  <c r="G72" i="3"/>
  <c r="E37" i="4"/>
  <c r="E134" i="4" s="1"/>
  <c r="E127" i="3"/>
  <c r="E37" i="2"/>
  <c r="E24" i="3"/>
  <c r="E126" i="4"/>
  <c r="E142" i="4" s="1"/>
  <c r="H73" i="1"/>
  <c r="H135" i="1" s="1"/>
  <c r="I76" i="1"/>
  <c r="E24" i="4"/>
  <c r="E133" i="4" s="1"/>
  <c r="H124" i="1"/>
  <c r="H140" i="1" s="1"/>
  <c r="I125" i="1"/>
  <c r="H24" i="1"/>
  <c r="H131" i="1" s="1"/>
  <c r="E24" i="2"/>
  <c r="E73" i="2"/>
  <c r="E126" i="2"/>
  <c r="O25" i="1"/>
  <c r="I24" i="1"/>
  <c r="E73" i="4"/>
  <c r="R76" i="4"/>
  <c r="O109" i="1"/>
  <c r="I107" i="1"/>
  <c r="I142" i="3"/>
  <c r="I135" i="4"/>
  <c r="O88" i="1"/>
  <c r="O136" i="1" s="1"/>
  <c r="I142" i="4"/>
  <c r="I134" i="4"/>
  <c r="G7" i="4"/>
  <c r="G131" i="4"/>
  <c r="D20" i="12" s="1"/>
  <c r="O46" i="1"/>
  <c r="O133" i="1" s="1"/>
  <c r="O119" i="1"/>
  <c r="O139" i="1" s="1"/>
  <c r="R129" i="4"/>
  <c r="I139" i="4"/>
  <c r="R50" i="4"/>
  <c r="Q141" i="3" l="1"/>
  <c r="Q136" i="3"/>
  <c r="Q142" i="3"/>
  <c r="Q137" i="3"/>
  <c r="M7" i="3"/>
  <c r="Q139" i="3"/>
  <c r="Q135" i="3"/>
  <c r="Q133" i="3"/>
  <c r="M135" i="2"/>
  <c r="O72" i="3"/>
  <c r="P7" i="3"/>
  <c r="Q140" i="3"/>
  <c r="Q134" i="3"/>
  <c r="M72" i="3"/>
  <c r="P132" i="3"/>
  <c r="Q143" i="3"/>
  <c r="L14" i="12" s="1"/>
  <c r="R117" i="2"/>
  <c r="R59" i="2"/>
  <c r="R27" i="2"/>
  <c r="M137" i="2"/>
  <c r="R80" i="2"/>
  <c r="R51" i="2"/>
  <c r="I135" i="2"/>
  <c r="I141" i="2"/>
  <c r="R53" i="2"/>
  <c r="R108" i="2"/>
  <c r="M133" i="2"/>
  <c r="Q138" i="3"/>
  <c r="R115" i="2"/>
  <c r="O7" i="3"/>
  <c r="O132" i="3"/>
  <c r="I139" i="2"/>
  <c r="I136" i="2"/>
  <c r="I137" i="2"/>
  <c r="P72" i="3"/>
  <c r="R97" i="2"/>
  <c r="R109" i="2"/>
  <c r="R96" i="2"/>
  <c r="R50" i="2"/>
  <c r="P141" i="2"/>
  <c r="O134" i="2"/>
  <c r="R49" i="2"/>
  <c r="R77" i="2"/>
  <c r="P142" i="2"/>
  <c r="K17" i="12" s="1"/>
  <c r="R25" i="2"/>
  <c r="R83" i="2"/>
  <c r="R101" i="2"/>
  <c r="P133" i="2"/>
  <c r="R82" i="2"/>
  <c r="O140" i="2"/>
  <c r="R52" i="2"/>
  <c r="R129" i="2"/>
  <c r="R127" i="2"/>
  <c r="R62" i="2"/>
  <c r="R113" i="2"/>
  <c r="P138" i="2"/>
  <c r="O136" i="2"/>
  <c r="R74" i="2"/>
  <c r="O137" i="2"/>
  <c r="R31" i="2"/>
  <c r="P134" i="2"/>
  <c r="O138" i="2"/>
  <c r="R103" i="2"/>
  <c r="R40" i="2"/>
  <c r="R89" i="2"/>
  <c r="R22" i="2"/>
  <c r="R29" i="2"/>
  <c r="R86" i="2"/>
  <c r="P132" i="2"/>
  <c r="P140" i="2"/>
  <c r="R119" i="2"/>
  <c r="R41" i="2"/>
  <c r="O141" i="2"/>
  <c r="P139" i="2"/>
  <c r="R78" i="2"/>
  <c r="R112" i="2"/>
  <c r="R79" i="2"/>
  <c r="R28" i="2"/>
  <c r="R61" i="2"/>
  <c r="O139" i="2"/>
  <c r="P137" i="2"/>
  <c r="O135" i="2"/>
  <c r="O133" i="2"/>
  <c r="P136" i="2"/>
  <c r="R63" i="2"/>
  <c r="R69" i="2"/>
  <c r="O132" i="2"/>
  <c r="R111" i="2"/>
  <c r="R35" i="2"/>
  <c r="M142" i="2"/>
  <c r="I17" i="12" s="1"/>
  <c r="P135" i="2"/>
  <c r="R102" i="2"/>
  <c r="R114" i="2"/>
  <c r="R116" i="2"/>
  <c r="R98" i="2"/>
  <c r="R12" i="2"/>
  <c r="M136" i="2"/>
  <c r="R110" i="2"/>
  <c r="R30" i="2"/>
  <c r="O142" i="2"/>
  <c r="J17" i="12" s="1"/>
  <c r="L7" i="2"/>
  <c r="K7" i="2"/>
  <c r="I134" i="2"/>
  <c r="M138" i="2"/>
  <c r="K71" i="2"/>
  <c r="R16" i="2"/>
  <c r="R44" i="2"/>
  <c r="R48" i="2"/>
  <c r="R14" i="2"/>
  <c r="R75" i="2"/>
  <c r="L71" i="2"/>
  <c r="R84" i="2"/>
  <c r="R122" i="2"/>
  <c r="R10" i="2"/>
  <c r="Q121" i="2"/>
  <c r="M140" i="2"/>
  <c r="R123" i="2"/>
  <c r="M141" i="2"/>
  <c r="R118" i="2"/>
  <c r="R90" i="2"/>
  <c r="L131" i="2"/>
  <c r="R60" i="2"/>
  <c r="M139" i="2"/>
  <c r="M132" i="2"/>
  <c r="R100" i="2"/>
  <c r="I133" i="2"/>
  <c r="H71" i="2"/>
  <c r="R105" i="2"/>
  <c r="K131" i="2"/>
  <c r="R104" i="2"/>
  <c r="R38" i="2"/>
  <c r="R39" i="2"/>
  <c r="R47" i="2"/>
  <c r="I138" i="2"/>
  <c r="H7" i="2"/>
  <c r="I140" i="2"/>
  <c r="R99" i="2"/>
  <c r="H131" i="2"/>
  <c r="I132" i="2"/>
  <c r="Q9" i="2"/>
  <c r="R15" i="2"/>
  <c r="R11" i="2"/>
  <c r="G71" i="2"/>
  <c r="G7" i="2"/>
  <c r="Q88" i="2"/>
  <c r="I142" i="2"/>
  <c r="F17" i="12" s="1"/>
  <c r="G131" i="2"/>
  <c r="K145" i="3"/>
  <c r="K146" i="3" s="1"/>
  <c r="M132" i="3"/>
  <c r="G13" i="12"/>
  <c r="L145" i="3"/>
  <c r="L146" i="3" s="1"/>
  <c r="H13" i="12"/>
  <c r="I7" i="3"/>
  <c r="E13" i="12"/>
  <c r="I72" i="3"/>
  <c r="H145" i="3"/>
  <c r="H146" i="3" s="1"/>
  <c r="D13" i="12"/>
  <c r="Q24" i="4"/>
  <c r="R24" i="4" s="1"/>
  <c r="E134" i="3"/>
  <c r="E136" i="3"/>
  <c r="E139" i="3"/>
  <c r="E142" i="3"/>
  <c r="Q137" i="4"/>
  <c r="E140" i="3"/>
  <c r="E141" i="3"/>
  <c r="E133" i="3"/>
  <c r="E137" i="3"/>
  <c r="Q121" i="4"/>
  <c r="R121" i="4" s="1"/>
  <c r="Q88" i="4"/>
  <c r="R88" i="4" s="1"/>
  <c r="O87" i="6"/>
  <c r="Q87" i="6" s="1"/>
  <c r="Q141" i="4"/>
  <c r="R141" i="4" s="1"/>
  <c r="Q126" i="4"/>
  <c r="R126" i="4" s="1"/>
  <c r="Q136" i="4"/>
  <c r="R136" i="4" s="1"/>
  <c r="Q73" i="4"/>
  <c r="R73" i="4" s="1"/>
  <c r="Q132" i="4"/>
  <c r="R132" i="4" s="1"/>
  <c r="Q58" i="4"/>
  <c r="R58" i="4" s="1"/>
  <c r="Q142" i="4"/>
  <c r="R142" i="4" s="1"/>
  <c r="R79" i="4"/>
  <c r="Q138" i="4"/>
  <c r="R138" i="4" s="1"/>
  <c r="O7" i="4"/>
  <c r="Q9" i="4"/>
  <c r="R9" i="4" s="1"/>
  <c r="Q126" i="2"/>
  <c r="Q37" i="2"/>
  <c r="Q73" i="2"/>
  <c r="P7" i="4"/>
  <c r="R31" i="4"/>
  <c r="Q24" i="2"/>
  <c r="B23" i="12"/>
  <c r="B25" i="12" s="1"/>
  <c r="C4" i="12"/>
  <c r="D23" i="12"/>
  <c r="D25" i="12" s="1"/>
  <c r="D144" i="2"/>
  <c r="D145" i="2" s="1"/>
  <c r="G10" i="12"/>
  <c r="W87" i="6"/>
  <c r="F10" i="12"/>
  <c r="T87" i="6"/>
  <c r="AB88" i="6"/>
  <c r="AD88" i="6" s="1"/>
  <c r="M87" i="6"/>
  <c r="O134" i="1"/>
  <c r="C24" i="12"/>
  <c r="P147" i="1"/>
  <c r="P154" i="1" s="1"/>
  <c r="G23" i="12"/>
  <c r="G25" i="12" s="1"/>
  <c r="K142" i="1"/>
  <c r="R15" i="4"/>
  <c r="R124" i="2"/>
  <c r="Q95" i="4"/>
  <c r="R95" i="4" s="1"/>
  <c r="Q46" i="2"/>
  <c r="B16" i="12"/>
  <c r="B18" i="12" s="1"/>
  <c r="R128" i="2"/>
  <c r="Q133" i="4"/>
  <c r="R133" i="4" s="1"/>
  <c r="R13" i="2"/>
  <c r="O71" i="4"/>
  <c r="Q37" i="4"/>
  <c r="R37" i="4" s="1"/>
  <c r="P71" i="4"/>
  <c r="Q107" i="4"/>
  <c r="R107" i="4" s="1"/>
  <c r="M7" i="4"/>
  <c r="M131" i="4"/>
  <c r="I20" i="12" s="1"/>
  <c r="R61" i="4"/>
  <c r="Q46" i="4"/>
  <c r="R46" i="4" s="1"/>
  <c r="Q95" i="2"/>
  <c r="P131" i="4"/>
  <c r="K20" i="12" s="1"/>
  <c r="Q135" i="4"/>
  <c r="R135" i="4" s="1"/>
  <c r="R116" i="4"/>
  <c r="O131" i="4"/>
  <c r="J20" i="12" s="1"/>
  <c r="Q107" i="2"/>
  <c r="Q140" i="4"/>
  <c r="R140" i="4" s="1"/>
  <c r="M71" i="4"/>
  <c r="Q58" i="2"/>
  <c r="D10" i="12"/>
  <c r="E139" i="2"/>
  <c r="H87" i="6"/>
  <c r="E71" i="1"/>
  <c r="E132" i="2"/>
  <c r="E140" i="2"/>
  <c r="E7" i="1"/>
  <c r="E129" i="1"/>
  <c r="C23" i="12" s="1"/>
  <c r="E135" i="3"/>
  <c r="E142" i="2"/>
  <c r="I131" i="1"/>
  <c r="H7" i="1"/>
  <c r="H129" i="1"/>
  <c r="H71" i="1"/>
  <c r="I135" i="1"/>
  <c r="E138" i="3"/>
  <c r="I132" i="3"/>
  <c r="E137" i="2"/>
  <c r="O125" i="1"/>
  <c r="I124" i="1"/>
  <c r="E137" i="4"/>
  <c r="E131" i="4" s="1"/>
  <c r="E24" i="12"/>
  <c r="I140" i="1"/>
  <c r="F24" i="12" s="1"/>
  <c r="E134" i="2"/>
  <c r="O40" i="1"/>
  <c r="I37" i="1"/>
  <c r="O76" i="1"/>
  <c r="I73" i="1"/>
  <c r="O107" i="1"/>
  <c r="O138" i="1" s="1"/>
  <c r="O24" i="1"/>
  <c r="O131" i="1" s="1"/>
  <c r="E133" i="2"/>
  <c r="E143" i="3"/>
  <c r="E7" i="4"/>
  <c r="Q139" i="4"/>
  <c r="I71" i="4"/>
  <c r="Q134" i="4"/>
  <c r="R134" i="4" s="1"/>
  <c r="I7" i="4"/>
  <c r="I131" i="4"/>
  <c r="F20" i="12" s="1"/>
  <c r="Q72" i="3" l="1"/>
  <c r="Q7" i="3"/>
  <c r="K13" i="12"/>
  <c r="I13" i="12"/>
  <c r="Q132" i="3"/>
  <c r="J13" i="12"/>
  <c r="O146" i="3"/>
  <c r="P145" i="3"/>
  <c r="P146" i="3" s="1"/>
  <c r="Q139" i="2"/>
  <c r="R139" i="2" s="1"/>
  <c r="Q138" i="2"/>
  <c r="R138" i="2" s="1"/>
  <c r="Q133" i="2"/>
  <c r="R133" i="2" s="1"/>
  <c r="Q140" i="2"/>
  <c r="R140" i="2" s="1"/>
  <c r="Q134" i="2"/>
  <c r="R134" i="2" s="1"/>
  <c r="Q142" i="2"/>
  <c r="L17" i="12" s="1"/>
  <c r="Q141" i="2"/>
  <c r="R141" i="2" s="1"/>
  <c r="P7" i="2"/>
  <c r="O71" i="2"/>
  <c r="Q136" i="2"/>
  <c r="R136" i="2" s="1"/>
  <c r="Q135" i="2"/>
  <c r="R135" i="2" s="1"/>
  <c r="M145" i="3"/>
  <c r="M146" i="3" s="1"/>
  <c r="O7" i="2"/>
  <c r="Q137" i="2"/>
  <c r="P71" i="2"/>
  <c r="R126" i="2"/>
  <c r="P131" i="2"/>
  <c r="R37" i="2"/>
  <c r="R58" i="2"/>
  <c r="O131" i="2"/>
  <c r="R107" i="2"/>
  <c r="R121" i="2"/>
  <c r="R88" i="2"/>
  <c r="Q132" i="2"/>
  <c r="R132" i="2" s="1"/>
  <c r="R95" i="2"/>
  <c r="R9" i="2"/>
  <c r="I131" i="2"/>
  <c r="F16" i="12" s="1"/>
  <c r="F18" i="12" s="1"/>
  <c r="R46" i="2"/>
  <c r="R24" i="2"/>
  <c r="R73" i="2"/>
  <c r="K144" i="2"/>
  <c r="K145" i="2" s="1"/>
  <c r="M131" i="2"/>
  <c r="I16" i="12" s="1"/>
  <c r="I18" i="12" s="1"/>
  <c r="M71" i="2"/>
  <c r="L144" i="2"/>
  <c r="L145" i="2" s="1"/>
  <c r="G16" i="12"/>
  <c r="G18" i="12" s="1"/>
  <c r="M7" i="2"/>
  <c r="G144" i="2"/>
  <c r="G145" i="2" s="1"/>
  <c r="I7" i="2"/>
  <c r="E16" i="12"/>
  <c r="E18" i="12" s="1"/>
  <c r="H144" i="2"/>
  <c r="H145" i="2" s="1"/>
  <c r="H16" i="12"/>
  <c r="H18" i="12" s="1"/>
  <c r="I71" i="2"/>
  <c r="D16" i="12"/>
  <c r="D18" i="12" s="1"/>
  <c r="I146" i="3"/>
  <c r="E10" i="12"/>
  <c r="B1" i="12"/>
  <c r="D1" i="12"/>
  <c r="C10" i="12"/>
  <c r="J87" i="6"/>
  <c r="C25" i="12"/>
  <c r="Q71" i="4"/>
  <c r="F13" i="12"/>
  <c r="E7" i="3"/>
  <c r="E132" i="3"/>
  <c r="E7" i="2"/>
  <c r="E131" i="2"/>
  <c r="O37" i="1"/>
  <c r="O132" i="1" s="1"/>
  <c r="O7" i="1" s="1"/>
  <c r="O124" i="1"/>
  <c r="I71" i="1"/>
  <c r="E71" i="2"/>
  <c r="I7" i="1"/>
  <c r="I129" i="1"/>
  <c r="D4" i="12"/>
  <c r="E23" i="12"/>
  <c r="E25" i="12" s="1"/>
  <c r="C14" i="12"/>
  <c r="O73" i="1"/>
  <c r="O135" i="1" s="1"/>
  <c r="E71" i="4"/>
  <c r="R137" i="4"/>
  <c r="C17" i="12"/>
  <c r="E72" i="3"/>
  <c r="R139" i="4"/>
  <c r="C20" i="12"/>
  <c r="Q7" i="4"/>
  <c r="R7" i="4" s="1"/>
  <c r="Q131" i="4"/>
  <c r="L20" i="12" s="1"/>
  <c r="L13" i="12" l="1"/>
  <c r="Q145" i="3"/>
  <c r="Q146" i="3" s="1"/>
  <c r="Q71" i="2"/>
  <c r="R142" i="2"/>
  <c r="E7" i="12"/>
  <c r="R137" i="2"/>
  <c r="I144" i="2"/>
  <c r="I145" i="2" s="1"/>
  <c r="Q131" i="2"/>
  <c r="P144" i="2"/>
  <c r="P145" i="2" s="1"/>
  <c r="F4" i="12"/>
  <c r="I4" i="12" s="1"/>
  <c r="L16" i="12"/>
  <c r="L18" i="12" s="1"/>
  <c r="J16" i="12"/>
  <c r="J18" i="12" s="1"/>
  <c r="O144" i="2"/>
  <c r="O145" i="2" s="1"/>
  <c r="Q7" i="2"/>
  <c r="K16" i="12"/>
  <c r="K18" i="12" s="1"/>
  <c r="M144" i="2"/>
  <c r="M145" i="2" s="1"/>
  <c r="F23" i="12"/>
  <c r="F25" i="12" s="1"/>
  <c r="P144" i="1"/>
  <c r="P157" i="1" s="1"/>
  <c r="P163" i="1" s="1"/>
  <c r="R71" i="4"/>
  <c r="C13" i="12"/>
  <c r="C16" i="12"/>
  <c r="C18" i="12" s="1"/>
  <c r="L4" i="12"/>
  <c r="O140" i="1"/>
  <c r="O71" i="1" s="1"/>
  <c r="E4" i="12"/>
  <c r="R131" i="4"/>
  <c r="E144" i="2"/>
  <c r="E145" i="2" s="1"/>
  <c r="R71" i="2" l="1"/>
  <c r="R131" i="2"/>
  <c r="R7" i="2"/>
  <c r="Q144" i="2"/>
  <c r="Q145" i="2" s="1"/>
  <c r="F1" i="12"/>
  <c r="R144" i="4"/>
  <c r="R145" i="4" s="1"/>
  <c r="O129" i="1"/>
  <c r="J23" i="12" s="1"/>
  <c r="C1" i="12" s="1"/>
  <c r="J24" i="12"/>
  <c r="R144" i="2" l="1"/>
  <c r="R145" i="2" s="1"/>
  <c r="O143" i="1"/>
  <c r="J25" i="12"/>
  <c r="AE83" i="5" l="1"/>
  <c r="AG83" i="5" s="1"/>
  <c r="AE46" i="5"/>
  <c r="AG46" i="5" s="1"/>
  <c r="AE330" i="5"/>
  <c r="AG330" i="5" s="1"/>
  <c r="AE18" i="5"/>
  <c r="AE515" i="5"/>
  <c r="AG515" i="5" s="1"/>
  <c r="AE70" i="5"/>
  <c r="AG70" i="5" s="1"/>
  <c r="AE189" i="5"/>
  <c r="AG189" i="5" s="1"/>
  <c r="AE104" i="5"/>
  <c r="AG104" i="5" s="1"/>
  <c r="AE57" i="5"/>
  <c r="AG57" i="5" s="1"/>
  <c r="AE244" i="5"/>
  <c r="AG244" i="5" s="1"/>
  <c r="AE490" i="5"/>
  <c r="AG490" i="5" s="1"/>
  <c r="AE497" i="5"/>
  <c r="AG497" i="5" s="1"/>
  <c r="AE403" i="5"/>
  <c r="AG403" i="5" s="1"/>
  <c r="AE280" i="5"/>
  <c r="AE344" i="5"/>
  <c r="AG344" i="5" s="1"/>
  <c r="AE383" i="5"/>
  <c r="AG383" i="5" s="1"/>
  <c r="AE374" i="5"/>
  <c r="AG374" i="5" s="1"/>
  <c r="AE360" i="5"/>
  <c r="AG360" i="5" s="1"/>
  <c r="AE25" i="5"/>
  <c r="AE578" i="5"/>
  <c r="AG578" i="5" s="1"/>
  <c r="AE272" i="5"/>
  <c r="AG272" i="5" s="1"/>
  <c r="AE125" i="5"/>
  <c r="AG125" i="5" s="1"/>
  <c r="AE16" i="5"/>
  <c r="AG16" i="5" s="1"/>
  <c r="AE80" i="5"/>
  <c r="AG80" i="5" s="1"/>
  <c r="AE412" i="5"/>
  <c r="AG412" i="5" s="1"/>
  <c r="AE77" i="5"/>
  <c r="AG77" i="5" s="1"/>
  <c r="AE257" i="5"/>
  <c r="AG257" i="5" s="1"/>
  <c r="AE410" i="5"/>
  <c r="AG410" i="5" s="1"/>
  <c r="AE130" i="5"/>
  <c r="AG130" i="5" s="1"/>
  <c r="AE89" i="5"/>
  <c r="AG89" i="5" s="1"/>
  <c r="AE467" i="5"/>
  <c r="AE596" i="5"/>
  <c r="AG596" i="5" s="1"/>
  <c r="AE185" i="5"/>
  <c r="AG185" i="5" s="1"/>
  <c r="AE388" i="5"/>
  <c r="AG388" i="5" s="1"/>
  <c r="AE485" i="5"/>
  <c r="AG485" i="5" s="1"/>
  <c r="AE296" i="5"/>
  <c r="AG296" i="5" s="1"/>
  <c r="AE396" i="5"/>
  <c r="AG396" i="5" s="1"/>
  <c r="AE63" i="5"/>
  <c r="AG63" i="5" s="1"/>
  <c r="AE317" i="5"/>
  <c r="AG317" i="5" s="1"/>
  <c r="AE39" i="5"/>
  <c r="AG39" i="5" s="1"/>
  <c r="AE232" i="5"/>
  <c r="AG232" i="5" s="1"/>
  <c r="AE15" i="5"/>
  <c r="AE266" i="5"/>
  <c r="AG266" i="5" s="1"/>
  <c r="AE502" i="5"/>
  <c r="AG502" i="5" s="1"/>
  <c r="AE368" i="5"/>
  <c r="AG368" i="5" s="1"/>
  <c r="AE426" i="5"/>
  <c r="AG426" i="5" s="1"/>
  <c r="AE44" i="5"/>
  <c r="L75" i="1" s="1"/>
  <c r="M75" i="1" s="1"/>
  <c r="P75" i="1" s="1"/>
  <c r="Q75" i="1" s="1"/>
  <c r="AE549" i="5"/>
  <c r="AG549" i="5" s="1"/>
  <c r="AE369" i="5"/>
  <c r="AG369" i="5" s="1"/>
  <c r="AE99" i="5"/>
  <c r="AG99" i="5" s="1"/>
  <c r="AE40" i="5"/>
  <c r="AE190" i="5"/>
  <c r="AE346" i="5"/>
  <c r="AG346" i="5" s="1"/>
  <c r="AE209" i="5"/>
  <c r="AG209" i="5" s="1"/>
  <c r="AE433" i="5"/>
  <c r="AG433" i="5" s="1"/>
  <c r="AE249" i="5"/>
  <c r="AG249" i="5" s="1"/>
  <c r="AE12" i="5"/>
  <c r="AE47" i="5"/>
  <c r="L77" i="1" s="1"/>
  <c r="M77" i="1" s="1"/>
  <c r="P77" i="1" s="1"/>
  <c r="Q77" i="1" s="1"/>
  <c r="AE254" i="5"/>
  <c r="AG254" i="5" s="1"/>
  <c r="AE530" i="5"/>
  <c r="AE561" i="5"/>
  <c r="AG561" i="5" s="1"/>
  <c r="AE54" i="5"/>
  <c r="AG54" i="5" s="1"/>
  <c r="AE538" i="5"/>
  <c r="AG538" i="5" s="1"/>
  <c r="AE313" i="5"/>
  <c r="AG313" i="5" s="1"/>
  <c r="AE554" i="5"/>
  <c r="AG554" i="5" s="1"/>
  <c r="AE568" i="5"/>
  <c r="AG568" i="5" s="1"/>
  <c r="AE239" i="5"/>
  <c r="AG239" i="5" s="1"/>
  <c r="AE88" i="5"/>
  <c r="AG88" i="5" s="1"/>
  <c r="AE116" i="5"/>
  <c r="AG116" i="5" s="1"/>
  <c r="AE126" i="5"/>
  <c r="AG126" i="5" s="1"/>
  <c r="AE193" i="5"/>
  <c r="AG193" i="5" s="1"/>
  <c r="AE367" i="5"/>
  <c r="AG367" i="5" s="1"/>
  <c r="AE28" i="5"/>
  <c r="AE573" i="5"/>
  <c r="AE75" i="5"/>
  <c r="AG75" i="5" s="1"/>
  <c r="AE402" i="5"/>
  <c r="AG402" i="5" s="1"/>
  <c r="AE581" i="5"/>
  <c r="AG581" i="5" s="1"/>
  <c r="AE291" i="5"/>
  <c r="AG291" i="5" s="1"/>
  <c r="AE163" i="5"/>
  <c r="AG163" i="5" s="1"/>
  <c r="AE10" i="5"/>
  <c r="AG10" i="5" s="1"/>
  <c r="AE17" i="5"/>
  <c r="AG17" i="5" s="1"/>
  <c r="AE81" i="5"/>
  <c r="AG81" i="5" s="1"/>
  <c r="AE443" i="5"/>
  <c r="AE129" i="5"/>
  <c r="AG129" i="5" s="1"/>
  <c r="AE476" i="5"/>
  <c r="AG476" i="5" s="1"/>
  <c r="AE121" i="5"/>
  <c r="AG121" i="5" s="1"/>
  <c r="AE282" i="5"/>
  <c r="AG282" i="5" s="1"/>
  <c r="AE48" i="5"/>
  <c r="L78" i="1" s="1"/>
  <c r="M78" i="1" s="1"/>
  <c r="P78" i="1" s="1"/>
  <c r="Q78" i="1" s="1"/>
  <c r="AE23" i="5"/>
  <c r="AG23" i="5" s="1"/>
  <c r="AE175" i="5"/>
  <c r="AG175" i="5" s="1"/>
  <c r="AE52" i="5"/>
  <c r="AG52" i="5" s="1"/>
  <c r="AE154" i="5"/>
  <c r="AG154" i="5" s="1"/>
  <c r="AE216" i="5"/>
  <c r="AG216" i="5" s="1"/>
  <c r="AE598" i="5"/>
  <c r="AG598" i="5" s="1"/>
  <c r="AE303" i="5"/>
  <c r="AG303" i="5" s="1"/>
  <c r="AE138" i="5"/>
  <c r="AG138" i="5" s="1"/>
  <c r="AE34" i="5"/>
  <c r="L17" i="1" s="1"/>
  <c r="M17" i="1" s="1"/>
  <c r="P17" i="1" s="1"/>
  <c r="Q17" i="1" s="1"/>
  <c r="AE202" i="5"/>
  <c r="AG202" i="5" s="1"/>
  <c r="AE180" i="5"/>
  <c r="AG180" i="5" s="1"/>
  <c r="AE540" i="5"/>
  <c r="AG540" i="5" s="1"/>
  <c r="AE144" i="5"/>
  <c r="AG144" i="5" s="1"/>
  <c r="AE474" i="5"/>
  <c r="AG474" i="5" s="1"/>
  <c r="AE218" i="5"/>
  <c r="AG218" i="5" s="1"/>
  <c r="AE227" i="5"/>
  <c r="AG227" i="5" s="1"/>
  <c r="AE69" i="5"/>
  <c r="AG69" i="5" s="1"/>
  <c r="AE336" i="5"/>
  <c r="AG336" i="5" s="1"/>
  <c r="AE308" i="5"/>
  <c r="AG308" i="5" s="1"/>
  <c r="AE318" i="5"/>
  <c r="AG318" i="5" s="1"/>
  <c r="AE42" i="5"/>
  <c r="AE466" i="5"/>
  <c r="AG466" i="5" s="1"/>
  <c r="AE168" i="5"/>
  <c r="AG168" i="5" s="1"/>
  <c r="AE90" i="5"/>
  <c r="AG90" i="5" s="1"/>
  <c r="AE355" i="5"/>
  <c r="AG355" i="5" s="1"/>
  <c r="AE68" i="5"/>
  <c r="AG68" i="5" s="1"/>
  <c r="AE152" i="5"/>
  <c r="AG152" i="5" s="1"/>
  <c r="AE208" i="5"/>
  <c r="AG208" i="5" s="1"/>
  <c r="AE460" i="5"/>
  <c r="AG460" i="5" s="1"/>
  <c r="AE304" i="5"/>
  <c r="AG304" i="5" s="1"/>
  <c r="AE475" i="5"/>
  <c r="AE519" i="5"/>
  <c r="AG519" i="5" s="1"/>
  <c r="AE531" i="5"/>
  <c r="AE421" i="5"/>
  <c r="AG421" i="5" s="1"/>
  <c r="AE434" i="5"/>
  <c r="AE217" i="5"/>
  <c r="AG217" i="5" s="1"/>
  <c r="AE98" i="5"/>
  <c r="AG98" i="5" s="1"/>
  <c r="AE124" i="5"/>
  <c r="AG124" i="5" s="1"/>
  <c r="AE332" i="5"/>
  <c r="AE565" i="5"/>
  <c r="AE111" i="5"/>
  <c r="AG111" i="5" s="1"/>
  <c r="AE384" i="5"/>
  <c r="AG384" i="5" s="1"/>
  <c r="AE71" i="5"/>
  <c r="AG71" i="5" s="1"/>
  <c r="AE240" i="5"/>
  <c r="AG240" i="5" s="1"/>
  <c r="AE24" i="5"/>
  <c r="AG24" i="5" s="1"/>
  <c r="AE484" i="5"/>
  <c r="AG484" i="5" s="1"/>
  <c r="AE429" i="5"/>
  <c r="AG429" i="5" s="1"/>
  <c r="AE446" i="5"/>
  <c r="AG446" i="5" s="1"/>
  <c r="AE262" i="5"/>
  <c r="AG262" i="5" s="1"/>
  <c r="AE377" i="5"/>
  <c r="AG377" i="5" s="1"/>
  <c r="AE78" i="5"/>
  <c r="AG78" i="5" s="1"/>
  <c r="AE14" i="5"/>
  <c r="AG14" i="5" s="1"/>
  <c r="AE442" i="5"/>
  <c r="AG442" i="5" s="1"/>
  <c r="AE419" i="5"/>
  <c r="AG419" i="5" s="1"/>
  <c r="AE428" i="5"/>
  <c r="AG428" i="5" s="1"/>
  <c r="AE373" i="5"/>
  <c r="AG373" i="5" s="1"/>
  <c r="AE324" i="5"/>
  <c r="AG324" i="5" s="1"/>
  <c r="AE333" i="5"/>
  <c r="AG333" i="5" s="1"/>
  <c r="AE594" i="5"/>
  <c r="AG594" i="5" s="1"/>
  <c r="AE36" i="5"/>
  <c r="AE64" i="5"/>
  <c r="AG64" i="5" s="1"/>
  <c r="AE580" i="5"/>
  <c r="AG580" i="5" s="1"/>
  <c r="AE491" i="5"/>
  <c r="AG491" i="5" s="1"/>
  <c r="AE500" i="5"/>
  <c r="AG500" i="5" s="1"/>
  <c r="AE381" i="5"/>
  <c r="AE140" i="5"/>
  <c r="AE526" i="5"/>
  <c r="AG526" i="5" s="1"/>
  <c r="AE535" i="5"/>
  <c r="AG535" i="5" s="1"/>
  <c r="AE536" i="5"/>
  <c r="AG536" i="5" s="1"/>
  <c r="AE393" i="5"/>
  <c r="AG393" i="5" s="1"/>
  <c r="AE74" i="5"/>
  <c r="AG74" i="5" s="1"/>
  <c r="AE264" i="5"/>
  <c r="AG264" i="5" s="1"/>
  <c r="AE197" i="5"/>
  <c r="AG197" i="5" s="1"/>
  <c r="AE585" i="5"/>
  <c r="AG585" i="5" s="1"/>
  <c r="AE322" i="5"/>
  <c r="AG322" i="5" s="1"/>
  <c r="AE51" i="5"/>
  <c r="AE120" i="5"/>
  <c r="AG120" i="5" s="1"/>
  <c r="AE32" i="5"/>
  <c r="AG32" i="5" s="1"/>
  <c r="AE106" i="5"/>
  <c r="AG106" i="5" s="1"/>
  <c r="AE518" i="5"/>
  <c r="AG518" i="5" s="1"/>
  <c r="AE206" i="5"/>
  <c r="AG206" i="5" s="1"/>
  <c r="AE127" i="5"/>
  <c r="AG127" i="5" s="1"/>
  <c r="AE513" i="5"/>
  <c r="AG513" i="5" s="1"/>
  <c r="AE92" i="5"/>
  <c r="AG92" i="5" s="1"/>
  <c r="AE256" i="5"/>
  <c r="AG256" i="5" s="1"/>
  <c r="AE169" i="5"/>
  <c r="AG169" i="5" s="1"/>
  <c r="AE178" i="5"/>
  <c r="AG178" i="5" s="1"/>
  <c r="AE187" i="5"/>
  <c r="AG187" i="5" s="1"/>
  <c r="AE445" i="5"/>
  <c r="AE213" i="5"/>
  <c r="AG213" i="5" s="1"/>
  <c r="AE214" i="5"/>
  <c r="AG214" i="5" s="1"/>
  <c r="AE253" i="5"/>
  <c r="AG253" i="5" s="1"/>
  <c r="AE457" i="5"/>
  <c r="AE458" i="5"/>
  <c r="AE50" i="5"/>
  <c r="L81" i="1" s="1"/>
  <c r="M81" i="1" s="1"/>
  <c r="P81" i="1" s="1"/>
  <c r="Q81" i="1" s="1"/>
  <c r="AE76" i="5"/>
  <c r="AG76" i="5" s="1"/>
  <c r="AE498" i="5"/>
  <c r="AG498" i="5" s="1"/>
  <c r="AE411" i="5"/>
  <c r="AG411" i="5" s="1"/>
  <c r="AE354" i="5"/>
  <c r="AG354" i="5" s="1"/>
  <c r="AE235" i="5"/>
  <c r="AG235" i="5" s="1"/>
  <c r="AE316" i="5"/>
  <c r="AG316" i="5" s="1"/>
  <c r="AE391" i="5"/>
  <c r="AG391" i="5" s="1"/>
  <c r="AE134" i="5"/>
  <c r="AE520" i="5"/>
  <c r="AG520" i="5" s="1"/>
  <c r="AE247" i="5"/>
  <c r="AG247" i="5" s="1"/>
  <c r="AE45" i="5"/>
  <c r="L76" i="1" s="1"/>
  <c r="M76" i="1" s="1"/>
  <c r="P76" i="1" s="1"/>
  <c r="Q76" i="1" s="1"/>
  <c r="AE312" i="5"/>
  <c r="AG312" i="5" s="1"/>
  <c r="AE289" i="5"/>
  <c r="AG289" i="5" s="1"/>
  <c r="AE298" i="5"/>
  <c r="AE179" i="5"/>
  <c r="AG179" i="5" s="1"/>
  <c r="AE196" i="5"/>
  <c r="AG196" i="5" s="1"/>
  <c r="AE205" i="5"/>
  <c r="AG205" i="5" s="1"/>
  <c r="AE464" i="5"/>
  <c r="AG464" i="5" s="1"/>
  <c r="AE319" i="5"/>
  <c r="AG319" i="5" s="1"/>
  <c r="AE22" i="5"/>
  <c r="AG22" i="5" s="1"/>
  <c r="AE450" i="5"/>
  <c r="AG450" i="5" s="1"/>
  <c r="AE361" i="5"/>
  <c r="AG361" i="5" s="1"/>
  <c r="AE372" i="5"/>
  <c r="AG372" i="5" s="1"/>
  <c r="AE509" i="5"/>
  <c r="AE398" i="5"/>
  <c r="AG398" i="5" s="1"/>
  <c r="AE407" i="5"/>
  <c r="AG407" i="5" s="1"/>
  <c r="AE408" i="5"/>
  <c r="AG408" i="5" s="1"/>
  <c r="AE263" i="5"/>
  <c r="AG263" i="5" s="1"/>
  <c r="AE363" i="5"/>
  <c r="AG363" i="5" s="1"/>
  <c r="AE548" i="5"/>
  <c r="AE493" i="5"/>
  <c r="AG493" i="5" s="1"/>
  <c r="AE510" i="5"/>
  <c r="AG510" i="5" s="1"/>
  <c r="AE326" i="5"/>
  <c r="AG326" i="5" s="1"/>
  <c r="AE441" i="5"/>
  <c r="AG441" i="5" s="1"/>
  <c r="AE448" i="5"/>
  <c r="AG448" i="5" s="1"/>
  <c r="AE79" i="5"/>
  <c r="AG79" i="5" s="1"/>
  <c r="AE506" i="5"/>
  <c r="AG506" i="5" s="1"/>
  <c r="AE483" i="5"/>
  <c r="AG483" i="5" s="1"/>
  <c r="AE492" i="5"/>
  <c r="AG492" i="5" s="1"/>
  <c r="AE437" i="5"/>
  <c r="AG437" i="5" s="1"/>
  <c r="AE390" i="5"/>
  <c r="AE399" i="5"/>
  <c r="AG399" i="5" s="1"/>
  <c r="AE307" i="5"/>
  <c r="AG307" i="5" s="1"/>
  <c r="AE385" i="5"/>
  <c r="AG385" i="5" s="1"/>
  <c r="AE59" i="5"/>
  <c r="AG59" i="5" s="1"/>
  <c r="AE128" i="5"/>
  <c r="AG128" i="5" s="1"/>
  <c r="AE41" i="5"/>
  <c r="AG41" i="5" s="1"/>
  <c r="AE555" i="5"/>
  <c r="AG555" i="5" s="1"/>
  <c r="AE564" i="5"/>
  <c r="AG564" i="5" s="1"/>
  <c r="AE204" i="5"/>
  <c r="AG204" i="5" s="1"/>
  <c r="AE592" i="5"/>
  <c r="AG592" i="5" s="1"/>
  <c r="AE86" i="5"/>
  <c r="AG86" i="5" s="1"/>
  <c r="AE194" i="5"/>
  <c r="AG194" i="5" s="1"/>
  <c r="AE67" i="5"/>
  <c r="AG67" i="5" s="1"/>
  <c r="AE438" i="5"/>
  <c r="AG438" i="5" s="1"/>
  <c r="AE43" i="5"/>
  <c r="AG43" i="5" s="1"/>
  <c r="AE112" i="5"/>
  <c r="AG112" i="5" s="1"/>
  <c r="AE370" i="5"/>
  <c r="AG370" i="5" s="1"/>
  <c r="AE153" i="5"/>
  <c r="AG153" i="5" s="1"/>
  <c r="AE281" i="5"/>
  <c r="AG281" i="5" s="1"/>
  <c r="AE539" i="5"/>
  <c r="AG539" i="5" s="1"/>
  <c r="AE226" i="5"/>
  <c r="AG226" i="5" s="1"/>
  <c r="AE107" i="5"/>
  <c r="AG107" i="5" s="1"/>
  <c r="AE557" i="5"/>
  <c r="AG557" i="5" s="1"/>
  <c r="AE188" i="5"/>
  <c r="AG188" i="5" s="1"/>
  <c r="AE133" i="5"/>
  <c r="AG133" i="5" s="1"/>
  <c r="AE261" i="5"/>
  <c r="AG261" i="5" s="1"/>
  <c r="AE392" i="5"/>
  <c r="AG392" i="5" s="1"/>
  <c r="AE119" i="5"/>
  <c r="AG119" i="5" s="1"/>
  <c r="AE505" i="5"/>
  <c r="AE58" i="5"/>
  <c r="AG58" i="5" s="1"/>
  <c r="AE19" i="5"/>
  <c r="AG19" i="5" s="1"/>
  <c r="AE56" i="5"/>
  <c r="AG56" i="5" s="1"/>
  <c r="AE184" i="5"/>
  <c r="AG184" i="5" s="1"/>
  <c r="AE572" i="5"/>
  <c r="AG572" i="5" s="1"/>
  <c r="AE161" i="5"/>
  <c r="AG161" i="5" s="1"/>
  <c r="AE547" i="5"/>
  <c r="AG547" i="5" s="1"/>
  <c r="AE170" i="5"/>
  <c r="AG170" i="5" s="1"/>
  <c r="AE556" i="5"/>
  <c r="AE501" i="5"/>
  <c r="AG501" i="5" s="1"/>
  <c r="AE454" i="5"/>
  <c r="AG454" i="5" s="1"/>
  <c r="AE584" i="5"/>
  <c r="AG584" i="5" s="1"/>
  <c r="AE593" i="5"/>
  <c r="AG593" i="5" s="1"/>
  <c r="AE270" i="5"/>
  <c r="AG270" i="5" s="1"/>
  <c r="AE387" i="5"/>
  <c r="AG387" i="5" s="1"/>
  <c r="AE191" i="5"/>
  <c r="AG191" i="5" s="1"/>
  <c r="AE449" i="5"/>
  <c r="AE579" i="5"/>
  <c r="AG579" i="5" s="1"/>
  <c r="AE27" i="5"/>
  <c r="AG27" i="5" s="1"/>
  <c r="AE53" i="5"/>
  <c r="AG53" i="5" s="1"/>
  <c r="AE192" i="5"/>
  <c r="AG192" i="5" s="1"/>
  <c r="AE320" i="5"/>
  <c r="AG320" i="5" s="1"/>
  <c r="AE105" i="5"/>
  <c r="AG105" i="5" s="1"/>
  <c r="AE233" i="5"/>
  <c r="AG233" i="5" s="1"/>
  <c r="AE114" i="5"/>
  <c r="AG114" i="5" s="1"/>
  <c r="AE242" i="5"/>
  <c r="AG242" i="5" s="1"/>
  <c r="AE123" i="5"/>
  <c r="AG123" i="5" s="1"/>
  <c r="AE251" i="5"/>
  <c r="AG251" i="5" s="1"/>
  <c r="AE268" i="5"/>
  <c r="AG268" i="5" s="1"/>
  <c r="AE149" i="5"/>
  <c r="AG149" i="5" s="1"/>
  <c r="AE277" i="5"/>
  <c r="AG277" i="5" s="1"/>
  <c r="AE150" i="5"/>
  <c r="AG150" i="5" s="1"/>
  <c r="AE278" i="5"/>
  <c r="AG278" i="5" s="1"/>
  <c r="AE273" i="5"/>
  <c r="AG273" i="5" s="1"/>
  <c r="AE135" i="5"/>
  <c r="AG135" i="5" s="1"/>
  <c r="AE521" i="5"/>
  <c r="AG521" i="5" s="1"/>
  <c r="AE35" i="5"/>
  <c r="AG35" i="5" s="1"/>
  <c r="AE447" i="5"/>
  <c r="AG447" i="5" s="1"/>
  <c r="AE65" i="5"/>
  <c r="AE11" i="5"/>
  <c r="AG11" i="5" s="1"/>
  <c r="AE37" i="5"/>
  <c r="AE176" i="5"/>
  <c r="AG176" i="5" s="1"/>
  <c r="AE562" i="5"/>
  <c r="AG562" i="5" s="1"/>
  <c r="AE345" i="5"/>
  <c r="AG345" i="5" s="1"/>
  <c r="AE290" i="5"/>
  <c r="AG290" i="5" s="1"/>
  <c r="AE420" i="5"/>
  <c r="AG420" i="5" s="1"/>
  <c r="AE171" i="5"/>
  <c r="AG171" i="5" s="1"/>
  <c r="AE299" i="5"/>
  <c r="AG299" i="5" s="1"/>
  <c r="AE252" i="5"/>
  <c r="AG252" i="5" s="1"/>
  <c r="AE382" i="5"/>
  <c r="AG382" i="5" s="1"/>
  <c r="AE325" i="5"/>
  <c r="AG325" i="5" s="1"/>
  <c r="AE455" i="5"/>
  <c r="AG455" i="5" s="1"/>
  <c r="AE198" i="5"/>
  <c r="AG198" i="5" s="1"/>
  <c r="AE456" i="5"/>
  <c r="AG456" i="5" s="1"/>
  <c r="AE586" i="5"/>
  <c r="AG586" i="5" s="1"/>
  <c r="AE183" i="5"/>
  <c r="AG183" i="5" s="1"/>
  <c r="AE311" i="5"/>
  <c r="AG311" i="5" s="1"/>
  <c r="AE571" i="5"/>
  <c r="AE84" i="5"/>
  <c r="AG84" i="5" s="1"/>
  <c r="AE21" i="5"/>
  <c r="AG21" i="5" s="1"/>
  <c r="AE248" i="5"/>
  <c r="AG248" i="5" s="1"/>
  <c r="AE378" i="5"/>
  <c r="AG378" i="5" s="1"/>
  <c r="AE225" i="5"/>
  <c r="AG225" i="5" s="1"/>
  <c r="AE353" i="5"/>
  <c r="AG353" i="5" s="1"/>
  <c r="AE234" i="5"/>
  <c r="AG234" i="5" s="1"/>
  <c r="AE362" i="5"/>
  <c r="AG362" i="5" s="1"/>
  <c r="AE115" i="5"/>
  <c r="AG115" i="5" s="1"/>
  <c r="AE243" i="5"/>
  <c r="AG243" i="5" s="1"/>
  <c r="AE132" i="5"/>
  <c r="AG132" i="5" s="1"/>
  <c r="AE260" i="5"/>
  <c r="AG260" i="5" s="1"/>
  <c r="AE141" i="5"/>
  <c r="AG141" i="5" s="1"/>
  <c r="AE269" i="5"/>
  <c r="AG269" i="5" s="1"/>
  <c r="AE334" i="5"/>
  <c r="AG334" i="5" s="1"/>
  <c r="AE528" i="5"/>
  <c r="AG528" i="5" s="1"/>
  <c r="AE255" i="5"/>
  <c r="AG255" i="5" s="1"/>
  <c r="AE512" i="5"/>
  <c r="AG512" i="5" s="1"/>
  <c r="AE29" i="5"/>
  <c r="AE87" i="5"/>
  <c r="AG87" i="5" s="1"/>
  <c r="AE386" i="5"/>
  <c r="AG386" i="5" s="1"/>
  <c r="AE514" i="5"/>
  <c r="AG514" i="5" s="1"/>
  <c r="AE297" i="5"/>
  <c r="AG297" i="5" s="1"/>
  <c r="AE427" i="5"/>
  <c r="AG427" i="5" s="1"/>
  <c r="AE306" i="5"/>
  <c r="AG306" i="5" s="1"/>
  <c r="AE436" i="5"/>
  <c r="AG436" i="5" s="1"/>
  <c r="AE315" i="5"/>
  <c r="AG315" i="5" s="1"/>
  <c r="AE575" i="5"/>
  <c r="AG575" i="5" s="1"/>
  <c r="AE462" i="5"/>
  <c r="AG462" i="5" s="1"/>
  <c r="AE341" i="5"/>
  <c r="AG341" i="5" s="1"/>
  <c r="AE471" i="5"/>
  <c r="AG471" i="5" s="1"/>
  <c r="AE342" i="5"/>
  <c r="AG342" i="5" s="1"/>
  <c r="AE472" i="5"/>
  <c r="AG472" i="5" s="1"/>
  <c r="AE199" i="5"/>
  <c r="AG199" i="5" s="1"/>
  <c r="AE327" i="5"/>
  <c r="AG327" i="5" s="1"/>
  <c r="AE587" i="5"/>
  <c r="AG587" i="5" s="1"/>
  <c r="AE9" i="5"/>
  <c r="AG9" i="5" s="1"/>
  <c r="AE55" i="5"/>
  <c r="AE477" i="5"/>
  <c r="AE30" i="5"/>
  <c r="AG30" i="5" s="1"/>
  <c r="AE503" i="5"/>
  <c r="AE136" i="5"/>
  <c r="AG136" i="5" s="1"/>
  <c r="AE522" i="5"/>
  <c r="AG522" i="5" s="1"/>
  <c r="AE499" i="5"/>
  <c r="AG499" i="5" s="1"/>
  <c r="AE574" i="5"/>
  <c r="AG574" i="5" s="1"/>
  <c r="AE470" i="5"/>
  <c r="AG470" i="5" s="1"/>
  <c r="AE349" i="5"/>
  <c r="AG349" i="5" s="1"/>
  <c r="AE286" i="5"/>
  <c r="AG286" i="5" s="1"/>
  <c r="AE529" i="5"/>
  <c r="AG529" i="5" s="1"/>
  <c r="AE331" i="5"/>
  <c r="AG331" i="5" s="1"/>
  <c r="AE478" i="5"/>
  <c r="AG478" i="5" s="1"/>
  <c r="AE487" i="5"/>
  <c r="AG487" i="5" s="1"/>
  <c r="AE488" i="5"/>
  <c r="AG488" i="5" s="1"/>
  <c r="AE151" i="5"/>
  <c r="AG151" i="5" s="1"/>
  <c r="AE537" i="5"/>
  <c r="AG537" i="5" s="1"/>
  <c r="AE339" i="5"/>
  <c r="AG339" i="5" s="1"/>
  <c r="AE228" i="5"/>
  <c r="AG228" i="5" s="1"/>
  <c r="AE301" i="5"/>
  <c r="AG301" i="5" s="1"/>
  <c r="AE174" i="5"/>
  <c r="AG174" i="5" s="1"/>
  <c r="AE507" i="5"/>
  <c r="AE351" i="5"/>
  <c r="AG351" i="5" s="1"/>
  <c r="AE26" i="5"/>
  <c r="AG26" i="5" s="1"/>
  <c r="AE352" i="5"/>
  <c r="AG352" i="5" s="1"/>
  <c r="AE137" i="5"/>
  <c r="AG137" i="5" s="1"/>
  <c r="AE468" i="5"/>
  <c r="AG468" i="5" s="1"/>
  <c r="AE364" i="5"/>
  <c r="AG364" i="5" s="1"/>
  <c r="AE245" i="5"/>
  <c r="AG245" i="5" s="1"/>
  <c r="AE569" i="5"/>
  <c r="AE310" i="5"/>
  <c r="AE321" i="5"/>
  <c r="AG321" i="5" s="1"/>
  <c r="AE103" i="5"/>
  <c r="AG103" i="5" s="1"/>
  <c r="AE576" i="5"/>
  <c r="AE61" i="5"/>
  <c r="AG61" i="5" s="1"/>
  <c r="AE328" i="5"/>
  <c r="AG328" i="5" s="1"/>
  <c r="AE177" i="5"/>
  <c r="AG177" i="5" s="1"/>
  <c r="AE250" i="5"/>
  <c r="AG250" i="5" s="1"/>
  <c r="AE259" i="5"/>
  <c r="AG259" i="5" s="1"/>
  <c r="AE148" i="5"/>
  <c r="AG148" i="5" s="1"/>
  <c r="AE94" i="5"/>
  <c r="AG94" i="5" s="1"/>
  <c r="AE480" i="5"/>
  <c r="AG480" i="5" s="1"/>
  <c r="AE143" i="5"/>
  <c r="AG143" i="5" s="1"/>
  <c r="AE516" i="5"/>
  <c r="AG516" i="5" s="1"/>
  <c r="AE397" i="5"/>
  <c r="AE156" i="5"/>
  <c r="AE165" i="5"/>
  <c r="AG165" i="5" s="1"/>
  <c r="AE166" i="5"/>
  <c r="AG166" i="5" s="1"/>
  <c r="AE566" i="5"/>
  <c r="AG566" i="5" s="1"/>
  <c r="AE343" i="5"/>
  <c r="AG343" i="5" s="1"/>
  <c r="AE524" i="5"/>
  <c r="AG524" i="5" s="1"/>
  <c r="AE486" i="5"/>
  <c r="AG486" i="5" s="1"/>
  <c r="AE495" i="5"/>
  <c r="AG495" i="5" s="1"/>
  <c r="AE432" i="5"/>
  <c r="AG432" i="5" s="1"/>
  <c r="AE113" i="5"/>
  <c r="AG113" i="5" s="1"/>
  <c r="AE545" i="5"/>
  <c r="AG545" i="5" s="1"/>
  <c r="AE567" i="5"/>
  <c r="AE31" i="5"/>
  <c r="L18" i="1" s="1"/>
  <c r="M18" i="1" s="1"/>
  <c r="P18" i="1" s="1"/>
  <c r="Q18" i="1" s="1"/>
  <c r="AE546" i="5"/>
  <c r="AG546" i="5" s="1"/>
  <c r="AE395" i="5"/>
  <c r="AG395" i="5" s="1"/>
  <c r="AE146" i="5"/>
  <c r="AE155" i="5"/>
  <c r="AG155" i="5" s="1"/>
  <c r="AE541" i="5"/>
  <c r="AG541" i="5" s="1"/>
  <c r="AE430" i="5"/>
  <c r="AG430" i="5" s="1"/>
  <c r="AE376" i="5"/>
  <c r="AE295" i="5"/>
  <c r="AG295" i="5" s="1"/>
  <c r="AE38" i="5"/>
  <c r="AG38" i="5" s="1"/>
  <c r="AE7" i="5"/>
  <c r="AG7" i="5" s="1"/>
  <c r="AE371" i="5"/>
  <c r="AG371" i="5" s="1"/>
  <c r="AE444" i="5"/>
  <c r="AG444" i="5" s="1"/>
  <c r="AE453" i="5"/>
  <c r="AE340" i="5"/>
  <c r="AG340" i="5" s="1"/>
  <c r="AE221" i="5"/>
  <c r="AG221" i="5" s="1"/>
  <c r="AE337" i="5"/>
  <c r="AG337" i="5" s="1"/>
  <c r="AE335" i="5"/>
  <c r="AG335" i="5" s="1"/>
  <c r="AE203" i="5"/>
  <c r="AG203" i="5" s="1"/>
  <c r="AE461" i="5"/>
  <c r="AG461" i="5" s="1"/>
  <c r="AE348" i="5"/>
  <c r="AG348" i="5" s="1"/>
  <c r="AE357" i="5"/>
  <c r="AG357" i="5" s="1"/>
  <c r="AE358" i="5"/>
  <c r="AE465" i="5"/>
  <c r="AE211" i="5"/>
  <c r="AG211" i="5" s="1"/>
  <c r="AE100" i="5"/>
  <c r="AG100" i="5" s="1"/>
  <c r="AE173" i="5"/>
  <c r="AG173" i="5" s="1"/>
  <c r="AE223" i="5"/>
  <c r="AG223" i="5" s="1"/>
  <c r="AE302" i="5"/>
  <c r="AE142" i="5"/>
  <c r="AG142" i="5" s="1"/>
  <c r="AE85" i="5"/>
  <c r="AG85" i="5" s="1"/>
  <c r="AE224" i="5"/>
  <c r="AG224" i="5" s="1"/>
  <c r="AE459" i="5"/>
  <c r="AE338" i="5"/>
  <c r="AG338" i="5" s="1"/>
  <c r="AE347" i="5"/>
  <c r="AG347" i="5" s="1"/>
  <c r="AE236" i="5"/>
  <c r="AG236" i="5" s="1"/>
  <c r="AE117" i="5"/>
  <c r="AG117" i="5" s="1"/>
  <c r="AE570" i="5"/>
  <c r="AG570" i="5" s="1"/>
  <c r="AE489" i="5"/>
  <c r="AG489" i="5" s="1"/>
  <c r="AE72" i="5"/>
  <c r="AG72" i="5" s="1"/>
  <c r="AE200" i="5"/>
  <c r="AG200" i="5" s="1"/>
  <c r="AE588" i="5"/>
  <c r="AG588" i="5" s="1"/>
  <c r="AE122" i="5"/>
  <c r="AG122" i="5" s="1"/>
  <c r="AE131" i="5"/>
  <c r="AG131" i="5" s="1"/>
  <c r="AE517" i="5"/>
  <c r="AE534" i="5"/>
  <c r="AG534" i="5" s="1"/>
  <c r="AE415" i="5"/>
  <c r="AE350" i="5"/>
  <c r="AG350" i="5" s="1"/>
  <c r="AE527" i="5"/>
  <c r="AE595" i="5"/>
  <c r="AG595" i="5" s="1"/>
  <c r="AE525" i="5"/>
  <c r="AE542" i="5"/>
  <c r="AG542" i="5" s="1"/>
  <c r="AE551" i="5"/>
  <c r="AG551" i="5" s="1"/>
  <c r="AE552" i="5"/>
  <c r="AG552" i="5" s="1"/>
  <c r="AE215" i="5"/>
  <c r="AG215" i="5" s="1"/>
  <c r="AE589" i="5"/>
  <c r="AG589" i="5" s="1"/>
  <c r="AE405" i="5"/>
  <c r="AG405" i="5" s="1"/>
  <c r="AE292" i="5"/>
  <c r="AG292" i="5" s="1"/>
  <c r="AE365" i="5"/>
  <c r="AG365" i="5" s="1"/>
  <c r="AE238" i="5"/>
  <c r="AE145" i="5"/>
  <c r="AG145" i="5" s="1"/>
  <c r="AE417" i="5"/>
  <c r="AG417" i="5" s="1"/>
  <c r="AE418" i="5"/>
  <c r="AG418" i="5" s="1"/>
  <c r="AE265" i="5"/>
  <c r="AG265" i="5" s="1"/>
  <c r="AE523" i="5"/>
  <c r="AE532" i="5"/>
  <c r="AG532" i="5" s="1"/>
  <c r="AE309" i="5"/>
  <c r="AG309" i="5" s="1"/>
  <c r="AE118" i="5"/>
  <c r="AG118" i="5" s="1"/>
  <c r="AE201" i="5"/>
  <c r="AG201" i="5" s="1"/>
  <c r="AE167" i="5"/>
  <c r="AG167" i="5" s="1"/>
  <c r="AE511" i="5"/>
  <c r="AG511" i="5" s="1"/>
  <c r="AE394" i="5"/>
  <c r="AG394" i="5" s="1"/>
  <c r="AE241" i="5"/>
  <c r="AG241" i="5" s="1"/>
  <c r="AE186" i="5"/>
  <c r="AG186" i="5" s="1"/>
  <c r="AE314" i="5"/>
  <c r="AG314" i="5" s="1"/>
  <c r="AE195" i="5"/>
  <c r="AG195" i="5" s="1"/>
  <c r="AE323" i="5"/>
  <c r="AG323" i="5" s="1"/>
  <c r="AE583" i="5"/>
  <c r="AG583" i="5" s="1"/>
  <c r="AE212" i="5"/>
  <c r="AG212" i="5" s="1"/>
  <c r="AE93" i="5"/>
  <c r="AE543" i="5"/>
  <c r="AG543" i="5" s="1"/>
  <c r="AE158" i="5"/>
  <c r="AG158" i="5" s="1"/>
  <c r="AE416" i="5"/>
  <c r="AG416" i="5" s="1"/>
  <c r="AE544" i="5"/>
  <c r="AG544" i="5" s="1"/>
  <c r="AE479" i="5"/>
  <c r="AG479" i="5" s="1"/>
  <c r="AE207" i="5"/>
  <c r="AG207" i="5" s="1"/>
  <c r="AE379" i="5"/>
  <c r="AG379" i="5" s="1"/>
  <c r="AE582" i="5"/>
  <c r="AG582" i="5" s="1"/>
  <c r="AE591" i="5"/>
  <c r="AG591" i="5" s="1"/>
  <c r="AE220" i="5"/>
  <c r="AG220" i="5" s="1"/>
  <c r="AE101" i="5"/>
  <c r="AG101" i="5" s="1"/>
  <c r="AE229" i="5"/>
  <c r="AG229" i="5" s="1"/>
  <c r="AE102" i="5"/>
  <c r="AG102" i="5" s="1"/>
  <c r="AE230" i="5"/>
  <c r="AG230" i="5" s="1"/>
  <c r="AE451" i="5"/>
  <c r="AG451" i="5" s="1"/>
  <c r="AE279" i="5"/>
  <c r="AG279" i="5" s="1"/>
  <c r="AE409" i="5"/>
  <c r="AG409" i="5" s="1"/>
  <c r="AE66" i="5"/>
  <c r="AG66" i="5" s="1"/>
  <c r="AE590" i="5"/>
  <c r="AG590" i="5" s="1"/>
  <c r="AE469" i="5"/>
  <c r="AE422" i="5"/>
  <c r="AG422" i="5" s="1"/>
  <c r="AE550" i="5"/>
  <c r="AG550" i="5" s="1"/>
  <c r="AE431" i="5"/>
  <c r="AG431" i="5" s="1"/>
  <c r="AE559" i="5"/>
  <c r="AG559" i="5" s="1"/>
  <c r="AE366" i="5"/>
  <c r="AG366" i="5" s="1"/>
  <c r="AE496" i="5"/>
  <c r="AG496" i="5" s="1"/>
  <c r="AE577" i="5"/>
  <c r="AG577" i="5" s="1"/>
  <c r="AE95" i="5"/>
  <c r="AG95" i="5" s="1"/>
  <c r="AE481" i="5"/>
  <c r="AG481" i="5" s="1"/>
  <c r="AE597" i="5"/>
  <c r="AG597" i="5" s="1"/>
  <c r="AE60" i="5"/>
  <c r="AG60" i="5" s="1"/>
  <c r="AE96" i="5"/>
  <c r="AG96" i="5" s="1"/>
  <c r="AE482" i="5"/>
  <c r="AG482" i="5" s="1"/>
  <c r="AE8" i="5"/>
  <c r="AE329" i="5"/>
  <c r="AG329" i="5" s="1"/>
  <c r="AE82" i="5"/>
  <c r="AG82" i="5" s="1"/>
  <c r="AE210" i="5"/>
  <c r="AG210" i="5" s="1"/>
  <c r="AE91" i="5"/>
  <c r="AG91" i="5" s="1"/>
  <c r="AE219" i="5"/>
  <c r="AG219" i="5" s="1"/>
  <c r="AE108" i="5"/>
  <c r="AG108" i="5" s="1"/>
  <c r="AE494" i="5"/>
  <c r="AG494" i="5" s="1"/>
  <c r="AE375" i="5"/>
  <c r="AG375" i="5" s="1"/>
  <c r="AE182" i="5"/>
  <c r="AE440" i="5"/>
  <c r="AG440" i="5" s="1"/>
  <c r="AE463" i="5"/>
  <c r="AE231" i="5"/>
  <c r="AG231" i="5" s="1"/>
  <c r="AE359" i="5"/>
  <c r="AG359" i="5" s="1"/>
  <c r="AE356" i="5"/>
  <c r="AE49" i="5"/>
  <c r="L80" i="1" s="1"/>
  <c r="M80" i="1" s="1"/>
  <c r="P80" i="1" s="1"/>
  <c r="Q80" i="1" s="1"/>
  <c r="AE305" i="5"/>
  <c r="AG305" i="5" s="1"/>
  <c r="AE435" i="5"/>
  <c r="AG435" i="5" s="1"/>
  <c r="AE380" i="5"/>
  <c r="AG380" i="5" s="1"/>
  <c r="AE508" i="5"/>
  <c r="AG508" i="5" s="1"/>
  <c r="AE389" i="5"/>
  <c r="AG389" i="5" s="1"/>
  <c r="AE276" i="5"/>
  <c r="AG276" i="5" s="1"/>
  <c r="AE406" i="5"/>
  <c r="AG406" i="5" s="1"/>
  <c r="AE157" i="5"/>
  <c r="AG157" i="5" s="1"/>
  <c r="AE285" i="5"/>
  <c r="AG285" i="5" s="1"/>
  <c r="AE222" i="5"/>
  <c r="AE258" i="5"/>
  <c r="AE271" i="5"/>
  <c r="AG271" i="5" s="1"/>
  <c r="AE401" i="5"/>
  <c r="AG401" i="5" s="1"/>
  <c r="AE139" i="5"/>
  <c r="AG139" i="5" s="1"/>
  <c r="AE267" i="5"/>
  <c r="AG267" i="5" s="1"/>
  <c r="AE284" i="5"/>
  <c r="AG284" i="5" s="1"/>
  <c r="AE414" i="5"/>
  <c r="AG414" i="5" s="1"/>
  <c r="AE293" i="5"/>
  <c r="AG293" i="5" s="1"/>
  <c r="AE423" i="5"/>
  <c r="AG423" i="5" s="1"/>
  <c r="AE294" i="5"/>
  <c r="AG294" i="5" s="1"/>
  <c r="AE424" i="5"/>
  <c r="AG424" i="5" s="1"/>
  <c r="AE162" i="5"/>
  <c r="AG162" i="5" s="1"/>
  <c r="AE473" i="5"/>
  <c r="AE147" i="5"/>
  <c r="AG147" i="5" s="1"/>
  <c r="AE275" i="5"/>
  <c r="AG275" i="5" s="1"/>
  <c r="AE533" i="5"/>
  <c r="AE164" i="5"/>
  <c r="AE109" i="5"/>
  <c r="AG109" i="5" s="1"/>
  <c r="AE237" i="5"/>
  <c r="AG237" i="5" s="1"/>
  <c r="AE110" i="5"/>
  <c r="AG110" i="5" s="1"/>
  <c r="AE560" i="5"/>
  <c r="AG560" i="5" s="1"/>
  <c r="AE159" i="5"/>
  <c r="AG159" i="5" s="1"/>
  <c r="AE287" i="5"/>
  <c r="AG287" i="5" s="1"/>
  <c r="AE97" i="5"/>
  <c r="AG97" i="5" s="1"/>
  <c r="AE400" i="5"/>
  <c r="AG400" i="5" s="1"/>
  <c r="AE33" i="5"/>
  <c r="AE20" i="5"/>
  <c r="AG20" i="5" s="1"/>
  <c r="AE62" i="5"/>
  <c r="AG62" i="5" s="1"/>
  <c r="AE160" i="5"/>
  <c r="AG160" i="5" s="1"/>
  <c r="AE288" i="5"/>
  <c r="AE73" i="5"/>
  <c r="AE274" i="5"/>
  <c r="AG274" i="5" s="1"/>
  <c r="AE404" i="5"/>
  <c r="AG404" i="5" s="1"/>
  <c r="AE283" i="5"/>
  <c r="AG283" i="5" s="1"/>
  <c r="AE413" i="5"/>
  <c r="AG413" i="5" s="1"/>
  <c r="AE172" i="5"/>
  <c r="AG172" i="5" s="1"/>
  <c r="AE300" i="5"/>
  <c r="AG300" i="5" s="1"/>
  <c r="AE558" i="5"/>
  <c r="AG558" i="5" s="1"/>
  <c r="AE181" i="5"/>
  <c r="AG181" i="5" s="1"/>
  <c r="AE246" i="5"/>
  <c r="AG246" i="5" s="1"/>
  <c r="AE504" i="5"/>
  <c r="AG504" i="5" s="1"/>
  <c r="AE452" i="5"/>
  <c r="AG452" i="5" s="1"/>
  <c r="AE563" i="5"/>
  <c r="AE425" i="5"/>
  <c r="AG425" i="5" s="1"/>
  <c r="AE553" i="5"/>
  <c r="AG553" i="5" s="1"/>
  <c r="AE439" i="5"/>
  <c r="L42" i="1" l="1"/>
  <c r="M42" i="1" s="1"/>
  <c r="P42" i="1" s="1"/>
  <c r="Q42" i="1" s="1"/>
  <c r="AG55" i="5"/>
  <c r="L25" i="1"/>
  <c r="L85" i="1"/>
  <c r="M85" i="1" s="1"/>
  <c r="P85" i="1" s="1"/>
  <c r="Q85" i="1" s="1"/>
  <c r="AG33" i="5"/>
  <c r="L19" i="1"/>
  <c r="M19" i="1" s="1"/>
  <c r="P19" i="1" s="1"/>
  <c r="Q19" i="1" s="1"/>
  <c r="L126" i="1"/>
  <c r="M126" i="1" s="1"/>
  <c r="P126" i="1" s="1"/>
  <c r="Q126" i="1" s="1"/>
  <c r="AG40" i="5"/>
  <c r="L21" i="1"/>
  <c r="M21" i="1" s="1"/>
  <c r="P21" i="1" s="1"/>
  <c r="Q21" i="1" s="1"/>
  <c r="X69" i="6"/>
  <c r="L32" i="1"/>
  <c r="M32" i="1" s="1"/>
  <c r="P32" i="1" s="1"/>
  <c r="Q32" i="1" s="1"/>
  <c r="AG449" i="5"/>
  <c r="X47" i="6"/>
  <c r="AG298" i="5"/>
  <c r="L68" i="1"/>
  <c r="M68" i="1" s="1"/>
  <c r="P68" i="1" s="1"/>
  <c r="Q68" i="1" s="1"/>
  <c r="AG288" i="5"/>
  <c r="L67" i="1"/>
  <c r="M67" i="1" s="1"/>
  <c r="P67" i="1" s="1"/>
  <c r="Q67" i="1" s="1"/>
  <c r="L54" i="1"/>
  <c r="M54" i="1" s="1"/>
  <c r="P54" i="1" s="1"/>
  <c r="Q54" i="1" s="1"/>
  <c r="AG358" i="5"/>
  <c r="L55" i="1"/>
  <c r="M55" i="1" s="1"/>
  <c r="P55" i="1" s="1"/>
  <c r="Q55" i="1" s="1"/>
  <c r="AG42" i="5"/>
  <c r="X50" i="6"/>
  <c r="AG36" i="5"/>
  <c r="X52" i="6"/>
  <c r="AG453" i="5"/>
  <c r="X49" i="6"/>
  <c r="L43" i="1"/>
  <c r="M43" i="1" s="1"/>
  <c r="P43" i="1" s="1"/>
  <c r="Q43" i="1" s="1"/>
  <c r="AG302" i="5"/>
  <c r="L69" i="1"/>
  <c r="M69" i="1" s="1"/>
  <c r="P69" i="1" s="1"/>
  <c r="Q69" i="1" s="1"/>
  <c r="AG258" i="5"/>
  <c r="L65" i="1"/>
  <c r="M65" i="1" s="1"/>
  <c r="P65" i="1" s="1"/>
  <c r="Q65" i="1" s="1"/>
  <c r="AG238" i="5"/>
  <c r="L64" i="1"/>
  <c r="M64" i="1" s="1"/>
  <c r="P64" i="1" s="1"/>
  <c r="Q64" i="1" s="1"/>
  <c r="L20" i="1"/>
  <c r="M20" i="1" s="1"/>
  <c r="P20" i="1" s="1"/>
  <c r="Q20" i="1" s="1"/>
  <c r="X35" i="6"/>
  <c r="L31" i="1"/>
  <c r="M31" i="1" s="1"/>
  <c r="P31" i="1" s="1"/>
  <c r="Q31" i="1" s="1"/>
  <c r="AG280" i="5"/>
  <c r="L66" i="1"/>
  <c r="M66" i="1" s="1"/>
  <c r="P66" i="1" s="1"/>
  <c r="Q66" i="1" s="1"/>
  <c r="X43" i="6"/>
  <c r="L34" i="1"/>
  <c r="M34" i="1" s="1"/>
  <c r="P34" i="1" s="1"/>
  <c r="Q34" i="1" s="1"/>
  <c r="X36" i="6"/>
  <c r="X46" i="6"/>
  <c r="AG443" i="5"/>
  <c r="X48" i="6"/>
  <c r="AG8" i="5"/>
  <c r="L33" i="1"/>
  <c r="M33" i="1" s="1"/>
  <c r="P33" i="1" s="1"/>
  <c r="Q33" i="1" s="1"/>
  <c r="AG164" i="5"/>
  <c r="L35" i="1"/>
  <c r="M35" i="1" s="1"/>
  <c r="P35" i="1" s="1"/>
  <c r="Q35" i="1" s="1"/>
  <c r="X70" i="6"/>
  <c r="L96" i="1"/>
  <c r="M96" i="1" s="1"/>
  <c r="X54" i="6"/>
  <c r="L101" i="1"/>
  <c r="M101" i="1" s="1"/>
  <c r="P101" i="1" s="1"/>
  <c r="Q101" i="1" s="1"/>
  <c r="L112" i="1"/>
  <c r="M112" i="1" s="1"/>
  <c r="P112" i="1" s="1"/>
  <c r="Q112" i="1" s="1"/>
  <c r="L122" i="1"/>
  <c r="M122" i="1" s="1"/>
  <c r="P122" i="1" s="1"/>
  <c r="Q122" i="1" s="1"/>
  <c r="L44" i="1"/>
  <c r="M44" i="1" s="1"/>
  <c r="P44" i="1" s="1"/>
  <c r="Q44" i="1" s="1"/>
  <c r="X22" i="6"/>
  <c r="X13" i="6"/>
  <c r="L98" i="1"/>
  <c r="M98" i="1" s="1"/>
  <c r="P98" i="1" s="1"/>
  <c r="Q98" i="1" s="1"/>
  <c r="L113" i="1"/>
  <c r="M113" i="1" s="1"/>
  <c r="P113" i="1" s="1"/>
  <c r="Q113" i="1" s="1"/>
  <c r="L99" i="1"/>
  <c r="M99" i="1" s="1"/>
  <c r="P99" i="1" s="1"/>
  <c r="Q99" i="1" s="1"/>
  <c r="L97" i="1"/>
  <c r="M97" i="1" s="1"/>
  <c r="P97" i="1" s="1"/>
  <c r="Q97" i="1" s="1"/>
  <c r="L121" i="1"/>
  <c r="M121" i="1" s="1"/>
  <c r="P121" i="1" s="1"/>
  <c r="Q121" i="1" s="1"/>
  <c r="L102" i="1"/>
  <c r="M102" i="1" s="1"/>
  <c r="P102" i="1" s="1"/>
  <c r="Q102" i="1" s="1"/>
  <c r="L41" i="1"/>
  <c r="M41" i="1" s="1"/>
  <c r="P41" i="1" s="1"/>
  <c r="Q41" i="1" s="1"/>
  <c r="L116" i="1"/>
  <c r="M116" i="1" s="1"/>
  <c r="P116" i="1" s="1"/>
  <c r="Q116" i="1" s="1"/>
  <c r="X10" i="6"/>
  <c r="L111" i="1"/>
  <c r="M111" i="1" s="1"/>
  <c r="P111" i="1" s="1"/>
  <c r="Q111" i="1" s="1"/>
  <c r="L105" i="1"/>
  <c r="M105" i="1" s="1"/>
  <c r="P105" i="1" s="1"/>
  <c r="Q105" i="1" s="1"/>
  <c r="AG12" i="5"/>
  <c r="X38" i="6"/>
  <c r="AG156" i="5"/>
  <c r="AG533" i="5"/>
  <c r="L84" i="1"/>
  <c r="M84" i="1" s="1"/>
  <c r="P84" i="1" s="1"/>
  <c r="Q84" i="1" s="1"/>
  <c r="L48" i="1"/>
  <c r="M48" i="1" s="1"/>
  <c r="P48" i="1" s="1"/>
  <c r="Q48" i="1" s="1"/>
  <c r="L50" i="1"/>
  <c r="M50" i="1" s="1"/>
  <c r="P50" i="1" s="1"/>
  <c r="Q50" i="1" s="1"/>
  <c r="L89" i="1"/>
  <c r="M89" i="1" s="1"/>
  <c r="P89" i="1" s="1"/>
  <c r="L56" i="1"/>
  <c r="M56" i="1" s="1"/>
  <c r="P56" i="1" s="1"/>
  <c r="Q56" i="1" s="1"/>
  <c r="AG140" i="5"/>
  <c r="X28" i="6"/>
  <c r="L127" i="1"/>
  <c r="M127" i="1" s="1"/>
  <c r="P127" i="1" s="1"/>
  <c r="Q127" i="1" s="1"/>
  <c r="L114" i="1"/>
  <c r="M114" i="1" s="1"/>
  <c r="P114" i="1" s="1"/>
  <c r="Q114" i="1" s="1"/>
  <c r="AG415" i="5"/>
  <c r="L92" i="1"/>
  <c r="M92" i="1" s="1"/>
  <c r="P92" i="1" s="1"/>
  <c r="Q92" i="1" s="1"/>
  <c r="L51" i="1"/>
  <c r="M51" i="1" s="1"/>
  <c r="P51" i="1" s="1"/>
  <c r="Q51" i="1" s="1"/>
  <c r="AG28" i="5"/>
  <c r="L15" i="1"/>
  <c r="M15" i="1" s="1"/>
  <c r="P15" i="1" s="1"/>
  <c r="Q15" i="1" s="1"/>
  <c r="L110" i="1"/>
  <c r="M110" i="1" s="1"/>
  <c r="P110" i="1" s="1"/>
  <c r="Q110" i="1" s="1"/>
  <c r="AG65" i="5"/>
  <c r="X39" i="6"/>
  <c r="AG190" i="5"/>
  <c r="L61" i="1"/>
  <c r="M61" i="1" s="1"/>
  <c r="P61" i="1" s="1"/>
  <c r="Q61" i="1" s="1"/>
  <c r="AG134" i="5"/>
  <c r="L27" i="1"/>
  <c r="M27" i="1" s="1"/>
  <c r="P27" i="1" s="1"/>
  <c r="Q27" i="1" s="1"/>
  <c r="AG146" i="5"/>
  <c r="X31" i="6"/>
  <c r="AG29" i="5"/>
  <c r="X27" i="6"/>
  <c r="L60" i="1"/>
  <c r="M60" i="1" s="1"/>
  <c r="P60" i="1" s="1"/>
  <c r="Q60" i="1" s="1"/>
  <c r="L47" i="1"/>
  <c r="M47" i="1" s="1"/>
  <c r="AG390" i="5"/>
  <c r="L91" i="1"/>
  <c r="M91" i="1" s="1"/>
  <c r="P91" i="1" s="1"/>
  <c r="Q91" i="1" s="1"/>
  <c r="AG51" i="5"/>
  <c r="L86" i="1"/>
  <c r="M86" i="1" s="1"/>
  <c r="P86" i="1" s="1"/>
  <c r="Q86" i="1" s="1"/>
  <c r="AG576" i="5"/>
  <c r="X78" i="6"/>
  <c r="AG31" i="5"/>
  <c r="X30" i="6"/>
  <c r="L104" i="1"/>
  <c r="M104" i="1" s="1"/>
  <c r="P104" i="1" s="1"/>
  <c r="Q104" i="1" s="1"/>
  <c r="AG93" i="5"/>
  <c r="X17" i="6"/>
  <c r="AG530" i="5"/>
  <c r="L115" i="1"/>
  <c r="M115" i="1" s="1"/>
  <c r="P115" i="1" s="1"/>
  <c r="Q115" i="1" s="1"/>
  <c r="X33" i="6"/>
  <c r="L83" i="1"/>
  <c r="M83" i="1" s="1"/>
  <c r="P83" i="1" s="1"/>
  <c r="Q83" i="1" s="1"/>
  <c r="L125" i="1"/>
  <c r="M125" i="1" s="1"/>
  <c r="X19" i="6"/>
  <c r="L93" i="1"/>
  <c r="M93" i="1" s="1"/>
  <c r="P93" i="1" s="1"/>
  <c r="Q93" i="1" s="1"/>
  <c r="X11" i="6"/>
  <c r="AG457" i="5"/>
  <c r="L62" i="1"/>
  <c r="M62" i="1" s="1"/>
  <c r="P62" i="1" s="1"/>
  <c r="Q62" i="1" s="1"/>
  <c r="AG475" i="5"/>
  <c r="AG397" i="5"/>
  <c r="AG310" i="5"/>
  <c r="AG222" i="5"/>
  <c r="AG507" i="5"/>
  <c r="AG45" i="5"/>
  <c r="AG182" i="5"/>
  <c r="AG47" i="5"/>
  <c r="AG477" i="5"/>
  <c r="AG445" i="5"/>
  <c r="L49" i="1"/>
  <c r="M49" i="1" s="1"/>
  <c r="P49" i="1" s="1"/>
  <c r="Q49" i="1" s="1"/>
  <c r="L109" i="1"/>
  <c r="M109" i="1" s="1"/>
  <c r="P109" i="1" s="1"/>
  <c r="Q109" i="1" s="1"/>
  <c r="AG548" i="5"/>
  <c r="AG18" i="5"/>
  <c r="AG439" i="5"/>
  <c r="AG556" i="5"/>
  <c r="AG505" i="5"/>
  <c r="AG381" i="5"/>
  <c r="L82" i="1"/>
  <c r="M82" i="1" s="1"/>
  <c r="P82" i="1" s="1"/>
  <c r="Q82" i="1" s="1"/>
  <c r="AG73" i="5"/>
  <c r="AG376" i="5"/>
  <c r="AG34" i="5"/>
  <c r="X66" i="6"/>
  <c r="AG463" i="5"/>
  <c r="AG503" i="5"/>
  <c r="AG50" i="5"/>
  <c r="AG332" i="5"/>
  <c r="AG573" i="5"/>
  <c r="L26" i="1"/>
  <c r="M26" i="1" s="1"/>
  <c r="P26" i="1" s="1"/>
  <c r="Q26" i="1" s="1"/>
  <c r="AG567" i="5"/>
  <c r="X53" i="6"/>
  <c r="AG458" i="5"/>
  <c r="X65" i="6"/>
  <c r="L38" i="1"/>
  <c r="M38" i="1" s="1"/>
  <c r="P38" i="1" s="1"/>
  <c r="Q38" i="1" s="1"/>
  <c r="L16" i="1"/>
  <c r="M16" i="1" s="1"/>
  <c r="P16" i="1" s="1"/>
  <c r="Q16" i="1" s="1"/>
  <c r="L100" i="1"/>
  <c r="M100" i="1" s="1"/>
  <c r="P100" i="1" s="1"/>
  <c r="Q100" i="1" s="1"/>
  <c r="L28" i="1"/>
  <c r="M28" i="1" s="1"/>
  <c r="P28" i="1" s="1"/>
  <c r="Q28" i="1" s="1"/>
  <c r="AG49" i="5"/>
  <c r="L79" i="1"/>
  <c r="M79" i="1" s="1"/>
  <c r="P79" i="1" s="1"/>
  <c r="Q79" i="1" s="1"/>
  <c r="X63" i="6"/>
  <c r="AG44" i="5"/>
  <c r="X62" i="6"/>
  <c r="AG37" i="5"/>
  <c r="L13" i="1"/>
  <c r="M13" i="1" s="1"/>
  <c r="P13" i="1" s="1"/>
  <c r="Q13" i="1" s="1"/>
  <c r="L11" i="1"/>
  <c r="M11" i="1" s="1"/>
  <c r="P11" i="1" s="1"/>
  <c r="Q11" i="1" s="1"/>
  <c r="L30" i="1"/>
  <c r="M30" i="1" s="1"/>
  <c r="P30" i="1" s="1"/>
  <c r="Q30" i="1" s="1"/>
  <c r="L63" i="1"/>
  <c r="M63" i="1" s="1"/>
  <c r="P63" i="1" s="1"/>
  <c r="Q63" i="1" s="1"/>
  <c r="AG473" i="5"/>
  <c r="AG356" i="5"/>
  <c r="AG469" i="5"/>
  <c r="X67" i="6"/>
  <c r="AG523" i="5"/>
  <c r="AG527" i="5"/>
  <c r="AG517" i="5"/>
  <c r="AG459" i="5"/>
  <c r="AG569" i="5"/>
  <c r="X24" i="6"/>
  <c r="L53" i="1"/>
  <c r="M53" i="1" s="1"/>
  <c r="P53" i="1" s="1"/>
  <c r="Q53" i="1" s="1"/>
  <c r="X42" i="6"/>
  <c r="X71" i="6"/>
  <c r="X64" i="6"/>
  <c r="L29" i="1"/>
  <c r="M29" i="1" s="1"/>
  <c r="P29" i="1" s="1"/>
  <c r="Q29" i="1" s="1"/>
  <c r="AG531" i="5"/>
  <c r="X16" i="6"/>
  <c r="X14" i="6"/>
  <c r="AG465" i="5"/>
  <c r="X20" i="6"/>
  <c r="L14" i="1"/>
  <c r="M14" i="1" s="1"/>
  <c r="P14" i="1" s="1"/>
  <c r="Q14" i="1" s="1"/>
  <c r="AG25" i="5"/>
  <c r="X41" i="6"/>
  <c r="L52" i="1"/>
  <c r="M52" i="1" s="1"/>
  <c r="P52" i="1" s="1"/>
  <c r="Q52" i="1" s="1"/>
  <c r="L22" i="1"/>
  <c r="M22" i="1" s="1"/>
  <c r="P22" i="1" s="1"/>
  <c r="Q22" i="1" s="1"/>
  <c r="AG467" i="5"/>
  <c r="L103" i="1"/>
  <c r="M103" i="1" s="1"/>
  <c r="P103" i="1" s="1"/>
  <c r="Q103" i="1" s="1"/>
  <c r="X68" i="6"/>
  <c r="L59" i="1"/>
  <c r="X55" i="6"/>
  <c r="X8" i="6"/>
  <c r="L117" i="1"/>
  <c r="M117" i="1" s="1"/>
  <c r="P117" i="1" s="1"/>
  <c r="Q117" i="1" s="1"/>
  <c r="L40" i="1"/>
  <c r="M40" i="1" s="1"/>
  <c r="P40" i="1" s="1"/>
  <c r="Q40" i="1" s="1"/>
  <c r="AG563" i="5"/>
  <c r="AG525" i="5"/>
  <c r="AG571" i="5"/>
  <c r="AG509" i="5"/>
  <c r="X76" i="6"/>
  <c r="X45" i="6"/>
  <c r="L39" i="1"/>
  <c r="X75" i="6"/>
  <c r="L108" i="1"/>
  <c r="X74" i="6"/>
  <c r="L90" i="1"/>
  <c r="M90" i="1" s="1"/>
  <c r="P90" i="1" s="1"/>
  <c r="Q90" i="1" s="1"/>
  <c r="L74" i="1"/>
  <c r="X61" i="6"/>
  <c r="Z61" i="6" s="1"/>
  <c r="X25" i="6"/>
  <c r="L120" i="1"/>
  <c r="AG565" i="5"/>
  <c r="X77" i="6"/>
  <c r="AG434" i="5"/>
  <c r="AG48" i="5"/>
  <c r="AG15" i="5"/>
  <c r="X44" i="6"/>
  <c r="L12" i="1"/>
  <c r="M12" i="1" s="1"/>
  <c r="P12" i="1" s="1"/>
  <c r="Q12" i="1" s="1"/>
  <c r="L24" i="1" l="1"/>
  <c r="L131" i="1" s="1"/>
  <c r="M131" i="1" s="1"/>
  <c r="AB68" i="6"/>
  <c r="AD68" i="6" s="1"/>
  <c r="Z68" i="6"/>
  <c r="AB13" i="6"/>
  <c r="AD13" i="6" s="1"/>
  <c r="Z13" i="6"/>
  <c r="AB25" i="6"/>
  <c r="AD25" i="6" s="1"/>
  <c r="Z25" i="6"/>
  <c r="AB19" i="6"/>
  <c r="AD19" i="6" s="1"/>
  <c r="Z19" i="6"/>
  <c r="AB22" i="6"/>
  <c r="AD22" i="6" s="1"/>
  <c r="Z22" i="6"/>
  <c r="Z48" i="6"/>
  <c r="AB48" i="6"/>
  <c r="AD48" i="6" s="1"/>
  <c r="AB65" i="6"/>
  <c r="AD65" i="6" s="1"/>
  <c r="Z65" i="6"/>
  <c r="AB33" i="6"/>
  <c r="AD33" i="6" s="1"/>
  <c r="Z33" i="6"/>
  <c r="Z47" i="6"/>
  <c r="AB47" i="6"/>
  <c r="AD47" i="6" s="1"/>
  <c r="AB66" i="6"/>
  <c r="AD66" i="6" s="1"/>
  <c r="Z66" i="6"/>
  <c r="AB67" i="6"/>
  <c r="AD67" i="6" s="1"/>
  <c r="Z67" i="6"/>
  <c r="Z54" i="6"/>
  <c r="AB54" i="6"/>
  <c r="AD54" i="6" s="1"/>
  <c r="AB44" i="6"/>
  <c r="AD44" i="6" s="1"/>
  <c r="Z44" i="6"/>
  <c r="AB62" i="6"/>
  <c r="AD62" i="6" s="1"/>
  <c r="Z62" i="6"/>
  <c r="AB63" i="6"/>
  <c r="AD63" i="6" s="1"/>
  <c r="Z63" i="6"/>
  <c r="AB28" i="6"/>
  <c r="AD28" i="6" s="1"/>
  <c r="Z28" i="6"/>
  <c r="Z43" i="6"/>
  <c r="AB43" i="6"/>
  <c r="AD43" i="6" s="1"/>
  <c r="AB17" i="6"/>
  <c r="AD17" i="6" s="1"/>
  <c r="Z17" i="6"/>
  <c r="AB38" i="6"/>
  <c r="AD38" i="6" s="1"/>
  <c r="Z38" i="6"/>
  <c r="Z52" i="6"/>
  <c r="AB52" i="6"/>
  <c r="AD52" i="6" s="1"/>
  <c r="AB46" i="6"/>
  <c r="AD46" i="6" s="1"/>
  <c r="Z46" i="6"/>
  <c r="AB55" i="6"/>
  <c r="AD55" i="6" s="1"/>
  <c r="Z55" i="6"/>
  <c r="AB53" i="6"/>
  <c r="AD53" i="6" s="1"/>
  <c r="Z53" i="6"/>
  <c r="AB20" i="6"/>
  <c r="AD20" i="6" s="1"/>
  <c r="Z20" i="6"/>
  <c r="AB39" i="6"/>
  <c r="AD39" i="6" s="1"/>
  <c r="Z39" i="6"/>
  <c r="Z70" i="6"/>
  <c r="AB70" i="6"/>
  <c r="AD70" i="6" s="1"/>
  <c r="AB69" i="6"/>
  <c r="AD69" i="6" s="1"/>
  <c r="Z69" i="6"/>
  <c r="AB8" i="6"/>
  <c r="AD8" i="6" s="1"/>
  <c r="Z8" i="6"/>
  <c r="AB77" i="6"/>
  <c r="AD77" i="6" s="1"/>
  <c r="Z77" i="6"/>
  <c r="Z35" i="6"/>
  <c r="AB35" i="6"/>
  <c r="AD35" i="6" s="1"/>
  <c r="AB75" i="6"/>
  <c r="AD75" i="6" s="1"/>
  <c r="Z75" i="6"/>
  <c r="AB71" i="6"/>
  <c r="AD71" i="6" s="1"/>
  <c r="Z71" i="6"/>
  <c r="AB42" i="6"/>
  <c r="AD42" i="6" s="1"/>
  <c r="Z42" i="6"/>
  <c r="AB41" i="6"/>
  <c r="AD41" i="6" s="1"/>
  <c r="Z41" i="6"/>
  <c r="AB45" i="6"/>
  <c r="AD45" i="6" s="1"/>
  <c r="Z45" i="6"/>
  <c r="AB76" i="6"/>
  <c r="AD76" i="6" s="1"/>
  <c r="Z76" i="6"/>
  <c r="AB14" i="6"/>
  <c r="AD14" i="6" s="1"/>
  <c r="Z14" i="6"/>
  <c r="AB30" i="6"/>
  <c r="AD30" i="6" s="1"/>
  <c r="Z30" i="6"/>
  <c r="AB64" i="6"/>
  <c r="AD64" i="6" s="1"/>
  <c r="Z64" i="6"/>
  <c r="Z36" i="6"/>
  <c r="AB36" i="6"/>
  <c r="AD36" i="6" s="1"/>
  <c r="AB24" i="6"/>
  <c r="AD24" i="6" s="1"/>
  <c r="Z24" i="6"/>
  <c r="AB31" i="6"/>
  <c r="AD31" i="6" s="1"/>
  <c r="Z31" i="6"/>
  <c r="AB74" i="6"/>
  <c r="AD74" i="6" s="1"/>
  <c r="Z74" i="6"/>
  <c r="AB16" i="6"/>
  <c r="AD16" i="6" s="1"/>
  <c r="Z16" i="6"/>
  <c r="AB10" i="6"/>
  <c r="AD10" i="6" s="1"/>
  <c r="Z10" i="6"/>
  <c r="Z50" i="6"/>
  <c r="AB50" i="6"/>
  <c r="AD50" i="6" s="1"/>
  <c r="AB11" i="6"/>
  <c r="AD11" i="6" s="1"/>
  <c r="Z11" i="6"/>
  <c r="AB27" i="6"/>
  <c r="AD27" i="6" s="1"/>
  <c r="Z27" i="6"/>
  <c r="AB78" i="6"/>
  <c r="AD78" i="6" s="1"/>
  <c r="Z78" i="6"/>
  <c r="Z49" i="6"/>
  <c r="AB49" i="6"/>
  <c r="AD49" i="6" s="1"/>
  <c r="L124" i="1"/>
  <c r="L140" i="1" s="1"/>
  <c r="M140" i="1" s="1"/>
  <c r="I24" i="12" s="1"/>
  <c r="L88" i="1"/>
  <c r="L136" i="1" s="1"/>
  <c r="M136" i="1" s="1"/>
  <c r="L119" i="1"/>
  <c r="L139" i="1" s="1"/>
  <c r="M139" i="1" s="1"/>
  <c r="M120" i="1"/>
  <c r="M39" i="1"/>
  <c r="L37" i="1"/>
  <c r="L132" i="1" s="1"/>
  <c r="M132" i="1" s="1"/>
  <c r="M124" i="1"/>
  <c r="P125" i="1"/>
  <c r="L95" i="1"/>
  <c r="L137" i="1" s="1"/>
  <c r="M137" i="1" s="1"/>
  <c r="M88" i="1"/>
  <c r="M108" i="1"/>
  <c r="L107" i="1"/>
  <c r="L138" i="1" s="1"/>
  <c r="M138" i="1" s="1"/>
  <c r="L73" i="1"/>
  <c r="L135" i="1" s="1"/>
  <c r="M74" i="1"/>
  <c r="P96" i="1"/>
  <c r="M95" i="1"/>
  <c r="P88" i="1"/>
  <c r="P136" i="1" s="1"/>
  <c r="Q136" i="1" s="1"/>
  <c r="Q89" i="1"/>
  <c r="Q88" i="1" s="1"/>
  <c r="L46" i="1"/>
  <c r="L133" i="1" s="1"/>
  <c r="M133" i="1" s="1"/>
  <c r="AB61" i="6"/>
  <c r="X80" i="6"/>
  <c r="Z80" i="6" s="1"/>
  <c r="L58" i="1"/>
  <c r="L134" i="1" s="1"/>
  <c r="M134" i="1" s="1"/>
  <c r="M59" i="1"/>
  <c r="M25" i="1"/>
  <c r="P47" i="1"/>
  <c r="M46" i="1"/>
  <c r="AB80" i="6" l="1"/>
  <c r="AD80" i="6" s="1"/>
  <c r="AD61" i="6"/>
  <c r="H24" i="12"/>
  <c r="M58" i="1"/>
  <c r="P59" i="1"/>
  <c r="P74" i="1"/>
  <c r="M73" i="1"/>
  <c r="M24" i="1"/>
  <c r="P25" i="1"/>
  <c r="Q96" i="1"/>
  <c r="Q95" i="1" s="1"/>
  <c r="P95" i="1"/>
  <c r="P137" i="1" s="1"/>
  <c r="Q137" i="1" s="1"/>
  <c r="M135" i="1"/>
  <c r="M71" i="1" s="1"/>
  <c r="L71" i="1"/>
  <c r="P39" i="1"/>
  <c r="M37" i="1"/>
  <c r="P108" i="1"/>
  <c r="M107" i="1"/>
  <c r="P120" i="1"/>
  <c r="M119" i="1"/>
  <c r="P124" i="1"/>
  <c r="P140" i="1" s="1"/>
  <c r="Q125" i="1"/>
  <c r="Q124" i="1" s="1"/>
  <c r="P46" i="1"/>
  <c r="P133" i="1" s="1"/>
  <c r="Q133" i="1" s="1"/>
  <c r="Q47" i="1"/>
  <c r="Q46" i="1" s="1"/>
  <c r="P24" i="1" l="1"/>
  <c r="P131" i="1" s="1"/>
  <c r="Q131" i="1" s="1"/>
  <c r="Q25" i="1"/>
  <c r="Q24" i="1" s="1"/>
  <c r="Q108" i="1"/>
  <c r="Q107" i="1" s="1"/>
  <c r="P107" i="1"/>
  <c r="P138" i="1" s="1"/>
  <c r="Q138" i="1" s="1"/>
  <c r="Q120" i="1"/>
  <c r="Q119" i="1" s="1"/>
  <c r="P119" i="1"/>
  <c r="P139" i="1" s="1"/>
  <c r="Q139" i="1" s="1"/>
  <c r="P73" i="1"/>
  <c r="P135" i="1" s="1"/>
  <c r="Q74" i="1"/>
  <c r="Q73" i="1" s="1"/>
  <c r="P58" i="1"/>
  <c r="P134" i="1" s="1"/>
  <c r="Q134" i="1" s="1"/>
  <c r="Q59" i="1"/>
  <c r="Q58" i="1" s="1"/>
  <c r="Q39" i="1"/>
  <c r="Q37" i="1" s="1"/>
  <c r="P37" i="1"/>
  <c r="P132" i="1" s="1"/>
  <c r="Q132" i="1" s="1"/>
  <c r="Q140" i="1"/>
  <c r="L24" i="12" s="1"/>
  <c r="K24" i="12"/>
  <c r="P71" i="1" l="1"/>
  <c r="Q135" i="1"/>
  <c r="Q71" i="1" s="1"/>
  <c r="AC2" i="5"/>
  <c r="AE13" i="5"/>
  <c r="AG13" i="5" l="1"/>
  <c r="L10" i="1"/>
  <c r="L9" i="1" s="1"/>
  <c r="X7" i="6"/>
  <c r="AE2" i="5"/>
  <c r="M10" i="1" l="1"/>
  <c r="P10" i="1" s="1"/>
  <c r="Q10" i="1" s="1"/>
  <c r="Q9" i="1" s="1"/>
  <c r="X57" i="6"/>
  <c r="Z7" i="6"/>
  <c r="AB7" i="6"/>
  <c r="L130" i="1"/>
  <c r="L129" i="1" s="1"/>
  <c r="X87" i="6" l="1"/>
  <c r="Z57" i="6"/>
  <c r="P9" i="1"/>
  <c r="P130" i="1" s="1"/>
  <c r="P129" i="1" s="1"/>
  <c r="M9" i="1"/>
  <c r="AB57" i="6"/>
  <c r="AD7" i="6"/>
  <c r="L7" i="1"/>
  <c r="M130" i="1"/>
  <c r="M7" i="1" s="1"/>
  <c r="G4" i="12"/>
  <c r="H23" i="12"/>
  <c r="H25" i="12" s="1"/>
  <c r="H10" i="12" l="1"/>
  <c r="Z87" i="6"/>
  <c r="P7" i="1"/>
  <c r="Q130" i="1"/>
  <c r="Q129" i="1" s="1"/>
  <c r="AB87" i="6"/>
  <c r="AD57" i="6"/>
  <c r="M129" i="1"/>
  <c r="K23" i="12"/>
  <c r="K25" i="12" s="1"/>
  <c r="R140" i="1"/>
  <c r="J4" i="12"/>
  <c r="K4" i="12" s="1"/>
  <c r="M4" i="12" s="1"/>
  <c r="H4" i="12"/>
  <c r="Q7" i="1" l="1"/>
  <c r="I10" i="12"/>
  <c r="AD87" i="6"/>
  <c r="AB89" i="6"/>
  <c r="AD89" i="6" s="1"/>
  <c r="L23" i="12"/>
  <c r="L25" i="12" s="1"/>
  <c r="M1" i="12" s="1"/>
  <c r="P148" i="1"/>
  <c r="I23" i="12"/>
  <c r="I25" i="12" s="1"/>
  <c r="M143" i="1"/>
  <c r="P2" i="9"/>
  <c r="P3" i="9" s="1"/>
  <c r="H7" i="12"/>
  <c r="F7" i="12" s="1"/>
  <c r="P151" i="1" l="1"/>
  <c r="P155" i="1"/>
  <c r="P159" i="1" s="1"/>
  <c r="P161" i="1" s="1"/>
  <c r="H1" i="12"/>
  <c r="P166" i="1" l="1"/>
  <c r="R166" i="1" s="1"/>
  <c r="P164" i="1"/>
</calcChain>
</file>

<file path=xl/sharedStrings.xml><?xml version="1.0" encoding="utf-8"?>
<sst xmlns="http://schemas.openxmlformats.org/spreadsheetml/2006/main" count="4239" uniqueCount="2464">
  <si>
    <t>INDICE</t>
  </si>
  <si>
    <t>Cliente</t>
  </si>
  <si>
    <t xml:space="preserve">: </t>
  </si>
  <si>
    <t xml:space="preserve">Periodo </t>
  </si>
  <si>
    <t>Matriz de Producción</t>
  </si>
  <si>
    <t>Matriz de Costos</t>
  </si>
  <si>
    <t>Matriz de Resultado</t>
  </si>
  <si>
    <t>Matriz de Proyecciones</t>
  </si>
  <si>
    <t>INFORME DE RESULTADOS</t>
  </si>
  <si>
    <t>FORMATO
 GENERAL</t>
  </si>
  <si>
    <t>Num</t>
  </si>
  <si>
    <t>Partida</t>
  </si>
  <si>
    <t>Presupuesto
Original</t>
  </si>
  <si>
    <t>Aumentos o Dism.
de Obras y Reajuste</t>
  </si>
  <si>
    <t xml:space="preserve">Presupuesto
Corregido </t>
  </si>
  <si>
    <t>Gastos Reales
del  Mes</t>
  </si>
  <si>
    <t>Gastos Reales
Acumulados</t>
  </si>
  <si>
    <t>Avance Según
Obra Ejecutada</t>
  </si>
  <si>
    <t>Proyección de
gasto por efectuar</t>
  </si>
  <si>
    <t>Resultado
de la Obra</t>
  </si>
  <si>
    <t>A.</t>
  </si>
  <si>
    <t>Costos Directos</t>
  </si>
  <si>
    <t>A1</t>
  </si>
  <si>
    <t>01 - Obras Civiles</t>
  </si>
  <si>
    <t>0A01</t>
  </si>
  <si>
    <t xml:space="preserve">Mano de Obra </t>
  </si>
  <si>
    <t>0A02</t>
  </si>
  <si>
    <t>Obras Civiles Reembolsable</t>
  </si>
  <si>
    <t>A2</t>
  </si>
  <si>
    <t>02 - Estructura</t>
  </si>
  <si>
    <t>0B01</t>
  </si>
  <si>
    <t>0B02</t>
  </si>
  <si>
    <t>Estructura Reembolsable</t>
  </si>
  <si>
    <t>A3</t>
  </si>
  <si>
    <t>03 - Mecanica (MO Arquitectura Puentes)</t>
  </si>
  <si>
    <t>0C01</t>
  </si>
  <si>
    <t>0C02</t>
  </si>
  <si>
    <t>Mecanica Reembolsable</t>
  </si>
  <si>
    <t>A4</t>
  </si>
  <si>
    <t>04 - Cañeria</t>
  </si>
  <si>
    <t>0D01</t>
  </si>
  <si>
    <t>0D02</t>
  </si>
  <si>
    <t>Cañeria Reembolsable</t>
  </si>
  <si>
    <t>A5</t>
  </si>
  <si>
    <t>05- Electricidad &amp; Instrumentacion</t>
  </si>
  <si>
    <t>0F01</t>
  </si>
  <si>
    <t>0F02</t>
  </si>
  <si>
    <t>Electricidad Reembolsable</t>
  </si>
  <si>
    <t>A6</t>
  </si>
  <si>
    <t>06 - Andamios</t>
  </si>
  <si>
    <t>0N01</t>
  </si>
  <si>
    <t>A7</t>
  </si>
  <si>
    <t>07 - Aislación</t>
  </si>
  <si>
    <t>0H01</t>
  </si>
  <si>
    <t>0H02</t>
  </si>
  <si>
    <t>Aislación Reembolsable</t>
  </si>
  <si>
    <t>A8</t>
  </si>
  <si>
    <t>08 - Caldera</t>
  </si>
  <si>
    <t>0I01</t>
  </si>
  <si>
    <t>0I02</t>
  </si>
  <si>
    <t>Caldera Reembolsable</t>
  </si>
  <si>
    <t>A9</t>
  </si>
  <si>
    <t>09 - Ducto</t>
  </si>
  <si>
    <t>0J01</t>
  </si>
  <si>
    <t>0J02</t>
  </si>
  <si>
    <t>Ducto Reembolsable</t>
  </si>
  <si>
    <t>A10</t>
  </si>
  <si>
    <t>10 - Comisionamiento - PEM</t>
  </si>
  <si>
    <t>0G01</t>
  </si>
  <si>
    <t>A11</t>
  </si>
  <si>
    <t>11 - Arquitectura</t>
  </si>
  <si>
    <t>Arquitectura Reembolsable</t>
  </si>
  <si>
    <t>A12</t>
  </si>
  <si>
    <t>12 - Estanque</t>
  </si>
  <si>
    <t>0M01</t>
  </si>
  <si>
    <t>0M02</t>
  </si>
  <si>
    <t>Estanque Reembolsable</t>
  </si>
  <si>
    <t>A13</t>
  </si>
  <si>
    <t>Costo Proporcional HH</t>
  </si>
  <si>
    <t>Movilización</t>
  </si>
  <si>
    <t/>
  </si>
  <si>
    <t>Cursos y Examenes</t>
  </si>
  <si>
    <t>Elem. de Seguridad</t>
  </si>
  <si>
    <t>Mat. de Consumo</t>
  </si>
  <si>
    <t>Herramienta Menor</t>
  </si>
  <si>
    <t xml:space="preserve">Artículos de Oficina </t>
  </si>
  <si>
    <t>Movilización Interna</t>
  </si>
  <si>
    <t>Otros Directos</t>
  </si>
  <si>
    <t>A14</t>
  </si>
  <si>
    <t>Equipos</t>
  </si>
  <si>
    <t>A15</t>
  </si>
  <si>
    <t>Subcontratos</t>
  </si>
  <si>
    <t>A16</t>
  </si>
  <si>
    <t>Instalación de Faenas</t>
  </si>
  <si>
    <t>Subtotal Costos Directos</t>
  </si>
  <si>
    <t>B.</t>
  </si>
  <si>
    <t>Costos Indirectos</t>
  </si>
  <si>
    <t xml:space="preserve"> </t>
  </si>
  <si>
    <t>B1</t>
  </si>
  <si>
    <t>Mano de Obra Indirecta</t>
  </si>
  <si>
    <t>1F01</t>
  </si>
  <si>
    <t>Staff Superior</t>
  </si>
  <si>
    <t>1F02</t>
  </si>
  <si>
    <t>Oficina Técnica</t>
  </si>
  <si>
    <t>1F03</t>
  </si>
  <si>
    <t>Supervisión</t>
  </si>
  <si>
    <t>1F04</t>
  </si>
  <si>
    <t>Seguridad / Medio Ambiente</t>
  </si>
  <si>
    <t>1F05</t>
  </si>
  <si>
    <t>Control de Calidad</t>
  </si>
  <si>
    <t>1F06</t>
  </si>
  <si>
    <t>Administración</t>
  </si>
  <si>
    <t>1F07</t>
  </si>
  <si>
    <t>Servicios</t>
  </si>
  <si>
    <t>1F08</t>
  </si>
  <si>
    <t>Topografía</t>
  </si>
  <si>
    <t>1F09</t>
  </si>
  <si>
    <t>1F10</t>
  </si>
  <si>
    <t>Pensión y Alimentación</t>
  </si>
  <si>
    <t>1F11</t>
  </si>
  <si>
    <t>Otros Indirectos</t>
  </si>
  <si>
    <t>1Z01</t>
  </si>
  <si>
    <t>B2</t>
  </si>
  <si>
    <t>Equipos Indirectos</t>
  </si>
  <si>
    <t>1Z02</t>
  </si>
  <si>
    <t>B3</t>
  </si>
  <si>
    <t>Gastos Generales</t>
  </si>
  <si>
    <t>1Z03</t>
  </si>
  <si>
    <t>B4</t>
  </si>
  <si>
    <t>Gastos Financieros</t>
  </si>
  <si>
    <t>1Z04</t>
  </si>
  <si>
    <t>B5</t>
  </si>
  <si>
    <t>Seguros y Boletas de Garantia</t>
  </si>
  <si>
    <t>1Z05</t>
  </si>
  <si>
    <t>B6</t>
  </si>
  <si>
    <t>Perdida de Reajuste</t>
  </si>
  <si>
    <t>Subtotal Costos Indirectos</t>
  </si>
  <si>
    <t>2A00</t>
  </si>
  <si>
    <t>C.</t>
  </si>
  <si>
    <t>Margen Esperado</t>
  </si>
  <si>
    <t>1K01</t>
  </si>
  <si>
    <t>Oficina Central</t>
  </si>
  <si>
    <t>1K02</t>
  </si>
  <si>
    <t>Imprevistos</t>
  </si>
  <si>
    <t>1K03</t>
  </si>
  <si>
    <t>Utilidad</t>
  </si>
  <si>
    <t>D.</t>
  </si>
  <si>
    <t>TOTAL</t>
  </si>
  <si>
    <t>E.</t>
  </si>
  <si>
    <t>Oficina Central (4%)</t>
  </si>
  <si>
    <t>F.</t>
  </si>
  <si>
    <t xml:space="preserve">Administrador Obra </t>
  </si>
  <si>
    <t>MATRIZ DE PRODUCCION</t>
  </si>
  <si>
    <t>FO.EIM-OFT-001-04</t>
  </si>
  <si>
    <t>Rev. 3</t>
  </si>
  <si>
    <t>ACUMULADO</t>
  </si>
  <si>
    <t>ANTERIOR</t>
  </si>
  <si>
    <t>PERIODO</t>
  </si>
  <si>
    <t>PARTIDA / CATEGORIA</t>
  </si>
  <si>
    <t>PRESUPUESTO</t>
  </si>
  <si>
    <t>POM</t>
  </si>
  <si>
    <t>PRODUCCION</t>
  </si>
  <si>
    <t>ADICIONALES</t>
  </si>
  <si>
    <t>TOTAL
PRODUCCION
ACUMULADA</t>
  </si>
  <si>
    <t>TOTAL
PRODUCCION
ANTERIOR</t>
  </si>
  <si>
    <t>TOTAL
PRODUCCION
PERIODO</t>
  </si>
  <si>
    <t>COSTOS DIRECTOS</t>
  </si>
  <si>
    <t>0A00</t>
  </si>
  <si>
    <t>A - MANO DE OBRA DIRECTA</t>
  </si>
  <si>
    <t>Obras Civiles</t>
  </si>
  <si>
    <t>Estructura</t>
  </si>
  <si>
    <t>0A03</t>
  </si>
  <si>
    <t>Mecanica (MO Puentes)</t>
  </si>
  <si>
    <t>0A04</t>
  </si>
  <si>
    <t>Cañeria</t>
  </si>
  <si>
    <t>0A05</t>
  </si>
  <si>
    <t>Electricidad &amp; Instrumentacion</t>
  </si>
  <si>
    <t>0A06</t>
  </si>
  <si>
    <t>0A07</t>
  </si>
  <si>
    <t>0B00</t>
  </si>
  <si>
    <t>B - MATERIALES</t>
  </si>
  <si>
    <t>0B03</t>
  </si>
  <si>
    <t>0B04</t>
  </si>
  <si>
    <t>0B05</t>
  </si>
  <si>
    <t>0C00</t>
  </si>
  <si>
    <t>C - COSTO PROPORCIONAL HH</t>
  </si>
  <si>
    <t>0C03</t>
  </si>
  <si>
    <t>0C04</t>
  </si>
  <si>
    <t>0C05</t>
  </si>
  <si>
    <t>0D00</t>
  </si>
  <si>
    <t>D - EQUIPOS Y COMBUSTIBLES</t>
  </si>
  <si>
    <t>0D03</t>
  </si>
  <si>
    <t>0D04</t>
  </si>
  <si>
    <t>0D05</t>
  </si>
  <si>
    <t>0D06</t>
  </si>
  <si>
    <t>0X00</t>
  </si>
  <si>
    <t>E - SUBCONTRATOS</t>
  </si>
  <si>
    <t>0X01</t>
  </si>
  <si>
    <t>0X03</t>
  </si>
  <si>
    <t>0X04</t>
  </si>
  <si>
    <t>0X05</t>
  </si>
  <si>
    <t>0X06</t>
  </si>
  <si>
    <t>0X07</t>
  </si>
  <si>
    <t>COSTOS INDIRECTOS</t>
  </si>
  <si>
    <t>1F00</t>
  </si>
  <si>
    <t>F - MANO DE OBRA INDIRECTA</t>
  </si>
  <si>
    <t>1G00</t>
  </si>
  <si>
    <t>G - EQUIPOS INDIRECTOS</t>
  </si>
  <si>
    <t>1G01</t>
  </si>
  <si>
    <t>1G02</t>
  </si>
  <si>
    <t>1G04</t>
  </si>
  <si>
    <t>1H00</t>
  </si>
  <si>
    <t>H - INSTALACIÓN DE FAENAS</t>
  </si>
  <si>
    <t>1H01</t>
  </si>
  <si>
    <t>1H02</t>
  </si>
  <si>
    <t>1H03</t>
  </si>
  <si>
    <t>1H05</t>
  </si>
  <si>
    <t>1H06</t>
  </si>
  <si>
    <t>1H07</t>
  </si>
  <si>
    <t>1H08</t>
  </si>
  <si>
    <t>1I00</t>
  </si>
  <si>
    <t>I - GASTOS GENERALES</t>
  </si>
  <si>
    <t>1I02</t>
  </si>
  <si>
    <t>1I04</t>
  </si>
  <si>
    <t>1I05</t>
  </si>
  <si>
    <t>1I07</t>
  </si>
  <si>
    <t>1I08</t>
  </si>
  <si>
    <t>1I10</t>
  </si>
  <si>
    <t>1J00</t>
  </si>
  <si>
    <t>J - GASTOS FINANCIEROS - SEGUROS Y BOLETAS</t>
  </si>
  <si>
    <t>1J01</t>
  </si>
  <si>
    <t>1J02</t>
  </si>
  <si>
    <t>1K00</t>
  </si>
  <si>
    <t>K - OFICINA CENTRAL - IMPREVISTOS - UTILIDADES</t>
  </si>
  <si>
    <t>TOTALES</t>
  </si>
  <si>
    <t>MATRIZ DE COSTOS</t>
  </si>
  <si>
    <t>FO.EIM-OFT-001-03</t>
  </si>
  <si>
    <t>COSTO</t>
  </si>
  <si>
    <t>PROVISION</t>
  </si>
  <si>
    <t>TOTAL COSTO
ACUMULADO</t>
  </si>
  <si>
    <t>TOTAL COSTO
ANTERIOR</t>
  </si>
  <si>
    <t>TOTAL COSTO
PERIODO</t>
  </si>
  <si>
    <t>HM</t>
  </si>
  <si>
    <t>MATRIZ DE RESULTADO</t>
  </si>
  <si>
    <t>FO.EIM-OFT-001-05</t>
  </si>
  <si>
    <t>RESULTADO
ACUMULADO</t>
  </si>
  <si>
    <t>RESULTADO
ANTERIOR</t>
  </si>
  <si>
    <t>TOTAL
PRODUCCION</t>
  </si>
  <si>
    <t>TOTAL
COSTO</t>
  </si>
  <si>
    <t>RESULTADO
PERIODO</t>
  </si>
  <si>
    <t>MATRIZ DE PROYECCIONES</t>
  </si>
  <si>
    <t>FO.EIM-OFT-001-06</t>
  </si>
  <si>
    <t>COSTOS</t>
  </si>
  <si>
    <t>PROYECCION</t>
  </si>
  <si>
    <t>PRODUCCION ACUMULADA</t>
  </si>
  <si>
    <t>COSTO
ACUMULADO</t>
  </si>
  <si>
    <t>TOTAL
COSTOS</t>
  </si>
  <si>
    <t>RESULTADO
PROYECCION</t>
  </si>
  <si>
    <t>UF al 09-08-23</t>
  </si>
  <si>
    <t>Categoria</t>
  </si>
  <si>
    <t>Decripción</t>
  </si>
  <si>
    <t>Unidad</t>
  </si>
  <si>
    <t>Cantidad</t>
  </si>
  <si>
    <t>PU</t>
  </si>
  <si>
    <t>Total</t>
  </si>
  <si>
    <t>PU Real</t>
  </si>
  <si>
    <t>Total real</t>
  </si>
  <si>
    <t>Resultado</t>
  </si>
  <si>
    <t>Etiquetas de fila</t>
  </si>
  <si>
    <t>Suma de Resultado</t>
  </si>
  <si>
    <t>21-010201A</t>
  </si>
  <si>
    <t>MAT CD - Civil  / Hormigón / Hormigón (A)</t>
  </si>
  <si>
    <t>m3</t>
  </si>
  <si>
    <t>11-120101G</t>
  </si>
  <si>
    <t>Hormigón G20(90)20-10</t>
  </si>
  <si>
    <t>Considera 5% de perdida</t>
  </si>
  <si>
    <t>Hormigón G25(90)20-10</t>
  </si>
  <si>
    <t>21-010401A</t>
  </si>
  <si>
    <t>Hormigón G35(90)20-10</t>
  </si>
  <si>
    <t>21-019901A</t>
  </si>
  <si>
    <t>Material estructural (arena)</t>
  </si>
  <si>
    <t>21-039901A</t>
  </si>
  <si>
    <t>31-013300A</t>
  </si>
  <si>
    <t>51-040100A</t>
  </si>
  <si>
    <t>MAT CD - Civil  / Enfierradura / Varios (A)</t>
  </si>
  <si>
    <t>Kg</t>
  </si>
  <si>
    <t>Considera 2% d eperdida</t>
  </si>
  <si>
    <t>51-050100A</t>
  </si>
  <si>
    <t>72-107010A</t>
  </si>
  <si>
    <t>SC Flete Enfierradura</t>
  </si>
  <si>
    <t>gl</t>
  </si>
  <si>
    <t>62-010100G</t>
  </si>
  <si>
    <r>
      <t xml:space="preserve">SUB CD - Civil  / Laboratorio (Resist. hormigón densid.) (A) </t>
    </r>
    <r>
      <rPr>
        <b/>
        <sz val="11"/>
        <color rgb="FFFF0000"/>
        <rFont val="Calibri"/>
        <family val="2"/>
        <scheme val="minor"/>
      </rPr>
      <t>LERV</t>
    </r>
  </si>
  <si>
    <t>62-030100A</t>
  </si>
  <si>
    <t>72-101030A</t>
  </si>
  <si>
    <t>GAS CI - De obra / Telecomunic. / Enlaces internet (A)</t>
  </si>
  <si>
    <t>mes</t>
  </si>
  <si>
    <t>PHH CD - Movilización / Movilización (A) VIATICO</t>
  </si>
  <si>
    <t>hh</t>
  </si>
  <si>
    <t>Considera 25% personal foraneo, incluye buses desde arauco a alrededores, PF junio 1,3</t>
  </si>
  <si>
    <t>72-102010A</t>
  </si>
  <si>
    <t>PHH CD - Alimentación / Alimentación (A)</t>
  </si>
  <si>
    <t>PF 1,3</t>
  </si>
  <si>
    <t>MAO CD - Equipos / Equipos / Operador (G)</t>
  </si>
  <si>
    <t>Total general</t>
  </si>
  <si>
    <t>Supervisor de equipos</t>
  </si>
  <si>
    <t>Mecánico</t>
  </si>
  <si>
    <t>Otros costos personal EQyM</t>
  </si>
  <si>
    <t>MAT CD - Mecánica / Materiales varios / Todos (A)</t>
  </si>
  <si>
    <t>Suministro de pernos de conexión estructuras puentes peatonales</t>
  </si>
  <si>
    <t>IFA CI - Materiales / Todos (A)</t>
  </si>
  <si>
    <t>Escritorios</t>
  </si>
  <si>
    <t>Sillas</t>
  </si>
  <si>
    <t>Bibliotecas</t>
  </si>
  <si>
    <t>Cardex</t>
  </si>
  <si>
    <t>Estanteria (bodega)</t>
  </si>
  <si>
    <t>Mesas</t>
  </si>
  <si>
    <t>IFA CI - Mano De Obra / Todos (G)</t>
  </si>
  <si>
    <t>FF 4,5</t>
  </si>
  <si>
    <t>GAS CI - De obra / Computación / Computadores (A)</t>
  </si>
  <si>
    <t>c/u</t>
  </si>
  <si>
    <t>Equipo + Usuario TIC</t>
  </si>
  <si>
    <t>AX</t>
  </si>
  <si>
    <t>Licencias software (Dron, Project, Presto, CAD, Asistencia, etc)</t>
  </si>
  <si>
    <t>Dron</t>
  </si>
  <si>
    <t>BIM</t>
  </si>
  <si>
    <t>ERROR DE PRODUCCION - ADICIONALES</t>
  </si>
  <si>
    <t>ERROR DE COSTO - CAMBIO CATEGORIA - PROVISION</t>
  </si>
  <si>
    <t>ERROR DE PROYECCION - INVENTARIO</t>
  </si>
  <si>
    <t>ACUMULADA</t>
  </si>
  <si>
    <t>ACUMULADA ANTERIOR</t>
  </si>
  <si>
    <t>ACUMULADO ANTERIOR</t>
  </si>
  <si>
    <t>CARGA MANUAL</t>
  </si>
  <si>
    <t>FORMULA</t>
  </si>
  <si>
    <t>DESDE AX</t>
  </si>
  <si>
    <t>SUBGRUPO</t>
  </si>
  <si>
    <t>NOMBRE SUBGRUPO</t>
  </si>
  <si>
    <t>NOMBRE CATEGORIA</t>
  </si>
  <si>
    <t>INCLUIR</t>
  </si>
  <si>
    <t>PRESUPUESTO
(ORIGINAL)</t>
  </si>
  <si>
    <t>PRESUPUESTO
FINAL
PROYECTADO</t>
  </si>
  <si>
    <t>PRODUCCION
PARTIDAS
ORIGINALES
ACTUAL</t>
  </si>
  <si>
    <t>PRODUCCION
ADICIONALES
ACTUAL</t>
  </si>
  <si>
    <t>TOTAL PRODUCCION
ACTUAL</t>
  </si>
  <si>
    <t>PRODUCCION
ANTERIOR</t>
  </si>
  <si>
    <t>PRODUCCION
ADICIONALES
ANTERIOR</t>
  </si>
  <si>
    <t>TOTAL PRODUCCION
ANTERIOR</t>
  </si>
  <si>
    <t>COSTO
ACUMULADO  AX</t>
  </si>
  <si>
    <t>CAMBIO DE
CATEGORIA</t>
  </si>
  <si>
    <t>PROVISIONES</t>
  </si>
  <si>
    <t>COSTO REAL</t>
  </si>
  <si>
    <t>COSTO ACUMULADO
ANTERIOR</t>
  </si>
  <si>
    <t>CAMBIO DE
CATEGORIA
ANTERIOR</t>
  </si>
  <si>
    <t>PROVISIONES
ANTERIOR</t>
  </si>
  <si>
    <t>COSTO REAL
ANTERIOR</t>
  </si>
  <si>
    <t>PROYECCION
DE INGRESO
DEL SALDO</t>
  </si>
  <si>
    <t>INVENTARIO</t>
  </si>
  <si>
    <t>PEDIDOS DE COMPRA
NO RECIBIDOS</t>
  </si>
  <si>
    <t>PROYECCION
DE COSTO
DEL SALDO</t>
  </si>
  <si>
    <t>PROYECCION
TOTAL DE COSTO</t>
  </si>
  <si>
    <t>ITEM</t>
  </si>
  <si>
    <t>NO</t>
  </si>
  <si>
    <t>-</t>
  </si>
  <si>
    <t>11-010100G</t>
  </si>
  <si>
    <t>SI</t>
  </si>
  <si>
    <t>11-010200G</t>
  </si>
  <si>
    <t>MAO CD - Civil  / Hormigón (G)</t>
  </si>
  <si>
    <t>11-010300G</t>
  </si>
  <si>
    <t>MAO CD - Civil  / Moldaje (G)</t>
  </si>
  <si>
    <t>11-010400G</t>
  </si>
  <si>
    <t>MAO CD - Civil  / Enfierradura (G)</t>
  </si>
  <si>
    <t>11-010500G</t>
  </si>
  <si>
    <t>MAO CD - Civil  / Arquitectura (G)</t>
  </si>
  <si>
    <t>11-019900G</t>
  </si>
  <si>
    <t>MAO CD - Civil  / Otros (G)</t>
  </si>
  <si>
    <t>11-020700G</t>
  </si>
  <si>
    <t>MAO CD - Estructura / Soldadura (G)</t>
  </si>
  <si>
    <t>11-020800G</t>
  </si>
  <si>
    <t>MAO CD - Estructura / Montajes (G)</t>
  </si>
  <si>
    <t>11-030700G</t>
  </si>
  <si>
    <t>MAO CD - Mecánica / Soldadura (G)</t>
  </si>
  <si>
    <t>Mecanica</t>
  </si>
  <si>
    <t>11-030800G</t>
  </si>
  <si>
    <t>MAO CD - Mecánica / Montajes (G)</t>
  </si>
  <si>
    <t>11-040700G</t>
  </si>
  <si>
    <t>MAO CD - Cañería / Soldadura (G)</t>
  </si>
  <si>
    <t>11-040800G</t>
  </si>
  <si>
    <t>MAO CD - Cañería / Montajes (G)</t>
  </si>
  <si>
    <t>11-050700G</t>
  </si>
  <si>
    <t>MAO CD - Electricidad / Soldadura (G)</t>
  </si>
  <si>
    <t>11-050800G</t>
  </si>
  <si>
    <t>MAO CD - Electricidad / Montajes (G)</t>
  </si>
  <si>
    <t>11-060700G</t>
  </si>
  <si>
    <t>MAO CD - Instrumentación / Soldadura (G)</t>
  </si>
  <si>
    <t>11-060800G</t>
  </si>
  <si>
    <t>MAO CD - Instrumentación / Montajes (G)</t>
  </si>
  <si>
    <t>11-070100G</t>
  </si>
  <si>
    <t>MAO CD - Aislación / Aislación (G)</t>
  </si>
  <si>
    <t>11-080700G</t>
  </si>
  <si>
    <t>MAO CD - Caldera / Soldadura (G)</t>
  </si>
  <si>
    <t>11-080800G</t>
  </si>
  <si>
    <t>MAO CD - Caldera / Montajes (G)</t>
  </si>
  <si>
    <t>11-090700G</t>
  </si>
  <si>
    <t>MAO CD - Ductos / Soldadura (G)</t>
  </si>
  <si>
    <t>11-090800G</t>
  </si>
  <si>
    <t>MAO CD - Ductos / Montajes (G)</t>
  </si>
  <si>
    <t>11-100100G</t>
  </si>
  <si>
    <t>MAO CD - Comisionamiento / Comisionamiento (G)</t>
  </si>
  <si>
    <t>Andamios</t>
  </si>
  <si>
    <t>11-110100G</t>
  </si>
  <si>
    <t>MAO CD - Andamios / Andamios (G)</t>
  </si>
  <si>
    <t>11-120100G</t>
  </si>
  <si>
    <t>MAO CD - Pintura / Pintura (G)</t>
  </si>
  <si>
    <t>11-120102G</t>
  </si>
  <si>
    <t>MAO CD - Equipos / Equipos / Rigger (G)</t>
  </si>
  <si>
    <t>11-120103G</t>
  </si>
  <si>
    <t>MAO CD - Equipos / Equipos / Operador dpto Equipos (G)</t>
  </si>
  <si>
    <t>11-120104G</t>
  </si>
  <si>
    <t>MAO CD - Equipos / Equipos / Rigger dpto Equipos(G)</t>
  </si>
  <si>
    <t>11-130700G</t>
  </si>
  <si>
    <t>MAO CD - Estanque / Soldadura (G)</t>
  </si>
  <si>
    <t>11-130800G</t>
  </si>
  <si>
    <t>MAO CD - Estanque / Montajes (G)</t>
  </si>
  <si>
    <t>11-980100G</t>
  </si>
  <si>
    <t>12-010702G</t>
  </si>
  <si>
    <t>12-510100G</t>
  </si>
  <si>
    <t>MAO CI - Staff Superior / Staff Superior (G)</t>
  </si>
  <si>
    <t>12-520100G</t>
  </si>
  <si>
    <t>MAO CI - Oficina Técnica / Oficina Técnica (G)</t>
  </si>
  <si>
    <t>12-530100G</t>
  </si>
  <si>
    <t>MAO CI - Supervisión / Supervisión (G)</t>
  </si>
  <si>
    <t>12-540100G</t>
  </si>
  <si>
    <t>MAO CI - Administración / Administración (G)</t>
  </si>
  <si>
    <t>12-550100G</t>
  </si>
  <si>
    <t>MAO CI - Prevención De Riesgos / Prevención De Riesgos (G)</t>
  </si>
  <si>
    <t>12-560100G</t>
  </si>
  <si>
    <t>MAO CI - Control De Calidad / Control De Calidad (G)</t>
  </si>
  <si>
    <t>12-570100G</t>
  </si>
  <si>
    <t>MAO CI - Servicios / Servicios (G)</t>
  </si>
  <si>
    <t>12-580100A</t>
  </si>
  <si>
    <t>MAO CI - Moviliz. y Alojamiento / Movilizacion (A)</t>
  </si>
  <si>
    <t>12-580100G</t>
  </si>
  <si>
    <t>MAO CI - Moviliz. y Alojamiento / Movilizacion (G)</t>
  </si>
  <si>
    <t>12-580101A</t>
  </si>
  <si>
    <t>MAO CI - Movilización / Reembolsable</t>
  </si>
  <si>
    <t>12-580101G</t>
  </si>
  <si>
    <t>12-580200A</t>
  </si>
  <si>
    <t>MAO CI - Moviliz. y Alojamiento / Alojamiento (A)</t>
  </si>
  <si>
    <t>12-580200G</t>
  </si>
  <si>
    <t>MAO CI - Moviliz. y Alojamiento / Alojamiento (G)</t>
  </si>
  <si>
    <t>12-580300A</t>
  </si>
  <si>
    <t>12-580300G</t>
  </si>
  <si>
    <t>12-580301A</t>
  </si>
  <si>
    <t>MAO CI - Alojamiento Viatico / Reembolsable</t>
  </si>
  <si>
    <t>12-580301G</t>
  </si>
  <si>
    <t>12-580400A</t>
  </si>
  <si>
    <t>MAO CI - Moviliz. y Alojamiento / Pensión y Aliment. (A)</t>
  </si>
  <si>
    <t>12-580400G</t>
  </si>
  <si>
    <t>MAO CI - Moviliz. y Alojamiento / Pensión y Aliment. (G)</t>
  </si>
  <si>
    <t>12-590200G</t>
  </si>
  <si>
    <t>MAO CI - Servicios / Topografía (G)</t>
  </si>
  <si>
    <t>12-600100G</t>
  </si>
  <si>
    <t>MAO CI - Prov. Pers. Planta / PROVAC (G)</t>
  </si>
  <si>
    <t>12-600200G</t>
  </si>
  <si>
    <t>MAO CI - Prov. Pers. Planta / PIAS (G)</t>
  </si>
  <si>
    <t>12-999999G</t>
  </si>
  <si>
    <t>21-010201G</t>
  </si>
  <si>
    <t>MAT CD - Civil  / Hormigón / Hormigón (G)</t>
  </si>
  <si>
    <t>21-010202A</t>
  </si>
  <si>
    <t>MAT CD - Civil  / Hormigón / Hormigón Prefabricado (A)</t>
  </si>
  <si>
    <t>21-010202G</t>
  </si>
  <si>
    <t>MAT CD - Civil  / Hormigón / Hormigón Prefabricado (G)</t>
  </si>
  <si>
    <t>21-010203A</t>
  </si>
  <si>
    <t>MAT CD - Civil  / Hormigón / Flete prefabricado (A)</t>
  </si>
  <si>
    <t>21-010203G</t>
  </si>
  <si>
    <t>MAT CD - Civil  / Hormigón / Flete prefabricado (G)</t>
  </si>
  <si>
    <t>21-010301A</t>
  </si>
  <si>
    <t>MAT CD - Civil  / Moldaje / Moldajes (A)</t>
  </si>
  <si>
    <t>21-010301G</t>
  </si>
  <si>
    <t>MAT CD - Civil  / Moldaje / Moldajes (G)</t>
  </si>
  <si>
    <t>21-010401G</t>
  </si>
  <si>
    <t>MAT CD - Civil  / Enfierradura / Varios (G)</t>
  </si>
  <si>
    <t>21-010501A</t>
  </si>
  <si>
    <t>MAT CD - Civil  / Arquitectura / Suministro Mat. Arq (A)</t>
  </si>
  <si>
    <t>21-010501G</t>
  </si>
  <si>
    <t>MAT CD - Civil  / Arquitectura / Suministro Mat. Arq (G)</t>
  </si>
  <si>
    <t>21-010599A</t>
  </si>
  <si>
    <t>MAT CD - Civil  / Arquitectura / Otros (A)</t>
  </si>
  <si>
    <t>21-010599G</t>
  </si>
  <si>
    <t>MAT CD - Civil  / Arquitectura / Otros (G)</t>
  </si>
  <si>
    <t>21-011101A</t>
  </si>
  <si>
    <t>MAT CD - Civil  / Pernos e Insertos / Pernos e Insertos (A)</t>
  </si>
  <si>
    <t>21-011101G</t>
  </si>
  <si>
    <t>MAT CD - Civil  / Pernos e Insertos / Pernos e Insertos (G)</t>
  </si>
  <si>
    <t>MAT CD - Civil  / Otros / Materiales varios (A)</t>
  </si>
  <si>
    <t>21-019901G</t>
  </si>
  <si>
    <t>MAT CD - Civil  / Otros / Materiales varios (G)</t>
  </si>
  <si>
    <t>21-021022G</t>
  </si>
  <si>
    <t>21-021201A</t>
  </si>
  <si>
    <t>MAT CD - Estructura / Suministro Estructura / Todos (A)</t>
  </si>
  <si>
    <t>21-021201G</t>
  </si>
  <si>
    <t>MAT CD - Estructura / Suministro Estructura / Todos (G)</t>
  </si>
  <si>
    <t>21-021301A</t>
  </si>
  <si>
    <t>MAT CD - Estructura / Pernos / Todos (A)</t>
  </si>
  <si>
    <t>21-021301G</t>
  </si>
  <si>
    <t>MAT CD - Estructura / Pernos / Todos (G)</t>
  </si>
  <si>
    <t>21-021401A</t>
  </si>
  <si>
    <t>MAT CD - Estructura / Soldaduras y Gases / Todos (A)</t>
  </si>
  <si>
    <t>21-021401G</t>
  </si>
  <si>
    <t>MAT CD - Estructura / Soldaduras y Gases / Todos (G)</t>
  </si>
  <si>
    <t>21-021501A</t>
  </si>
  <si>
    <t>MAT CD - Estructura / Suministro Revestimiento / Todos (A)</t>
  </si>
  <si>
    <t>21-021501G</t>
  </si>
  <si>
    <t>MAT CD - Estructura / Suministro Revestimiento / Todos (G)</t>
  </si>
  <si>
    <t>21-029901A</t>
  </si>
  <si>
    <t>MAT CD - Estructura / Otros / Todos (A)</t>
  </si>
  <si>
    <t>21-029901G</t>
  </si>
  <si>
    <t>MAT CD - Estructura / Otros / Todos (G)</t>
  </si>
  <si>
    <t>21-031401A</t>
  </si>
  <si>
    <t>MAT CD - Mecánica / Soldadura y Gases / Todos (A)</t>
  </si>
  <si>
    <t>21-031401G</t>
  </si>
  <si>
    <t>MAT CD - Mecánica / Soldadura y Gases / Todos (G)</t>
  </si>
  <si>
    <t>21-031701A</t>
  </si>
  <si>
    <t>MAT CD - Mecánica / Suministro Equipos / Todos (A)</t>
  </si>
  <si>
    <t>21-031701G</t>
  </si>
  <si>
    <t>MAT CD - Mecánica / Suministro Equipos / Todos (G)</t>
  </si>
  <si>
    <t>21-031801A</t>
  </si>
  <si>
    <t>MAT CD - Mecánica / Soportes / Todos (A)</t>
  </si>
  <si>
    <t>21-031801G</t>
  </si>
  <si>
    <t>MAT CD - Mecánica / Soportes / Todos (G)</t>
  </si>
  <si>
    <t>21-031901A</t>
  </si>
  <si>
    <t>MAT CD - Mecánica / Pernos y Empaquetaduras / Todos (A)</t>
  </si>
  <si>
    <t>21-031901G</t>
  </si>
  <si>
    <t>MAT CD - Mecánica / Pernos y Empaquetaduras / Todos (G)</t>
  </si>
  <si>
    <t>21-039901G</t>
  </si>
  <si>
    <t>MAT CD - Mecánica / Materiales varios / Todos (G)</t>
  </si>
  <si>
    <t>21-041401A</t>
  </si>
  <si>
    <t>MAT CD - Cañería / Soldadura y Gases / Todos (A)</t>
  </si>
  <si>
    <t>21-041401G</t>
  </si>
  <si>
    <t>MAT CD - Cañería / Soldadura y Gases / Todos (G)</t>
  </si>
  <si>
    <t>21-041801A</t>
  </si>
  <si>
    <t>MAT CD - Cañería / Soportes / Todos (A)</t>
  </si>
  <si>
    <t>21-041801G</t>
  </si>
  <si>
    <t>MAT CD - Cañería / Soportes / Todos (G)</t>
  </si>
  <si>
    <t>21-041901A</t>
  </si>
  <si>
    <t>MAT CD - Cañería / Pernos y Empaquetaduras / Todos (A)</t>
  </si>
  <si>
    <t>21-041901G</t>
  </si>
  <si>
    <t>MAT CD - Cañería / Pernos y Empaquetaduras / Todos (G)</t>
  </si>
  <si>
    <t>21-042001A</t>
  </si>
  <si>
    <t>MAT CD - Cañería / Sumini. Cañería Fitt. y Válvs / Todos (A)</t>
  </si>
  <si>
    <t>21-042001G</t>
  </si>
  <si>
    <t>MAT CD - Cañería / Sumini. Cañería Fitt. y Válvs / Todos (G)</t>
  </si>
  <si>
    <t>21-049901A</t>
  </si>
  <si>
    <t>MAT CD - Cañería / Materiales varios / Todos (A)</t>
  </si>
  <si>
    <t>21-049901G</t>
  </si>
  <si>
    <t>MAT CD - Cañería / Materiales varios / Todos (G)</t>
  </si>
  <si>
    <t>21-051401A</t>
  </si>
  <si>
    <t>MAT CD - Electricidad / Soldadura y Gases / Todos (A)</t>
  </si>
  <si>
    <t>21-051401G</t>
  </si>
  <si>
    <t>MAT CD - Electricidad / Soldadura y Gases / Todos (G)</t>
  </si>
  <si>
    <t>21-051701A</t>
  </si>
  <si>
    <t>MAT CD - Electricidad / Suministro de Equipos / Todos (A)</t>
  </si>
  <si>
    <t>21-051701G</t>
  </si>
  <si>
    <t>MAT CD - Electricidad / Suministro de Equipos / Todos (G)</t>
  </si>
  <si>
    <t>21-051801A</t>
  </si>
  <si>
    <t>MAT CD - Electricidad / Soportes / Todos (A)</t>
  </si>
  <si>
    <t>21-051801G</t>
  </si>
  <si>
    <t>MAT CD - Electricidad / Soportes / Todos (G)</t>
  </si>
  <si>
    <t>21-052101A</t>
  </si>
  <si>
    <t>MAT CD - Electricidad / Suministro de Cables / Todos (A)</t>
  </si>
  <si>
    <t>21-052101G</t>
  </si>
  <si>
    <t>MAT CD - Electricidad / Suministro de Cables / Todos (G)</t>
  </si>
  <si>
    <t>21-052201A</t>
  </si>
  <si>
    <t>MAT CD - Electricidad / Suministro Conduits / Todos (A)</t>
  </si>
  <si>
    <t>21-052201G</t>
  </si>
  <si>
    <t>MAT CD - Electricidad / Suministro Conduits / Todos (G)</t>
  </si>
  <si>
    <t>21-052301A</t>
  </si>
  <si>
    <t>MAT CD - Electricidad / Sumin Bdejas+Escalerillas / Todo (A)</t>
  </si>
  <si>
    <t>21-052301G</t>
  </si>
  <si>
    <t>MAT CD - Electricidad / Sumin Bdejas+Escalerillas / Todo (G)</t>
  </si>
  <si>
    <t>21-059901A</t>
  </si>
  <si>
    <t>MAT CD - Electricidad / Materiales varios / Todos (A)</t>
  </si>
  <si>
    <t>21-059901G</t>
  </si>
  <si>
    <t>MAT CD - Electricidad / Materiales varios / Todos (G)</t>
  </si>
  <si>
    <t>21-061401A</t>
  </si>
  <si>
    <t>MAT CD - Instrumentac. / Soldadura y Gases / Todos (A)</t>
  </si>
  <si>
    <t>21-061401G</t>
  </si>
  <si>
    <t>MAT CD - Instrumentac. / Soldadura y Gases / Todos (G)</t>
  </si>
  <si>
    <t>21-061701A</t>
  </si>
  <si>
    <t>MAT CD - Instrumentac. / Suministro de Equipos / Todos (A)</t>
  </si>
  <si>
    <t>21-061701G</t>
  </si>
  <si>
    <t>MAT CD - Instrumentac. / Suministro de Equipos / Todos (G)</t>
  </si>
  <si>
    <t>21-061801A</t>
  </si>
  <si>
    <t>MAT CD - Instrumentac. / Soportes / Todos (A)</t>
  </si>
  <si>
    <t>21-061801G</t>
  </si>
  <si>
    <t>MAT CD - Instrumentac. / Soportes / Todos (G)</t>
  </si>
  <si>
    <t>21-062101A</t>
  </si>
  <si>
    <t>MAT CD - Instrumentac. / Suministro de Cables / Todos (A)</t>
  </si>
  <si>
    <t>21-062101G</t>
  </si>
  <si>
    <t>MAT CD - Instrumentac. / Suministro de Cables / Todos (G)</t>
  </si>
  <si>
    <t>21-062201A</t>
  </si>
  <si>
    <t>MAT CD - Instrumentac. / Suministro Conduits / Todos (A)</t>
  </si>
  <si>
    <t>21-062201G</t>
  </si>
  <si>
    <t>MAT CD - Instrumentac. / Suministro Conduits / Todos (G)</t>
  </si>
  <si>
    <t>21-062301A</t>
  </si>
  <si>
    <t>MAT CD - Instrumentac. / Sumin Bdejas+Escalerills / Todo (A)</t>
  </si>
  <si>
    <t>21-062301G</t>
  </si>
  <si>
    <t>MAT CD - Instrumentac. / Sumin Bdejas+Escalerills / Todo (G)</t>
  </si>
  <si>
    <t>21-063001A</t>
  </si>
  <si>
    <t>MAT CD - Instrumentac. / Suministro Instrumentos / Todos (A)</t>
  </si>
  <si>
    <t>21-063001G</t>
  </si>
  <si>
    <t>MAT CD - Instrumentac. / Suministro Instrumentos / Todos (G)</t>
  </si>
  <si>
    <t>21-069901A</t>
  </si>
  <si>
    <t>MAT CD - Instrumentac. / Materiales varios / Todos (A)</t>
  </si>
  <si>
    <t>21-069901G</t>
  </si>
  <si>
    <t>MAT CD - Instrumentac. / Materiales varios / Todos (G)</t>
  </si>
  <si>
    <t>21-072401A</t>
  </si>
  <si>
    <t>MAT CD - Aislación / Suminist. Material Aislación / Todo (A)</t>
  </si>
  <si>
    <t>21-072401G</t>
  </si>
  <si>
    <t>MAT CD - Aislación / Suminist. Material Aislación / Todo (G)</t>
  </si>
  <si>
    <t>21-072501A</t>
  </si>
  <si>
    <t>MAT CD - Aislación / Suministro de Revestimiento / Todos (A)</t>
  </si>
  <si>
    <t>21-072501G</t>
  </si>
  <si>
    <t>MAT CD - Aislación / Suministro de Revestimiento / Todos (G)</t>
  </si>
  <si>
    <t>21-079901A</t>
  </si>
  <si>
    <t>MAT CD - Aislación / Materiales varios / Todos (A)</t>
  </si>
  <si>
    <t>21-079901G</t>
  </si>
  <si>
    <t>MAT CD - Aislación / Materiales varios / Todos (G)</t>
  </si>
  <si>
    <t>21-081401A</t>
  </si>
  <si>
    <t>MAT CD - Caldera / Soldadura y Gases / Todos (A)</t>
  </si>
  <si>
    <t>21-081401G</t>
  </si>
  <si>
    <t>MAT CD - Caldera / Soldadura y Gases / Todos (G)</t>
  </si>
  <si>
    <t>21-082601A</t>
  </si>
  <si>
    <t>MAT CD - Caldera / Suministro Caldera / Todos (A)</t>
  </si>
  <si>
    <t>21-082601G</t>
  </si>
  <si>
    <t>MAT CD - Caldera / Suministro Caldera / Todos (G)</t>
  </si>
  <si>
    <t>21-089901A</t>
  </si>
  <si>
    <t>MAT CD - Caldera / Materiales varios / Todos (A)</t>
  </si>
  <si>
    <t>21-089901G</t>
  </si>
  <si>
    <t>MAT CD - Caldera / Materiales varios / Todos (G)</t>
  </si>
  <si>
    <t>21-091401A</t>
  </si>
  <si>
    <t>MAT CD - Ductos / Soldadura y Gases / Todos (A)</t>
  </si>
  <si>
    <t>21-091401G</t>
  </si>
  <si>
    <t>MAT CD - Ductos / Soldadura y Gases / Todos (G)</t>
  </si>
  <si>
    <t>21-091801A</t>
  </si>
  <si>
    <t>MAT CD - Ductos / Soportes / Todos (A)</t>
  </si>
  <si>
    <t>21-091801G</t>
  </si>
  <si>
    <t>MAT CD - Ductos / Soportes / Todos (G)</t>
  </si>
  <si>
    <t>21-091901A</t>
  </si>
  <si>
    <t>MAT CD - Ductos / Pernos y Empaquetaduras / Todos (A)</t>
  </si>
  <si>
    <t>21-091901G</t>
  </si>
  <si>
    <t>MAT CD - Ductos / Pernos y Empaquetaduras / Todos (G)</t>
  </si>
  <si>
    <t>21-092701A</t>
  </si>
  <si>
    <t>MAT CD - Ductos / Suminist. y Fabricación Ductos / Todos (A)</t>
  </si>
  <si>
    <t>21-092701G</t>
  </si>
  <si>
    <t>MAT CD - Ductos / Suminist. y Fabricación Ductos / Todos (G)</t>
  </si>
  <si>
    <t>21-099901A</t>
  </si>
  <si>
    <t>MAT CD - Ductos / Materiales Varios / Todos (A)</t>
  </si>
  <si>
    <t>21-099901G</t>
  </si>
  <si>
    <t>MAT CD - Ductos / Materiales Varios / Todos (G)</t>
  </si>
  <si>
    <t>21-131401A</t>
  </si>
  <si>
    <t>MAT CD - Estanque / Soldadura y Gases / Todos (A)</t>
  </si>
  <si>
    <t>21-131401G</t>
  </si>
  <si>
    <t>MAT CD - Estanque / Soldadura y Gases / Todos (G)</t>
  </si>
  <si>
    <t>21-131901A</t>
  </si>
  <si>
    <t>MAT CD - Estanque / Pernos y Empaquetaduras / Todos (A)</t>
  </si>
  <si>
    <t>21-131901G</t>
  </si>
  <si>
    <t>MAT CD - Estanque / Pernos y Empaquetaduras / Todos (G)</t>
  </si>
  <si>
    <t>21-132801A</t>
  </si>
  <si>
    <t>MAT CD - Estanque / Suminist. Estanque (Planchas) / Todo (A)</t>
  </si>
  <si>
    <t>21-132801G</t>
  </si>
  <si>
    <t>MAT CD - Estanque / Suminist. Estanque (Planchas) / Todo (G)</t>
  </si>
  <si>
    <t>21-139901A</t>
  </si>
  <si>
    <t>MAT CD - Estanque / Materiales Varios / Todos (A)</t>
  </si>
  <si>
    <t>21-139901G</t>
  </si>
  <si>
    <t>MAT CD - Estanque / Materiales Varios / Todos (G)</t>
  </si>
  <si>
    <t>21-973001A</t>
  </si>
  <si>
    <t>MAT CD - Importaciones / Importaciones / Todos (A)</t>
  </si>
  <si>
    <t>21-973001G</t>
  </si>
  <si>
    <t>MAT CD - Importaciones / Importaciones / Todos (G)</t>
  </si>
  <si>
    <t>21-980101A</t>
  </si>
  <si>
    <t>MAT CD - Especialidad por distribuir / Todos / Todos (A)</t>
  </si>
  <si>
    <t>21-980101G</t>
  </si>
  <si>
    <t>MAT CD - Especialidad por distribuir / Todos / Todos (G)</t>
  </si>
  <si>
    <t>21-990101A</t>
  </si>
  <si>
    <t>MAT CD - Especialidad por distribuir / Todos /Reembolsable</t>
  </si>
  <si>
    <t>21-990101G</t>
  </si>
  <si>
    <t>31-010100A</t>
  </si>
  <si>
    <t>SUB CD - Civil  / Movimiento de tierra (A)</t>
  </si>
  <si>
    <t>31-010100G</t>
  </si>
  <si>
    <t>SUB CD - Civil  / Movimiento de tierra (G)</t>
  </si>
  <si>
    <t>31-010200A</t>
  </si>
  <si>
    <t>SUB CD - Civil  / Hormigón (A)</t>
  </si>
  <si>
    <t>31-010200G</t>
  </si>
  <si>
    <t>SUB CD - Civil  / Hormigón (G)</t>
  </si>
  <si>
    <t>31-010300A</t>
  </si>
  <si>
    <t>SUB CD - Civil  / Moldaje (A)</t>
  </si>
  <si>
    <t>31-010300G</t>
  </si>
  <si>
    <t>SUB CD - Civil  / Moldaje (G)</t>
  </si>
  <si>
    <t>31-010400A</t>
  </si>
  <si>
    <t>SUB CD - Civil  / Enfierradura (A)</t>
  </si>
  <si>
    <t>31-010400G</t>
  </si>
  <si>
    <t>SUB CD - Civil  / Enfierradura (G)</t>
  </si>
  <si>
    <t>31-010500A</t>
  </si>
  <si>
    <t>SUB CD - Civil  / Arquitectura (A)</t>
  </si>
  <si>
    <t>31-010500G</t>
  </si>
  <si>
    <t>SUB CD - Civil  / Arquitectura (G)</t>
  </si>
  <si>
    <t>31-013200A</t>
  </si>
  <si>
    <t>SUB CD - Civil  / Agotamiento (A)</t>
  </si>
  <si>
    <t>31-013200G</t>
  </si>
  <si>
    <t>SUB CD - Civil  / Agotamiento (G)</t>
  </si>
  <si>
    <t>SUB CD - Civil  / Laboratorio (Resist. hormigón densid.) (A)</t>
  </si>
  <si>
    <t>31-013300G</t>
  </si>
  <si>
    <t>SUB CD - Civil  / Laboratorio (Resist. hormigón densid.) (G)</t>
  </si>
  <si>
    <t>31-013400A</t>
  </si>
  <si>
    <t>SUB CD - Civil  / Revestimiento Radier Epoxico (A)</t>
  </si>
  <si>
    <t>31-013400G</t>
  </si>
  <si>
    <t>SUB CD - Civil  / Revestimiento Radier Epoxico (G)</t>
  </si>
  <si>
    <t>31-013500A</t>
  </si>
  <si>
    <t>SUB CD - Civil  / Entibaciones (A)</t>
  </si>
  <si>
    <t>31-013500G</t>
  </si>
  <si>
    <t>SUB CD - Civil  / Entibaciones (G)</t>
  </si>
  <si>
    <t>31-019900A</t>
  </si>
  <si>
    <t>SUB CD - Civil  / Otros (A)</t>
  </si>
  <si>
    <t>31-019900G</t>
  </si>
  <si>
    <t>SUB CD - Civil  / Otros (G)</t>
  </si>
  <si>
    <t>31-020600A</t>
  </si>
  <si>
    <t>SUB CD - Estructura / Pintura (A)</t>
  </si>
  <si>
    <t>31-020600G</t>
  </si>
  <si>
    <t>SUB CD - Estructura / Pintura (G)</t>
  </si>
  <si>
    <t>31-020700A</t>
  </si>
  <si>
    <t>SUB CD - Estructura / Montaje de Estructura (A)</t>
  </si>
  <si>
    <t>31-020700G</t>
  </si>
  <si>
    <t>SUB CD - Estructura / Montaje de Estructura (G)</t>
  </si>
  <si>
    <t>31-020800A</t>
  </si>
  <si>
    <t>SUB CD - Estructura / Montaje de Revestimiento (A)</t>
  </si>
  <si>
    <t>31-020800G</t>
  </si>
  <si>
    <t>SUB CD - Estructura / Montaje de Revestimiento (G)</t>
  </si>
  <si>
    <t>31-029900A</t>
  </si>
  <si>
    <t>SUB CD - Estructura / Otros (A)</t>
  </si>
  <si>
    <t>31-029900G</t>
  </si>
  <si>
    <t>SUB CD - Estructura / Otros (G)</t>
  </si>
  <si>
    <t>31-030700A</t>
  </si>
  <si>
    <t>SUB CD - Mecánica / Montaje Equipos (A)</t>
  </si>
  <si>
    <t>31-030700G</t>
  </si>
  <si>
    <t>SUB CD - Mecánica / Montaje Equipos (G)</t>
  </si>
  <si>
    <t>31-030800A</t>
  </si>
  <si>
    <t>SUB CD - Mecánica / Montajes (A)</t>
  </si>
  <si>
    <t>31-030800G</t>
  </si>
  <si>
    <t>SUB CD - Mecánica / Montajes (G)</t>
  </si>
  <si>
    <t>31-033900A</t>
  </si>
  <si>
    <t>SUB CD - Mecánica / Empalme Correas (A)</t>
  </si>
  <si>
    <t>31-033900G</t>
  </si>
  <si>
    <t>SUB CD - Mecánica / Empalme Correas (G)</t>
  </si>
  <si>
    <t>31-034000A</t>
  </si>
  <si>
    <t>SUB CD - Mecánica / Alineamiento Laser (A)</t>
  </si>
  <si>
    <t>31-034000G</t>
  </si>
  <si>
    <t>SUB CD - Mecánica / Alineamiento Laser (G)</t>
  </si>
  <si>
    <t>31-034100A</t>
  </si>
  <si>
    <t>SUB CD - Mecánica / Análisis de Vibración (A)</t>
  </si>
  <si>
    <t>31-034100G</t>
  </si>
  <si>
    <t>SUB CD - Mecánica / Análisis de Vibración (G)</t>
  </si>
  <si>
    <t>31-034200A</t>
  </si>
  <si>
    <t>SUB CD - Mecánica / HI-TORQ (A)</t>
  </si>
  <si>
    <t>31-034200G</t>
  </si>
  <si>
    <t>SUB CD - Mecánica / HI-TORQ (G)</t>
  </si>
  <si>
    <t>31-034300A</t>
  </si>
  <si>
    <t>SUB CD - Mecánica / Limpieza Química (A)</t>
  </si>
  <si>
    <t>31-034300G</t>
  </si>
  <si>
    <t>SUB CD - Mecánica / Limpieza Química (G)</t>
  </si>
  <si>
    <t>31-039900A</t>
  </si>
  <si>
    <t>SUB CD - Mecánica / Otros (A)</t>
  </si>
  <si>
    <t>31-039900G</t>
  </si>
  <si>
    <t>SUB CD - Mecánica / Otros (G)</t>
  </si>
  <si>
    <t>31-040600A</t>
  </si>
  <si>
    <t>SUB CD - Cañería / Soldadura (A)</t>
  </si>
  <si>
    <t>31-040600G</t>
  </si>
  <si>
    <t>SUB CD - Cañería / Soldadura (G)</t>
  </si>
  <si>
    <t>31-040700A</t>
  </si>
  <si>
    <t>SUB CD - Cañería / Montaje Cañerías (A)</t>
  </si>
  <si>
    <t>31-040700G</t>
  </si>
  <si>
    <t>SUB CD - Cañería / Montaje Cañerías (G)</t>
  </si>
  <si>
    <t>31-040800A</t>
  </si>
  <si>
    <t>SUB CD - Cañería / Montajes (A)</t>
  </si>
  <si>
    <t>31-040800G</t>
  </si>
  <si>
    <t>SUB CD - Cañería / Montajes (G)</t>
  </si>
  <si>
    <t>31-044500A</t>
  </si>
  <si>
    <t>SUB CD - Cañería / Pintura Cañerías (A)</t>
  </si>
  <si>
    <t>31-044500G</t>
  </si>
  <si>
    <t>SUB CD - Cañería / Pintura Cañerías (G)</t>
  </si>
  <si>
    <t>31-044600A</t>
  </si>
  <si>
    <t>SUB CD - Cañería / END (Radiografías, Tintas Penetrant.) (A)</t>
  </si>
  <si>
    <t>31-044600G</t>
  </si>
  <si>
    <t>SUB CD - Cañería / END (Radiografías, Tintas Penetrant.) (G)</t>
  </si>
  <si>
    <t>31-044700A</t>
  </si>
  <si>
    <t>SUB CD - Cañería / Limpieza Química (A)</t>
  </si>
  <si>
    <t>31-044700G</t>
  </si>
  <si>
    <t>SUB CD - Cañería / Limpieza Química (G)</t>
  </si>
  <si>
    <t>31-044800A</t>
  </si>
  <si>
    <t>SUB CD - Cañería / Soplado Cañería (A)</t>
  </si>
  <si>
    <t>31-044800G</t>
  </si>
  <si>
    <t>SUB CD - Cañería / Soplado Cañería (G)</t>
  </si>
  <si>
    <t>31-044900A</t>
  </si>
  <si>
    <t>SUB CD - Cañería / Tratamiento Térmico (A)</t>
  </si>
  <si>
    <t>31-044900G</t>
  </si>
  <si>
    <t>SUB CD - Cañería / Tratamiento Térmico (G)</t>
  </si>
  <si>
    <t>31-045000A</t>
  </si>
  <si>
    <t>SUB CD - Cañería / Vendajes Cañerías FRP (A)</t>
  </si>
  <si>
    <t>31-045000G</t>
  </si>
  <si>
    <t>SUB CD - Cañería / Vendajes Cañerías FRP (G)</t>
  </si>
  <si>
    <t>31-045100A</t>
  </si>
  <si>
    <t>SUB CD - Cañería / Termofusión Cañería (A)</t>
  </si>
  <si>
    <t>31-045100G</t>
  </si>
  <si>
    <t>SUB CD - Cañería / Termofusión Cañería (G)</t>
  </si>
  <si>
    <t>31-045200A</t>
  </si>
  <si>
    <t>SUB CD - Cañería / Pruebas Hidraulicas / Neumaticas (A)</t>
  </si>
  <si>
    <t>31-045200G</t>
  </si>
  <si>
    <t>SUB CD - Cañería / Pruebas Hidraulicas / Neumaticas (G)</t>
  </si>
  <si>
    <t>31-049900A</t>
  </si>
  <si>
    <t>SUB CD - Cañería / Otros Subcontratos (A)</t>
  </si>
  <si>
    <t>31-049900G</t>
  </si>
  <si>
    <t>SUB CD - Cañería / Otros Subcontratos (G)</t>
  </si>
  <si>
    <t>31-050800A</t>
  </si>
  <si>
    <t>SUB CD - Electricidad / Mtaje. Lín. Media y Alta Tensión (A)</t>
  </si>
  <si>
    <t>31-050800G</t>
  </si>
  <si>
    <t>SUB CD - Electricidad / Mtaje. Lín. Media y Alta Tensión (G)</t>
  </si>
  <si>
    <t>31-055300A</t>
  </si>
  <si>
    <t>SUB CD - Electricidad / Pruebas Equipos (A)</t>
  </si>
  <si>
    <t>31-055300G</t>
  </si>
  <si>
    <t>SUB CD - Electricidad / Pruebas Equipos (G)</t>
  </si>
  <si>
    <t>31-055400A</t>
  </si>
  <si>
    <t>SUB CD - Electricidad / Llenado de Aceite Transforms. (A)</t>
  </si>
  <si>
    <t>31-055400G</t>
  </si>
  <si>
    <t>SUB CD - Electricidad / Llenado de Aceite Transforms. (G)</t>
  </si>
  <si>
    <t>31-055500A</t>
  </si>
  <si>
    <t>SUB CD - Electricidad / HI-POT (A)</t>
  </si>
  <si>
    <t>31-055500G</t>
  </si>
  <si>
    <t>SUB CD - Electricidad / HI-POT (G)</t>
  </si>
  <si>
    <t>31-059900A</t>
  </si>
  <si>
    <t>SUB CD - Electricidad / Otros Subcontratos (A)</t>
  </si>
  <si>
    <t>31-059900G</t>
  </si>
  <si>
    <t>SUB CD - Electricidad / Otros Subcontratos (G)</t>
  </si>
  <si>
    <t>31-065700A</t>
  </si>
  <si>
    <t>SUB CD - Instrumentación / Calibración de Equipos (A)</t>
  </si>
  <si>
    <t>31-065700G</t>
  </si>
  <si>
    <t>SUB CD - Instrumentación / Calibración de Equipos (G)</t>
  </si>
  <si>
    <t>31-065800A</t>
  </si>
  <si>
    <t>SUB CD - Instrumentación / Chequeos de Lazo (A)</t>
  </si>
  <si>
    <t>31-065800G</t>
  </si>
  <si>
    <t>SUB CD - Instrumentación / Chequeos de Lazo (G)</t>
  </si>
  <si>
    <t>31-069900A</t>
  </si>
  <si>
    <t>SUB CD - Instrumentación / Otros Subcontratos (A)</t>
  </si>
  <si>
    <t>31-069900G</t>
  </si>
  <si>
    <t>SUB CD - Instrumentación / Otros Subcontratos (G)</t>
  </si>
  <si>
    <t>31-070800A</t>
  </si>
  <si>
    <t>SUB CD - Aislación / Montaje Aislación (A)</t>
  </si>
  <si>
    <t>31-070800G</t>
  </si>
  <si>
    <t>SUB CD - Aislación / Montaje Aislación (G)</t>
  </si>
  <si>
    <t>31-079900A</t>
  </si>
  <si>
    <t>SUB CD - Aislación / Otros Subcontratos (A)</t>
  </si>
  <si>
    <t>31-079900G</t>
  </si>
  <si>
    <t>SUB CD - Aislación / Otros Subcontratos (G)</t>
  </si>
  <si>
    <t>31-080700A</t>
  </si>
  <si>
    <t>SUB CD - Caldera / Soldadura (A)</t>
  </si>
  <si>
    <t>31-080700G</t>
  </si>
  <si>
    <t>SUB CD - Caldera / Soldadura (G)</t>
  </si>
  <si>
    <t>31-080800A</t>
  </si>
  <si>
    <t>SUB CD - Caldera / Montaje Caldera (A)</t>
  </si>
  <si>
    <t>31-080800G</t>
  </si>
  <si>
    <t>SUB CD - Caldera / Montaje Caldera (G)</t>
  </si>
  <si>
    <t>31-084600A</t>
  </si>
  <si>
    <t>SUB CD - Caldera / END (Radiografs., Tintas Penetrant.) (A)</t>
  </si>
  <si>
    <t>31-084600G</t>
  </si>
  <si>
    <t>SUB CD - Caldera / END (Radiografs., Tintas Penetrant.) (G)</t>
  </si>
  <si>
    <t>31-086100A</t>
  </si>
  <si>
    <t>SUB CD - Caldera / Soplado (A)</t>
  </si>
  <si>
    <t>31-086100G</t>
  </si>
  <si>
    <t>SUB CD - Caldera / Soplado (G)</t>
  </si>
  <si>
    <t>31-086200A</t>
  </si>
  <si>
    <t>SUB CD - Caldera / Refractario (A)</t>
  </si>
  <si>
    <t>31-086200G</t>
  </si>
  <si>
    <t>SUB CD - Caldera / Refractario (G)</t>
  </si>
  <si>
    <t>31-086400A</t>
  </si>
  <si>
    <t>SUB CD - Caldera / Tratamiento Térmico (A)</t>
  </si>
  <si>
    <t>31-086400G</t>
  </si>
  <si>
    <t>SUB CD - Caldera / Tratamiento Térmico (G)</t>
  </si>
  <si>
    <t>31-086500A</t>
  </si>
  <si>
    <t>SUB CD - Caldera / Izamiento Domo (A)</t>
  </si>
  <si>
    <t>31-086500G</t>
  </si>
  <si>
    <t>SUB CD - Caldera / Izamiento Domo (G)</t>
  </si>
  <si>
    <t>31-086600A</t>
  </si>
  <si>
    <t>SUB CD - Caldera / Prueba Hidraulica (A)</t>
  </si>
  <si>
    <t>31-086600G</t>
  </si>
  <si>
    <t>SUB CD - Caldera / Prueba Hidraulica (G)</t>
  </si>
  <si>
    <t>31-086700A</t>
  </si>
  <si>
    <t>SUB CD - Caldera / Agua Desmineralizada (A)</t>
  </si>
  <si>
    <t>31-086700G</t>
  </si>
  <si>
    <t>SUB CD - Caldera / Agua Desmineralizada (G)</t>
  </si>
  <si>
    <t>31-086800A</t>
  </si>
  <si>
    <t>SUB CD - Caldera / Manejo y Disposición Efluentes (A)</t>
  </si>
  <si>
    <t>31-086800G</t>
  </si>
  <si>
    <t>SUB CD - Caldera / Manejo y Disposición Efluentes (G)</t>
  </si>
  <si>
    <t>31-089900A</t>
  </si>
  <si>
    <t>SUB CD - Caldera / Otros Subcontratos (A)</t>
  </si>
  <si>
    <t>31-089900G</t>
  </si>
  <si>
    <t>SUB CD - Caldera / Otros Subcontratos (G)</t>
  </si>
  <si>
    <t>31-090700A</t>
  </si>
  <si>
    <t>SUB CD - Ductos / Soldadura (A)</t>
  </si>
  <si>
    <t>31-090700G</t>
  </si>
  <si>
    <t>SUB CD - Ductos / Soldadura (G)</t>
  </si>
  <si>
    <t>31-090800A</t>
  </si>
  <si>
    <t>SUB CD - Ductos / Montajes (A)</t>
  </si>
  <si>
    <t>31-090800G</t>
  </si>
  <si>
    <t>SUB CD - Ductos / Montajes (G)</t>
  </si>
  <si>
    <t>31-094600A</t>
  </si>
  <si>
    <t>SUB CD - Ductos / END (Radiografs., Tintas Penetrant.) (A)</t>
  </si>
  <si>
    <t>31-094600G</t>
  </si>
  <si>
    <t>SUB CD - Ductos / END (Radiografs., Tintas Penetrant.) (G)</t>
  </si>
  <si>
    <t>31-099900A</t>
  </si>
  <si>
    <t>SUB CD - Ductos / Otros Subcontratos (A)</t>
  </si>
  <si>
    <t>31-099900G</t>
  </si>
  <si>
    <t>SUB CD - Ductos / Otros Subcontratos (G)</t>
  </si>
  <si>
    <t>31-130700A</t>
  </si>
  <si>
    <t>SUB CD - Estanque / Soldadura (A)</t>
  </si>
  <si>
    <t>31-130700G</t>
  </si>
  <si>
    <t>SUB CD - Estanque / Soldadura (G)</t>
  </si>
  <si>
    <t>31-130800A</t>
  </si>
  <si>
    <t>SUB CD - Estanque / Montaje Estanque (A)</t>
  </si>
  <si>
    <t>31-130800G</t>
  </si>
  <si>
    <t>SUB CD - Estanque / Montaje Estanque (G)</t>
  </si>
  <si>
    <t>31-134600A</t>
  </si>
  <si>
    <t>SUB CD - Estanque / END (Radiografs., Tintas Penetrant.) (A)</t>
  </si>
  <si>
    <t>31-134600G</t>
  </si>
  <si>
    <t>SUB CD - Estanque / END (Radiografs., Tintas Penetrant.) (G)</t>
  </si>
  <si>
    <t>31-136600A</t>
  </si>
  <si>
    <t>SUB CD - Estanque / Prueba Hidraulica (Estanqueidad) (A)</t>
  </si>
  <si>
    <t>31-136600G</t>
  </si>
  <si>
    <t>SUB CD - Estanque / Prueba Hidraulica (Estanqueidad) (G)</t>
  </si>
  <si>
    <t>31-139900A</t>
  </si>
  <si>
    <t>SUB CD - Estanque / Otros Subcontratos (A)</t>
  </si>
  <si>
    <t>31-139900G</t>
  </si>
  <si>
    <t>SUB CD - Estanque / Otros Subcontratos (G)</t>
  </si>
  <si>
    <t>31-146900A</t>
  </si>
  <si>
    <t>SUB CD - Ingeniería / Ingeniería (A)</t>
  </si>
  <si>
    <t>31-146900G</t>
  </si>
  <si>
    <t>SUB CD - Ingeniería / Ingeniería (G)</t>
  </si>
  <si>
    <t>31-147000A</t>
  </si>
  <si>
    <t>SUB CD - Ingeniería / Ingeniería P&amp;A (A)</t>
  </si>
  <si>
    <t>31-147000G</t>
  </si>
  <si>
    <t>SUB CD - Ingeniería / Ingeniería P&amp;A (G)</t>
  </si>
  <si>
    <t>31-990800A</t>
  </si>
  <si>
    <t>SUB CD - Otras especialidades / Montaje Transformador (A)</t>
  </si>
  <si>
    <t>31-990800G</t>
  </si>
  <si>
    <t>SUB CD - Otras especialidades / Montaje Transformador (G)</t>
  </si>
  <si>
    <t>31-997100A</t>
  </si>
  <si>
    <t>SUB CD - Otras especialidades / Touch-UP (A)</t>
  </si>
  <si>
    <t>31-997100G</t>
  </si>
  <si>
    <t>SUB CD - Otras especialidades / Touch-UP (G)</t>
  </si>
  <si>
    <t>31-997200A</t>
  </si>
  <si>
    <t>SUB CD - Otras especialidades / HVAC (A)</t>
  </si>
  <si>
    <t>31-997200G</t>
  </si>
  <si>
    <t>SUB CD - Otras especialidades / HVAC (G)</t>
  </si>
  <si>
    <t>31-997300A</t>
  </si>
  <si>
    <t>SUB CD - Otras especialidades / Equipo Mtje Megalift (A)</t>
  </si>
  <si>
    <t>31-997300G</t>
  </si>
  <si>
    <t>SUB CD - Otras especialidades / Equipo Mtje Megalift (G)</t>
  </si>
  <si>
    <t>31-997500A</t>
  </si>
  <si>
    <t>SUB CD - Otras especialidades / Gestión (A)</t>
  </si>
  <si>
    <t>31-997500G</t>
  </si>
  <si>
    <t>SUB CD - Otras especialidades / Gestión (G)</t>
  </si>
  <si>
    <t>31-997501A</t>
  </si>
  <si>
    <t>SUB CD - Otras especialidades / Reembolsable</t>
  </si>
  <si>
    <t>31-997501G</t>
  </si>
  <si>
    <t>31-997600A</t>
  </si>
  <si>
    <t>SUB CD - Otras especialidades / Admin. Financiera (A)</t>
  </si>
  <si>
    <t>31-997600G</t>
  </si>
  <si>
    <t>SUB CD - Otras especialidades / Admin. Financiera (G)</t>
  </si>
  <si>
    <t>41-101100A</t>
  </si>
  <si>
    <t>EQU CD - Mayor / Grúa / Propio (A)</t>
  </si>
  <si>
    <t>41-101100G</t>
  </si>
  <si>
    <t>EQU CD - Mayor / Grúa / Propio (G)</t>
  </si>
  <si>
    <t>41-101200A</t>
  </si>
  <si>
    <t>EQU CD - Mayor / Grúa / Arriendo (A)</t>
  </si>
  <si>
    <t>41-101200G</t>
  </si>
  <si>
    <t>EQU CD - Mayor / Grúa / Arriendo (G)</t>
  </si>
  <si>
    <t>41-102100A</t>
  </si>
  <si>
    <t>EQU CD - Mayor / Camión Pluma / Propio (A)</t>
  </si>
  <si>
    <t>41-102100G</t>
  </si>
  <si>
    <t>EQU CD - Mayor / Camión Pluma / Propio (G)</t>
  </si>
  <si>
    <t>41-102200A</t>
  </si>
  <si>
    <t>EQU CD - Mayor / Camión Pluma / Arriendo (A)</t>
  </si>
  <si>
    <t>41-102200G</t>
  </si>
  <si>
    <t>EQU CD - Mayor / Camión Pluma / Arriendo (G)</t>
  </si>
  <si>
    <t>41-103100A</t>
  </si>
  <si>
    <t>EQU CD - Mayor / Camión Rampla / Propio (A)</t>
  </si>
  <si>
    <t>41-103100G</t>
  </si>
  <si>
    <t>EQU CD - Mayor / Camión Rampla / Propio (G)</t>
  </si>
  <si>
    <t>41-103101A</t>
  </si>
  <si>
    <t>EQU CD - Mayor / Reembolsable</t>
  </si>
  <si>
    <t>41-103101G</t>
  </si>
  <si>
    <t>41-103200A</t>
  </si>
  <si>
    <t>EQU CD - Mayor / Camión Rampla / Arriendo (A)</t>
  </si>
  <si>
    <t>41-103200G</t>
  </si>
  <si>
    <t>EQU CD - Mayor / Camión Rampla / Arriendo (G)</t>
  </si>
  <si>
    <t>41-104100A</t>
  </si>
  <si>
    <t>EQU CD - Mayor / Movimiento De Tierras / Propio (A)</t>
  </si>
  <si>
    <t>41-104100G</t>
  </si>
  <si>
    <t>EQU CD - Mayor / Movimiento De Tierras / Propio (G)</t>
  </si>
  <si>
    <t>41-104200A</t>
  </si>
  <si>
    <t>EQU CD - Mayor / Movimiento De Tierras / Arriendo (A)</t>
  </si>
  <si>
    <t>41-104200G</t>
  </si>
  <si>
    <t>EQU CD - Mayor / Movimiento De Tierras / Arriendo (G)</t>
  </si>
  <si>
    <t>41-105100A</t>
  </si>
  <si>
    <t>EQU CD - Mayor / Generador / Propio (A)</t>
  </si>
  <si>
    <t>41-105100G</t>
  </si>
  <si>
    <t>EQU CD - Mayor / Generador / Propio (G)</t>
  </si>
  <si>
    <t>41-105200A</t>
  </si>
  <si>
    <t>EQU CD - Mayor / Generador / Arriendo (A)</t>
  </si>
  <si>
    <t>41-105200G</t>
  </si>
  <si>
    <t>EQU CD - Mayor / Generador / Arriendo (G)</t>
  </si>
  <si>
    <t>41-106100A</t>
  </si>
  <si>
    <t>EQU CD - Mayor / Compresor / Propio (A)</t>
  </si>
  <si>
    <t>41-106100G</t>
  </si>
  <si>
    <t>EQU CD - Mayor / Compresor / Propio (G)</t>
  </si>
  <si>
    <t>41-106200A</t>
  </si>
  <si>
    <t>EQU CD - Mayor / Compresor / Arriendo (A)</t>
  </si>
  <si>
    <t>41-106200G</t>
  </si>
  <si>
    <t>EQU CD - Mayor / Compresor / Arriendo (G)</t>
  </si>
  <si>
    <t>41-107100A</t>
  </si>
  <si>
    <t>EQU CD - Mayor / Plataforma Elevadora / Propio (A)</t>
  </si>
  <si>
    <t>41-107100G</t>
  </si>
  <si>
    <t>EQU CD - Mayor / Plataforma Elevadora / Propio (G)</t>
  </si>
  <si>
    <t>41-107200A</t>
  </si>
  <si>
    <t>EQU CD - Mayor / Plataforma Elevadora / Arriendo (A)</t>
  </si>
  <si>
    <t>41-107200G</t>
  </si>
  <si>
    <t>EQU CD - Mayor / Plataforma Elevadora / Arriendo (G)</t>
  </si>
  <si>
    <t>41-108100A</t>
  </si>
  <si>
    <t>EQU CD - Mayor / Monta Cargas. / Propio (A)</t>
  </si>
  <si>
    <t>41-108100G</t>
  </si>
  <si>
    <t>EQU CD - Mayor / Monta Cargas. / Propio (G)</t>
  </si>
  <si>
    <t>41-108200A</t>
  </si>
  <si>
    <t>EQU CD - Mayor / Monta Cargas. / Arriendo (A)</t>
  </si>
  <si>
    <t>41-108200G</t>
  </si>
  <si>
    <t>EQU CD - Mayor / Monta Cargas. / Arriendo (G)</t>
  </si>
  <si>
    <t>41-198100A</t>
  </si>
  <si>
    <t>EQU CD - Mayor / Gastos de mantención / Propio (A)</t>
  </si>
  <si>
    <t>41-198100G</t>
  </si>
  <si>
    <t>EQU CD - Mayor / Gastos de mantención / Propio (G)</t>
  </si>
  <si>
    <t>41-198200A</t>
  </si>
  <si>
    <t>EQU CD - Mayor / Gastos de mantención / Arriendo (A)</t>
  </si>
  <si>
    <t>41-198200G</t>
  </si>
  <si>
    <t>EQU CD - Mayor / Gastos de mantención / Arriendo (G)</t>
  </si>
  <si>
    <t>41-199100A</t>
  </si>
  <si>
    <t>EQU CD - Mayor / Otros Equipos. / Propio (A)</t>
  </si>
  <si>
    <t>41-199100G</t>
  </si>
  <si>
    <t>EQU CD - Mayor / Otros Equipos. / Propio (G)</t>
  </si>
  <si>
    <t>41-199200A</t>
  </si>
  <si>
    <t>EQU CD - Mayor / Otros Equipos. / Arriendo (A)</t>
  </si>
  <si>
    <t>41-199200G</t>
  </si>
  <si>
    <t>EQU CD - Mayor / Otros Equipos. / Arriendo (G)</t>
  </si>
  <si>
    <t>41-250100A</t>
  </si>
  <si>
    <t>EQU CD - Menor / Maquinas Soldadoras / Propio (A)</t>
  </si>
  <si>
    <t>41-250100G</t>
  </si>
  <si>
    <t>EQU CD - Menor / Maquinas Soldadoras / Propio (G)</t>
  </si>
  <si>
    <t>41-250200A</t>
  </si>
  <si>
    <t>EQU CD - Menor / Maquinas Soldadoras / Arriendo (A)</t>
  </si>
  <si>
    <t>41-250200G</t>
  </si>
  <si>
    <t>EQU CD - Menor / Maquinas Soldadoras / Arriendo (G)</t>
  </si>
  <si>
    <t>41-251100A</t>
  </si>
  <si>
    <t>EQU CD - Menor / Elementos De Izaje / Propio (A)</t>
  </si>
  <si>
    <t>41-251100G</t>
  </si>
  <si>
    <t>EQU CD - Menor / Elementos De Izaje / Propio (G)</t>
  </si>
  <si>
    <t>41-251200A</t>
  </si>
  <si>
    <t>EQU CD - Menor / Elementos De Izaje / Arriendo (A)</t>
  </si>
  <si>
    <t>41-251200G</t>
  </si>
  <si>
    <t>EQU CD - Menor / Elementos De Izaje / Arriendo (G)</t>
  </si>
  <si>
    <t>41-252100A</t>
  </si>
  <si>
    <t>EQU CD - Menor / Andamios / Propio (A)</t>
  </si>
  <si>
    <t>41-252100G</t>
  </si>
  <si>
    <t>EQU CD - Menor / Andamios / Propio (G)</t>
  </si>
  <si>
    <t>41-252200A</t>
  </si>
  <si>
    <t>EQU CD - Menor / Andamios / Arriendo (A)</t>
  </si>
  <si>
    <t>41-252200G</t>
  </si>
  <si>
    <t>EQU CD - Menor / Andamios / Arriendo (G)</t>
  </si>
  <si>
    <t>41-298100A</t>
  </si>
  <si>
    <t>EQU CD - Menor / Gastos de mantención / Propio (A)</t>
  </si>
  <si>
    <t>41-298100G</t>
  </si>
  <si>
    <t>EQU CD - Menor / Gastos de mantención / Propio (G)</t>
  </si>
  <si>
    <t>41-298200A</t>
  </si>
  <si>
    <t>EQU CD - Menor / Gastos de mantención / Arriendo (A)</t>
  </si>
  <si>
    <t>41-298200G</t>
  </si>
  <si>
    <t>EQU CD - Menor / Gastos de mantención / Arriendo (G)</t>
  </si>
  <si>
    <t>41-299100A</t>
  </si>
  <si>
    <t>EQU CD - Menor / Otros Equipos  / Propio (A)</t>
  </si>
  <si>
    <t>41-299100G</t>
  </si>
  <si>
    <t>EQU CD - Menor / Otros Equipos  / Propio (G)</t>
  </si>
  <si>
    <t>41-299200A</t>
  </si>
  <si>
    <t>EQU CD - Menor / Otros Equipos  / Arriendo (A)</t>
  </si>
  <si>
    <t>41-299200G</t>
  </si>
  <si>
    <t>EQU CD - Menor / Otros Equipos  / Arriendo (G)</t>
  </si>
  <si>
    <t>41-396100A</t>
  </si>
  <si>
    <t>EQU CD - Combustibles / Bencina / Bencina (A)</t>
  </si>
  <si>
    <t>41-396100G</t>
  </si>
  <si>
    <t>EQU CD - Combustibles / Bencina / Bencina (G)</t>
  </si>
  <si>
    <t>41-397100A</t>
  </si>
  <si>
    <t>EQU CD - Combustibles / Petroleo / Petroleo (A)</t>
  </si>
  <si>
    <t>41-397100G</t>
  </si>
  <si>
    <t>EQU CD - Combustibles / Petroleo / Petroleo (G)</t>
  </si>
  <si>
    <t>41-397101A</t>
  </si>
  <si>
    <t>EQU CD - Combustibles / Reembolsable</t>
  </si>
  <si>
    <t>41-397101G</t>
  </si>
  <si>
    <t>41-495100A</t>
  </si>
  <si>
    <t>EQU CD - Fletes / Fletes / Fletes (A)</t>
  </si>
  <si>
    <t>41-495100G</t>
  </si>
  <si>
    <t>EQU CD - Fletes / Fletes / Fletes (G)</t>
  </si>
  <si>
    <t>41-594100A</t>
  </si>
  <si>
    <t>EQU CD - Certific. de Equipos / Certificación / Todos (A)</t>
  </si>
  <si>
    <t>41-594100G</t>
  </si>
  <si>
    <t>EQU CD - Certific. de Equipos / Certificación / Todos (G)</t>
  </si>
  <si>
    <t>42-253100A</t>
  </si>
  <si>
    <t>EQU CI - Menor / Equipo topográfico / Propio (A)</t>
  </si>
  <si>
    <t>42-253100G</t>
  </si>
  <si>
    <t>EQU CI - Menor / Equipo topográfico / Propio (G)</t>
  </si>
  <si>
    <t>42-253200A</t>
  </si>
  <si>
    <t>EQU CI - Menor / Equipo topográfico / Arriendo (A)</t>
  </si>
  <si>
    <t>42-253200G</t>
  </si>
  <si>
    <t>EQU CI - Menor / Equipo topográfico / Arriendo (G)</t>
  </si>
  <si>
    <t>42-254100A</t>
  </si>
  <si>
    <t>EQU CI - Menor / Camioneta / Propio (A)</t>
  </si>
  <si>
    <t>42-254100G</t>
  </si>
  <si>
    <t>EQU CI - Menor / Camioneta / Propio (G)(MANTENCION)</t>
  </si>
  <si>
    <t>42-254102G</t>
  </si>
  <si>
    <t>EQU CI - Menor / Camioneta / Depreciacion</t>
  </si>
  <si>
    <t>42-254200A</t>
  </si>
  <si>
    <t>EQU CI - Menor / Camioneta / Arriendo (A)</t>
  </si>
  <si>
    <t>42-254200G</t>
  </si>
  <si>
    <t>EQU CI - Menor / Camioneta / Arriendo (G)</t>
  </si>
  <si>
    <t>42-255100A</t>
  </si>
  <si>
    <t>EQU CI - Menor / Buses y VAN / Propio (A)</t>
  </si>
  <si>
    <t>42-255100G</t>
  </si>
  <si>
    <t>EQU CI - Menor / Buses y VAN / Propio (G)</t>
  </si>
  <si>
    <t>EQU CI - Menor / Buses y VAN / Propio (G) / DEP MAQ</t>
  </si>
  <si>
    <t>EQU CI - Menor / Buses y VAN / Propio (G) / DEP MAQ LEASING</t>
  </si>
  <si>
    <t>42-255200A</t>
  </si>
  <si>
    <t>EQU CI - Menor / Buses y VAN / Arriendo (A)</t>
  </si>
  <si>
    <t>42-255200G</t>
  </si>
  <si>
    <t>EQU CI - Menor / Buses y VAN / Arriendo (G)</t>
  </si>
  <si>
    <t>42-256100A</t>
  </si>
  <si>
    <t>EQU CI - Menor / Ambulancia / Propio (A)</t>
  </si>
  <si>
    <t>42-256100G</t>
  </si>
  <si>
    <t>EQU CI - Menor / Ambulancia / Propio (G)</t>
  </si>
  <si>
    <t>42-256200A</t>
  </si>
  <si>
    <t>EQU CI - Menor / Ambulancia / Arriendo (A)</t>
  </si>
  <si>
    <t>42-256200G</t>
  </si>
  <si>
    <t>EQU CI - Menor / Ambulancia / Arriendo (G)</t>
  </si>
  <si>
    <t>42-299100A</t>
  </si>
  <si>
    <t>EQU CI - Menor / Otros Equipos / Propio (A)</t>
  </si>
  <si>
    <t>42-299100G</t>
  </si>
  <si>
    <t>EQU CI - Menor / Otros Equipos / Propio (G)</t>
  </si>
  <si>
    <t>42-299200A</t>
  </si>
  <si>
    <t>EQU CI - Menor / Otros Equipos / Arriendo (A)</t>
  </si>
  <si>
    <t>42-299200G</t>
  </si>
  <si>
    <t>EQU CI - Menor / Otros Equipos / Arriendo (G)</t>
  </si>
  <si>
    <t>42-299301A</t>
  </si>
  <si>
    <t>EQU CI - Menor / Otros Equipos / Reembolsable</t>
  </si>
  <si>
    <t>42-299301G</t>
  </si>
  <si>
    <t>42-393100A</t>
  </si>
  <si>
    <t>EQU CI - Combustibles / Gas / Gas (A)</t>
  </si>
  <si>
    <t>42-393100G</t>
  </si>
  <si>
    <t>EQU CI - Combustibles / Gas / Gas (G)</t>
  </si>
  <si>
    <t>42-396100A</t>
  </si>
  <si>
    <t>EQU CI - Combustibles / Bencina / Bencina (A)</t>
  </si>
  <si>
    <t>42-396100G</t>
  </si>
  <si>
    <t>EQU CI - Combustibles / Bencina / Bencina (G)</t>
  </si>
  <si>
    <t>42-396101A</t>
  </si>
  <si>
    <t>EQU CI - Combustibles / Bencina / Reembolsable</t>
  </si>
  <si>
    <t>42-396101G</t>
  </si>
  <si>
    <t>42-397100A</t>
  </si>
  <si>
    <t>EQU CI - Combustibles / Petroleo / Petroleo (A)</t>
  </si>
  <si>
    <t>42-397100G</t>
  </si>
  <si>
    <t>EQU CI - Combustibles / Petroleo / Petroleo (G)</t>
  </si>
  <si>
    <t>42-401107G</t>
  </si>
  <si>
    <t>51-010100A</t>
  </si>
  <si>
    <t>PHH CD - Seguridad / Seguridad (A)</t>
  </si>
  <si>
    <t>51-010100G</t>
  </si>
  <si>
    <t>PHH CD - Seguridad / Seguridad (G)</t>
  </si>
  <si>
    <t>51-010101A</t>
  </si>
  <si>
    <t>PHH CD - Seguridad /Reembolsable</t>
  </si>
  <si>
    <t>51-010101G</t>
  </si>
  <si>
    <t>51-020100A</t>
  </si>
  <si>
    <t>PHH CD - Materiales de Consumo / Materiales de Consumo (A)</t>
  </si>
  <si>
    <t>51-020100G</t>
  </si>
  <si>
    <t>PHH CD - Materiales de Consumo / Materiales de Consumo (G)</t>
  </si>
  <si>
    <t>51-020101A</t>
  </si>
  <si>
    <t>PHH CD - Materiales de Consumo / Reembolsable</t>
  </si>
  <si>
    <t>51-020101G</t>
  </si>
  <si>
    <t>51-030100A</t>
  </si>
  <si>
    <t>PHH CD - Herramienta Menor / Herramienta Menor (A)</t>
  </si>
  <si>
    <t>51-030100G</t>
  </si>
  <si>
    <t>PHH CD - Herramienta Menor / Herramienta Menor (G)</t>
  </si>
  <si>
    <t>51-030101A</t>
  </si>
  <si>
    <t>PHH CD - Herramienta Menor / Reembolsable</t>
  </si>
  <si>
    <t>51-030101G</t>
  </si>
  <si>
    <t>PHH CD - Movilización / Movilización (A)</t>
  </si>
  <si>
    <t>51-040100G</t>
  </si>
  <si>
    <t>PHH CD - Movilización / Movilización (G)</t>
  </si>
  <si>
    <t>51-040101A</t>
  </si>
  <si>
    <t>PHH CD - Movilización / Reembolsable</t>
  </si>
  <si>
    <t>51-040101G</t>
  </si>
  <si>
    <t>51-040200A</t>
  </si>
  <si>
    <t>PHH CD - Movilización / Movilización Interna (A)</t>
  </si>
  <si>
    <t>51-040200G</t>
  </si>
  <si>
    <t>PHH CD - Movilización / Movilización Interna (G)</t>
  </si>
  <si>
    <t>51-050100G</t>
  </si>
  <si>
    <t>PHH CD - Alimentación / Alimentación (G)</t>
  </si>
  <si>
    <t>51-050101A</t>
  </si>
  <si>
    <t>PHH CD - Alimentación / Reembolsable</t>
  </si>
  <si>
    <t>51-050101G</t>
  </si>
  <si>
    <t>51-060100A</t>
  </si>
  <si>
    <t>PHH CD - Art. Oficina / Art. Oficina (A)</t>
  </si>
  <si>
    <t>51-060100G</t>
  </si>
  <si>
    <t>PHH CD - Art. Oficina / Art. Oficina (G)</t>
  </si>
  <si>
    <t>51-060101A</t>
  </si>
  <si>
    <t>PHH CD - Art. Oficina / Reembolsable</t>
  </si>
  <si>
    <t>51-060101G</t>
  </si>
  <si>
    <t>51-070100A</t>
  </si>
  <si>
    <t>51-070100G</t>
  </si>
  <si>
    <t>51-080100A</t>
  </si>
  <si>
    <t>PHH CD - Pensión y Alojamiento / Pensión y Alojamiento (A)</t>
  </si>
  <si>
    <t>51-080100G</t>
  </si>
  <si>
    <t>PHH CD - Pensión y Alojamiento / Pensión y Alojamiento (G)</t>
  </si>
  <si>
    <t>62-010100A</t>
  </si>
  <si>
    <t>62-010301A</t>
  </si>
  <si>
    <t>62-010301G</t>
  </si>
  <si>
    <t>62-020100A</t>
  </si>
  <si>
    <t>IFA CI - Permisos De Construcción / Todos (A)</t>
  </si>
  <si>
    <t>62-020100G</t>
  </si>
  <si>
    <t>62-030100G</t>
  </si>
  <si>
    <t>IFA CI - Materiales / Todos (G)</t>
  </si>
  <si>
    <t>62-040100A</t>
  </si>
  <si>
    <t>IFA CI - Mobiliario / Todos (A)</t>
  </si>
  <si>
    <t>62-040100G</t>
  </si>
  <si>
    <t>IFA CI - Mobiliario / Todos (G)</t>
  </si>
  <si>
    <t>62-050100A</t>
  </si>
  <si>
    <t>IFA CI - Baños Químicos / Todos (A)</t>
  </si>
  <si>
    <t>62-050100G</t>
  </si>
  <si>
    <t>IFA CI - Baños Químicos / Todos (G)</t>
  </si>
  <si>
    <t>62-060100A</t>
  </si>
  <si>
    <t>IFA CI - Energía Eléctrica - Generadores / Todos (A)</t>
  </si>
  <si>
    <t>62-060100G</t>
  </si>
  <si>
    <t>IFA CI - Energía Eléctrica - Generadores / Todos (G)</t>
  </si>
  <si>
    <t>62-070100A</t>
  </si>
  <si>
    <t>IFA CI - Containers / Todos (A)</t>
  </si>
  <si>
    <t>62-070100G</t>
  </si>
  <si>
    <t>IFA CI - Containers / Todos (G)</t>
  </si>
  <si>
    <t>62-080100A</t>
  </si>
  <si>
    <t>IFA CI - Servicios / Servicios (A)</t>
  </si>
  <si>
    <t>62-080100G</t>
  </si>
  <si>
    <t>IFA CI - Servicios / Servicios (G)</t>
  </si>
  <si>
    <t>62-080200A</t>
  </si>
  <si>
    <t>IFA CI - Servicios / Suministro Agua Potable (A)</t>
  </si>
  <si>
    <t>62-080200G</t>
  </si>
  <si>
    <t>IFA CI - Servicios / Suministro Agua Potable (G)</t>
  </si>
  <si>
    <t>62-090100A</t>
  </si>
  <si>
    <t>IFA CI - Tableros Eléctricos / Todos (A)</t>
  </si>
  <si>
    <t>62-090100G</t>
  </si>
  <si>
    <t>IFA CI - Tableros Eléctricos / Todos (G)</t>
  </si>
  <si>
    <t>62-100100A</t>
  </si>
  <si>
    <t>IFA CI - Letreros y Señaléticas / Todos (A)</t>
  </si>
  <si>
    <t>62-100100G</t>
  </si>
  <si>
    <t>IFA CI - Letreros y Señaléticas / Todos (G)</t>
  </si>
  <si>
    <t>62-110100A</t>
  </si>
  <si>
    <t>IFA CI - Fletes / Todos (A)</t>
  </si>
  <si>
    <t>62-110100G</t>
  </si>
  <si>
    <t>IFA CI - Fletes / Todos (G)</t>
  </si>
  <si>
    <t>62-120100A</t>
  </si>
  <si>
    <t>IFA CI - Combustibles / Petroleo (A)</t>
  </si>
  <si>
    <t>62-120100G</t>
  </si>
  <si>
    <t>IFA CI - Combustibles / Petroleo (G)</t>
  </si>
  <si>
    <t>62-120200A</t>
  </si>
  <si>
    <t>IFA CI - Combustibles / Bencina (A)</t>
  </si>
  <si>
    <t>62-120200G</t>
  </si>
  <si>
    <t>IFA CI - Combustibles / Bencina (G)</t>
  </si>
  <si>
    <t>72-010101G</t>
  </si>
  <si>
    <t>72-010515G</t>
  </si>
  <si>
    <t>72-010702G</t>
  </si>
  <si>
    <t>72-010705G</t>
  </si>
  <si>
    <t>72-020103G</t>
  </si>
  <si>
    <t>72-020104G</t>
  </si>
  <si>
    <t>72-020105G</t>
  </si>
  <si>
    <t>72-101010A</t>
  </si>
  <si>
    <t>GAS CI - De obra / Telecomunic. / Telefonía fija (A)</t>
  </si>
  <si>
    <t>72-101010G</t>
  </si>
  <si>
    <t>GAS CI - De obra / Telecomunic. / Telefonía fija (G)</t>
  </si>
  <si>
    <t>72-101020A</t>
  </si>
  <si>
    <t>GAS CI - De obra / Telecomunic. / Telefonía celular (A)</t>
  </si>
  <si>
    <t>72-101020G</t>
  </si>
  <si>
    <t>GAS CI - De obra / Telecomunic. / Telefonía celular (G)</t>
  </si>
  <si>
    <t>72-101030G</t>
  </si>
  <si>
    <t>GAS CI - De obra / Telecomunic. / Enlaces internet (G)</t>
  </si>
  <si>
    <t>72-101040A</t>
  </si>
  <si>
    <t>GAS CI - De obra / Telecomunic. / Equipos de Radio (A)</t>
  </si>
  <si>
    <t>72-101040G</t>
  </si>
  <si>
    <t>GAS CI - De obra / Telecomunic. / Equipos de Radio (G)</t>
  </si>
  <si>
    <t>72-102010G</t>
  </si>
  <si>
    <t>GAS CI - De obra / Computación / Computadores (G)</t>
  </si>
  <si>
    <t>72-102020A</t>
  </si>
  <si>
    <t>GAS CI - De obra / Computación / Impresoras y plott (A)</t>
  </si>
  <si>
    <t>72-102020G</t>
  </si>
  <si>
    <t>GAS CI - De obra / Computación / Impresoras y plott (G)</t>
  </si>
  <si>
    <t>72-102030A</t>
  </si>
  <si>
    <t>GAS CI - De obra / Computación / Servidores y redes (A)</t>
  </si>
  <si>
    <t>72-102030G</t>
  </si>
  <si>
    <t>GAS CI - De obra / Computación / Servidores y redes (G)</t>
  </si>
  <si>
    <t>72-102040A</t>
  </si>
  <si>
    <t>GAS CI - De obra / Computación / Software estándar -Office (</t>
  </si>
  <si>
    <t>72-102040G</t>
  </si>
  <si>
    <t>72-102050A</t>
  </si>
  <si>
    <t>GAS CI - De obra / Computación / Software técnico (A)</t>
  </si>
  <si>
    <t>72-102050G</t>
  </si>
  <si>
    <t>GAS CI - De obra / Computación / Software técnico (G)</t>
  </si>
  <si>
    <t>72-103010A</t>
  </si>
  <si>
    <t>GAS CI - De obra / Gastos Ofici. / Fotoc. Planos y Especifi.</t>
  </si>
  <si>
    <t>72-103010G</t>
  </si>
  <si>
    <t>72-103020A</t>
  </si>
  <si>
    <t>GAS CI - De obra / Gastos Ofici. / Café. y Agua Potab. (A)</t>
  </si>
  <si>
    <t>72-103020G</t>
  </si>
  <si>
    <t>GAS CI - De obra / Gastos Ofici. / Café. y Agua Potab. (G)</t>
  </si>
  <si>
    <t>72-103030A</t>
  </si>
  <si>
    <t>GAS CI - De obra / Gastos Ofici. / Mant. y Aseo (A)</t>
  </si>
  <si>
    <t>72-103030G</t>
  </si>
  <si>
    <t>GAS CI - De obra / Gastos Ofici. / Mant. y Aseo (G)</t>
  </si>
  <si>
    <t>72-103990A</t>
  </si>
  <si>
    <t>GAS CI - De obra / Gastos Ofici. / Otros (A)</t>
  </si>
  <si>
    <t>72-103990G</t>
  </si>
  <si>
    <t>GAS CI - De obra / Gastos Ofici. / Otros (G)</t>
  </si>
  <si>
    <t>72-104010A</t>
  </si>
  <si>
    <t>GAS CI - De obra / Elemento seguridad Indirectos / Todos (A)</t>
  </si>
  <si>
    <t>72-104010G</t>
  </si>
  <si>
    <t>GAS CI - De obra / Elemento seguridad Indirectos / Todos (G)</t>
  </si>
  <si>
    <t>72-105010A</t>
  </si>
  <si>
    <t>GAS CI - De obra / Gastos contratación / Todos (A)</t>
  </si>
  <si>
    <t>72-105010G</t>
  </si>
  <si>
    <t>GAS CI - De obra / Gastos contratación / Todos (G)</t>
  </si>
  <si>
    <t>72-105600G</t>
  </si>
  <si>
    <t>CD / Gastos por Caja Chica (G)</t>
  </si>
  <si>
    <t>72-106010A</t>
  </si>
  <si>
    <t>GAS CI - De obra / Calific. Soldadores y Procs. / Todos (A)</t>
  </si>
  <si>
    <t>72-106010G</t>
  </si>
  <si>
    <t>GAS CI - De obra / Fletes generales de Obra / Todos (A)</t>
  </si>
  <si>
    <t>72-107010G</t>
  </si>
  <si>
    <t>GAS CI - De obra / Fletes generales de Obra / Todos (G)</t>
  </si>
  <si>
    <t>72-108010A</t>
  </si>
  <si>
    <t>GAS CI - De obra / Alimentación M. de Obra Indir. / Todos (A</t>
  </si>
  <si>
    <t>72-108010G</t>
  </si>
  <si>
    <t>GAS CI - De obra / Alimentación M. de Obra Indir. / Todos (G</t>
  </si>
  <si>
    <t>72-109010A</t>
  </si>
  <si>
    <t>GAS CI - De obra / Vigilancia / Todos (A)</t>
  </si>
  <si>
    <t>72-109010G</t>
  </si>
  <si>
    <t>GAS CI - De obra / Vigilancia / Todos (G)</t>
  </si>
  <si>
    <t>72-110010A</t>
  </si>
  <si>
    <t>GAS CI - De obra / Visitas / Todos (A)</t>
  </si>
  <si>
    <t>72-110010G</t>
  </si>
  <si>
    <t>GAS CI - De obra / Visitas / Todos (G)</t>
  </si>
  <si>
    <t>72-111010A</t>
  </si>
  <si>
    <t>GAS CI - De obra / Estacionamientos y peajes / Todos (A)</t>
  </si>
  <si>
    <t>72-111010G</t>
  </si>
  <si>
    <t>GAS CI - De obra / Estacionamientos y peajes / Todos (G)</t>
  </si>
  <si>
    <t>72-112010A</t>
  </si>
  <si>
    <t>GAS CI - De obra / De Representación / Todos (A)</t>
  </si>
  <si>
    <t>72-112010G</t>
  </si>
  <si>
    <t>GAS CI - De obra / De Representación / Todos (G)</t>
  </si>
  <si>
    <t>72-199010A</t>
  </si>
  <si>
    <t>GAS CI - De obra / Otros gastos generales / Todos (A)</t>
  </si>
  <si>
    <t>72-199010G</t>
  </si>
  <si>
    <t>GAS CI - De obra / Otros gastos generales / Todos (G)</t>
  </si>
  <si>
    <t>72-201011A</t>
  </si>
  <si>
    <t>72-203010G</t>
  </si>
  <si>
    <t>72-304018G</t>
  </si>
  <si>
    <t>72-403099G</t>
  </si>
  <si>
    <t>72-601010g</t>
  </si>
  <si>
    <t>72-601011G</t>
  </si>
  <si>
    <t>72-602010G</t>
  </si>
  <si>
    <t>72-607070A</t>
  </si>
  <si>
    <t>72-607070G</t>
  </si>
  <si>
    <t>Gastos - Proyectos / Comisiones Pagadas a bancos (G)</t>
  </si>
  <si>
    <t>72-901097G</t>
  </si>
  <si>
    <t>72-999999G</t>
  </si>
  <si>
    <t>FACTURAS DIRECTO A GASTO</t>
  </si>
  <si>
    <t>72-A01010A</t>
  </si>
  <si>
    <t>72-A01010G</t>
  </si>
  <si>
    <t>GAS CI - Of. Central / Gastos Financieros / Todos (G)</t>
  </si>
  <si>
    <t>72-A01110G</t>
  </si>
  <si>
    <t>GAS CI - Of. Central / Gastos Financieros / Factoring (G)</t>
  </si>
  <si>
    <t>72-A02010A</t>
  </si>
  <si>
    <t>72-A02010G</t>
  </si>
  <si>
    <t>GAS CI - Of. Central / Boleta Garantia / Todos (G)</t>
  </si>
  <si>
    <t>72-A03010A</t>
  </si>
  <si>
    <t>GAS CI - Of. Central / Gastos por Seguros / Todos (A)</t>
  </si>
  <si>
    <t>72-A03010G</t>
  </si>
  <si>
    <t>GAS CI - Of. Central / Gastos por Seguros / Todos (G)</t>
  </si>
  <si>
    <t>72-A04010A</t>
  </si>
  <si>
    <t>GAS CI - Of. Central / Oficina Central / Todos (A)</t>
  </si>
  <si>
    <t>72-A04010G</t>
  </si>
  <si>
    <t>GAS CI - Of. Central / Oficina Central / Todos (G)</t>
  </si>
  <si>
    <t>72-A05010A</t>
  </si>
  <si>
    <t>GAS CI - Of. Central / Imprevistos / Todos (A)</t>
  </si>
  <si>
    <t>72-A05010G</t>
  </si>
  <si>
    <t>GAS CI - Of. Central / Imprevistos / Todos (G)</t>
  </si>
  <si>
    <t>72-A06010A</t>
  </si>
  <si>
    <t>GAS CI - Of. Central / Utilidades / Todos (A)</t>
  </si>
  <si>
    <t>72-A06010G</t>
  </si>
  <si>
    <t>GAS CI - Of. Central / Utilidades / Todos (G)</t>
  </si>
  <si>
    <t>72-A08010G</t>
  </si>
  <si>
    <t>72-A09010G</t>
  </si>
  <si>
    <t>GAS CI - Of. Central / Asesorias Honorarios / Todos (G)</t>
  </si>
  <si>
    <t>72-A09020G</t>
  </si>
  <si>
    <t>GAS CI - Of. Central / GG Rechazados/ Todos (G)</t>
  </si>
  <si>
    <t>GAS CI - Of. Central / Ingresos por Reajuste / Todos (G)</t>
  </si>
  <si>
    <t>72-B01010G</t>
  </si>
  <si>
    <t>GAS CI - Bodega / Cobros de Bodega / Todos (G)</t>
  </si>
  <si>
    <t>72-C02010G</t>
  </si>
  <si>
    <t>ING EDP - Partida-Ppt  (C)</t>
  </si>
  <si>
    <t>ING EDP - Partida-Gastos Generales  (C)</t>
  </si>
  <si>
    <t>ING EDP - Partida-Retención  (C)</t>
  </si>
  <si>
    <t>ING EDP - Partida-Utilidad  (C)</t>
  </si>
  <si>
    <t>ING EDP - Partida- Adicional  (C)</t>
  </si>
  <si>
    <t>ING EDP - Partida-Otros  (C)</t>
  </si>
  <si>
    <t>ING EDP - Partida-Retención UF (C)</t>
  </si>
  <si>
    <t>AA-799999G</t>
  </si>
  <si>
    <t>Imputación directo a gastos RESOLUCION 61</t>
  </si>
  <si>
    <t>10-0000-000G</t>
  </si>
  <si>
    <t>Proyecto</t>
  </si>
  <si>
    <t>Categoría</t>
  </si>
  <si>
    <t>Fecha Avance</t>
  </si>
  <si>
    <t>Id. de revisión</t>
  </si>
  <si>
    <t>Produccion acumulada</t>
  </si>
  <si>
    <t>Reajuste Producción</t>
  </si>
  <si>
    <t>Proyección Produccion</t>
  </si>
  <si>
    <t>Costos Cambio Categoría</t>
  </si>
  <si>
    <t>Costo Provisiones</t>
  </si>
  <si>
    <t>Costos Proyección</t>
  </si>
  <si>
    <t>Suma</t>
  </si>
  <si>
    <t>Costos AX</t>
  </si>
  <si>
    <t>Inventario</t>
  </si>
  <si>
    <t>Pedidos no Rec</t>
  </si>
  <si>
    <t>72-201010A</t>
  </si>
  <si>
    <t>72-201010G</t>
  </si>
  <si>
    <t>72-202010A</t>
  </si>
  <si>
    <t>72-202010G</t>
  </si>
  <si>
    <t>72-203010A</t>
  </si>
  <si>
    <r>
      <rPr>
        <b/>
        <sz val="16"/>
        <color rgb="FF000000"/>
        <rFont val="Arial"/>
        <family val="2"/>
      </rPr>
      <t xml:space="preserve">MATRIZ DE PROYECCIONES
</t>
    </r>
    <r>
      <rPr>
        <sz val="12"/>
        <color rgb="FF000000"/>
        <rFont val="Arial"/>
        <family val="2"/>
      </rPr>
      <t xml:space="preserve">Proyecto: </t>
    </r>
    <r>
      <rPr>
        <b/>
        <sz val="12"/>
        <color rgb="FF000000"/>
        <rFont val="Arial"/>
        <family val="2"/>
      </rPr>
      <t xml:space="preserve">0357
</t>
    </r>
    <r>
      <rPr>
        <sz val="12"/>
        <color rgb="FF000000"/>
        <rFont val="Arial"/>
        <family val="2"/>
      </rPr>
      <t xml:space="preserve">Desde </t>
    </r>
    <r>
      <rPr>
        <b/>
        <sz val="12"/>
        <color rgb="FF000000"/>
        <rFont val="Arial"/>
        <family val="2"/>
      </rPr>
      <t>01-01-2010</t>
    </r>
    <r>
      <rPr>
        <sz val="12"/>
        <color rgb="FF000000"/>
        <rFont val="Arial"/>
        <family val="2"/>
      </rPr>
      <t xml:space="preserve"> hasta </t>
    </r>
    <r>
      <rPr>
        <b/>
        <sz val="12"/>
        <color rgb="FF000000"/>
        <rFont val="Arial"/>
        <family val="2"/>
      </rPr>
      <t>31-08-2019</t>
    </r>
  </si>
  <si>
    <t>GRUPO / SUBGRUPO / CATEGORIA</t>
  </si>
  <si>
    <t>PRESU-PUESTO</t>
  </si>
  <si>
    <t>PRODUCCION ACTUAL</t>
  </si>
  <si>
    <r>
      <rPr>
        <b/>
        <sz val="10"/>
        <color rgb="FF000000"/>
        <rFont val="Arial Narrow"/>
        <family val="2"/>
      </rPr>
      <t xml:space="preserve">TOTAL
</t>
    </r>
  </si>
  <si>
    <r>
      <rPr>
        <sz val="10"/>
        <color rgb="FF000000"/>
        <rFont val="Arial Narrow"/>
        <family val="2"/>
      </rPr>
      <t xml:space="preserve">Costos en Inventario
</t>
    </r>
    <r>
      <rPr>
        <sz val="10"/>
        <color rgb="FF000000"/>
        <rFont val="Arial Narrow"/>
        <family val="2"/>
      </rPr>
      <t>(AX)</t>
    </r>
  </si>
  <si>
    <r>
      <rPr>
        <sz val="10"/>
        <color rgb="FF000000"/>
        <rFont val="Arial Narrow"/>
        <family val="2"/>
      </rPr>
      <t xml:space="preserve">Costos en Pedidos no Recibidos
</t>
    </r>
    <r>
      <rPr>
        <sz val="10"/>
        <color rgb="FF000000"/>
        <rFont val="Arial Narrow"/>
        <family val="2"/>
      </rPr>
      <t>(AX)</t>
    </r>
  </si>
  <si>
    <r>
      <rPr>
        <sz val="10"/>
        <color rgb="FF000000"/>
        <rFont val="Arial Narrow"/>
        <family val="2"/>
      </rPr>
      <t xml:space="preserve">Costos por Incurrir
</t>
    </r>
    <r>
      <rPr>
        <sz val="10"/>
        <color rgb="FF000000"/>
        <rFont val="Arial Narrow"/>
        <family val="2"/>
      </rPr>
      <t>Informados</t>
    </r>
  </si>
  <si>
    <r>
      <rPr>
        <b/>
        <sz val="10"/>
        <color rgb="FF000000"/>
        <rFont val="Arial Narrow"/>
        <family val="2"/>
      </rPr>
      <t xml:space="preserve">PRODUCCION
</t>
    </r>
  </si>
  <si>
    <t>RESULTADO</t>
  </si>
  <si>
    <t>CATEGORIAS SIN PPTO</t>
  </si>
  <si>
    <t xml:space="preserve"> - 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</si>
  <si>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 xml:space="preserve"> - 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</si>
  <si>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0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Categoría NULA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</si>
  <si>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Andamios / Andamios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</si>
  <si>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CD / Gastos por Caja Chica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</si>
  <si>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AA-799999G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Imputación directo a gastos RESOLUCION 61</t>
    </r>
  </si>
  <si>
    <t>COSTO DIRECTO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</si>
  <si>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Movimiento de tierra (G) 31010201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</si>
  <si>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Hormigón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</si>
  <si>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Moldaje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</si>
  <si>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Enfierradura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</si>
  <si>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Otros (G)</t>
    </r>
  </si>
  <si>
    <t>03 - Mecanica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</si>
  <si>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11-030800G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Mecánica / Montajes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</si>
  <si>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11-040800G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Cañería / Montajes (G)</t>
    </r>
  </si>
  <si>
    <t>05 - Electricidad &amp; Instrumentacion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</si>
  <si>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11-050800G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Electricidad / Montajes (G)</t>
    </r>
  </si>
  <si>
    <t>10 - Arquitectura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</si>
  <si>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11-010500G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Arquitectura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</si>
  <si>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21-010201A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Hormigón / Hormigón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</si>
  <si>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21-010201G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Hormigón / Hormigón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</si>
  <si>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21-010301A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Moldaje / Moldajes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</si>
  <si>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21-010301G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Moldaje / Moldajes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</si>
  <si>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Enfierradura / Varios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</si>
  <si>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Enfierradura / Varios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</si>
  <si>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21-010501A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Arquitectura / Suministro Mat. Arq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</si>
  <si>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21-010501G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Arquitectura / Suministro Mat. Arq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</si>
  <si>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21-011101A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Pernos e Insertos / Pernos e Insertos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</si>
  <si>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21-011101G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Pernos e Insertos / Pernos e Insertos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</si>
  <si>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Otros / Materiales varios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</si>
  <si>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Otros / Materiales varios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</si>
  <si>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21-031401A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Soldadura y Gases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</si>
  <si>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21-031401G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Soldadura y Gases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</si>
  <si>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</si>
  <si>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Materiales varios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</si>
  <si>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21-041401A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Soldadura y Gases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</si>
  <si>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21-041401G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Soldadura y Gases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</si>
  <si>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21-042001A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Sumini. Cañería Fitt. y Válvs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</si>
  <si>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21-042001G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Sumini. Cañería Fitt. y Válvs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</si>
  <si>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</si>
  <si>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Materiales varios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</si>
  <si>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21-051801A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Soportes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</si>
  <si>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21-051801G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Soportes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</si>
  <si>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21-052101A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Suministro de Cables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</si>
  <si>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21-052101G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Suministro de Cables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</si>
  <si>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</si>
  <si>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Materiales varios / Todos (G)</t>
    </r>
  </si>
  <si>
    <t>01 - Movilización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</si>
  <si>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51-040100A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Movilización / Movilización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</si>
  <si>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Movilización / Movilización (G)</t>
    </r>
  </si>
  <si>
    <t>02 - Alimentacion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</si>
  <si>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51-050100A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Alimentación / Alimentación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</si>
  <si>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51-050100G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Alimentación / Alimentación (G)</t>
    </r>
  </si>
  <si>
    <t>03 - Cursos y Examenes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</si>
  <si>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contratación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</si>
  <si>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contratación / Todos (G)</t>
    </r>
  </si>
  <si>
    <t>04 - Elem. de Seguridad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</si>
  <si>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51-010100A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Seguridad / Seguridad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</si>
  <si>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Seguridad / Seguridad (G)</t>
    </r>
  </si>
  <si>
    <t>05 - Mat. de Consumo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</si>
  <si>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51-020100A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Materiales de Consumo / Materiales de Consumo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</si>
  <si>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Materiales de Consumo / Materiales de Consumo (G)</t>
    </r>
  </si>
  <si>
    <t>06 - Herramienta Menor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</si>
  <si>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51-030100A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Herramienta Menor / Herramienta Menor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</si>
  <si>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Herramienta Menor / Herramienta Menor (G)</t>
    </r>
  </si>
  <si>
    <t>01 - Equipo Mayor-Grúas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</si>
  <si>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41-101200A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Grúa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</si>
  <si>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41-101200G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Grúa / Arriendo (G)</t>
    </r>
  </si>
  <si>
    <t>02 - Equipo Mayor-Otros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</si>
  <si>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</si>
  <si>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</si>
  <si>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</si>
  <si>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41-103200A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Rampla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</si>
  <si>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41-103200G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Rampla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</si>
  <si>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41-104200A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Movimiento De Tierras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</si>
  <si>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41-104200G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Movimiento De Tierras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</si>
  <si>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41-105200A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Generador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</si>
  <si>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41-105200G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Generador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</si>
  <si>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41-106200A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Compresor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</si>
  <si>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41-106200G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Compresor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</si>
  <si>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41-107200A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Plataforma Elevadora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</si>
  <si>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41-107200G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Plataforma Elevadora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</si>
  <si>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</si>
  <si>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Propio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</si>
  <si>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</si>
  <si>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Arriendo (G)</t>
    </r>
  </si>
  <si>
    <t>03 - Equipo Menor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</si>
  <si>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41-250200A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Maquinas Soldadoras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</si>
  <si>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Maquinas Soldadoras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</si>
  <si>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41-299200A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Otros Equipos 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</si>
  <si>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41-299200G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Otros Equipos  / Arriendo (G)</t>
    </r>
  </si>
  <si>
    <t>04 - Andamios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</si>
  <si>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41-252200A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Andamios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</si>
  <si>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41-252200G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Andamios / Arriendo (G)</t>
    </r>
  </si>
  <si>
    <t>05 - Combustibles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</si>
  <si>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41-397100A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Combustibles / Petroleo / Petroleo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</si>
  <si>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41-397100G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Combustibles / Petroleo / Petroleo (G)</t>
    </r>
  </si>
  <si>
    <t>06 - Fletes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</si>
  <si>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41-495100A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Fletes / Fletes / Fletes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</si>
  <si>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41-495100G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Fletes / Fletes / Fletes (G)</t>
    </r>
  </si>
  <si>
    <t>07 - Operador y Rigger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</si>
  <si>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11-120101G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Equipos / Equipos / Operador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</si>
  <si>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11-120102G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Equipos / Equipos / Rigger (G)</t>
    </r>
  </si>
  <si>
    <t>X - SUBCONTRATOS</t>
  </si>
  <si>
    <t>01 - Subcontrato Civil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</si>
  <si>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31-013300A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Civil  / Laboratorio (Resist. hormigón densid.)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</si>
  <si>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31-013300G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Civil  / Laboratorio (Resist. hormigón densid.) (G)</t>
    </r>
  </si>
  <si>
    <t>03 - Subcontrato Mecanica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</si>
  <si>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31-033900A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Empalme Correas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</si>
  <si>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31-033900G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Empalme Correas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</si>
  <si>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31-034000A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Alineamiento Laser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</si>
  <si>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31-034000G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Alineamiento Laser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</si>
  <si>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Limpieza Química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</si>
  <si>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Limpieza Química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</si>
  <si>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31-039900A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Otros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</si>
  <si>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Otros (G)</t>
    </r>
  </si>
  <si>
    <t>04 - Subcontrato Cañeria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</si>
  <si>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31-044600A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END (Radiografías, Tintas Penetrant.)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</si>
  <si>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31-044600G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END (Radiografías, Tintas Penetrant.)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</si>
  <si>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31-045100A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Termofusión Cañería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</si>
  <si>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31-045100G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Termofusión Cañería (G)</t>
    </r>
  </si>
  <si>
    <t>05 - Subcontrato Electricidad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</si>
  <si>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Pruebas Equipos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</si>
  <si>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Pruebas Equipos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</si>
  <si>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31-055400A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Llenado de Aceite Transforms.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</si>
  <si>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Llenado de Aceite Transforms.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</si>
  <si>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31-055500A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HI-POT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</si>
  <si>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31-055500G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HI-POT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</si>
  <si>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31-059900A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Otros Subcontratos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</si>
  <si>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Otros Subcontratos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</si>
  <si>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31-065700A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Calibración de Equipos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</si>
  <si>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31-065700G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Calibración de Equipos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</si>
  <si>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31-065800A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Chequeos de Lazo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</si>
  <si>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Chequeos de Lazo (G)</t>
    </r>
  </si>
  <si>
    <t>06 - Subcontrato Aislacion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</si>
  <si>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31-070800A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Aislación / Montaje Aislación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</si>
  <si>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31-070800G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Aislación / Montaje Aislación (G)</t>
    </r>
  </si>
  <si>
    <t>07 - Subcontrato Caldera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</si>
  <si>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31-084600A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Caldera / END (Radiografs., Tintas Penetrant.)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</si>
  <si>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31-084600G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Caldera / END (Radiografs., Tintas Penetrant.) (G)</t>
    </r>
  </si>
  <si>
    <t>COSTO INDIRECTO</t>
  </si>
  <si>
    <t>01 - Staff Superior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</si>
  <si>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Staff Superior / Staff Superior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</si>
  <si>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12-600100G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Prov. Pers. Planta / PROVAC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</si>
  <si>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12-600200G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Prov. Pers. Planta / PIAS (G)</t>
    </r>
  </si>
  <si>
    <t>02 - Oficina Técnica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</si>
  <si>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Oficina Técnica / Oficina Técnica (G)</t>
    </r>
  </si>
  <si>
    <t>03 - Supervisión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</si>
  <si>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Supervisión / Supervisión (G)</t>
    </r>
  </si>
  <si>
    <t>04 - Administración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</si>
  <si>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Administración / Administración (G)</t>
    </r>
  </si>
  <si>
    <t>05 - Seguridad / Medio Ambiente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</si>
  <si>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12-550100G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Prevención De Riesgos / Prevención De Riesgos (G)</t>
    </r>
  </si>
  <si>
    <t>06 - Control de Calidad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</si>
  <si>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12-560100G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Control De Calidad / Control De Calidad (G)</t>
    </r>
  </si>
  <si>
    <t>07 - Servicios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</si>
  <si>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12-570100G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Servicios / Servicios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</si>
  <si>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12-999999G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MO / Personal Inclusion / (G)</t>
    </r>
  </si>
  <si>
    <t>08 - Topografía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</si>
  <si>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12-590200G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Servicios / Topografía (G)</t>
    </r>
  </si>
  <si>
    <t>09 - Movilización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</si>
  <si>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Movilizacion (A)</t>
    </r>
  </si>
  <si>
    <t>10 - Pensión y Alimentación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</si>
  <si>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12-580400A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Pensión y Aliment. (A)</t>
    </r>
  </si>
  <si>
    <t>01 - Equipos Topográficos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</si>
  <si>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42-253200A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Equipo topográfico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</si>
  <si>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42-253200G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Equipo topográfico / Arriendo (G)</t>
    </r>
  </si>
  <si>
    <t>02 - Camionetas Personal Indirecto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</si>
  <si>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</si>
  <si>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Propio (G)(MANTENCION)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</si>
  <si>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</si>
  <si>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Arriendo (G)</t>
    </r>
  </si>
  <si>
    <t>04 - Minibus Indirectos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</si>
  <si>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Movilizacion (G)</t>
    </r>
  </si>
  <si>
    <t>02 - Contenedores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</si>
  <si>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62-070100A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Containers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</si>
  <si>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62-070100G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Containers / Todos (G)</t>
    </r>
  </si>
  <si>
    <t>03 - Estructuras varias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</si>
  <si>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62-030100A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Materiales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</si>
  <si>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Materiales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</si>
  <si>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62-040100A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Mobiliario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</si>
  <si>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Mobiliario / Todos (G)</t>
    </r>
  </si>
  <si>
    <t>05 - Instalación Eléctrica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</si>
  <si>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62-090100A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Tableros Eléctricos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</si>
  <si>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62-090100G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Tableros Eléctricos / Todos (G)</t>
    </r>
  </si>
  <si>
    <t>06 - Letreros y Señaletica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</si>
  <si>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62-100100A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Letreros y Señaléticas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</si>
  <si>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62-100100G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Letreros y Señaléticas / Todos (G)</t>
    </r>
  </si>
  <si>
    <t>07 - Mano de Obra y Acreditaciones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</si>
  <si>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62-010100A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Mano De Obra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</si>
  <si>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Mano De Obra / Todos (G)</t>
    </r>
  </si>
  <si>
    <t>08 - Permisos De Construccion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</si>
  <si>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62-020100A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Permisos De Construcción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</si>
  <si>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Permisos De Construcción / Todos (G)</t>
    </r>
  </si>
  <si>
    <t>02 - Fletes Generales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</si>
  <si>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72-107010A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Fletes generales de Obra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</si>
  <si>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72-107010G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Fletes generales de Obra / Todos (G)</t>
    </r>
  </si>
  <si>
    <t>04 - Gastos Varios Oficina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</si>
  <si>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Fotoc. Planos y Especifi.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</si>
  <si>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Fotoc. Planos y Especifi.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</si>
  <si>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Café. y Agua Potab.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</si>
  <si>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Café. y Agua Potab.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</si>
  <si>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72-103030A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Mant. y Aseo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</si>
  <si>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72-103030G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Mant. y Aseo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</si>
  <si>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72-103990A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Otros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</si>
  <si>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72-103990G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Otros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</si>
  <si>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72-199010A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Otros gastos generales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</si>
  <si>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72-199010G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Otros gastos generales / Todos (G)</t>
    </r>
  </si>
  <si>
    <t>05 - Informatica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</si>
  <si>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Computadores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</si>
  <si>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Computadores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</si>
  <si>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Impresoras y plott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</si>
  <si>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Impresoras y plott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</si>
  <si>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72-102040A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estándar -Office (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</si>
  <si>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72-102040G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estándar -Office (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</si>
  <si>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72-102050A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técnico (A)</t>
    </r>
  </si>
  <si>
    <t>07 - Telecomunicaciones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</si>
  <si>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Telefonía celular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</si>
  <si>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Telefonía celular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</si>
  <si>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72-101030A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Enlaces internet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</si>
  <si>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72-101030G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Enlaces internet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</si>
  <si>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72-101040A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Equipos de Radio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</si>
  <si>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72-101040G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Equipos de Radio (G)</t>
    </r>
  </si>
  <si>
    <t>08 - Otros GG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</si>
  <si>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72-109010A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Vigilancia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</si>
  <si>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72-109010G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Vigilancia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</si>
  <si>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72-607070A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Gastos - Proyectos / Comisiones Pagadas a bancos (A)</t>
    </r>
  </si>
  <si>
    <t>10 - Viatico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</si>
  <si>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Alojamiento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</si>
  <si>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Pensión y Aliment. (G)</t>
    </r>
  </si>
  <si>
    <t>01 - Boletas de Garantia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</si>
  <si>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72-A02010G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Boleta Garantia / Todos (G)</t>
    </r>
  </si>
  <si>
    <t>02 - Seguros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</si>
  <si>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72-A03010A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por Seguros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</si>
  <si>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72-A03010G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por Seguros / Todos (G)</t>
    </r>
  </si>
  <si>
    <t>03 - Costo Financiero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</si>
  <si>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72-A01010G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Financieros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</si>
  <si>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72-A01110G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Financieros / Factoring (G)</t>
    </r>
  </si>
  <si>
    <t>01 - Oficina Central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</si>
  <si>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72-A04010G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Oficina Central / Todos (G)</t>
    </r>
  </si>
  <si>
    <t>02 - Imprevistos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</si>
  <si>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72-A05010G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Imprevistos / Todos (G)</t>
    </r>
  </si>
  <si>
    <t>03 - Utilidades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</si>
  <si>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72-A06010G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Utilidades / Todos (G)</t>
    </r>
  </si>
  <si>
    <t>OBRA</t>
  </si>
  <si>
    <t>PRODUCCION SALDO</t>
  </si>
  <si>
    <t>PRODUCCION A TERMINO</t>
  </si>
  <si>
    <t>COSTO REAL
ACUMULADO</t>
  </si>
  <si>
    <t>COSTO
PROYECTADO
DEL SALDO</t>
  </si>
  <si>
    <t>PROYECCION
TOTAL</t>
  </si>
  <si>
    <t>MARGEN ACUMULADO</t>
  </si>
  <si>
    <t>MARGEN
SALDO</t>
  </si>
  <si>
    <t>MARGEN
A TERMINO</t>
  </si>
  <si>
    <t>MARGEN
ESPERADO</t>
  </si>
  <si>
    <t>SOBREMARGEN
ESPERADO</t>
  </si>
  <si>
    <t>Mes</t>
  </si>
  <si>
    <t>Monto Contrato</t>
  </si>
  <si>
    <t>Monto Proyectado</t>
  </si>
  <si>
    <t>Producción</t>
  </si>
  <si>
    <t>Costo Obra</t>
  </si>
  <si>
    <t>Margen Proyectado</t>
  </si>
  <si>
    <t>Margen</t>
  </si>
  <si>
    <t>Costo Proyectado</t>
  </si>
  <si>
    <t>Avance Real</t>
  </si>
  <si>
    <t>Avance Programado</t>
  </si>
  <si>
    <t>Facturacion</t>
  </si>
  <si>
    <t>Contabilidad</t>
  </si>
  <si>
    <t>Resultado Contabilidad</t>
  </si>
  <si>
    <t>Nombre
Proyecto</t>
  </si>
  <si>
    <t>Administrador</t>
  </si>
  <si>
    <t>11-0101-000G</t>
  </si>
  <si>
    <t>11-0102-000G</t>
  </si>
  <si>
    <t>11-0103-000G</t>
  </si>
  <si>
    <t>11-0104-000G</t>
  </si>
  <si>
    <t>11-0105-000G</t>
  </si>
  <si>
    <t>11-0199-000G</t>
  </si>
  <si>
    <t>11-0207-000G</t>
  </si>
  <si>
    <t>11-0208-000G</t>
  </si>
  <si>
    <t>11-0307-000G</t>
  </si>
  <si>
    <t>11-0308-000G</t>
  </si>
  <si>
    <t>11-0407-000G</t>
  </si>
  <si>
    <t>11-0408-000G</t>
  </si>
  <si>
    <t>11-0507-000G</t>
  </si>
  <si>
    <t>11-0508-000G</t>
  </si>
  <si>
    <t>11-0607-000G</t>
  </si>
  <si>
    <t>11-0608-000G</t>
  </si>
  <si>
    <t>11-0701-000G</t>
  </si>
  <si>
    <t>11-0807-000G</t>
  </si>
  <si>
    <t>11-0808-000G</t>
  </si>
  <si>
    <t>11-0907-000G</t>
  </si>
  <si>
    <t>11-0908-000G</t>
  </si>
  <si>
    <t>11-1001-000G</t>
  </si>
  <si>
    <t>11-1101-000G</t>
  </si>
  <si>
    <t>11-1201-000G</t>
  </si>
  <si>
    <t>11-1201-010G</t>
  </si>
  <si>
    <t>11-1201-020G</t>
  </si>
  <si>
    <t>11-1201-030G</t>
  </si>
  <si>
    <t>11-1201-040G</t>
  </si>
  <si>
    <t>11-1307-000G</t>
  </si>
  <si>
    <t>11-1308-000G</t>
  </si>
  <si>
    <t>12-5101-000G</t>
  </si>
  <si>
    <t>12-5201-000G</t>
  </si>
  <si>
    <t>12-5301-000G</t>
  </si>
  <si>
    <t>12-5401-000G</t>
  </si>
  <si>
    <t>12-5501-000G</t>
  </si>
  <si>
    <t>12-5601-000G</t>
  </si>
  <si>
    <t>12-5701-000G</t>
  </si>
  <si>
    <t>12-5902-000G</t>
  </si>
  <si>
    <t>12-6001-000G</t>
  </si>
  <si>
    <t>12-6002-000G</t>
  </si>
  <si>
    <t>12-9999-990G</t>
  </si>
  <si>
    <t>MO / Personal Inclusion / (G)</t>
  </si>
  <si>
    <t>21-0102-010A</t>
  </si>
  <si>
    <t>21-0102-010G</t>
  </si>
  <si>
    <t>21-0102-020A</t>
  </si>
  <si>
    <t>21-0102-020G</t>
  </si>
  <si>
    <t>21-0102-030A</t>
  </si>
  <si>
    <t>21-0102-030G</t>
  </si>
  <si>
    <t>21-0103-010A</t>
  </si>
  <si>
    <t>21-0103-010G</t>
  </si>
  <si>
    <t>21-0104-010A</t>
  </si>
  <si>
    <t>21-0104-010G</t>
  </si>
  <si>
    <t>21-0105-010A</t>
  </si>
  <si>
    <t>21-0105-010G</t>
  </si>
  <si>
    <t>21-0105-990A</t>
  </si>
  <si>
    <t>21-0105-990G</t>
  </si>
  <si>
    <t>21-0111-010A</t>
  </si>
  <si>
    <t>21-0111-010G</t>
  </si>
  <si>
    <t>21-0199-010A</t>
  </si>
  <si>
    <t>21-0199-010G</t>
  </si>
  <si>
    <t>21-0212-010A</t>
  </si>
  <si>
    <t>21-0212-010G</t>
  </si>
  <si>
    <t>21-0213-010A</t>
  </si>
  <si>
    <t>21-0213-010G</t>
  </si>
  <si>
    <t>21-0214-010A</t>
  </si>
  <si>
    <t>21-0214-010G</t>
  </si>
  <si>
    <t>21-0215-010A</t>
  </si>
  <si>
    <t>21-0215-010G</t>
  </si>
  <si>
    <t>21-0299-010A</t>
  </si>
  <si>
    <t>21-0299-010G</t>
  </si>
  <si>
    <t>21-0314-010A</t>
  </si>
  <si>
    <t>21-0314-010G</t>
  </si>
  <si>
    <t>21-0317-010A</t>
  </si>
  <si>
    <t>21-0317-010G</t>
  </si>
  <si>
    <t>21-0318-010A</t>
  </si>
  <si>
    <t>21-0318-010G</t>
  </si>
  <si>
    <t>21-0319-010A</t>
  </si>
  <si>
    <t>21-0319-010G</t>
  </si>
  <si>
    <t>21-0399-010A</t>
  </si>
  <si>
    <t>21-0399-010G</t>
  </si>
  <si>
    <t>21-0414-010A</t>
  </si>
  <si>
    <t>21-0414-010G</t>
  </si>
  <si>
    <t>21-0418-010A</t>
  </si>
  <si>
    <t>21-0418-010G</t>
  </si>
  <si>
    <t>21-0419-010A</t>
  </si>
  <si>
    <t>21-0419-010G</t>
  </si>
  <si>
    <t>21-0420-010A</t>
  </si>
  <si>
    <t>21-0420-010G</t>
  </si>
  <si>
    <t>21-0499-010A</t>
  </si>
  <si>
    <t>21-0499-010G</t>
  </si>
  <si>
    <t>21-0514-010A</t>
  </si>
  <si>
    <t>21-0514-010G</t>
  </si>
  <si>
    <t>21-0517-010A</t>
  </si>
  <si>
    <t>21-0517-010G</t>
  </si>
  <si>
    <t>21-0518-010A</t>
  </si>
  <si>
    <t>21-0518-010G</t>
  </si>
  <si>
    <t>21-0521-010A</t>
  </si>
  <si>
    <t>21-0521-010G</t>
  </si>
  <si>
    <t>21-0522-010A</t>
  </si>
  <si>
    <t>21-0522-010G</t>
  </si>
  <si>
    <t>21-0523-010A</t>
  </si>
  <si>
    <t>21-0523-010G</t>
  </si>
  <si>
    <t>21-0599-010A</t>
  </si>
  <si>
    <t>21-0599-010G</t>
  </si>
  <si>
    <t>21-0614-010A</t>
  </si>
  <si>
    <t>21-0614-010G</t>
  </si>
  <si>
    <t>21-0617-010A</t>
  </si>
  <si>
    <t>21-0617-010G</t>
  </si>
  <si>
    <t>21-0618-010A</t>
  </si>
  <si>
    <t>21-0618-010G</t>
  </si>
  <si>
    <t>21-0621-010A</t>
  </si>
  <si>
    <t>21-0621-010G</t>
  </si>
  <si>
    <t>21-0622-010A</t>
  </si>
  <si>
    <t>21-0622-010G</t>
  </si>
  <si>
    <t>21-0623-010A</t>
  </si>
  <si>
    <t>21-0623-010G</t>
  </si>
  <si>
    <t>21-0630-010A</t>
  </si>
  <si>
    <t>21-0630-010G</t>
  </si>
  <si>
    <t>21-0699-010A</t>
  </si>
  <si>
    <t>21-0699-010G</t>
  </si>
  <si>
    <t>21-0724-010A</t>
  </si>
  <si>
    <t>21-0724-010G</t>
  </si>
  <si>
    <t>21-0725-010A</t>
  </si>
  <si>
    <t>21-0725-010G</t>
  </si>
  <si>
    <t>21-0799-010A</t>
  </si>
  <si>
    <t>21-0799-010G</t>
  </si>
  <si>
    <t>21-0814-010A</t>
  </si>
  <si>
    <t>21-0814-010G</t>
  </si>
  <si>
    <t>21-0826-010A</t>
  </si>
  <si>
    <t>21-0826-010G</t>
  </si>
  <si>
    <t>21-0899-010A</t>
  </si>
  <si>
    <t>21-0899-010G</t>
  </si>
  <si>
    <t>21-0914-010A</t>
  </si>
  <si>
    <t>21-0914-010G</t>
  </si>
  <si>
    <t>21-0918-010A</t>
  </si>
  <si>
    <t>21-0918-010G</t>
  </si>
  <si>
    <t>21-0919-010A</t>
  </si>
  <si>
    <t>21-0919-010G</t>
  </si>
  <si>
    <t>21-0927-010A</t>
  </si>
  <si>
    <t>21-0927-010G</t>
  </si>
  <si>
    <t>21-0999-010A</t>
  </si>
  <si>
    <t>21-0999-010G</t>
  </si>
  <si>
    <t>21-1314-010A</t>
  </si>
  <si>
    <t>21-1314-010G</t>
  </si>
  <si>
    <t>21-1319-010A</t>
  </si>
  <si>
    <t>21-1319-010G</t>
  </si>
  <si>
    <t>21-1328-010A</t>
  </si>
  <si>
    <t>21-1328-010G</t>
  </si>
  <si>
    <t>21-1399-010A</t>
  </si>
  <si>
    <t>21-1399-010G</t>
  </si>
  <si>
    <t>21-9730-010A</t>
  </si>
  <si>
    <t>21-9730-010G</t>
  </si>
  <si>
    <t>21-9801-010A</t>
  </si>
  <si>
    <t>21-9801-010G</t>
  </si>
  <si>
    <t>21-9901-010A</t>
  </si>
  <si>
    <t>21-9901-010G</t>
  </si>
  <si>
    <t>31-0101-000A</t>
  </si>
  <si>
    <t>31-0101-000G</t>
  </si>
  <si>
    <t>31-0102-000A</t>
  </si>
  <si>
    <t>31-0102-000G</t>
  </si>
  <si>
    <t>31-0103-000A</t>
  </si>
  <si>
    <t>31-0103-000G</t>
  </si>
  <si>
    <t>31-0104-000A</t>
  </si>
  <si>
    <t>31-0104-000G</t>
  </si>
  <si>
    <t>31-0105-000A</t>
  </si>
  <si>
    <t>31-0105-000G</t>
  </si>
  <si>
    <t>31-0132-000A</t>
  </si>
  <si>
    <t>31-0132-000G</t>
  </si>
  <si>
    <t>31-0133-000A</t>
  </si>
  <si>
    <t>31-0133-000G</t>
  </si>
  <si>
    <t>31-0134-000A</t>
  </si>
  <si>
    <t>31-0134-000G</t>
  </si>
  <si>
    <t>31-0135-000A</t>
  </si>
  <si>
    <t>31-0135-000G</t>
  </si>
  <si>
    <t>31-0199-000A</t>
  </si>
  <si>
    <t>31-0199-000G</t>
  </si>
  <si>
    <t>31-0206-000A</t>
  </si>
  <si>
    <t>31-0206-000G</t>
  </si>
  <si>
    <t>31-0207-000A</t>
  </si>
  <si>
    <t>31-0207-000G</t>
  </si>
  <si>
    <t>31-0208-000A</t>
  </si>
  <si>
    <t>31-0208-000G</t>
  </si>
  <si>
    <t>31-0299-000A</t>
  </si>
  <si>
    <t>31-0299-000G</t>
  </si>
  <si>
    <t>31-0307-000A</t>
  </si>
  <si>
    <t>31-0307-000G</t>
  </si>
  <si>
    <t>31-0308-000A</t>
  </si>
  <si>
    <t>31-0308-000G</t>
  </si>
  <si>
    <t>31-0339-000A</t>
  </si>
  <si>
    <t>31-0339-000G</t>
  </si>
  <si>
    <t>31-0340-000A</t>
  </si>
  <si>
    <t>31-0340-000G</t>
  </si>
  <si>
    <t>31-0341-000A</t>
  </si>
  <si>
    <t>31-0341-000G</t>
  </si>
  <si>
    <t>31-0342-000A</t>
  </si>
  <si>
    <t>31-0342-000G</t>
  </si>
  <si>
    <t>31-0343-000A</t>
  </si>
  <si>
    <t>31-0343-000G</t>
  </si>
  <si>
    <t>31-0399-000A</t>
  </si>
  <si>
    <t>31-0399-000G</t>
  </si>
  <si>
    <t>31-0406-000A</t>
  </si>
  <si>
    <t>31-0406-000G</t>
  </si>
  <si>
    <t>31-0407-000A</t>
  </si>
  <si>
    <t>31-0407-000G</t>
  </si>
  <si>
    <t>31-0408-000A</t>
  </si>
  <si>
    <t>31-0408-000G</t>
  </si>
  <si>
    <t>31-0445-000A</t>
  </si>
  <si>
    <t>31-0445-000G</t>
  </si>
  <si>
    <t>31-0446-000A</t>
  </si>
  <si>
    <t>31-0446-000G</t>
  </si>
  <si>
    <t>31-0447-000A</t>
  </si>
  <si>
    <t>31-0447-000G</t>
  </si>
  <si>
    <t>31-0448-000A</t>
  </si>
  <si>
    <t>31-0448-000G</t>
  </si>
  <si>
    <t>31-0449-000A</t>
  </si>
  <si>
    <t>31-0449-000G</t>
  </si>
  <si>
    <t>31-0450-000A</t>
  </si>
  <si>
    <t>31-0450-000G</t>
  </si>
  <si>
    <t>31-0451-000A</t>
  </si>
  <si>
    <t>31-0451-000G</t>
  </si>
  <si>
    <t>31-0452-000A</t>
  </si>
  <si>
    <t>31-0452-000G</t>
  </si>
  <si>
    <t>31-0499-000A</t>
  </si>
  <si>
    <t>31-0499-000G</t>
  </si>
  <si>
    <t>31-0508-000A</t>
  </si>
  <si>
    <t>31-0508-000G</t>
  </si>
  <si>
    <t>31-0553-000A</t>
  </si>
  <si>
    <t>31-0553-000G</t>
  </si>
  <si>
    <t>31-0554-000A</t>
  </si>
  <si>
    <t>31-0554-000G</t>
  </si>
  <si>
    <t>31-0555-000A</t>
  </si>
  <si>
    <t>31-0555-000G</t>
  </si>
  <si>
    <t>31-0599-000A</t>
  </si>
  <si>
    <t>31-0599-000G</t>
  </si>
  <si>
    <t>31-0657-000A</t>
  </si>
  <si>
    <t>31-0657-000G</t>
  </si>
  <si>
    <t>31-0658-000A</t>
  </si>
  <si>
    <t>31-0658-000G</t>
  </si>
  <si>
    <t>31-0699-000A</t>
  </si>
  <si>
    <t>31-0699-000G</t>
  </si>
  <si>
    <t>31-0708-000A</t>
  </si>
  <si>
    <t>31-0708-000G</t>
  </si>
  <si>
    <t>31-0799-000A</t>
  </si>
  <si>
    <t>31-0799-000G</t>
  </si>
  <si>
    <t>31-0807-000A</t>
  </si>
  <si>
    <t>31-0807-000G</t>
  </si>
  <si>
    <t>31-0808-000A</t>
  </si>
  <si>
    <t>31-0808-000G</t>
  </si>
  <si>
    <t>31-0846-000A</t>
  </si>
  <si>
    <t>31-0846-000G</t>
  </si>
  <si>
    <t>31-0861-000A</t>
  </si>
  <si>
    <t>31-0861-000G</t>
  </si>
  <si>
    <t>31-0862-000A</t>
  </si>
  <si>
    <t>31-0862-000G</t>
  </si>
  <si>
    <t>31-0864-000A</t>
  </si>
  <si>
    <t>31-0864-000G</t>
  </si>
  <si>
    <t>31-0865-000A</t>
  </si>
  <si>
    <t>31-0865-000G</t>
  </si>
  <si>
    <t>31-0866-000A</t>
  </si>
  <si>
    <t>31-0866-000G</t>
  </si>
  <si>
    <t>31-0867-000A</t>
  </si>
  <si>
    <t>31-0867-000G</t>
  </si>
  <si>
    <t>31-0868-000A</t>
  </si>
  <si>
    <t>31-0868-000G</t>
  </si>
  <si>
    <t>31-0899-000A</t>
  </si>
  <si>
    <t>31-0899-000G</t>
  </si>
  <si>
    <t>31-0907-000A</t>
  </si>
  <si>
    <t>31-0907-000G</t>
  </si>
  <si>
    <t>31-0908-000A</t>
  </si>
  <si>
    <t>31-0908-000G</t>
  </si>
  <si>
    <t>31-0946-000A</t>
  </si>
  <si>
    <t>31-0946-000G</t>
  </si>
  <si>
    <t>31-0999-000A</t>
  </si>
  <si>
    <t>31-0999-000G</t>
  </si>
  <si>
    <t>31-1307-000A</t>
  </si>
  <si>
    <t>31-1307-000G</t>
  </si>
  <si>
    <t>31-1308-000A</t>
  </si>
  <si>
    <t>31-1308-000G</t>
  </si>
  <si>
    <t>31-1346-000A</t>
  </si>
  <si>
    <t>31-1346-000G</t>
  </si>
  <si>
    <t>31-1366-000A</t>
  </si>
  <si>
    <t>31-1366-000G</t>
  </si>
  <si>
    <t>31-1399-000A</t>
  </si>
  <si>
    <t>31-1399-000G</t>
  </si>
  <si>
    <t>31-1469-000A</t>
  </si>
  <si>
    <t>31-1469-000G</t>
  </si>
  <si>
    <t>31-1470-000A</t>
  </si>
  <si>
    <t>31-1470-000G</t>
  </si>
  <si>
    <t>31-9908-000A</t>
  </si>
  <si>
    <t>31-9908-000G</t>
  </si>
  <si>
    <t>31-9971-000A</t>
  </si>
  <si>
    <t>31-9971-000G</t>
  </si>
  <si>
    <t>31-9972-000A</t>
  </si>
  <si>
    <t>31-9972-000G</t>
  </si>
  <si>
    <t>31-9973-000A</t>
  </si>
  <si>
    <t>31-9973-000G</t>
  </si>
  <si>
    <t>31-9975-000A</t>
  </si>
  <si>
    <t>31-9975-000G</t>
  </si>
  <si>
    <t>31-9975-010A</t>
  </si>
  <si>
    <t>31-9975-010G</t>
  </si>
  <si>
    <t>31-9976-000A</t>
  </si>
  <si>
    <t>31-9976-000G</t>
  </si>
  <si>
    <t>41-1011-000A</t>
  </si>
  <si>
    <t>41-1011-000G</t>
  </si>
  <si>
    <t>41-1012-000A</t>
  </si>
  <si>
    <t>41-1012-000G</t>
  </si>
  <si>
    <t>41-1021-000A</t>
  </si>
  <si>
    <t>41-1021-000G</t>
  </si>
  <si>
    <t>41-1022-000A</t>
  </si>
  <si>
    <t>41-1022-000G</t>
  </si>
  <si>
    <t>41-1031-000A</t>
  </si>
  <si>
    <t>41-1031-000G</t>
  </si>
  <si>
    <t>41-1031-010A</t>
  </si>
  <si>
    <t>41-1031-010G</t>
  </si>
  <si>
    <t>41-1032-000A</t>
  </si>
  <si>
    <t>41-1032-000G</t>
  </si>
  <si>
    <t>41-1041-000A</t>
  </si>
  <si>
    <t>41-1041-000G</t>
  </si>
  <si>
    <t>41-1042-000A</t>
  </si>
  <si>
    <t>41-1042-000G</t>
  </si>
  <si>
    <t>41-1051-000A</t>
  </si>
  <si>
    <t>41-1051-000G</t>
  </si>
  <si>
    <t>41-1052-000A</t>
  </si>
  <si>
    <t>41-1052-000G</t>
  </si>
  <si>
    <t>41-1061-000A</t>
  </si>
  <si>
    <t>41-1061-000G</t>
  </si>
  <si>
    <t>41-1062-000A</t>
  </si>
  <si>
    <t>41-1062-000G</t>
  </si>
  <si>
    <t>41-1071-000A</t>
  </si>
  <si>
    <t>41-1071-000G</t>
  </si>
  <si>
    <t>41-1072-000A</t>
  </si>
  <si>
    <t>41-1072-000G</t>
  </si>
  <si>
    <t>41-1081-000A</t>
  </si>
  <si>
    <t>41-1081-000G</t>
  </si>
  <si>
    <t>41-1082-000A</t>
  </si>
  <si>
    <t>41-1082-000G</t>
  </si>
  <si>
    <t>41-1981-000A</t>
  </si>
  <si>
    <t>41-1981-000G</t>
  </si>
  <si>
    <t>41-1982-000A</t>
  </si>
  <si>
    <t>41-1982-000G</t>
  </si>
  <si>
    <t>41-1991-000A</t>
  </si>
  <si>
    <t>41-1991-000G</t>
  </si>
  <si>
    <t>41-1992-000A</t>
  </si>
  <si>
    <t>41-1992-000G</t>
  </si>
  <si>
    <t>41-2501-000A</t>
  </si>
  <si>
    <t>41-2501-000G</t>
  </si>
  <si>
    <t>41-2502-000A</t>
  </si>
  <si>
    <t>41-2502-000G</t>
  </si>
  <si>
    <t>41-2511-000A</t>
  </si>
  <si>
    <t>41-2511-000G</t>
  </si>
  <si>
    <t>41-2512-000A</t>
  </si>
  <si>
    <t>41-2512-000G</t>
  </si>
  <si>
    <t>41-2521-000A</t>
  </si>
  <si>
    <t>41-2521-000G</t>
  </si>
  <si>
    <t>41-2522-000A</t>
  </si>
  <si>
    <t>41-2522-000G</t>
  </si>
  <si>
    <t>41-2981-000A</t>
  </si>
  <si>
    <t>41-2981-000G</t>
  </si>
  <si>
    <t>41-2982-000A</t>
  </si>
  <si>
    <t>41-2982-000G</t>
  </si>
  <si>
    <t>41-2991-000A</t>
  </si>
  <si>
    <t>41-2991-000G</t>
  </si>
  <si>
    <t>41-2992-000A</t>
  </si>
  <si>
    <t>41-2992-000G</t>
  </si>
  <si>
    <t>41-3961-000A</t>
  </si>
  <si>
    <t>41-3961-000G</t>
  </si>
  <si>
    <t>41-3971-000A</t>
  </si>
  <si>
    <t>41-3971-000G</t>
  </si>
  <si>
    <t>41-3971-010A</t>
  </si>
  <si>
    <t>41-3971-010G</t>
  </si>
  <si>
    <t>41-4951-000A</t>
  </si>
  <si>
    <t>41-4951-000G</t>
  </si>
  <si>
    <t>41-5941-000A</t>
  </si>
  <si>
    <t>41-5941-000G</t>
  </si>
  <si>
    <t>42-2531-000A</t>
  </si>
  <si>
    <t>42-2531-000G</t>
  </si>
  <si>
    <t>42-2532-000A</t>
  </si>
  <si>
    <t>42-2532-000G</t>
  </si>
  <si>
    <t>42-2541-000A</t>
  </si>
  <si>
    <t>42-2541-000G</t>
  </si>
  <si>
    <t>42-2541-020G</t>
  </si>
  <si>
    <t>42-2542-000A</t>
  </si>
  <si>
    <t>42-2542-000G</t>
  </si>
  <si>
    <t>42-2551-000A</t>
  </si>
  <si>
    <t>42-2551-000G</t>
  </si>
  <si>
    <t>42-2551-010G</t>
  </si>
  <si>
    <t>42-2551-020g</t>
  </si>
  <si>
    <t>42-2552-000A</t>
  </si>
  <si>
    <t>42-2552-000G</t>
  </si>
  <si>
    <t>42-2561-000A</t>
  </si>
  <si>
    <t>42-2561-000G</t>
  </si>
  <si>
    <t>42-2562-000A</t>
  </si>
  <si>
    <t>42-2562-000G</t>
  </si>
  <si>
    <t>42-2991-000A</t>
  </si>
  <si>
    <t>42-2991-000G</t>
  </si>
  <si>
    <t>42-2992-000A</t>
  </si>
  <si>
    <t>42-2992-000G</t>
  </si>
  <si>
    <t>42-2993-010A</t>
  </si>
  <si>
    <t>42-2993-010G</t>
  </si>
  <si>
    <t>42-3931-000A</t>
  </si>
  <si>
    <t>42-3931-000G</t>
  </si>
  <si>
    <t>42-3961-000A</t>
  </si>
  <si>
    <t>42-3961-000G</t>
  </si>
  <si>
    <t>42-3961-010A</t>
  </si>
  <si>
    <t>42-3961-010G</t>
  </si>
  <si>
    <t>42-3971-000A</t>
  </si>
  <si>
    <t>42-3971-000G</t>
  </si>
  <si>
    <t>51-0101-000A</t>
  </si>
  <si>
    <t>51-0101-000G</t>
  </si>
  <si>
    <t>51-0101-010A</t>
  </si>
  <si>
    <t>51-0101-010G</t>
  </si>
  <si>
    <t>51-0201-000A</t>
  </si>
  <si>
    <t>51-0201-000G</t>
  </si>
  <si>
    <t>51-0201-010A</t>
  </si>
  <si>
    <t>51-0201-010G</t>
  </si>
  <si>
    <t>51-0301-000A</t>
  </si>
  <si>
    <t>51-0301-000G</t>
  </si>
  <si>
    <t>51-0301-010A</t>
  </si>
  <si>
    <t>51-0301-010G</t>
  </si>
  <si>
    <t>51-0301-110A</t>
  </si>
  <si>
    <t>PHH CD - Herramienta Menor / Prestamo (A)</t>
  </si>
  <si>
    <t>51-0401-000A</t>
  </si>
  <si>
    <t>51-0401-000G</t>
  </si>
  <si>
    <t>51-0401-010A</t>
  </si>
  <si>
    <t>51-0401-010G</t>
  </si>
  <si>
    <t>51-0402-000A</t>
  </si>
  <si>
    <t>51-0402-000G</t>
  </si>
  <si>
    <t>51-0501-000A</t>
  </si>
  <si>
    <t>51-0501-000G</t>
  </si>
  <si>
    <t>51-0501-010A</t>
  </si>
  <si>
    <t>51-0501-010G</t>
  </si>
  <si>
    <t>51-0601-000A</t>
  </si>
  <si>
    <t>51-0601-000G</t>
  </si>
  <si>
    <t>51-0601-010A</t>
  </si>
  <si>
    <t>51-0601-010G</t>
  </si>
  <si>
    <t>51-0801-000A</t>
  </si>
  <si>
    <t>51-0801-000G</t>
  </si>
  <si>
    <t>51-1301-000A</t>
  </si>
  <si>
    <t>PHH CD -  / Hotelería y Movilización / Operadores y Riggers</t>
  </si>
  <si>
    <t>51-1301-000G</t>
  </si>
  <si>
    <t>PHH CD-/Hotelería y Movilización / Operadores y Riggers (G)</t>
  </si>
  <si>
    <t>62-0101-000G</t>
  </si>
  <si>
    <t>62-0201-000A</t>
  </si>
  <si>
    <t>62-0301-000A</t>
  </si>
  <si>
    <t>62-0301-000G</t>
  </si>
  <si>
    <t>62-0401-000A</t>
  </si>
  <si>
    <t>62-0401-000G</t>
  </si>
  <si>
    <t>62-0501-000A</t>
  </si>
  <si>
    <t>62-0501-000G</t>
  </si>
  <si>
    <t>62-0601-000A</t>
  </si>
  <si>
    <t>62-0601-000G</t>
  </si>
  <si>
    <t>62-0701-000A</t>
  </si>
  <si>
    <t>62-0701-000G</t>
  </si>
  <si>
    <t>62-0801-000A</t>
  </si>
  <si>
    <t>62-0801-000G</t>
  </si>
  <si>
    <t>62-0802-000A</t>
  </si>
  <si>
    <t>62-0802-000G</t>
  </si>
  <si>
    <t>62-0901-000A</t>
  </si>
  <si>
    <t>62-0901-000G</t>
  </si>
  <si>
    <t>62-1001-000A</t>
  </si>
  <si>
    <t>62-1001-000G</t>
  </si>
  <si>
    <t>62-1101-000A</t>
  </si>
  <si>
    <t>62-1101-000G</t>
  </si>
  <si>
    <t>62-1201-000A</t>
  </si>
  <si>
    <t>62-1201-000G</t>
  </si>
  <si>
    <t>62-1202-000A</t>
  </si>
  <si>
    <t>62-1202-000G</t>
  </si>
  <si>
    <t>72-0101-010G</t>
  </si>
  <si>
    <t>72-0105-150G</t>
  </si>
  <si>
    <t>72-1010-100A</t>
  </si>
  <si>
    <t>72-1010-100G</t>
  </si>
  <si>
    <t>72-1010-200A</t>
  </si>
  <si>
    <t>72-1010-200G</t>
  </si>
  <si>
    <t>72-1010-300A</t>
  </si>
  <si>
    <t>72-1010-300G</t>
  </si>
  <si>
    <t>72-1010-400A</t>
  </si>
  <si>
    <t>72-1010-400G</t>
  </si>
  <si>
    <t>72-1020-100A</t>
  </si>
  <si>
    <t>72-1020-100G</t>
  </si>
  <si>
    <t>72-1020-200A</t>
  </si>
  <si>
    <t>72-1020-200G</t>
  </si>
  <si>
    <t>72-1020-300A</t>
  </si>
  <si>
    <t>72-1020-300G</t>
  </si>
  <si>
    <t>72-1020-400A</t>
  </si>
  <si>
    <t>72-1020-400G</t>
  </si>
  <si>
    <t>72-1020-500A</t>
  </si>
  <si>
    <t>72-1020-500G</t>
  </si>
  <si>
    <t>72-1030-100A</t>
  </si>
  <si>
    <t>72-1030-100G</t>
  </si>
  <si>
    <t>72-1030-200A</t>
  </si>
  <si>
    <t>72-1030-200G</t>
  </si>
  <si>
    <t>72-1030-300A</t>
  </si>
  <si>
    <t>72-1030-300G</t>
  </si>
  <si>
    <t>72-1039-900A</t>
  </si>
  <si>
    <t>72-1039-900G</t>
  </si>
  <si>
    <t>72-1040-100A</t>
  </si>
  <si>
    <t>72-1040-100G</t>
  </si>
  <si>
    <t>72-1050-100A</t>
  </si>
  <si>
    <t>72-1050-100G</t>
  </si>
  <si>
    <t>72-1056-000G</t>
  </si>
  <si>
    <t>72-1060-100A</t>
  </si>
  <si>
    <t>72-1070-100A</t>
  </si>
  <si>
    <t>72-1070-100G</t>
  </si>
  <si>
    <t>72-1080-100A</t>
  </si>
  <si>
    <t>72-1080-100G</t>
  </si>
  <si>
    <t>72-1090-100A</t>
  </si>
  <si>
    <t>72-1090-100G</t>
  </si>
  <si>
    <t>72-1100-100A</t>
  </si>
  <si>
    <t>72-1100-100G</t>
  </si>
  <si>
    <t>72-1110-100A</t>
  </si>
  <si>
    <t>72-1110-100G</t>
  </si>
  <si>
    <t>72-1120-100A</t>
  </si>
  <si>
    <t>72-1120-100G</t>
  </si>
  <si>
    <t>72-1990-100A</t>
  </si>
  <si>
    <t>72-1990-100G</t>
  </si>
  <si>
    <t>72-2010-110A</t>
  </si>
  <si>
    <t>72-2030-100G</t>
  </si>
  <si>
    <t>72-6070-700G</t>
  </si>
  <si>
    <t>72-9013-800G</t>
  </si>
  <si>
    <t>GG Finanzas / Intereses Pagados por Operaciones Confirming</t>
  </si>
  <si>
    <t>72-9999-990G</t>
  </si>
  <si>
    <t>72-A010-100G</t>
  </si>
  <si>
    <t>72-A011-100G</t>
  </si>
  <si>
    <t>72-A020-100G</t>
  </si>
  <si>
    <t>72-A030-100A</t>
  </si>
  <si>
    <t>72-A030-100G</t>
  </si>
  <si>
    <t>72-A040-100A</t>
  </si>
  <si>
    <t>72-A040-100G</t>
  </si>
  <si>
    <t>72-A050-100A</t>
  </si>
  <si>
    <t>72-A050-100G</t>
  </si>
  <si>
    <t>72-A060-100A</t>
  </si>
  <si>
    <t>72-A060-100G</t>
  </si>
  <si>
    <t>72-A090-100G</t>
  </si>
  <si>
    <t>72-A090-200G</t>
  </si>
  <si>
    <t>72-A100-100G</t>
  </si>
  <si>
    <t>72-B010-100G</t>
  </si>
  <si>
    <t>72-REA0-010G</t>
  </si>
  <si>
    <t>91-0100-000C</t>
  </si>
  <si>
    <t>AA-7999-990G</t>
  </si>
  <si>
    <t>Anticip-o-0S</t>
  </si>
  <si>
    <t>Anticipo Subcontrato</t>
  </si>
  <si>
    <t>Ret-SB--$0</t>
  </si>
  <si>
    <t>Retención Subcontrato $</t>
  </si>
  <si>
    <t>Ret-SB--UF0</t>
  </si>
  <si>
    <t>Retención Subcontrato UF</t>
  </si>
  <si>
    <t>Ret-SB--US0D</t>
  </si>
  <si>
    <t>Retención Subcontrato USD</t>
  </si>
  <si>
    <t>CATEGORIA2</t>
  </si>
  <si>
    <t>MAO / Por Distribuir (G)</t>
  </si>
  <si>
    <t>11-7101-000G</t>
  </si>
  <si>
    <t>MAO CD - Multas (G)</t>
  </si>
  <si>
    <t>12-7101-000G</t>
  </si>
  <si>
    <t>MAO CI - Multas (G)</t>
  </si>
  <si>
    <t>41-6201-040G</t>
  </si>
  <si>
    <t>EQU CD - Depreciacion maquinaria en Leasing</t>
  </si>
  <si>
    <t>41-6201-050G</t>
  </si>
  <si>
    <t>EQU CD - Depreciacion maquinaria</t>
  </si>
  <si>
    <t>GAS CI - Diferencia tipo de cambio</t>
  </si>
  <si>
    <t>GAS CI - Recuperación de Gastos (G)</t>
  </si>
  <si>
    <t>GAS CI - Traspaso venta obra / Todos (G)</t>
  </si>
  <si>
    <t>72-5801-000A</t>
  </si>
  <si>
    <t>72-5801-000G</t>
  </si>
  <si>
    <t>72-5801-010A</t>
  </si>
  <si>
    <t>72-5801-010G</t>
  </si>
  <si>
    <t>72-5802-000A</t>
  </si>
  <si>
    <t>72-5802-000G</t>
  </si>
  <si>
    <t>72-5803-010A</t>
  </si>
  <si>
    <t>72-5803-010G</t>
  </si>
  <si>
    <t>72-5804-000A</t>
  </si>
  <si>
    <t>72-5804-000G</t>
  </si>
  <si>
    <t>GAS CI - Diferencia de Cambio Dólar (G)</t>
  </si>
  <si>
    <t>91-0200-301C</t>
  </si>
  <si>
    <t>91-0200-311C</t>
  </si>
  <si>
    <t>91-0200-321C</t>
  </si>
  <si>
    <t>91-0300-301C</t>
  </si>
  <si>
    <t>91-0300-302C</t>
  </si>
  <si>
    <t>91-0300-303C</t>
  </si>
  <si>
    <t>GAS CI - Gastos Generales Reembolsables (A)</t>
  </si>
  <si>
    <t>72-4010-700G</t>
  </si>
  <si>
    <t>GAS CI / Resultado Forward (G)</t>
  </si>
  <si>
    <t>72-6010-100G</t>
  </si>
  <si>
    <t>72-6010-111G</t>
  </si>
  <si>
    <t>GAS CI -Diferencia Tipo de Cambio otras monedas (G)</t>
  </si>
  <si>
    <t>72-EERR-001G</t>
  </si>
  <si>
    <t>GAS CI - Intereses EERR / Pagadas o Devengadas (G)</t>
  </si>
  <si>
    <t>72-RBCO-001G</t>
  </si>
  <si>
    <t>GAS CI - Reajuste Banco (G)</t>
  </si>
  <si>
    <t>GAS CI - Reajustes de Banco (G)</t>
  </si>
  <si>
    <t>ING EDP - Partida-Anticipo - UF  (C)</t>
  </si>
  <si>
    <t>91-0300-304C</t>
  </si>
  <si>
    <t>MAO CD - Civil  / Movimiento de tierra (G)</t>
  </si>
  <si>
    <t>11-0231-201G</t>
  </si>
  <si>
    <t>Remuneraciones / Otros Gastos / Prov. Vacaciones</t>
  </si>
  <si>
    <t>11-0321-619A</t>
  </si>
  <si>
    <t>Remuneraciones / Remuneraciones / Otros Dsctos. al Personal</t>
  </si>
  <si>
    <t>11-0321-619G</t>
  </si>
  <si>
    <t>11-0331-201G</t>
  </si>
  <si>
    <t>Remuneraciones / Remuneraciones / Remuneraciones</t>
  </si>
  <si>
    <t>21-0700-001G</t>
  </si>
  <si>
    <t>MO / Mano de Obra (G)</t>
  </si>
  <si>
    <t>44-1631-603G</t>
  </si>
  <si>
    <t>Oficina / Activo Fijo / Depr.  Muebles Y Utiles</t>
  </si>
  <si>
    <t>44-1631-606G</t>
  </si>
  <si>
    <t>Oficina / Activo Fijo / Depreciacion Instalaciones</t>
  </si>
  <si>
    <t>44-1631-614G</t>
  </si>
  <si>
    <t>Oficina / Activo Fijo / Depr.  D. De Uso De Bs. Rcs.</t>
  </si>
  <si>
    <t>71-0131-510A</t>
  </si>
  <si>
    <t>Remuneraciones / Honorarios / Honorarios</t>
  </si>
  <si>
    <t>71-0131-510G</t>
  </si>
  <si>
    <t>72-0431-507A</t>
  </si>
  <si>
    <t>Otros gastos personal / CCHo Rendiciones / CCH o Rendiciones</t>
  </si>
  <si>
    <t>72-0431-507G</t>
  </si>
  <si>
    <t>72-0531-511A</t>
  </si>
  <si>
    <t>Otros gastos personal / Beneficios / Beneficios</t>
  </si>
  <si>
    <t>72-0531-511G</t>
  </si>
  <si>
    <t>72-0631-511A</t>
  </si>
  <si>
    <t>Otros gastos personal / Estadía / Estadia</t>
  </si>
  <si>
    <t>72-0631-511G</t>
  </si>
  <si>
    <t>72-0731-511A</t>
  </si>
  <si>
    <t>Otros gastos personal / Gastos personal / Gastos personal</t>
  </si>
  <si>
    <t>72-0731-511G</t>
  </si>
  <si>
    <t>72-0831-511A</t>
  </si>
  <si>
    <t>Otros gastos personal / Viajes / Viajes</t>
  </si>
  <si>
    <t>72-0831-511G</t>
  </si>
  <si>
    <t>72-0931-505A</t>
  </si>
  <si>
    <t>Otros gastos personal / Insumos Oficina / Insumos Oficina</t>
  </si>
  <si>
    <t>72-0931-505G</t>
  </si>
  <si>
    <t>99-2941-203C</t>
  </si>
  <si>
    <t>Ingresos / Del Giro</t>
  </si>
  <si>
    <t>99-2941-502C</t>
  </si>
  <si>
    <t>Ingresos / Otras Entradas de Explotacion</t>
  </si>
  <si>
    <t>Mano de Obra</t>
  </si>
  <si>
    <t>0A08</t>
  </si>
  <si>
    <t>Alimentación</t>
  </si>
  <si>
    <t>1H09</t>
  </si>
  <si>
    <t>1H10</t>
  </si>
  <si>
    <t>1H04</t>
  </si>
  <si>
    <t>1I01</t>
  </si>
  <si>
    <t>1I03</t>
  </si>
  <si>
    <t>1I06</t>
  </si>
  <si>
    <t>1I09</t>
  </si>
  <si>
    <t>1I13</t>
  </si>
  <si>
    <t>1I14</t>
  </si>
  <si>
    <t>0B06</t>
  </si>
  <si>
    <t>0B07</t>
  </si>
  <si>
    <t>0B08</t>
  </si>
  <si>
    <t>0B09</t>
  </si>
  <si>
    <t>1F12</t>
  </si>
  <si>
    <t>1J03</t>
  </si>
  <si>
    <t>Columna1</t>
  </si>
  <si>
    <t>0D07</t>
  </si>
  <si>
    <t>0D08</t>
  </si>
  <si>
    <t xml:space="preserve">    </t>
  </si>
  <si>
    <t xml:space="preserve">                                            </t>
  </si>
  <si>
    <t>1G03</t>
  </si>
  <si>
    <t>1G05</t>
  </si>
  <si>
    <t>CC: EIMI00412 
MONTAJE ELECTROMECÁNICO " PROYECTO NUEVAS PRENSAS DE LODOS"</t>
  </si>
  <si>
    <t>CMPC</t>
  </si>
  <si>
    <t>Jose Petersen</t>
  </si>
  <si>
    <t>Cliente                                     :</t>
  </si>
  <si>
    <t>Administrador de Proyecto      :</t>
  </si>
  <si>
    <t>Centros de Costos                   :</t>
  </si>
  <si>
    <t>EIMI00412</t>
  </si>
  <si>
    <t>INFORME DE COSTOS N° 3</t>
  </si>
  <si>
    <t>NOVIEMBRE</t>
  </si>
  <si>
    <t>venta final</t>
  </si>
  <si>
    <t>venta a la fecha</t>
  </si>
  <si>
    <t>ut original</t>
  </si>
  <si>
    <t>sobre ut</t>
  </si>
  <si>
    <t>Participacion</t>
  </si>
  <si>
    <t xml:space="preserve">Ut </t>
  </si>
  <si>
    <t>Ut Sin Sobre</t>
  </si>
  <si>
    <t>Avance</t>
  </si>
  <si>
    <t>Ut x avance</t>
  </si>
  <si>
    <t>Retencion</t>
  </si>
  <si>
    <t>Ut menos Ret</t>
  </si>
  <si>
    <t>Bono Cump</t>
  </si>
  <si>
    <t>Bono GP</t>
  </si>
  <si>
    <t>Bono GOP</t>
  </si>
  <si>
    <t xml:space="preserve">Contingencia </t>
  </si>
  <si>
    <t xml:space="preserve">RESULTADO </t>
  </si>
  <si>
    <t>DICIEMBRE</t>
  </si>
  <si>
    <t>Resultado Mes</t>
  </si>
  <si>
    <t>0L01</t>
  </si>
  <si>
    <t>0N02</t>
  </si>
  <si>
    <t>0P01</t>
  </si>
  <si>
    <t>0P02</t>
  </si>
  <si>
    <t>0P03</t>
  </si>
  <si>
    <t>0P04</t>
  </si>
  <si>
    <t>0P05</t>
  </si>
  <si>
    <t>0P06</t>
  </si>
  <si>
    <t>0P07</t>
  </si>
  <si>
    <t>0P08</t>
  </si>
  <si>
    <t>0P09</t>
  </si>
  <si>
    <t>0P10</t>
  </si>
  <si>
    <t>0Q01</t>
  </si>
  <si>
    <t>0Q02</t>
  </si>
  <si>
    <t>0Q03</t>
  </si>
  <si>
    <t>0Q04</t>
  </si>
  <si>
    <t>1Y01</t>
  </si>
  <si>
    <t>1Y02</t>
  </si>
  <si>
    <t>1Y03</t>
  </si>
  <si>
    <t>1Y04</t>
  </si>
  <si>
    <t>1Y05</t>
  </si>
  <si>
    <t>1Y06</t>
  </si>
  <si>
    <t>1Y07</t>
  </si>
  <si>
    <t>1Y08</t>
  </si>
  <si>
    <t>1Y09</t>
  </si>
  <si>
    <t>1Y10</t>
  </si>
  <si>
    <t>1Y11</t>
  </si>
  <si>
    <t>PBI</t>
  </si>
  <si>
    <t>DIFERENCIA</t>
  </si>
  <si>
    <t>0A09</t>
  </si>
  <si>
    <t>0A10</t>
  </si>
  <si>
    <t>0A11</t>
  </si>
  <si>
    <t>0A12</t>
  </si>
  <si>
    <t>0A13</t>
  </si>
  <si>
    <t>0B10</t>
  </si>
  <si>
    <t>0B11</t>
  </si>
  <si>
    <t>0C06</t>
  </si>
  <si>
    <t>0C07</t>
  </si>
  <si>
    <t>0D09</t>
  </si>
  <si>
    <t>0D10</t>
  </si>
  <si>
    <t>0X02</t>
  </si>
  <si>
    <t>0X08</t>
  </si>
  <si>
    <t>0X09</t>
  </si>
  <si>
    <t>0X10</t>
  </si>
  <si>
    <t>0X11</t>
  </si>
  <si>
    <t>1F13</t>
  </si>
  <si>
    <t>INFORME COSTOS DIC-25</t>
  </si>
  <si>
    <t>REAJUSTE 
PAGADO</t>
  </si>
  <si>
    <t>REAJUSTE
PROYECTADO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</si>
</sst>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&quot;$&quot;\ * #,##0.00_-;\-&quot;$&quot;\ * #,##0.00_-;_-&quot;$&quot;\ * &quot;-&quot;??_-;_-@_-"/>
    <numFmt numFmtId="166" formatCode="_-* #,##0.00_-;\-* #,##0.00_-;_-* &quot;-&quot;??_-;_-@_-"/>
    <numFmt numFmtId="167" formatCode="[$-10C0A]#,##0;\(#,##0\)"/>
    <numFmt numFmtId="168" formatCode="[$-10C0A]#,##0;\-#,##0"/>
    <numFmt numFmtId="169" formatCode="_-* #,##0_-;\-* #,##0_-;_-* &quot;-&quot;??_-;_-@_-"/>
    <numFmt numFmtId="170" formatCode="#,##0_ ;[Red]\(\-#,##0\)"/>
    <numFmt numFmtId="171" formatCode="&quot;$&quot;\ #,##0"/>
    <numFmt numFmtId="172" formatCode="#,##0;[Red]\(\-#,##0\)"/>
    <numFmt numFmtId="173" formatCode="#,##0_ ;[Red]\-#,##0\ "/>
    <numFmt numFmtId="174" formatCode="_-* #,##0.00\ _P_t_s_-;\-* #,##0.00\ _P_t_s_-;_-* &quot;-&quot;??\ _P_t_s_-;_-@_-"/>
    <numFmt numFmtId="175" formatCode="_-&quot;$&quot;\ * #,##0_-;\-&quot;$&quot;\ * #,##0_-;_-&quot;$&quot;\ * &quot;-&quot;??_-;_-@_-"/>
    <numFmt numFmtId="176" formatCode="0.0"/>
    <numFmt numFmtId="177" formatCode="[$-10C0A]#,##0.00000;\-#,##0.00000"/>
    <numFmt numFmtId="178" formatCode="0.000"/>
    <numFmt numFmtId="179" formatCode="[$-10C0A]#,##0.00;\(#,##0.00\)"/>
    <numFmt numFmtId="180" formatCode="[$-10C0A]#,##0.0000;\(#,##0.0000\)"/>
    <numFmt numFmtId="181" formatCode="_ * #,##0.00_ ;_ * \-#,##0.00_ ;_ * &quot;-&quot;_ ;_ @_ "/>
  </numFmts>
  <fonts count="5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rgb="FF0D0605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6"/>
      <name val="Calibri"/>
      <family val="2"/>
    </font>
    <font>
      <b/>
      <sz val="11"/>
      <color rgb="FF000000"/>
      <name val="Arial"/>
      <family val="2"/>
    </font>
    <font>
      <u/>
      <sz val="16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1A0C09"/>
      <name val="Arial Narrow"/>
      <family val="2"/>
    </font>
    <font>
      <sz val="11"/>
      <color rgb="FF000000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3"/>
      <name val="Arial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i/>
      <u/>
      <sz val="10"/>
      <color rgb="FF0000FF"/>
      <name val="Arial Narrow"/>
      <family val="2"/>
    </font>
    <font>
      <b/>
      <u/>
      <sz val="10"/>
      <color rgb="FF0000FF"/>
      <name val="Arial Narrow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0"/>
      <name val="MS Sans Serif"/>
      <family val="2"/>
    </font>
    <font>
      <b/>
      <sz val="8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3D2D1"/>
        <bgColor rgb="FFD3D2D1"/>
      </patternFill>
    </fill>
    <fill>
      <patternFill patternType="solid">
        <fgColor rgb="FFA9BEBD"/>
        <bgColor rgb="FFA9BEBD"/>
      </patternFill>
    </fill>
    <fill>
      <patternFill patternType="solid">
        <fgColor rgb="FFD5B9B3"/>
        <bgColor rgb="FFD5B9B3"/>
      </patternFill>
    </fill>
    <fill>
      <patternFill patternType="solid">
        <fgColor rgb="FFDDDDDD"/>
        <bgColor rgb="FFDDDDDD"/>
      </patternFill>
    </fill>
    <fill>
      <patternFill patternType="solid">
        <fgColor rgb="FFD4DEDE"/>
        <bgColor rgb="FFD4DEDE"/>
      </patternFill>
    </fill>
    <fill>
      <patternFill patternType="solid">
        <fgColor rgb="FFEADCD9"/>
        <bgColor rgb="FFEADCD9"/>
      </patternFill>
    </fill>
    <fill>
      <patternFill patternType="solid">
        <fgColor rgb="FFEEEEEE"/>
        <bgColor rgb="FFEEEEEE"/>
      </patternFill>
    </fill>
    <fill>
      <patternFill patternType="solid">
        <fgColor rgb="FFE9EEEE"/>
        <bgColor rgb="FFE9EEEE"/>
      </patternFill>
    </fill>
    <fill>
      <patternFill patternType="solid">
        <fgColor rgb="FFF4EDEC"/>
        <bgColor rgb="FFF4EDEC"/>
      </patternFill>
    </fill>
    <fill>
      <patternFill patternType="solid">
        <fgColor rgb="FFFFFFFF"/>
        <bgColor rgb="FFFFFFFF"/>
      </patternFill>
    </fill>
    <fill>
      <patternFill patternType="solid">
        <fgColor rgb="FFDEDDDC"/>
        <bgColor rgb="FFDEDDDC"/>
      </patternFill>
    </fill>
    <fill>
      <patternFill patternType="solid">
        <fgColor rgb="FFBECECD"/>
        <bgColor rgb="FFBECECD"/>
      </patternFill>
    </fill>
    <fill>
      <patternFill patternType="solid">
        <fgColor rgb="FFE0CAC6"/>
        <bgColor rgb="FFE0CAC6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3AEAC"/>
        <bgColor rgb="FF93AEAC"/>
      </patternFill>
    </fill>
    <fill>
      <patternFill patternType="solid">
        <fgColor rgb="FFCBA8A0"/>
        <bgColor rgb="FFCBA8A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rgb="FFDEDDDC"/>
      </patternFill>
    </fill>
    <fill>
      <patternFill patternType="solid">
        <fgColor rgb="FF92D050"/>
        <bgColor rgb="FFBECECD"/>
      </patternFill>
    </fill>
    <fill>
      <patternFill patternType="solid">
        <fgColor rgb="FF92D050"/>
        <bgColor rgb="FFE0CAC6"/>
      </patternFill>
    </fill>
    <fill>
      <patternFill patternType="solid">
        <fgColor rgb="FF92D050"/>
        <bgColor rgb="FFD4DEDE"/>
      </patternFill>
    </fill>
    <fill>
      <patternFill patternType="solid">
        <fgColor rgb="FF92D050"/>
        <bgColor rgb="FFEADCD9"/>
      </patternFill>
    </fill>
    <fill>
      <patternFill patternType="solid">
        <fgColor rgb="FF92D050"/>
        <bgColor rgb="FFDDDDDD"/>
      </patternFill>
    </fill>
    <fill>
      <patternFill patternType="solid">
        <fgColor rgb="FF92D050"/>
        <bgColor rgb="FFFFFFFF"/>
      </patternFill>
    </fill>
  </fills>
  <borders count="4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52">
    <xf numFmtId="0" fontId="0" fillId="0" borderId="0"/>
    <xf numFmtId="0" fontId="7" fillId="0" borderId="0"/>
    <xf numFmtId="166" fontId="7" fillId="0" borderId="0" applyFont="0" applyFill="0" applyBorder="0" applyAlignment="0" applyProtection="0"/>
    <xf numFmtId="0" fontId="9" fillId="0" borderId="0"/>
    <xf numFmtId="0" fontId="9" fillId="0" borderId="0"/>
    <xf numFmtId="174" fontId="9" fillId="0" borderId="0" applyFont="0" applyFill="0" applyBorder="0" applyAlignment="0" applyProtection="0"/>
    <xf numFmtId="0" fontId="9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7" fillId="0" borderId="0" applyFont="0" applyFill="0" applyBorder="0" applyAlignment="0" applyProtection="0"/>
    <xf numFmtId="0" fontId="22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8" fillId="0" borderId="0"/>
    <xf numFmtId="0" fontId="28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" fillId="0" borderId="0"/>
    <xf numFmtId="40" fontId="50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8" fontId="9" fillId="0" borderId="0"/>
    <xf numFmtId="38" fontId="50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9" fillId="0" borderId="0"/>
    <xf numFmtId="0" fontId="9" fillId="0" borderId="0"/>
    <xf numFmtId="0" fontId="7" fillId="0" borderId="0"/>
    <xf numFmtId="16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</cellStyleXfs>
  <cellXfs count="427">
    <xf numFmtId="0" fontId="0" fillId="0" borderId="0" xfId="0"/>
    <xf numFmtId="167" fontId="4" fillId="5" borderId="1" xfId="0" applyNumberFormat="1" applyFont="1" applyFill="1" applyBorder="1" applyAlignment="1">
      <alignment vertical="top" wrapText="1" readingOrder="1"/>
    </xf>
    <xf numFmtId="168" fontId="4" fillId="5" borderId="1" xfId="0" applyNumberFormat="1" applyFont="1" applyFill="1" applyBorder="1" applyAlignment="1">
      <alignment vertical="top" wrapText="1" readingOrder="1"/>
    </xf>
    <xf numFmtId="167" fontId="5" fillId="11" borderId="1" xfId="0" applyNumberFormat="1" applyFont="1" applyFill="1" applyBorder="1" applyAlignment="1">
      <alignment vertical="top" wrapText="1" readingOrder="1"/>
    </xf>
    <xf numFmtId="167" fontId="4" fillId="12" borderId="1" xfId="0" applyNumberFormat="1" applyFont="1" applyFill="1" applyBorder="1" applyAlignment="1">
      <alignment vertical="top" wrapText="1" readingOrder="1"/>
    </xf>
    <xf numFmtId="167" fontId="6" fillId="11" borderId="1" xfId="0" applyNumberFormat="1" applyFont="1" applyFill="1" applyBorder="1" applyAlignment="1">
      <alignment vertical="top" wrapText="1" readingOrder="1"/>
    </xf>
    <xf numFmtId="0" fontId="5" fillId="11" borderId="1" xfId="0" applyFont="1" applyFill="1" applyBorder="1" applyAlignment="1">
      <alignment vertical="top" wrapText="1" readingOrder="1"/>
    </xf>
    <xf numFmtId="0" fontId="4" fillId="12" borderId="1" xfId="0" applyFont="1" applyFill="1" applyBorder="1" applyAlignment="1">
      <alignment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  <xf numFmtId="168" fontId="4" fillId="14" borderId="1" xfId="0" applyNumberFormat="1" applyFont="1" applyFill="1" applyBorder="1" applyAlignment="1">
      <alignment vertical="top" wrapText="1" readingOrder="1"/>
    </xf>
    <xf numFmtId="168" fontId="6" fillId="11" borderId="1" xfId="0" applyNumberFormat="1" applyFont="1" applyFill="1" applyBorder="1" applyAlignment="1">
      <alignment vertical="top" wrapText="1" readingOrder="1"/>
    </xf>
    <xf numFmtId="168" fontId="4" fillId="7" borderId="1" xfId="0" applyNumberFormat="1" applyFont="1" applyFill="1" applyBorder="1" applyAlignment="1">
      <alignment vertical="top" wrapText="1" readingOrder="1"/>
    </xf>
    <xf numFmtId="168" fontId="4" fillId="6" borderId="1" xfId="0" applyNumberFormat="1" applyFont="1" applyFill="1" applyBorder="1" applyAlignment="1">
      <alignment vertical="top" wrapText="1" readingOrder="1"/>
    </xf>
    <xf numFmtId="168" fontId="4" fillId="13" borderId="1" xfId="0" applyNumberFormat="1" applyFont="1" applyFill="1" applyBorder="1" applyAlignment="1">
      <alignment vertical="top" wrapText="1" readingOrder="1"/>
    </xf>
    <xf numFmtId="0" fontId="2" fillId="0" borderId="0" xfId="0" applyFont="1"/>
    <xf numFmtId="0" fontId="9" fillId="0" borderId="0" xfId="3"/>
    <xf numFmtId="0" fontId="11" fillId="0" borderId="0" xfId="3" applyFont="1"/>
    <xf numFmtId="0" fontId="11" fillId="0" borderId="0" xfId="3" applyFont="1" applyAlignment="1">
      <alignment horizontal="center"/>
    </xf>
    <xf numFmtId="0" fontId="12" fillId="0" borderId="0" xfId="3" applyFont="1"/>
    <xf numFmtId="171" fontId="12" fillId="0" borderId="0" xfId="3" applyNumberFormat="1" applyFont="1"/>
    <xf numFmtId="171" fontId="9" fillId="0" borderId="0" xfId="3" applyNumberFormat="1"/>
    <xf numFmtId="0" fontId="13" fillId="0" borderId="32" xfId="3" applyFont="1" applyBorder="1" applyAlignment="1">
      <alignment horizontal="left"/>
    </xf>
    <xf numFmtId="172" fontId="12" fillId="0" borderId="32" xfId="3" applyNumberFormat="1" applyFont="1" applyBorder="1"/>
    <xf numFmtId="173" fontId="12" fillId="0" borderId="0" xfId="3" applyNumberFormat="1" applyFont="1"/>
    <xf numFmtId="171" fontId="14" fillId="0" borderId="0" xfId="3" applyNumberFormat="1" applyFont="1"/>
    <xf numFmtId="0" fontId="12" fillId="0" borderId="32" xfId="3" applyFont="1" applyBorder="1" applyAlignment="1">
      <alignment horizontal="left" indent="1"/>
    </xf>
    <xf numFmtId="0" fontId="13" fillId="0" borderId="32" xfId="3" applyFont="1" applyBorder="1"/>
    <xf numFmtId="172" fontId="13" fillId="0" borderId="32" xfId="3" applyNumberFormat="1" applyFont="1" applyBorder="1"/>
    <xf numFmtId="0" fontId="12" fillId="0" borderId="32" xfId="3" applyFont="1" applyBorder="1"/>
    <xf numFmtId="0" fontId="12" fillId="0" borderId="0" xfId="3" applyFont="1" applyAlignment="1">
      <alignment horizontal="left"/>
    </xf>
    <xf numFmtId="172" fontId="12" fillId="0" borderId="0" xfId="3" applyNumberFormat="1" applyFont="1"/>
    <xf numFmtId="173" fontId="13" fillId="0" borderId="0" xfId="3" applyNumberFormat="1" applyFont="1"/>
    <xf numFmtId="0" fontId="13" fillId="0" borderId="0" xfId="3" applyFont="1"/>
    <xf numFmtId="172" fontId="13" fillId="0" borderId="0" xfId="3" applyNumberFormat="1" applyFont="1"/>
    <xf numFmtId="15" fontId="12" fillId="0" borderId="34" xfId="3" applyNumberFormat="1" applyFont="1" applyBorder="1"/>
    <xf numFmtId="15" fontId="12" fillId="0" borderId="0" xfId="3" applyNumberFormat="1" applyFont="1"/>
    <xf numFmtId="172" fontId="9" fillId="0" borderId="0" xfId="3" applyNumberFormat="1"/>
    <xf numFmtId="171" fontId="12" fillId="0" borderId="0" xfId="3" applyNumberFormat="1" applyFont="1" applyAlignment="1">
      <alignment horizontal="left"/>
    </xf>
    <xf numFmtId="0" fontId="9" fillId="0" borderId="35" xfId="3" applyBorder="1"/>
    <xf numFmtId="14" fontId="0" fillId="0" borderId="0" xfId="0" applyNumberFormat="1"/>
    <xf numFmtId="0" fontId="11" fillId="18" borderId="32" xfId="3" applyFont="1" applyFill="1" applyBorder="1" applyAlignment="1">
      <alignment horizontal="center" wrapText="1"/>
    </xf>
    <xf numFmtId="0" fontId="11" fillId="18" borderId="32" xfId="3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3" applyFont="1"/>
    <xf numFmtId="0" fontId="2" fillId="0" borderId="4" xfId="0" applyFont="1" applyBorder="1" applyAlignment="1">
      <alignment horizontal="center"/>
    </xf>
    <xf numFmtId="0" fontId="9" fillId="15" borderId="0" xfId="4" applyFill="1"/>
    <xf numFmtId="0" fontId="9" fillId="15" borderId="36" xfId="4" applyFill="1" applyBorder="1"/>
    <xf numFmtId="0" fontId="9" fillId="15" borderId="37" xfId="4" applyFill="1" applyBorder="1"/>
    <xf numFmtId="0" fontId="9" fillId="15" borderId="38" xfId="4" applyFill="1" applyBorder="1"/>
    <xf numFmtId="0" fontId="9" fillId="15" borderId="25" xfId="4" applyFill="1" applyBorder="1"/>
    <xf numFmtId="0" fontId="9" fillId="15" borderId="39" xfId="4" applyFill="1" applyBorder="1"/>
    <xf numFmtId="0" fontId="9" fillId="15" borderId="39" xfId="4" applyFill="1" applyBorder="1" applyAlignment="1">
      <alignment horizontal="right"/>
    </xf>
    <xf numFmtId="172" fontId="13" fillId="15" borderId="0" xfId="6" applyNumberFormat="1" applyFont="1" applyFill="1" applyAlignment="1">
      <alignment vertical="top"/>
    </xf>
    <xf numFmtId="172" fontId="13" fillId="15" borderId="39" xfId="6" applyNumberFormat="1" applyFont="1" applyFill="1" applyBorder="1" applyAlignment="1">
      <alignment vertical="top"/>
    </xf>
    <xf numFmtId="0" fontId="9" fillId="15" borderId="0" xfId="4" applyFill="1" applyAlignment="1">
      <alignment horizontal="center"/>
    </xf>
    <xf numFmtId="0" fontId="11" fillId="15" borderId="0" xfId="4" applyFont="1" applyFill="1" applyAlignment="1">
      <alignment wrapText="1"/>
    </xf>
    <xf numFmtId="0" fontId="11" fillId="15" borderId="0" xfId="4" applyFont="1" applyFill="1"/>
    <xf numFmtId="0" fontId="19" fillId="15" borderId="0" xfId="4" applyFont="1" applyFill="1"/>
    <xf numFmtId="0" fontId="18" fillId="15" borderId="0" xfId="7" applyFill="1" applyBorder="1" applyAlignment="1" applyProtection="1"/>
    <xf numFmtId="0" fontId="9" fillId="15" borderId="40" xfId="4" applyFill="1" applyBorder="1"/>
    <xf numFmtId="0" fontId="9" fillId="15" borderId="41" xfId="4" applyFill="1" applyBorder="1"/>
    <xf numFmtId="0" fontId="9" fillId="15" borderId="42" xfId="4" applyFill="1" applyBorder="1"/>
    <xf numFmtId="0" fontId="12" fillId="15" borderId="0" xfId="4" applyFont="1" applyFill="1"/>
    <xf numFmtId="0" fontId="15" fillId="15" borderId="0" xfId="0" applyFont="1" applyFill="1" applyAlignment="1">
      <alignment vertical="center"/>
    </xf>
    <xf numFmtId="0" fontId="20" fillId="0" borderId="0" xfId="0" applyFont="1"/>
    <xf numFmtId="175" fontId="8" fillId="0" borderId="0" xfId="8" applyNumberFormat="1" applyFont="1"/>
    <xf numFmtId="49" fontId="11" fillId="15" borderId="0" xfId="4" applyNumberFormat="1" applyFont="1" applyFill="1"/>
    <xf numFmtId="0" fontId="23" fillId="0" borderId="0" xfId="3" applyFont="1"/>
    <xf numFmtId="0" fontId="13" fillId="18" borderId="32" xfId="3" applyFont="1" applyFill="1" applyBorder="1" applyAlignment="1">
      <alignment horizontal="center" vertical="center"/>
    </xf>
    <xf numFmtId="0" fontId="13" fillId="0" borderId="32" xfId="3" applyFont="1" applyBorder="1" applyAlignment="1">
      <alignment horizontal="center"/>
    </xf>
    <xf numFmtId="0" fontId="12" fillId="0" borderId="0" xfId="3" applyFont="1" applyAlignment="1">
      <alignment horizontal="center"/>
    </xf>
    <xf numFmtId="168" fontId="5" fillId="11" borderId="1" xfId="0" applyNumberFormat="1" applyFont="1" applyFill="1" applyBorder="1" applyAlignment="1">
      <alignment vertical="top" wrapText="1" readingOrder="1"/>
    </xf>
    <xf numFmtId="0" fontId="13" fillId="0" borderId="0" xfId="3" applyFont="1" applyAlignment="1">
      <alignment horizontal="center"/>
    </xf>
    <xf numFmtId="0" fontId="26" fillId="0" borderId="0" xfId="0" applyFont="1"/>
    <xf numFmtId="0" fontId="24" fillId="0" borderId="0" xfId="3" applyFont="1" applyAlignment="1">
      <alignment horizontal="center"/>
    </xf>
    <xf numFmtId="0" fontId="12" fillId="0" borderId="0" xfId="3" applyFont="1" applyAlignment="1">
      <alignment horizontal="center" wrapText="1"/>
    </xf>
    <xf numFmtId="0" fontId="25" fillId="0" borderId="0" xfId="0" applyFont="1"/>
    <xf numFmtId="172" fontId="13" fillId="19" borderId="32" xfId="3" applyNumberFormat="1" applyFont="1" applyFill="1" applyBorder="1"/>
    <xf numFmtId="0" fontId="11" fillId="19" borderId="32" xfId="3" applyFont="1" applyFill="1" applyBorder="1"/>
    <xf numFmtId="0" fontId="17" fillId="0" borderId="0" xfId="3" applyFont="1" applyAlignment="1">
      <alignment horizontal="center"/>
    </xf>
    <xf numFmtId="0" fontId="3" fillId="2" borderId="1" xfId="0" applyFont="1" applyFill="1" applyBorder="1" applyAlignment="1">
      <alignment horizontal="center" vertical="top" wrapText="1" readingOrder="1"/>
    </xf>
    <xf numFmtId="0" fontId="4" fillId="8" borderId="1" xfId="0" applyFont="1" applyFill="1" applyBorder="1" applyAlignment="1">
      <alignment vertical="top" wrapText="1" readingOrder="1"/>
    </xf>
    <xf numFmtId="167" fontId="4" fillId="8" borderId="1" xfId="0" applyNumberFormat="1" applyFont="1" applyFill="1" applyBorder="1" applyAlignment="1">
      <alignment vertical="top" wrapText="1" readingOrder="1"/>
    </xf>
    <xf numFmtId="168" fontId="4" fillId="9" borderId="1" xfId="0" applyNumberFormat="1" applyFont="1" applyFill="1" applyBorder="1" applyAlignment="1">
      <alignment vertical="top" wrapText="1" readingOrder="1"/>
    </xf>
    <xf numFmtId="168" fontId="4" fillId="10" borderId="1" xfId="0" applyNumberFormat="1" applyFont="1" applyFill="1" applyBorder="1" applyAlignment="1">
      <alignment vertical="top" wrapText="1" readingOrder="1"/>
    </xf>
    <xf numFmtId="168" fontId="5" fillId="0" borderId="1" xfId="0" applyNumberFormat="1" applyFont="1" applyBorder="1" applyAlignment="1">
      <alignment vertical="top" wrapText="1" readingOrder="1"/>
    </xf>
    <xf numFmtId="167" fontId="5" fillId="0" borderId="1" xfId="0" applyNumberFormat="1" applyFont="1" applyBorder="1" applyAlignment="1">
      <alignment horizontal="right" vertical="top" wrapText="1" readingOrder="1"/>
    </xf>
    <xf numFmtId="168" fontId="4" fillId="8" borderId="1" xfId="0" applyNumberFormat="1" applyFont="1" applyFill="1" applyBorder="1" applyAlignment="1">
      <alignment vertical="top" wrapText="1" readingOrder="1"/>
    </xf>
    <xf numFmtId="168" fontId="27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17" fillId="0" borderId="0" xfId="3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 readingOrder="1"/>
    </xf>
    <xf numFmtId="0" fontId="18" fillId="15" borderId="0" xfId="7" applyFill="1" applyBorder="1" applyAlignment="1" applyProtection="1">
      <protection locked="0"/>
    </xf>
    <xf numFmtId="0" fontId="17" fillId="0" borderId="0" xfId="3" applyFont="1" applyAlignment="1">
      <alignment vertical="center"/>
    </xf>
    <xf numFmtId="38" fontId="29" fillId="0" borderId="0" xfId="3" applyNumberFormat="1" applyFont="1"/>
    <xf numFmtId="0" fontId="16" fillId="0" borderId="0" xfId="0" applyFont="1" applyAlignment="1">
      <alignment horizontal="left" vertical="top" wrapText="1" readingOrder="1"/>
    </xf>
    <xf numFmtId="0" fontId="7" fillId="15" borderId="0" xfId="1" applyFill="1" applyAlignment="1" applyProtection="1">
      <alignment horizontal="center"/>
      <protection locked="0"/>
    </xf>
    <xf numFmtId="0" fontId="7" fillId="15" borderId="0" xfId="1" applyFill="1" applyProtection="1">
      <protection locked="0"/>
    </xf>
    <xf numFmtId="0" fontId="8" fillId="16" borderId="13" xfId="1" applyFont="1" applyFill="1" applyBorder="1" applyAlignment="1" applyProtection="1">
      <alignment horizontal="center"/>
      <protection locked="0"/>
    </xf>
    <xf numFmtId="0" fontId="8" fillId="15" borderId="0" xfId="1" applyFont="1" applyFill="1" applyAlignment="1" applyProtection="1">
      <alignment horizontal="center"/>
      <protection locked="0"/>
    </xf>
    <xf numFmtId="0" fontId="8" fillId="15" borderId="14" xfId="1" applyFont="1" applyFill="1" applyBorder="1" applyAlignment="1" applyProtection="1">
      <alignment horizontal="center"/>
      <protection locked="0"/>
    </xf>
    <xf numFmtId="0" fontId="8" fillId="16" borderId="15" xfId="1" applyFont="1" applyFill="1" applyBorder="1" applyAlignment="1" applyProtection="1">
      <alignment horizontal="center"/>
      <protection locked="0"/>
    </xf>
    <xf numFmtId="0" fontId="8" fillId="16" borderId="16" xfId="1" applyFont="1" applyFill="1" applyBorder="1" applyAlignment="1" applyProtection="1">
      <alignment horizontal="center"/>
      <protection locked="0"/>
    </xf>
    <xf numFmtId="0" fontId="8" fillId="16" borderId="17" xfId="1" applyFont="1" applyFill="1" applyBorder="1" applyAlignment="1" applyProtection="1">
      <alignment horizontal="center"/>
      <protection locked="0"/>
    </xf>
    <xf numFmtId="0" fontId="8" fillId="16" borderId="18" xfId="1" applyFont="1" applyFill="1" applyBorder="1" applyAlignment="1" applyProtection="1">
      <alignment horizontal="center"/>
      <protection locked="0"/>
    </xf>
    <xf numFmtId="0" fontId="8" fillId="16" borderId="19" xfId="1" applyFont="1" applyFill="1" applyBorder="1" applyAlignment="1" applyProtection="1">
      <alignment horizontal="center"/>
      <protection locked="0"/>
    </xf>
    <xf numFmtId="0" fontId="8" fillId="17" borderId="15" xfId="1" applyFont="1" applyFill="1" applyBorder="1" applyAlignment="1" applyProtection="1">
      <alignment horizontal="center"/>
      <protection locked="0"/>
    </xf>
    <xf numFmtId="0" fontId="8" fillId="17" borderId="16" xfId="1" applyFont="1" applyFill="1" applyBorder="1" applyAlignment="1" applyProtection="1">
      <alignment horizontal="center"/>
      <protection locked="0"/>
    </xf>
    <xf numFmtId="0" fontId="8" fillId="17" borderId="20" xfId="1" applyFont="1" applyFill="1" applyBorder="1" applyAlignment="1" applyProtection="1">
      <alignment horizontal="center"/>
      <protection locked="0"/>
    </xf>
    <xf numFmtId="0" fontId="8" fillId="17" borderId="17" xfId="1" applyFont="1" applyFill="1" applyBorder="1" applyAlignment="1" applyProtection="1">
      <alignment horizontal="center"/>
      <protection locked="0"/>
    </xf>
    <xf numFmtId="0" fontId="8" fillId="17" borderId="19" xfId="1" applyFont="1" applyFill="1" applyBorder="1" applyAlignment="1" applyProtection="1">
      <alignment horizontal="center"/>
      <protection locked="0"/>
    </xf>
    <xf numFmtId="0" fontId="8" fillId="17" borderId="21" xfId="1" applyFont="1" applyFill="1" applyBorder="1" applyAlignment="1" applyProtection="1">
      <alignment horizontal="center"/>
      <protection locked="0"/>
    </xf>
    <xf numFmtId="0" fontId="8" fillId="16" borderId="15" xfId="1" applyFont="1" applyFill="1" applyBorder="1" applyAlignment="1" applyProtection="1">
      <alignment horizontal="center" wrapText="1"/>
      <protection locked="0"/>
    </xf>
    <xf numFmtId="0" fontId="8" fillId="16" borderId="16" xfId="1" applyFont="1" applyFill="1" applyBorder="1" applyAlignment="1" applyProtection="1">
      <alignment horizontal="center" wrapText="1"/>
      <protection locked="0"/>
    </xf>
    <xf numFmtId="0" fontId="8" fillId="16" borderId="18" xfId="1" applyFont="1" applyFill="1" applyBorder="1" applyAlignment="1" applyProtection="1">
      <alignment horizontal="center" wrapText="1"/>
      <protection locked="0"/>
    </xf>
    <xf numFmtId="0" fontId="8" fillId="17" borderId="15" xfId="1" applyFont="1" applyFill="1" applyBorder="1" applyAlignment="1" applyProtection="1">
      <alignment horizontal="center" wrapText="1"/>
      <protection locked="0"/>
    </xf>
    <xf numFmtId="0" fontId="8" fillId="17" borderId="16" xfId="1" applyFont="1" applyFill="1" applyBorder="1" applyAlignment="1" applyProtection="1">
      <alignment horizontal="center" wrapText="1"/>
      <protection locked="0"/>
    </xf>
    <xf numFmtId="0" fontId="8" fillId="17" borderId="18" xfId="1" applyFont="1" applyFill="1" applyBorder="1" applyAlignment="1" applyProtection="1">
      <alignment horizontal="center" wrapText="1"/>
      <protection locked="0"/>
    </xf>
    <xf numFmtId="0" fontId="8" fillId="17" borderId="20" xfId="1" applyFont="1" applyFill="1" applyBorder="1" applyAlignment="1" applyProtection="1">
      <alignment horizontal="center" wrapText="1"/>
      <protection locked="0"/>
    </xf>
    <xf numFmtId="0" fontId="8" fillId="17" borderId="21" xfId="1" applyFont="1" applyFill="1" applyBorder="1" applyAlignment="1" applyProtection="1">
      <alignment horizontal="center" wrapText="1"/>
      <protection locked="0"/>
    </xf>
    <xf numFmtId="175" fontId="0" fillId="0" borderId="0" xfId="0" applyNumberFormat="1"/>
    <xf numFmtId="0" fontId="31" fillId="0" borderId="0" xfId="0" applyFont="1"/>
    <xf numFmtId="0" fontId="31" fillId="0" borderId="0" xfId="0" applyFont="1" applyAlignment="1">
      <alignment vertical="center"/>
    </xf>
    <xf numFmtId="167" fontId="31" fillId="0" borderId="0" xfId="0" applyNumberFormat="1" applyFont="1"/>
    <xf numFmtId="0" fontId="8" fillId="17" borderId="9" xfId="1" applyFont="1" applyFill="1" applyBorder="1" applyAlignment="1" applyProtection="1">
      <alignment horizontal="center"/>
      <protection locked="0"/>
    </xf>
    <xf numFmtId="168" fontId="31" fillId="0" borderId="0" xfId="0" applyNumberFormat="1" applyFont="1"/>
    <xf numFmtId="41" fontId="0" fillId="0" borderId="32" xfId="15" applyFont="1" applyFill="1" applyBorder="1"/>
    <xf numFmtId="175" fontId="8" fillId="0" borderId="0" xfId="0" applyNumberFormat="1" applyFont="1"/>
    <xf numFmtId="169" fontId="0" fillId="0" borderId="25" xfId="2" applyNumberFormat="1" applyFont="1" applyFill="1" applyBorder="1" applyProtection="1">
      <protection locked="0"/>
    </xf>
    <xf numFmtId="169" fontId="0" fillId="0" borderId="26" xfId="2" applyNumberFormat="1" applyFont="1" applyFill="1" applyBorder="1" applyProtection="1">
      <protection locked="0"/>
    </xf>
    <xf numFmtId="169" fontId="0" fillId="0" borderId="23" xfId="2" applyNumberFormat="1" applyFont="1" applyFill="1" applyBorder="1" applyProtection="1">
      <protection locked="0"/>
    </xf>
    <xf numFmtId="169" fontId="0" fillId="0" borderId="0" xfId="2" applyNumberFormat="1" applyFont="1" applyFill="1" applyBorder="1" applyProtection="1">
      <protection locked="0"/>
    </xf>
    <xf numFmtId="169" fontId="0" fillId="0" borderId="0" xfId="2" applyNumberFormat="1" applyFont="1" applyFill="1" applyProtection="1">
      <protection locked="0"/>
    </xf>
    <xf numFmtId="168" fontId="2" fillId="0" borderId="0" xfId="0" applyNumberFormat="1" applyFont="1"/>
    <xf numFmtId="0" fontId="11" fillId="15" borderId="0" xfId="4" applyFont="1" applyFill="1" applyAlignment="1">
      <alignment vertical="center"/>
    </xf>
    <xf numFmtId="170" fontId="0" fillId="0" borderId="23" xfId="2" applyNumberFormat="1" applyFont="1" applyFill="1" applyBorder="1" applyProtection="1"/>
    <xf numFmtId="0" fontId="7" fillId="15" borderId="0" xfId="1" applyFill="1"/>
    <xf numFmtId="169" fontId="0" fillId="0" borderId="30" xfId="2" applyNumberFormat="1" applyFont="1" applyFill="1" applyBorder="1" applyProtection="1"/>
    <xf numFmtId="169" fontId="0" fillId="0" borderId="29" xfId="2" applyNumberFormat="1" applyFont="1" applyFill="1" applyBorder="1" applyProtection="1"/>
    <xf numFmtId="169" fontId="0" fillId="0" borderId="28" xfId="2" applyNumberFormat="1" applyFont="1" applyFill="1" applyBorder="1" applyProtection="1"/>
    <xf numFmtId="169" fontId="33" fillId="0" borderId="28" xfId="2" applyNumberFormat="1" applyFont="1" applyFill="1" applyBorder="1" applyProtection="1"/>
    <xf numFmtId="169" fontId="0" fillId="0" borderId="25" xfId="2" applyNumberFormat="1" applyFont="1" applyFill="1" applyBorder="1" applyProtection="1"/>
    <xf numFmtId="0" fontId="21" fillId="0" borderId="33" xfId="1" applyFont="1" applyBorder="1"/>
    <xf numFmtId="169" fontId="8" fillId="15" borderId="31" xfId="2" applyNumberFormat="1" applyFont="1" applyFill="1" applyBorder="1" applyProtection="1"/>
    <xf numFmtId="14" fontId="11" fillId="15" borderId="0" xfId="4" applyNumberFormat="1" applyFont="1" applyFill="1" applyProtection="1">
      <protection locked="0"/>
    </xf>
    <xf numFmtId="42" fontId="0" fillId="31" borderId="32" xfId="17" applyFont="1" applyFill="1" applyBorder="1"/>
    <xf numFmtId="42" fontId="0" fillId="28" borderId="32" xfId="17" applyFont="1" applyFill="1" applyBorder="1"/>
    <xf numFmtId="42" fontId="0" fillId="25" borderId="32" xfId="17" applyFont="1" applyFill="1" applyBorder="1"/>
    <xf numFmtId="42" fontId="0" fillId="22" borderId="32" xfId="17" applyFont="1" applyFill="1" applyBorder="1"/>
    <xf numFmtId="42" fontId="0" fillId="0" borderId="32" xfId="17" applyFont="1" applyBorder="1"/>
    <xf numFmtId="42" fontId="0" fillId="26" borderId="32" xfId="17" applyFont="1" applyFill="1" applyBorder="1"/>
    <xf numFmtId="10" fontId="0" fillId="0" borderId="32" xfId="16" applyNumberFormat="1" applyFont="1" applyBorder="1"/>
    <xf numFmtId="0" fontId="0" fillId="22" borderId="32" xfId="0" applyFill="1" applyBorder="1" applyAlignment="1">
      <alignment horizontal="center" vertical="center"/>
    </xf>
    <xf numFmtId="0" fontId="0" fillId="22" borderId="32" xfId="0" applyFill="1" applyBorder="1" applyAlignment="1">
      <alignment horizontal="center" vertical="center" wrapText="1"/>
    </xf>
    <xf numFmtId="0" fontId="0" fillId="0" borderId="32" xfId="0" applyBorder="1"/>
    <xf numFmtId="42" fontId="0" fillId="0" borderId="32" xfId="0" applyNumberFormat="1" applyBorder="1"/>
    <xf numFmtId="42" fontId="0" fillId="22" borderId="32" xfId="0" applyNumberFormat="1" applyFill="1" applyBorder="1"/>
    <xf numFmtId="42" fontId="0" fillId="26" borderId="32" xfId="0" applyNumberFormat="1" applyFill="1" applyBorder="1"/>
    <xf numFmtId="0" fontId="36" fillId="2" borderId="32" xfId="14" applyFont="1" applyFill="1" applyBorder="1" applyAlignment="1">
      <alignment horizontal="center" vertical="center" wrapText="1" readingOrder="1"/>
    </xf>
    <xf numFmtId="0" fontId="36" fillId="3" borderId="32" xfId="14" applyFont="1" applyFill="1" applyBorder="1" applyAlignment="1">
      <alignment horizontal="center" vertical="center" wrapText="1" readingOrder="1"/>
    </xf>
    <xf numFmtId="0" fontId="36" fillId="20" borderId="32" xfId="14" applyFont="1" applyFill="1" applyBorder="1" applyAlignment="1">
      <alignment horizontal="center" vertical="center" wrapText="1" readingOrder="1"/>
    </xf>
    <xf numFmtId="0" fontId="36" fillId="4" borderId="32" xfId="14" applyFont="1" applyFill="1" applyBorder="1" applyAlignment="1">
      <alignment horizontal="center" vertical="center" wrapText="1" readingOrder="1"/>
    </xf>
    <xf numFmtId="0" fontId="36" fillId="21" borderId="32" xfId="14" applyFont="1" applyFill="1" applyBorder="1" applyAlignment="1">
      <alignment horizontal="center" vertical="center" wrapText="1" readingOrder="1"/>
    </xf>
    <xf numFmtId="42" fontId="36" fillId="30" borderId="32" xfId="17" applyFont="1" applyFill="1" applyBorder="1" applyAlignment="1">
      <alignment horizontal="right" vertical="top" wrapText="1" readingOrder="1"/>
    </xf>
    <xf numFmtId="42" fontId="28" fillId="24" borderId="32" xfId="17" applyFont="1" applyFill="1" applyBorder="1" applyAlignment="1">
      <alignment vertical="top" wrapText="1" readingOrder="1"/>
    </xf>
    <xf numFmtId="42" fontId="28" fillId="11" borderId="32" xfId="17" applyFont="1" applyFill="1" applyBorder="1" applyAlignment="1">
      <alignment vertical="top" wrapText="1" readingOrder="1"/>
    </xf>
    <xf numFmtId="42" fontId="28" fillId="29" borderId="32" xfId="17" applyFont="1" applyFill="1" applyBorder="1" applyAlignment="1">
      <alignment vertical="top" wrapText="1" readingOrder="1"/>
    </xf>
    <xf numFmtId="42" fontId="28" fillId="23" borderId="32" xfId="17" applyFont="1" applyFill="1" applyBorder="1" applyAlignment="1">
      <alignment vertical="top" wrapText="1" readingOrder="1"/>
    </xf>
    <xf numFmtId="42" fontId="28" fillId="27" borderId="32" xfId="17" applyFont="1" applyFill="1" applyBorder="1" applyAlignment="1">
      <alignment vertical="top" wrapText="1" readingOrder="1"/>
    </xf>
    <xf numFmtId="42" fontId="36" fillId="11" borderId="32" xfId="17" applyFont="1" applyFill="1" applyBorder="1" applyAlignment="1">
      <alignment horizontal="center" vertical="top" wrapText="1" readingOrder="1"/>
    </xf>
    <xf numFmtId="0" fontId="37" fillId="18" borderId="32" xfId="3" applyFont="1" applyFill="1" applyBorder="1" applyAlignment="1">
      <alignment horizontal="center" vertical="center"/>
    </xf>
    <xf numFmtId="0" fontId="37" fillId="18" borderId="32" xfId="3" applyFont="1" applyFill="1" applyBorder="1" applyAlignment="1">
      <alignment horizontal="center" wrapText="1"/>
    </xf>
    <xf numFmtId="0" fontId="37" fillId="19" borderId="32" xfId="3" applyFont="1" applyFill="1" applyBorder="1"/>
    <xf numFmtId="42" fontId="37" fillId="31" borderId="32" xfId="17" applyFont="1" applyFill="1" applyBorder="1"/>
    <xf numFmtId="42" fontId="37" fillId="19" borderId="32" xfId="17" applyFont="1" applyFill="1" applyBorder="1"/>
    <xf numFmtId="42" fontId="37" fillId="28" borderId="32" xfId="17" applyFont="1" applyFill="1" applyBorder="1"/>
    <xf numFmtId="42" fontId="37" fillId="22" borderId="32" xfId="17" applyFont="1" applyFill="1" applyBorder="1"/>
    <xf numFmtId="0" fontId="36" fillId="2" borderId="44" xfId="0" applyFont="1" applyFill="1" applyBorder="1" applyAlignment="1">
      <alignment horizontal="center" vertical="center" wrapText="1" readingOrder="1"/>
    </xf>
    <xf numFmtId="0" fontId="36" fillId="3" borderId="44" xfId="0" applyFont="1" applyFill="1" applyBorder="1" applyAlignment="1">
      <alignment horizontal="center" vertical="center" wrapText="1" readingOrder="1"/>
    </xf>
    <xf numFmtId="0" fontId="36" fillId="2" borderId="45" xfId="0" applyFont="1" applyFill="1" applyBorder="1" applyAlignment="1">
      <alignment horizontal="center" vertical="center" wrapText="1" readingOrder="1"/>
    </xf>
    <xf numFmtId="0" fontId="36" fillId="4" borderId="45" xfId="0" applyFont="1" applyFill="1" applyBorder="1" applyAlignment="1">
      <alignment horizontal="center" vertical="center" wrapText="1" readingOrder="1"/>
    </xf>
    <xf numFmtId="0" fontId="36" fillId="3" borderId="45" xfId="0" applyFont="1" applyFill="1" applyBorder="1" applyAlignment="1">
      <alignment horizontal="center" vertical="center" wrapText="1" readingOrder="1"/>
    </xf>
    <xf numFmtId="0" fontId="8" fillId="15" borderId="11" xfId="1" applyFont="1" applyFill="1" applyBorder="1" applyAlignment="1" applyProtection="1">
      <alignment horizontal="center" wrapText="1"/>
      <protection locked="0"/>
    </xf>
    <xf numFmtId="0" fontId="8" fillId="15" borderId="11" xfId="1" applyFont="1" applyFill="1" applyBorder="1" applyAlignment="1" applyProtection="1">
      <alignment horizontal="center"/>
      <protection locked="0"/>
    </xf>
    <xf numFmtId="0" fontId="8" fillId="15" borderId="9" xfId="1" applyFont="1" applyFill="1" applyBorder="1" applyAlignment="1" applyProtection="1">
      <alignment horizontal="center"/>
      <protection locked="0"/>
    </xf>
    <xf numFmtId="0" fontId="8" fillId="16" borderId="17" xfId="1" applyFont="1" applyFill="1" applyBorder="1" applyAlignment="1" applyProtection="1">
      <alignment horizontal="center" wrapText="1"/>
      <protection locked="0"/>
    </xf>
    <xf numFmtId="0" fontId="8" fillId="16" borderId="19" xfId="1" applyFont="1" applyFill="1" applyBorder="1" applyAlignment="1" applyProtection="1">
      <alignment horizontal="center" wrapText="1"/>
      <protection locked="0"/>
    </xf>
    <xf numFmtId="0" fontId="8" fillId="17" borderId="19" xfId="1" applyFont="1" applyFill="1" applyBorder="1" applyAlignment="1" applyProtection="1">
      <alignment horizontal="center" wrapText="1"/>
      <protection locked="0"/>
    </xf>
    <xf numFmtId="0" fontId="8" fillId="16" borderId="13" xfId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69" fontId="38" fillId="0" borderId="28" xfId="2" applyNumberFormat="1" applyFont="1" applyFill="1" applyBorder="1" applyProtection="1"/>
    <xf numFmtId="169" fontId="33" fillId="0" borderId="30" xfId="2" applyNumberFormat="1" applyFont="1" applyFill="1" applyBorder="1" applyProtection="1"/>
    <xf numFmtId="0" fontId="11" fillId="15" borderId="0" xfId="4" applyFont="1" applyFill="1" applyAlignment="1" applyProtection="1">
      <alignment horizontal="left" vertical="center"/>
      <protection locked="0"/>
    </xf>
    <xf numFmtId="0" fontId="43" fillId="0" borderId="0" xfId="0" applyFont="1" applyAlignment="1">
      <alignment vertical="top" wrapText="1" readingOrder="1"/>
    </xf>
    <xf numFmtId="167" fontId="43" fillId="8" borderId="1" xfId="0" applyNumberFormat="1" applyFont="1" applyFill="1" applyBorder="1" applyAlignment="1">
      <alignment vertical="top" wrapText="1" readingOrder="1"/>
    </xf>
    <xf numFmtId="168" fontId="43" fillId="9" borderId="1" xfId="0" applyNumberFormat="1" applyFont="1" applyFill="1" applyBorder="1" applyAlignment="1">
      <alignment vertical="top" wrapText="1" readingOrder="1"/>
    </xf>
    <xf numFmtId="0" fontId="43" fillId="0" borderId="1" xfId="0" applyFont="1" applyBorder="1" applyAlignment="1">
      <alignment vertical="top" wrapText="1" readingOrder="1"/>
    </xf>
    <xf numFmtId="168" fontId="43" fillId="8" borderId="1" xfId="0" applyNumberFormat="1" applyFont="1" applyFill="1" applyBorder="1" applyAlignment="1">
      <alignment vertical="top" wrapText="1" readingOrder="1"/>
    </xf>
    <xf numFmtId="167" fontId="44" fillId="0" borderId="1" xfId="0" applyNumberFormat="1" applyFont="1" applyBorder="1" applyAlignment="1">
      <alignment horizontal="right" vertical="top" wrapText="1" readingOrder="1"/>
    </xf>
    <xf numFmtId="0" fontId="44" fillId="0" borderId="0" xfId="0" applyFont="1" applyAlignment="1">
      <alignment vertical="top" wrapText="1" readingOrder="1"/>
    </xf>
    <xf numFmtId="168" fontId="44" fillId="0" borderId="1" xfId="0" applyNumberFormat="1" applyFont="1" applyBorder="1" applyAlignment="1">
      <alignment vertical="top" wrapText="1" readingOrder="1"/>
    </xf>
    <xf numFmtId="168" fontId="44" fillId="0" borderId="1" xfId="0" applyNumberFormat="1" applyFont="1" applyBorder="1" applyAlignment="1">
      <alignment horizontal="right" vertical="top" wrapText="1" readingOrder="1"/>
    </xf>
    <xf numFmtId="168" fontId="45" fillId="0" borderId="1" xfId="0" applyNumberFormat="1" applyFont="1" applyBorder="1" applyAlignment="1">
      <alignment vertical="top" wrapText="1" readingOrder="1"/>
    </xf>
    <xf numFmtId="0" fontId="7" fillId="33" borderId="0" xfId="1" applyFill="1" applyProtection="1">
      <protection locked="0"/>
    </xf>
    <xf numFmtId="0" fontId="7" fillId="34" borderId="0" xfId="1" applyFill="1" applyProtection="1">
      <protection locked="0"/>
    </xf>
    <xf numFmtId="0" fontId="7" fillId="32" borderId="0" xfId="1" applyFill="1" applyProtection="1">
      <protection locked="0"/>
    </xf>
    <xf numFmtId="0" fontId="7" fillId="35" borderId="0" xfId="1" applyFill="1" applyAlignment="1" applyProtection="1">
      <alignment horizontal="center"/>
      <protection locked="0"/>
    </xf>
    <xf numFmtId="1" fontId="0" fillId="0" borderId="0" xfId="0" quotePrefix="1" applyNumberFormat="1"/>
    <xf numFmtId="169" fontId="37" fillId="0" borderId="27" xfId="2" applyNumberFormat="1" applyFont="1" applyFill="1" applyBorder="1" applyProtection="1">
      <protection locked="0"/>
    </xf>
    <xf numFmtId="0" fontId="44" fillId="0" borderId="1" xfId="0" applyFont="1" applyBorder="1" applyAlignment="1">
      <alignment vertical="top" wrapText="1" readingOrder="1"/>
    </xf>
    <xf numFmtId="0" fontId="39" fillId="0" borderId="0" xfId="0" applyFont="1"/>
    <xf numFmtId="168" fontId="43" fillId="10" borderId="1" xfId="0" applyNumberFormat="1" applyFont="1" applyFill="1" applyBorder="1" applyAlignment="1">
      <alignment vertical="top" wrapText="1" readingOrder="1"/>
    </xf>
    <xf numFmtId="168" fontId="46" fillId="14" borderId="1" xfId="0" applyNumberFormat="1" applyFont="1" applyFill="1" applyBorder="1" applyAlignment="1">
      <alignment vertical="top" wrapText="1" readingOrder="1"/>
    </xf>
    <xf numFmtId="11" fontId="2" fillId="0" borderId="0" xfId="0" quotePrefix="1" applyNumberFormat="1" applyFont="1"/>
    <xf numFmtId="1" fontId="11" fillId="15" borderId="0" xfId="6" quotePrefix="1" applyNumberFormat="1" applyFont="1" applyFill="1" applyAlignment="1" applyProtection="1">
      <alignment horizontal="left" vertical="center" wrapText="1"/>
      <protection locked="0"/>
    </xf>
    <xf numFmtId="0" fontId="11" fillId="15" borderId="0" xfId="4" applyFont="1" applyFill="1" applyAlignment="1" applyProtection="1">
      <alignment horizontal="left" vertical="center" wrapText="1"/>
      <protection locked="0"/>
    </xf>
    <xf numFmtId="0" fontId="11" fillId="15" borderId="0" xfId="4" applyFont="1" applyFill="1" applyAlignment="1">
      <alignment vertical="center" wrapText="1"/>
    </xf>
    <xf numFmtId="3" fontId="0" fillId="0" borderId="0" xfId="0" applyNumberFormat="1"/>
    <xf numFmtId="0" fontId="8" fillId="0" borderId="0" xfId="0" applyFont="1"/>
    <xf numFmtId="3" fontId="8" fillId="0" borderId="0" xfId="0" applyNumberFormat="1" applyFont="1"/>
    <xf numFmtId="3" fontId="7" fillId="15" borderId="0" xfId="1" applyNumberFormat="1" applyFill="1" applyProtection="1">
      <protection locked="0"/>
    </xf>
    <xf numFmtId="4" fontId="0" fillId="0" borderId="0" xfId="0" applyNumberFormat="1"/>
    <xf numFmtId="167" fontId="2" fillId="0" borderId="0" xfId="0" applyNumberFormat="1" applyFont="1"/>
    <xf numFmtId="170" fontId="7" fillId="0" borderId="23" xfId="2" applyNumberFormat="1" applyFont="1" applyFill="1" applyBorder="1" applyProtection="1"/>
    <xf numFmtId="169" fontId="7" fillId="0" borderId="23" xfId="2" applyNumberFormat="1" applyFont="1" applyFill="1" applyBorder="1" applyProtection="1">
      <protection locked="0"/>
    </xf>
    <xf numFmtId="4" fontId="2" fillId="0" borderId="0" xfId="0" applyNumberFormat="1" applyFont="1"/>
    <xf numFmtId="169" fontId="7" fillId="15" borderId="0" xfId="1" applyNumberFormat="1" applyFill="1" applyProtection="1">
      <protection locked="0"/>
    </xf>
    <xf numFmtId="167" fontId="48" fillId="0" borderId="0" xfId="0" applyNumberFormat="1" applyFont="1"/>
    <xf numFmtId="41" fontId="2" fillId="0" borderId="0" xfId="18" applyFont="1" applyFill="1" applyBorder="1"/>
    <xf numFmtId="173" fontId="4" fillId="5" borderId="1" xfId="0" applyNumberFormat="1" applyFont="1" applyFill="1" applyBorder="1" applyAlignment="1">
      <alignment vertical="top" wrapText="1" readingOrder="1"/>
    </xf>
    <xf numFmtId="173" fontId="2" fillId="0" borderId="0" xfId="0" applyNumberFormat="1" applyFont="1"/>
    <xf numFmtId="173" fontId="5" fillId="11" borderId="1" xfId="0" applyNumberFormat="1" applyFont="1" applyFill="1" applyBorder="1" applyAlignment="1">
      <alignment vertical="top" wrapText="1" readingOrder="1"/>
    </xf>
    <xf numFmtId="173" fontId="5" fillId="0" borderId="1" xfId="0" applyNumberFormat="1" applyFont="1" applyBorder="1" applyAlignment="1">
      <alignment vertical="top" wrapText="1" readingOrder="1"/>
    </xf>
    <xf numFmtId="177" fontId="2" fillId="0" borderId="0" xfId="0" applyNumberFormat="1" applyFont="1"/>
    <xf numFmtId="169" fontId="7" fillId="15" borderId="0" xfId="1" applyNumberFormat="1" applyFill="1"/>
    <xf numFmtId="168" fontId="48" fillId="0" borderId="0" xfId="0" applyNumberFormat="1" applyFont="1"/>
    <xf numFmtId="10" fontId="48" fillId="0" borderId="0" xfId="16" applyNumberFormat="1" applyFont="1" applyFill="1" applyBorder="1"/>
    <xf numFmtId="10" fontId="2" fillId="0" borderId="0" xfId="16" applyNumberFormat="1" applyFont="1"/>
    <xf numFmtId="10" fontId="7" fillId="15" borderId="0" xfId="16" applyNumberFormat="1" applyFill="1" applyProtection="1"/>
    <xf numFmtId="41" fontId="2" fillId="0" borderId="0" xfId="18" applyFont="1"/>
    <xf numFmtId="178" fontId="2" fillId="0" borderId="0" xfId="0" applyNumberFormat="1" applyFont="1" applyAlignment="1">
      <alignment horizontal="right"/>
    </xf>
    <xf numFmtId="172" fontId="0" fillId="0" borderId="0" xfId="0" applyNumberFormat="1"/>
    <xf numFmtId="2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left"/>
    </xf>
    <xf numFmtId="10" fontId="2" fillId="0" borderId="0" xfId="16" applyNumberFormat="1" applyFont="1" applyFill="1" applyBorder="1"/>
    <xf numFmtId="0" fontId="49" fillId="0" borderId="0" xfId="0" applyFont="1"/>
    <xf numFmtId="3" fontId="49" fillId="0" borderId="0" xfId="0" applyNumberFormat="1" applyFont="1"/>
    <xf numFmtId="168" fontId="49" fillId="0" borderId="0" xfId="0" applyNumberFormat="1" applyFont="1"/>
    <xf numFmtId="9" fontId="2" fillId="0" borderId="0" xfId="16" applyFont="1" applyFill="1" applyBorder="1"/>
    <xf numFmtId="179" fontId="48" fillId="0" borderId="0" xfId="0" applyNumberFormat="1" applyFont="1"/>
    <xf numFmtId="0" fontId="49" fillId="0" borderId="0" xfId="0" applyFont="1" applyAlignment="1">
      <alignment horizontal="left"/>
    </xf>
    <xf numFmtId="0" fontId="49" fillId="0" borderId="0" xfId="0" applyFont="1" applyAlignment="1">
      <alignment horizontal="left" vertical="center"/>
    </xf>
    <xf numFmtId="9" fontId="49" fillId="0" borderId="0" xfId="16" applyFont="1" applyFill="1" applyBorder="1" applyAlignment="1">
      <alignment horizontal="left"/>
    </xf>
    <xf numFmtId="2" fontId="49" fillId="0" borderId="0" xfId="0" applyNumberFormat="1" applyFont="1" applyAlignment="1">
      <alignment horizontal="left"/>
    </xf>
    <xf numFmtId="41" fontId="49" fillId="0" borderId="0" xfId="18" applyFont="1" applyFill="1" applyBorder="1" applyAlignment="1">
      <alignment horizontal="left"/>
    </xf>
    <xf numFmtId="41" fontId="49" fillId="0" borderId="0" xfId="0" applyNumberFormat="1" applyFont="1" applyAlignment="1">
      <alignment horizontal="left"/>
    </xf>
    <xf numFmtId="178" fontId="49" fillId="0" borderId="0" xfId="0" applyNumberFormat="1" applyFont="1" applyAlignment="1">
      <alignment horizontal="left"/>
    </xf>
    <xf numFmtId="9" fontId="49" fillId="0" borderId="0" xfId="0" applyNumberFormat="1" applyFont="1" applyAlignment="1">
      <alignment horizontal="left"/>
    </xf>
    <xf numFmtId="3" fontId="49" fillId="0" borderId="0" xfId="0" applyNumberFormat="1" applyFont="1" applyAlignment="1">
      <alignment horizontal="left"/>
    </xf>
    <xf numFmtId="176" fontId="49" fillId="0" borderId="0" xfId="0" applyNumberFormat="1" applyFont="1" applyAlignment="1">
      <alignment horizontal="left"/>
    </xf>
    <xf numFmtId="0" fontId="52" fillId="0" borderId="0" xfId="0" applyFont="1" applyAlignment="1">
      <alignment horizontal="left"/>
    </xf>
    <xf numFmtId="9" fontId="51" fillId="0" borderId="0" xfId="16" applyFont="1" applyFill="1" applyBorder="1" applyAlignment="1">
      <alignment horizontal="left"/>
    </xf>
    <xf numFmtId="167" fontId="53" fillId="0" borderId="0" xfId="0" applyNumberFormat="1" applyFont="1"/>
    <xf numFmtId="178" fontId="49" fillId="0" borderId="0" xfId="0" applyNumberFormat="1" applyFont="1" applyAlignment="1">
      <alignment horizontal="center"/>
    </xf>
    <xf numFmtId="2" fontId="49" fillId="0" borderId="0" xfId="0" applyNumberFormat="1" applyFont="1" applyAlignment="1">
      <alignment horizontal="center" vertical="center"/>
    </xf>
    <xf numFmtId="180" fontId="47" fillId="0" borderId="0" xfId="0" applyNumberFormat="1" applyFont="1"/>
    <xf numFmtId="181" fontId="2" fillId="0" borderId="0" xfId="18" applyNumberFormat="1" applyFont="1"/>
    <xf numFmtId="0" fontId="4" fillId="0" borderId="1" xfId="0" applyFont="1" applyBorder="1" applyAlignment="1">
      <alignment vertical="top" wrapText="1" readingOrder="1"/>
    </xf>
    <xf numFmtId="0" fontId="2" fillId="0" borderId="0" xfId="0" applyFont="1" applyAlignment="1">
      <alignment horizontal="right"/>
    </xf>
    <xf numFmtId="0" fontId="7" fillId="0" borderId="0" xfId="1"/>
    <xf numFmtId="0" fontId="21" fillId="0" borderId="0" xfId="1" applyFont="1"/>
    <xf numFmtId="0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0" fontId="12" fillId="0" borderId="0" xfId="16" applyNumberFormat="1" applyFont="1"/>
    <xf numFmtId="41" fontId="2" fillId="0" borderId="0" xfId="0" applyNumberFormat="1" applyFont="1"/>
    <xf numFmtId="3" fontId="2" fillId="0" borderId="0" xfId="0" applyNumberFormat="1" applyFont="1"/>
    <xf numFmtId="3" fontId="2" fillId="0" borderId="0" xfId="0" applyNumberFormat="1" applyFont="1" applyAlignment="1">
      <alignment vertical="center"/>
    </xf>
    <xf numFmtId="3" fontId="48" fillId="0" borderId="0" xfId="0" applyNumberFormat="1" applyFont="1"/>
    <xf numFmtId="2" fontId="49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3" fontId="54" fillId="0" borderId="0" xfId="0" applyNumberFormat="1" applyFont="1"/>
    <xf numFmtId="0" fontId="8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right"/>
    </xf>
    <xf numFmtId="1" fontId="0" fillId="0" borderId="0" xfId="0" applyNumberFormat="1"/>
    <xf numFmtId="0" fontId="0" fillId="0" borderId="0" xfId="0" applyAlignment="1">
      <alignment horizontal="left" indent="2"/>
    </xf>
    <xf numFmtId="0" fontId="0" fillId="0" borderId="0" xfId="0" pivotButton="1"/>
    <xf numFmtId="41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0" fontId="48" fillId="0" borderId="0" xfId="16" applyNumberFormat="1" applyFont="1"/>
    <xf numFmtId="0" fontId="11" fillId="37" borderId="32" xfId="3" applyFont="1" applyFill="1" applyBorder="1"/>
    <xf numFmtId="169" fontId="7" fillId="0" borderId="28" xfId="2" applyNumberFormat="1" applyFont="1" applyFill="1" applyBorder="1" applyProtection="1"/>
    <xf numFmtId="169" fontId="7" fillId="0" borderId="29" xfId="2" applyNumberFormat="1" applyFont="1" applyFill="1" applyBorder="1" applyProtection="1"/>
    <xf numFmtId="169" fontId="7" fillId="0" borderId="0" xfId="2" applyNumberFormat="1" applyFont="1" applyFill="1" applyProtection="1">
      <protection locked="0"/>
    </xf>
    <xf numFmtId="169" fontId="7" fillId="0" borderId="30" xfId="2" applyNumberFormat="1" applyFont="1" applyFill="1" applyBorder="1" applyProtection="1"/>
    <xf numFmtId="0" fontId="3" fillId="0" borderId="43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4" fillId="0" borderId="4" xfId="0" applyFont="1" applyBorder="1" applyAlignment="1">
      <alignment vertical="top" wrapText="1" readingOrder="1"/>
    </xf>
    <xf numFmtId="168" fontId="4" fillId="12" borderId="1" xfId="0" applyNumberFormat="1" applyFont="1" applyFill="1" applyBorder="1" applyAlignment="1">
      <alignment vertical="top" wrapText="1" readingOrder="1"/>
    </xf>
    <xf numFmtId="169" fontId="7" fillId="0" borderId="24" xfId="2" applyNumberFormat="1" applyFont="1" applyFill="1" applyBorder="1" applyAlignment="1" applyProtection="1">
      <alignment horizontal="right"/>
    </xf>
    <xf numFmtId="169" fontId="0" fillId="0" borderId="24" xfId="2" applyNumberFormat="1" applyFont="1" applyFill="1" applyBorder="1" applyAlignment="1" applyProtection="1">
      <alignment horizontal="right"/>
    </xf>
    <xf numFmtId="0" fontId="8" fillId="15" borderId="11" xfId="1" applyFont="1" applyFill="1" applyBorder="1" applyAlignment="1" applyProtection="1">
      <alignment horizontal="left"/>
      <protection locked="0"/>
    </xf>
    <xf numFmtId="0" fontId="0" fillId="15" borderId="0" xfId="1" applyFont="1" applyFill="1" applyProtection="1">
      <protection locked="0"/>
    </xf>
    <xf numFmtId="169" fontId="7" fillId="0" borderId="0" xfId="1" applyNumberFormat="1" applyProtection="1">
      <protection locked="0"/>
    </xf>
    <xf numFmtId="0" fontId="7" fillId="0" borderId="0" xfId="1" applyProtection="1">
      <protection locked="0"/>
    </xf>
    <xf numFmtId="169" fontId="55" fillId="0" borderId="0" xfId="2" applyNumberFormat="1" applyFont="1" applyFill="1" applyBorder="1"/>
    <xf numFmtId="169" fontId="56" fillId="0" borderId="24" xfId="2" applyNumberFormat="1" applyFont="1" applyFill="1" applyBorder="1" applyAlignment="1" applyProtection="1">
      <alignment horizontal="right"/>
    </xf>
    <xf numFmtId="169" fontId="56" fillId="0" borderId="25" xfId="2" applyNumberFormat="1" applyFont="1" applyFill="1" applyBorder="1" applyProtection="1">
      <protection locked="0"/>
    </xf>
    <xf numFmtId="169" fontId="56" fillId="0" borderId="25" xfId="2" applyNumberFormat="1" applyFont="1" applyFill="1" applyBorder="1" applyProtection="1"/>
    <xf numFmtId="169" fontId="56" fillId="0" borderId="26" xfId="2" applyNumberFormat="1" applyFont="1" applyFill="1" applyBorder="1" applyProtection="1">
      <protection locked="0"/>
    </xf>
    <xf numFmtId="169" fontId="57" fillId="0" borderId="27" xfId="2" applyNumberFormat="1" applyFont="1" applyFill="1" applyBorder="1" applyProtection="1">
      <protection locked="0"/>
    </xf>
    <xf numFmtId="169" fontId="56" fillId="0" borderId="28" xfId="2" applyNumberFormat="1" applyFont="1" applyFill="1" applyBorder="1" applyProtection="1"/>
    <xf numFmtId="169" fontId="56" fillId="0" borderId="23" xfId="2" applyNumberFormat="1" applyFont="1" applyFill="1" applyBorder="1" applyProtection="1">
      <protection locked="0"/>
    </xf>
    <xf numFmtId="169" fontId="56" fillId="0" borderId="29" xfId="2" applyNumberFormat="1" applyFont="1" applyFill="1" applyBorder="1" applyProtection="1"/>
    <xf numFmtId="169" fontId="56" fillId="0" borderId="0" xfId="2" applyNumberFormat="1" applyFont="1" applyFill="1" applyProtection="1">
      <protection locked="0"/>
    </xf>
    <xf numFmtId="169" fontId="56" fillId="0" borderId="30" xfId="2" applyNumberFormat="1" applyFont="1" applyFill="1" applyBorder="1" applyProtection="1"/>
    <xf numFmtId="170" fontId="56" fillId="0" borderId="23" xfId="2" applyNumberFormat="1" applyFont="1" applyFill="1" applyBorder="1" applyProtection="1"/>
    <xf numFmtId="169" fontId="38" fillId="0" borderId="0" xfId="2" applyNumberFormat="1" applyFont="1" applyFill="1" applyBorder="1" applyProtection="1">
      <protection locked="0"/>
    </xf>
    <xf numFmtId="3" fontId="0" fillId="15" borderId="0" xfId="1" applyNumberFormat="1" applyFont="1" applyFill="1" applyProtection="1">
      <protection locked="0"/>
    </xf>
    <xf numFmtId="167" fontId="20" fillId="0" borderId="0" xfId="0" applyNumberFormat="1" applyFont="1" applyAlignment="1">
      <alignment horizontal="center"/>
    </xf>
    <xf numFmtId="169" fontId="2" fillId="0" borderId="0" xfId="2" applyNumberFormat="1" applyFont="1"/>
    <xf numFmtId="169" fontId="20" fillId="0" borderId="0" xfId="2" applyNumberFormat="1" applyFont="1"/>
    <xf numFmtId="3" fontId="20" fillId="0" borderId="0" xfId="0" applyNumberFormat="1" applyFont="1"/>
    <xf numFmtId="0" fontId="0" fillId="15" borderId="0" xfId="1" applyFont="1" applyFill="1" applyAlignment="1" applyProtection="1">
      <alignment horizontal="left"/>
      <protection locked="0"/>
    </xf>
    <xf numFmtId="42" fontId="2" fillId="0" borderId="0" xfId="17" applyFont="1"/>
    <xf numFmtId="42" fontId="0" fillId="0" borderId="0" xfId="0" applyNumberFormat="1"/>
    <xf numFmtId="42" fontId="2" fillId="0" borderId="0" xfId="17" applyFont="1" applyFill="1" applyBorder="1"/>
    <xf numFmtId="168" fontId="2" fillId="36" borderId="0" xfId="0" applyNumberFormat="1" applyFont="1" applyFill="1"/>
    <xf numFmtId="169" fontId="2" fillId="0" borderId="0" xfId="0" applyNumberFormat="1" applyFont="1"/>
    <xf numFmtId="168" fontId="20" fillId="36" borderId="0" xfId="0" applyNumberFormat="1" applyFont="1" applyFill="1"/>
    <xf numFmtId="0" fontId="0" fillId="0" borderId="39" xfId="1" applyFont="1" applyBorder="1"/>
    <xf numFmtId="167" fontId="52" fillId="0" borderId="0" xfId="0" applyNumberFormat="1" applyFont="1"/>
    <xf numFmtId="38" fontId="34" fillId="0" borderId="0" xfId="3" applyNumberFormat="1" applyFont="1" applyAlignment="1">
      <alignment horizontal="left"/>
    </xf>
    <xf numFmtId="0" fontId="11" fillId="18" borderId="0" xfId="3" applyFont="1" applyFill="1" applyAlignment="1">
      <alignment horizontal="center" wrapText="1"/>
    </xf>
    <xf numFmtId="172" fontId="13" fillId="19" borderId="0" xfId="3" applyNumberFormat="1" applyFont="1" applyFill="1"/>
    <xf numFmtId="172" fontId="13" fillId="37" borderId="0" xfId="3" applyNumberFormat="1" applyFont="1" applyFill="1" applyAlignment="1">
      <alignment horizontal="center"/>
    </xf>
    <xf numFmtId="167" fontId="4" fillId="38" borderId="1" xfId="0" applyNumberFormat="1" applyFont="1" applyFill="1" applyBorder="1" applyAlignment="1">
      <alignment vertical="top" wrapText="1" readingOrder="1"/>
    </xf>
    <xf numFmtId="168" fontId="4" fillId="39" borderId="1" xfId="0" applyNumberFormat="1" applyFont="1" applyFill="1" applyBorder="1" applyAlignment="1">
      <alignment vertical="top" wrapText="1" readingOrder="1"/>
    </xf>
    <xf numFmtId="168" fontId="5" fillId="32" borderId="1" xfId="0" applyNumberFormat="1" applyFont="1" applyFill="1" applyBorder="1" applyAlignment="1">
      <alignment vertical="top" wrapText="1" readingOrder="1"/>
    </xf>
    <xf numFmtId="168" fontId="4" fillId="40" borderId="1" xfId="0" applyNumberFormat="1" applyFont="1" applyFill="1" applyBorder="1" applyAlignment="1">
      <alignment vertical="top" wrapText="1" readingOrder="1"/>
    </xf>
    <xf numFmtId="168" fontId="4" fillId="41" borderId="1" xfId="0" applyNumberFormat="1" applyFont="1" applyFill="1" applyBorder="1" applyAlignment="1">
      <alignment vertical="top" wrapText="1" readingOrder="1"/>
    </xf>
    <xf numFmtId="168" fontId="4" fillId="42" borderId="1" xfId="0" applyNumberFormat="1" applyFont="1" applyFill="1" applyBorder="1" applyAlignment="1">
      <alignment vertical="top" wrapText="1" readingOrder="1"/>
    </xf>
    <xf numFmtId="168" fontId="4" fillId="43" borderId="1" xfId="0" applyNumberFormat="1" applyFont="1" applyFill="1" applyBorder="1" applyAlignment="1">
      <alignment vertical="top" wrapText="1" readingOrder="1"/>
    </xf>
    <xf numFmtId="173" fontId="4" fillId="43" borderId="1" xfId="0" applyNumberFormat="1" applyFont="1" applyFill="1" applyBorder="1" applyAlignment="1">
      <alignment vertical="top" wrapText="1" readingOrder="1"/>
    </xf>
    <xf numFmtId="172" fontId="13" fillId="32" borderId="32" xfId="3" applyNumberFormat="1" applyFont="1" applyFill="1" applyBorder="1"/>
    <xf numFmtId="168" fontId="5" fillId="0" borderId="1" xfId="0" applyNumberFormat="1" applyFont="1" applyBorder="1" applyAlignment="1">
      <alignment horizontal="right" vertical="top" wrapText="1" readingOrder="1"/>
    </xf>
    <xf numFmtId="167" fontId="27" fillId="0" borderId="1" xfId="0" applyNumberFormat="1" applyFont="1" applyBorder="1" applyAlignment="1">
      <alignment horizontal="right" vertical="top" wrapText="1" readingOrder="1"/>
    </xf>
    <xf numFmtId="168" fontId="27" fillId="0" borderId="1" xfId="0" applyNumberFormat="1" applyFont="1" applyBorder="1" applyAlignment="1">
      <alignment horizontal="right" vertical="top" wrapText="1" readingOrder="1"/>
    </xf>
    <xf numFmtId="167" fontId="5" fillId="32" borderId="1" xfId="0" applyNumberFormat="1" applyFont="1" applyFill="1" applyBorder="1" applyAlignment="1">
      <alignment horizontal="right" vertical="top" wrapText="1" readingOrder="1"/>
    </xf>
    <xf numFmtId="168" fontId="5" fillId="44" borderId="1" xfId="0" applyNumberFormat="1" applyFont="1" applyFill="1" applyBorder="1" applyAlignment="1">
      <alignment vertical="top" wrapText="1" readingOrder="1"/>
    </xf>
    <xf numFmtId="41" fontId="25" fillId="0" borderId="0" xfId="18" applyFont="1"/>
    <xf numFmtId="41" fontId="26" fillId="0" borderId="0" xfId="18" applyFont="1"/>
    <xf numFmtId="41" fontId="0" fillId="0" borderId="0" xfId="18" applyFont="1"/>
    <xf numFmtId="0" fontId="8" fillId="15" borderId="22" xfId="1" applyFont="1" applyFill="1" applyBorder="1" applyAlignment="1" applyProtection="1">
      <alignment horizontal="center" vertical="center"/>
      <protection locked="0"/>
    </xf>
    <xf numFmtId="0" fontId="8" fillId="15" borderId="22" xfId="1" applyFont="1" applyFill="1" applyBorder="1" applyAlignment="1" applyProtection="1">
      <alignment horizontal="center" vertical="center" wrapText="1"/>
      <protection locked="0"/>
    </xf>
    <xf numFmtId="0" fontId="8" fillId="16" borderId="5" xfId="1" applyFont="1" applyFill="1" applyBorder="1" applyAlignment="1" applyProtection="1">
      <alignment horizontal="center"/>
      <protection locked="0"/>
    </xf>
    <xf numFmtId="0" fontId="8" fillId="16" borderId="6" xfId="1" applyFont="1" applyFill="1" applyBorder="1" applyAlignment="1" applyProtection="1">
      <alignment horizontal="center"/>
      <protection locked="0"/>
    </xf>
    <xf numFmtId="0" fontId="8" fillId="16" borderId="7" xfId="1" applyFont="1" applyFill="1" applyBorder="1" applyAlignment="1" applyProtection="1">
      <alignment horizontal="center"/>
      <protection locked="0"/>
    </xf>
    <xf numFmtId="0" fontId="8" fillId="17" borderId="5" xfId="1" applyFont="1" applyFill="1" applyBorder="1" applyAlignment="1" applyProtection="1">
      <alignment horizontal="center"/>
      <protection locked="0"/>
    </xf>
    <xf numFmtId="0" fontId="8" fillId="17" borderId="6" xfId="1" applyFont="1" applyFill="1" applyBorder="1" applyAlignment="1" applyProtection="1">
      <alignment horizontal="center"/>
      <protection locked="0"/>
    </xf>
    <xf numFmtId="0" fontId="8" fillId="17" borderId="7" xfId="1" applyFont="1" applyFill="1" applyBorder="1" applyAlignment="1" applyProtection="1">
      <alignment horizontal="center"/>
      <protection locked="0"/>
    </xf>
    <xf numFmtId="0" fontId="8" fillId="15" borderId="5" xfId="1" applyFont="1" applyFill="1" applyBorder="1" applyAlignment="1" applyProtection="1">
      <alignment horizontal="center"/>
      <protection locked="0"/>
    </xf>
    <xf numFmtId="0" fontId="8" fillId="15" borderId="6" xfId="1" applyFont="1" applyFill="1" applyBorder="1" applyAlignment="1" applyProtection="1">
      <alignment horizontal="center"/>
      <protection locked="0"/>
    </xf>
    <xf numFmtId="0" fontId="8" fillId="15" borderId="7" xfId="1" applyFont="1" applyFill="1" applyBorder="1" applyAlignment="1" applyProtection="1">
      <alignment horizontal="center"/>
      <protection locked="0"/>
    </xf>
    <xf numFmtId="0" fontId="8" fillId="16" borderId="8" xfId="1" applyFont="1" applyFill="1" applyBorder="1" applyAlignment="1" applyProtection="1">
      <alignment horizontal="center"/>
      <protection locked="0"/>
    </xf>
    <xf numFmtId="0" fontId="8" fillId="16" borderId="9" xfId="1" applyFont="1" applyFill="1" applyBorder="1" applyAlignment="1" applyProtection="1">
      <alignment horizontal="center"/>
      <protection locked="0"/>
    </xf>
    <xf numFmtId="0" fontId="8" fillId="16" borderId="10" xfId="1" applyFont="1" applyFill="1" applyBorder="1" applyAlignment="1" applyProtection="1">
      <alignment horizontal="center"/>
      <protection locked="0"/>
    </xf>
    <xf numFmtId="0" fontId="8" fillId="16" borderId="11" xfId="1" applyFont="1" applyFill="1" applyBorder="1" applyAlignment="1" applyProtection="1">
      <alignment horizontal="center"/>
      <protection locked="0"/>
    </xf>
    <xf numFmtId="0" fontId="8" fillId="16" borderId="12" xfId="1" applyFont="1" applyFill="1" applyBorder="1" applyAlignment="1" applyProtection="1">
      <alignment horizontal="center"/>
      <protection locked="0"/>
    </xf>
    <xf numFmtId="0" fontId="8" fillId="17" borderId="8" xfId="1" applyFont="1" applyFill="1" applyBorder="1" applyAlignment="1" applyProtection="1">
      <alignment horizontal="center"/>
      <protection locked="0"/>
    </xf>
    <xf numFmtId="0" fontId="8" fillId="17" borderId="9" xfId="1" applyFont="1" applyFill="1" applyBorder="1" applyAlignment="1" applyProtection="1">
      <alignment horizontal="center"/>
      <protection locked="0"/>
    </xf>
    <xf numFmtId="0" fontId="8" fillId="17" borderId="10" xfId="1" applyFont="1" applyFill="1" applyBorder="1" applyAlignment="1" applyProtection="1">
      <alignment horizontal="center"/>
      <protection locked="0"/>
    </xf>
    <xf numFmtId="0" fontId="8" fillId="17" borderId="11" xfId="1" applyFont="1" applyFill="1" applyBorder="1" applyAlignment="1" applyProtection="1">
      <alignment horizontal="center"/>
      <protection locked="0"/>
    </xf>
    <xf numFmtId="0" fontId="8" fillId="17" borderId="12" xfId="1" applyFont="1" applyFill="1" applyBorder="1" applyAlignment="1" applyProtection="1">
      <alignment horizontal="center"/>
      <protection locked="0"/>
    </xf>
    <xf numFmtId="0" fontId="13" fillId="15" borderId="0" xfId="6" applyFont="1" applyFill="1" applyAlignment="1" applyProtection="1">
      <alignment horizontal="left" wrapText="1"/>
      <protection locked="0"/>
    </xf>
    <xf numFmtId="172" fontId="13" fillId="15" borderId="0" xfId="6" applyNumberFormat="1" applyFont="1" applyFill="1" applyAlignment="1">
      <alignment horizontal="center" vertical="top"/>
    </xf>
    <xf numFmtId="0" fontId="15" fillId="15" borderId="0" xfId="0" applyFont="1" applyFill="1" applyAlignment="1">
      <alignment horizontal="center" vertical="center"/>
    </xf>
    <xf numFmtId="0" fontId="16" fillId="15" borderId="0" xfId="0" applyFont="1" applyFill="1" applyAlignment="1" applyProtection="1">
      <alignment horizontal="left" vertical="top" wrapText="1" readingOrder="1"/>
      <protection locked="0"/>
    </xf>
    <xf numFmtId="0" fontId="16" fillId="15" borderId="39" xfId="0" applyFont="1" applyFill="1" applyBorder="1" applyAlignment="1" applyProtection="1">
      <alignment horizontal="left" vertical="top" wrapText="1" readingOrder="1"/>
      <protection locked="0"/>
    </xf>
    <xf numFmtId="0" fontId="11" fillId="0" borderId="0" xfId="3" applyFont="1" applyAlignment="1">
      <alignment horizontal="center"/>
    </xf>
    <xf numFmtId="38" fontId="34" fillId="0" borderId="0" xfId="3" applyNumberFormat="1" applyFont="1" applyAlignment="1">
      <alignment horizontal="left"/>
    </xf>
    <xf numFmtId="0" fontId="10" fillId="0" borderId="0" xfId="3" applyFont="1" applyAlignment="1">
      <alignment horizontal="center"/>
    </xf>
    <xf numFmtId="0" fontId="30" fillId="0" borderId="0" xfId="0" applyFont="1" applyAlignment="1">
      <alignment horizontal="center" vertical="center"/>
    </xf>
    <xf numFmtId="172" fontId="13" fillId="37" borderId="11" xfId="3" applyNumberFormat="1" applyFont="1" applyFill="1" applyBorder="1" applyAlignment="1">
      <alignment horizontal="center"/>
    </xf>
    <xf numFmtId="172" fontId="13" fillId="37" borderId="9" xfId="3" applyNumberFormat="1" applyFont="1" applyFill="1" applyBorder="1" applyAlignment="1">
      <alignment horizontal="center"/>
    </xf>
    <xf numFmtId="172" fontId="13" fillId="37" borderId="10" xfId="3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 wrapText="1" readingOrder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top" wrapText="1" readingOrder="1"/>
    </xf>
    <xf numFmtId="0" fontId="17" fillId="0" borderId="0" xfId="3" applyFont="1" applyAlignment="1">
      <alignment horizontal="center"/>
    </xf>
    <xf numFmtId="0" fontId="20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top" wrapText="1" readingOrder="1"/>
    </xf>
    <xf numFmtId="49" fontId="17" fillId="0" borderId="0" xfId="3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top" wrapText="1" readingOrder="1"/>
    </xf>
    <xf numFmtId="0" fontId="44" fillId="0" borderId="1" xfId="0" applyFont="1" applyBorder="1" applyAlignment="1">
      <alignment vertical="top" wrapText="1" readingOrder="1"/>
    </xf>
    <xf numFmtId="168" fontId="45" fillId="0" borderId="1" xfId="0" applyNumberFormat="1" applyFont="1" applyBorder="1" applyAlignment="1">
      <alignment horizontal="right" vertical="top" wrapText="1" readingOrder="1"/>
    </xf>
    <xf numFmtId="0" fontId="43" fillId="8" borderId="1" xfId="0" applyFont="1" applyFill="1" applyBorder="1" applyAlignment="1">
      <alignment vertical="top" wrapText="1" readingOrder="1"/>
    </xf>
    <xf numFmtId="168" fontId="43" fillId="10" borderId="1" xfId="0" applyNumberFormat="1" applyFont="1" applyFill="1" applyBorder="1" applyAlignment="1">
      <alignment vertical="top" wrapText="1" readingOrder="1"/>
    </xf>
    <xf numFmtId="0" fontId="5" fillId="11" borderId="1" xfId="0" applyFont="1" applyFill="1" applyBorder="1" applyAlignment="1">
      <alignment vertical="top" wrapText="1" readingOrder="1"/>
    </xf>
    <xf numFmtId="168" fontId="5" fillId="11" borderId="1" xfId="0" applyNumberFormat="1" applyFont="1" applyFill="1" applyBorder="1" applyAlignment="1">
      <alignment vertical="top" wrapText="1" readingOrder="1"/>
    </xf>
    <xf numFmtId="0" fontId="40" fillId="0" borderId="0" xfId="0" applyFont="1" applyAlignment="1">
      <alignment horizontal="left" vertical="top" wrapText="1" readingOrder="1"/>
    </xf>
    <xf numFmtId="0" fontId="2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  <xf numFmtId="168" fontId="4" fillId="7" borderId="1" xfId="0" applyNumberFormat="1" applyFont="1" applyFill="1" applyBorder="1" applyAlignment="1">
      <alignment vertical="top" wrapText="1" readingOrder="1"/>
    </xf>
    <xf numFmtId="0" fontId="4" fillId="12" borderId="1" xfId="0" applyFont="1" applyFill="1" applyBorder="1" applyAlignment="1">
      <alignment vertical="top" wrapText="1" readingOrder="1"/>
    </xf>
    <xf numFmtId="168" fontId="46" fillId="14" borderId="1" xfId="0" applyNumberFormat="1" applyFont="1" applyFill="1" applyBorder="1" applyAlignment="1">
      <alignment vertical="top" wrapText="1" readingOrder="1"/>
    </xf>
    <xf numFmtId="0" fontId="36" fillId="2" borderId="32" xfId="14" applyFont="1" applyFill="1" applyBorder="1" applyAlignment="1">
      <alignment horizontal="center" vertical="center" wrapText="1" readingOrder="1"/>
    </xf>
    <xf numFmtId="0" fontId="36" fillId="3" borderId="32" xfId="14" applyFont="1" applyFill="1" applyBorder="1" applyAlignment="1">
      <alignment horizontal="center" vertical="center" wrapText="1" readingOrder="1"/>
    </xf>
    <xf numFmtId="0" fontId="36" fillId="4" borderId="32" xfId="14" applyFont="1" applyFill="1" applyBorder="1" applyAlignment="1">
      <alignment horizontal="center" vertical="center" wrapText="1" readingOrder="1"/>
    </xf>
  </cellXfs>
  <cellStyles count="52">
    <cellStyle name="Hipervínculo" xfId="7" builtinId="8"/>
    <cellStyle name="Millares [0]" xfId="18" builtinId="6"/>
    <cellStyle name="Millares [0] 2" xfId="15" xr:uid="{00000000-0005-0000-0000-000001000000}"/>
    <cellStyle name="Millares [0] 2 2" xfId="24" xr:uid="{6A3EC1BD-1EB0-4147-B7D3-CBCE7AC61A2A}"/>
    <cellStyle name="Millares [0] 2 2 2" xfId="44" xr:uid="{7B5DDDDA-B3CE-4380-B7E8-99329FE7EA9E}"/>
    <cellStyle name="Millares [0] 2 3" xfId="32" xr:uid="{A51B1239-E237-451B-B7F7-E6F59F473B68}"/>
    <cellStyle name="Millares [0] 2 4" xfId="40" xr:uid="{5F1CBBA2-82D0-43F3-A893-F1481A022F54}"/>
    <cellStyle name="Millares [0] 3" xfId="27" xr:uid="{D1D7BDA3-02B4-4FD8-8423-A5E1348BA571}"/>
    <cellStyle name="Millares [0] 3 2" xfId="38" xr:uid="{1DC6BD0A-6AAD-4AE6-803C-BEC2ECE74155}"/>
    <cellStyle name="Millares [0] 3 3" xfId="47" xr:uid="{3EA879FB-93FC-426D-889E-F3C283ABBDF2}"/>
    <cellStyle name="Millares [0] 4" xfId="42" xr:uid="{BFE29D4C-3C5E-4BF2-B9A2-3F01C3BE558C}"/>
    <cellStyle name="Millares 2" xfId="10" xr:uid="{00000000-0005-0000-0000-000002000000}"/>
    <cellStyle name="Millares 2 2" xfId="22" xr:uid="{83E3D9CC-645B-47E4-9B61-107A048888A3}"/>
    <cellStyle name="Millares 2 3" xfId="33" xr:uid="{3F96D023-D2E4-4B75-9CFD-6D28C782EB56}"/>
    <cellStyle name="Millares 3" xfId="26" xr:uid="{FF3CB5F9-3346-437C-8830-906B8F9F35C4}"/>
    <cellStyle name="Millares 3 2" xfId="46" xr:uid="{D6E854D5-9D83-49B0-B2CF-98937DD8B54D}"/>
    <cellStyle name="Millares 4" xfId="23" xr:uid="{EB949426-C732-44E5-A12D-1146AA6175CF}"/>
    <cellStyle name="Millares 4 2" xfId="43" xr:uid="{BFFA1D37-AD49-489D-89EB-1230C740A1CB}"/>
    <cellStyle name="Millares 44" xfId="2" xr:uid="{00000000-0005-0000-0000-000003000000}"/>
    <cellStyle name="Millares 5" xfId="28" xr:uid="{18E38EE7-D11D-4CE8-8299-F2243E8DC2A9}"/>
    <cellStyle name="Millares 5 2" xfId="48" xr:uid="{1C425F10-85A8-42C6-98C4-E22A909D2397}"/>
    <cellStyle name="Millares 6" xfId="29" xr:uid="{98AA5F57-1F9B-46A7-9B1A-4548382416FC}"/>
    <cellStyle name="Millares 6 2" xfId="49" xr:uid="{99D5BB8E-28E1-4737-B0C7-B1F4D153E0B6}"/>
    <cellStyle name="Millares 7" xfId="30" xr:uid="{7CBA4336-A101-4D6A-B5BD-FEC5AF4A6604}"/>
    <cellStyle name="Millares 7 2" xfId="50" xr:uid="{1775B183-FE6F-417F-9D9C-247A0D5BEC84}"/>
    <cellStyle name="Millares 8" xfId="5" xr:uid="{00000000-0005-0000-0000-000004000000}"/>
    <cellStyle name="Moneda" xfId="8" builtinId="4"/>
    <cellStyle name="Moneda [0]" xfId="17" builtinId="7"/>
    <cellStyle name="Moneda [0] 2" xfId="25" xr:uid="{69B63C43-353A-4FFB-AF28-13B42C9071CD}"/>
    <cellStyle name="Moneda [0] 2 2" xfId="45" xr:uid="{27AC2DFD-7D81-41F1-8B64-90B23BCC6577}"/>
    <cellStyle name="Moneda [0] 3" xfId="39" xr:uid="{6BFE39DC-30F3-4529-999C-BBEF783F6593}"/>
    <cellStyle name="Moneda [0] 3 2" xfId="51" xr:uid="{BADCEEC3-1236-4C2D-8641-D3B75CAEC144}"/>
    <cellStyle name="Moneda [0] 4" xfId="41" xr:uid="{FD032129-1449-4630-BCB0-41A4D87125B4}"/>
    <cellStyle name="Moneda 2" xfId="12" xr:uid="{00000000-0005-0000-0000-000007000000}"/>
    <cellStyle name="Normal" xfId="0" builtinId="0"/>
    <cellStyle name="Normal - Style1 10" xfId="4" xr:uid="{00000000-0005-0000-0000-000009000000}"/>
    <cellStyle name="Normal - Style1 2" xfId="6" xr:uid="{00000000-0005-0000-0000-00000A000000}"/>
    <cellStyle name="Normal 2" xfId="9" xr:uid="{00000000-0005-0000-0000-00000B000000}"/>
    <cellStyle name="Normal 2 10" xfId="35" xr:uid="{CA40D64A-2F82-4BAB-A91B-5DAB253119AD}"/>
    <cellStyle name="Normal 2 2" xfId="14" xr:uid="{00000000-0005-0000-0000-00000C000000}"/>
    <cellStyle name="Normal 2 2 2" xfId="3" xr:uid="{00000000-0005-0000-0000-00000D000000}"/>
    <cellStyle name="Normal 2 2 3" xfId="20" xr:uid="{1A7E3890-13E9-4D30-924A-448E786AF197}"/>
    <cellStyle name="Normal 2 3" xfId="31" xr:uid="{92BAFDE3-AECB-40DE-A1C0-910F4018C87F}"/>
    <cellStyle name="Normal 215" xfId="37" xr:uid="{8452D5A3-94C5-4FE3-BE9A-D5A80E1EA33F}"/>
    <cellStyle name="Normal 3" xfId="13" xr:uid="{00000000-0005-0000-0000-00000E000000}"/>
    <cellStyle name="Normal 3 2" xfId="21" xr:uid="{09BEC30B-C610-4644-98E2-19063E75FB02}"/>
    <cellStyle name="Normal 32" xfId="36" xr:uid="{AFD41821-497E-4E13-9A4E-364216577766}"/>
    <cellStyle name="Normal 75" xfId="1" xr:uid="{00000000-0005-0000-0000-00000F000000}"/>
    <cellStyle name="Porcentaje" xfId="16" builtinId="5"/>
    <cellStyle name="Porcentaje 2" xfId="11" xr:uid="{00000000-0005-0000-0000-000010000000}"/>
    <cellStyle name="Porcentaje 2 2" xfId="19" xr:uid="{6EC2D01E-6F83-475A-BFFD-BBF90FC38DC6}"/>
    <cellStyle name="Porcentaje 2 3" xfId="34" xr:uid="{E525FD46-91FC-444C-A931-71DDDB5FE121}"/>
  </cellStyles>
  <dxfs count="6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182" formatCode="#,##0.0"/>
    </dxf>
    <dxf>
      <numFmt numFmtId="183" formatCode="#,##0.000000000000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#,##0_ ;[Red]\(\-#,##0\)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border outline="0">
        <right style="medium">
          <color indexed="64"/>
        </right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color auto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color auto="1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protection locked="0" hidden="0"/>
    </dxf>
    <dxf>
      <protection locked="0" hidden="0"/>
    </dxf>
    <dxf>
      <fill>
        <patternFill patternType="solid">
          <fgColor rgb="FFFFFFFF"/>
          <bgColor rgb="FF000000"/>
        </patternFill>
      </fill>
    </dxf>
  </dxfs>
  <tableStyles count="1" defaultTableStyle="TableStyleMedium2" defaultPivotStyle="PivotStyleLight16">
    <tableStyle name="Invisible" pivot="0" table="0" count="0" xr9:uid="{FB74017F-CFE1-45BD-B668-49BAFAB81E53}"/>
  </tableStyles>
  <colors>
    <mruColors>
      <color rgb="FFFF5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57150</xdr:rowOff>
    </xdr:from>
    <xdr:to>
      <xdr:col>2</xdr:col>
      <xdr:colOff>979955</xdr:colOff>
      <xdr:row>1</xdr:row>
      <xdr:rowOff>400538</xdr:rowOff>
    </xdr:to>
    <xdr:pic>
      <xdr:nvPicPr>
        <xdr:cNvPr id="3" name="1 Imagen" descr="4">
          <a:extLst>
            <a:ext uri="{FF2B5EF4-FFF2-40B4-BE49-F238E27FC236}">
              <a16:creationId xmlns:a16="http://schemas.microsoft.com/office/drawing/2014/main" id="{3E774904-B77B-4419-811D-6D230A63A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809625" y="57150"/>
          <a:ext cx="1694330" cy="53388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11211</xdr:colOff>
      <xdr:row>0</xdr:row>
      <xdr:rowOff>0</xdr:rowOff>
    </xdr:from>
    <xdr:to>
      <xdr:col>1</xdr:col>
      <xdr:colOff>1705541</xdr:colOff>
      <xdr:row>0</xdr:row>
      <xdr:rowOff>533888</xdr:rowOff>
    </xdr:to>
    <xdr:pic>
      <xdr:nvPicPr>
        <xdr:cNvPr id="3" name="1 Imagen" descr="4">
          <a:extLst>
            <a:ext uri="{FF2B5EF4-FFF2-40B4-BE49-F238E27FC236}">
              <a16:creationId xmlns:a16="http://schemas.microsoft.com/office/drawing/2014/main" id="{7BB75EBA-4C09-442A-8D28-933CD8BF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82711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0</xdr:row>
      <xdr:rowOff>0</xdr:rowOff>
    </xdr:from>
    <xdr:to>
      <xdr:col>1</xdr:col>
      <xdr:colOff>1693977</xdr:colOff>
      <xdr:row>0</xdr:row>
      <xdr:rowOff>536494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58B065-9968-4942-ACF7-B54AA5E9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707" y="0"/>
          <a:ext cx="1694835" cy="5364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0</xdr:row>
      <xdr:rowOff>0</xdr:rowOff>
    </xdr:from>
    <xdr:to>
      <xdr:col>1</xdr:col>
      <xdr:colOff>1705535</xdr:colOff>
      <xdr:row>0</xdr:row>
      <xdr:rowOff>533888</xdr:rowOff>
    </xdr:to>
    <xdr:pic>
      <xdr:nvPicPr>
        <xdr:cNvPr id="2" name="1 Imagen" descr="4">
          <a:extLst>
            <a:ext uri="{FF2B5EF4-FFF2-40B4-BE49-F238E27FC236}">
              <a16:creationId xmlns:a16="http://schemas.microsoft.com/office/drawing/2014/main" id="{8C30ABB8-A7D4-483B-9271-E92BD597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82705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22412</xdr:colOff>
      <xdr:row>0</xdr:row>
      <xdr:rowOff>0</xdr:rowOff>
    </xdr:from>
    <xdr:to>
      <xdr:col>1</xdr:col>
      <xdr:colOff>1716742</xdr:colOff>
      <xdr:row>0</xdr:row>
      <xdr:rowOff>533888</xdr:rowOff>
    </xdr:to>
    <xdr:pic>
      <xdr:nvPicPr>
        <xdr:cNvPr id="2" name="1 Imagen" descr="4">
          <a:extLst>
            <a:ext uri="{FF2B5EF4-FFF2-40B4-BE49-F238E27FC236}">
              <a16:creationId xmlns:a16="http://schemas.microsoft.com/office/drawing/2014/main" id="{96734D0D-5C7C-4189-BE34-D41AD0366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93912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heverriaizquierdo.sharepoint.com/sites/MontajesIndustriales/Documentos%20compartidos/01.%20Entregables/02.%20Planificaci&#243;n%20y%20Control/03.%20Aplicaciones/02.%20Control%20de%20Proyectos/Mantenedor%20Categorias%20EIMI%20rev7.xlsx" TargetMode="External"/><Relationship Id="rId1" Type="http://schemas.openxmlformats.org/officeDocument/2006/relationships/externalLinkPath" Target="https://echeverriaizquierdo.sharepoint.com/sites/MontajesIndustriales/Documentos%20compartidos/01.%20Entregables/02.%20Planificaci&#243;n%20y%20Control/03.%20Aplicaciones/02.%20Control%20de%20Proyectos/Mantenedor%20Categorias%20EIMI%20rev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OLOGACION"/>
      <sheetName val="Hoja1"/>
      <sheetName val="Formato General"/>
      <sheetName val="SubGrupo"/>
    </sheetNames>
    <sheetDataSet>
      <sheetData sheetId="0">
        <row r="1">
          <cell r="A1" t="str">
            <v>IdCategoria</v>
          </cell>
          <cell r="B1" t="str">
            <v>Nombre de Categoria</v>
          </cell>
          <cell r="C1" t="str">
            <v>SubGrupo</v>
          </cell>
          <cell r="D1" t="str">
            <v>Nombre SubGrupo</v>
          </cell>
          <cell r="E1" t="str">
            <v>SubGrupo para mostrar</v>
          </cell>
          <cell r="F1" t="str">
            <v>Grupo</v>
          </cell>
          <cell r="G1" t="str">
            <v>Nombre Grupo</v>
          </cell>
          <cell r="H1" t="str">
            <v>Grupo para mostrar</v>
          </cell>
          <cell r="I1" t="str">
            <v>Formato General</v>
          </cell>
        </row>
        <row r="2">
          <cell r="A2" t="str">
            <v>10-0000-000G</v>
          </cell>
          <cell r="B2" t="str">
            <v>MAO / Por Distribuir (G)</v>
          </cell>
          <cell r="C2"/>
          <cell r="D2"/>
          <cell r="E2"/>
          <cell r="F2"/>
          <cell r="G2"/>
          <cell r="H2"/>
          <cell r="I2"/>
        </row>
        <row r="3">
          <cell r="A3" t="str">
            <v>11-0101-000G</v>
          </cell>
          <cell r="B3" t="str">
            <v>MAO CD - Civil  / Movimiento de tierra (G)</v>
          </cell>
          <cell r="C3" t="str">
            <v>0A01</v>
          </cell>
          <cell r="D3" t="str">
            <v xml:space="preserve">Civil  </v>
          </cell>
          <cell r="E3" t="str">
            <v xml:space="preserve">0A01 - Civil  </v>
          </cell>
          <cell r="F3" t="str">
            <v>A</v>
          </cell>
          <cell r="G3" t="str">
            <v>MANO DE OBRA DIRECTA</v>
          </cell>
          <cell r="H3" t="str">
            <v>A - MANO DE OBRA DIRECTA</v>
          </cell>
          <cell r="I3" t="str">
            <v>0A01</v>
          </cell>
        </row>
        <row r="4">
          <cell r="A4" t="str">
            <v>11-0102-000G</v>
          </cell>
          <cell r="B4" t="str">
            <v xml:space="preserve">MAO CD - Civil  / Hormigón </v>
          </cell>
          <cell r="C4" t="str">
            <v>0A01</v>
          </cell>
          <cell r="D4" t="str">
            <v xml:space="preserve">Civil  </v>
          </cell>
          <cell r="E4" t="str">
            <v xml:space="preserve">0A01 - Civil  </v>
          </cell>
          <cell r="F4" t="str">
            <v>A</v>
          </cell>
          <cell r="G4" t="str">
            <v>MANO DE OBRA DIRECTA</v>
          </cell>
          <cell r="H4" t="str">
            <v>A - MANO DE OBRA DIRECTA</v>
          </cell>
          <cell r="I4" t="str">
            <v>0A01</v>
          </cell>
        </row>
        <row r="5">
          <cell r="A5" t="str">
            <v>11-0103-000G</v>
          </cell>
          <cell r="B5" t="str">
            <v xml:space="preserve">MAO CD - Civil  / Moldaje </v>
          </cell>
          <cell r="C5" t="str">
            <v>0A01</v>
          </cell>
          <cell r="D5" t="str">
            <v xml:space="preserve">Civil  </v>
          </cell>
          <cell r="E5" t="str">
            <v xml:space="preserve">0A01 - Civil  </v>
          </cell>
          <cell r="F5" t="str">
            <v>A</v>
          </cell>
          <cell r="G5" t="str">
            <v>MANO DE OBRA DIRECTA</v>
          </cell>
          <cell r="H5" t="str">
            <v>A - MANO DE OBRA DIRECTA</v>
          </cell>
          <cell r="I5" t="str">
            <v>0A01</v>
          </cell>
        </row>
        <row r="6">
          <cell r="A6" t="str">
            <v>11-0104-000G</v>
          </cell>
          <cell r="B6" t="str">
            <v xml:space="preserve">MAO CD - Civil  / Enfierradura </v>
          </cell>
          <cell r="C6" t="str">
            <v>0A01</v>
          </cell>
          <cell r="D6" t="str">
            <v xml:space="preserve">Civil  </v>
          </cell>
          <cell r="E6" t="str">
            <v xml:space="preserve">0A01 - Civil  </v>
          </cell>
          <cell r="F6" t="str">
            <v>A</v>
          </cell>
          <cell r="G6" t="str">
            <v>MANO DE OBRA DIRECTA</v>
          </cell>
          <cell r="H6" t="str">
            <v>A - MANO DE OBRA DIRECTA</v>
          </cell>
          <cell r="I6" t="str">
            <v>0A01</v>
          </cell>
        </row>
        <row r="7">
          <cell r="A7" t="str">
            <v>11-0105-000G</v>
          </cell>
          <cell r="B7" t="str">
            <v xml:space="preserve">MAO CD - Civil  / Arquitectura </v>
          </cell>
          <cell r="C7" t="str">
            <v>0A11</v>
          </cell>
          <cell r="D7" t="str">
            <v>Arquitectura</v>
          </cell>
          <cell r="E7" t="str">
            <v>0A11 - Arquitectura</v>
          </cell>
          <cell r="F7" t="str">
            <v>A</v>
          </cell>
          <cell r="G7" t="str">
            <v>MANO DE OBRA DIRECTA</v>
          </cell>
          <cell r="H7" t="str">
            <v>A - MANO DE OBRA DIRECTA</v>
          </cell>
          <cell r="I7" t="str">
            <v>0M01</v>
          </cell>
        </row>
        <row r="8">
          <cell r="A8" t="str">
            <v>11-0199-000G</v>
          </cell>
          <cell r="B8" t="str">
            <v xml:space="preserve">MAO CD - Civil  / Otros </v>
          </cell>
          <cell r="C8" t="str">
            <v>0A01</v>
          </cell>
          <cell r="D8" t="str">
            <v xml:space="preserve">Civil  </v>
          </cell>
          <cell r="E8" t="str">
            <v xml:space="preserve">0A01 - Civil  </v>
          </cell>
          <cell r="F8" t="str">
            <v>A</v>
          </cell>
          <cell r="G8" t="str">
            <v>MANO DE OBRA DIRECTA</v>
          </cell>
          <cell r="H8" t="str">
            <v>A - MANO DE OBRA DIRECTA</v>
          </cell>
          <cell r="I8" t="str">
            <v>0A01</v>
          </cell>
        </row>
        <row r="9">
          <cell r="A9" t="str">
            <v>11-0207-000G</v>
          </cell>
          <cell r="B9" t="str">
            <v xml:space="preserve">MAO CD - Estructura / Soldadura </v>
          </cell>
          <cell r="C9" t="str">
            <v>0A02</v>
          </cell>
          <cell r="D9" t="str">
            <v xml:space="preserve">Estructura </v>
          </cell>
          <cell r="E9" t="str">
            <v xml:space="preserve">0A02 - Estructura </v>
          </cell>
          <cell r="F9" t="str">
            <v>A</v>
          </cell>
          <cell r="G9" t="str">
            <v>MANO DE OBRA DIRECTA</v>
          </cell>
          <cell r="H9" t="str">
            <v>A - MANO DE OBRA DIRECTA</v>
          </cell>
          <cell r="I9" t="str">
            <v>0B01</v>
          </cell>
        </row>
        <row r="10">
          <cell r="A10" t="str">
            <v>11-0208-000G</v>
          </cell>
          <cell r="B10" t="str">
            <v xml:space="preserve">MAO CD - Estructura / Montajes </v>
          </cell>
          <cell r="C10" t="str">
            <v>0A02</v>
          </cell>
          <cell r="D10" t="str">
            <v xml:space="preserve">Estructura </v>
          </cell>
          <cell r="E10" t="str">
            <v xml:space="preserve">0A02 - Estructura </v>
          </cell>
          <cell r="F10" t="str">
            <v>A</v>
          </cell>
          <cell r="G10" t="str">
            <v>MANO DE OBRA DIRECTA</v>
          </cell>
          <cell r="H10" t="str">
            <v>A - MANO DE OBRA DIRECTA</v>
          </cell>
          <cell r="I10" t="str">
            <v>0B01</v>
          </cell>
        </row>
        <row r="11">
          <cell r="A11" t="str">
            <v>11-0307-000G</v>
          </cell>
          <cell r="B11" t="str">
            <v xml:space="preserve">MAO CD - Mecánica / Soldadura </v>
          </cell>
          <cell r="C11" t="str">
            <v>0A03</v>
          </cell>
          <cell r="D11" t="str">
            <v xml:space="preserve">Mecánica </v>
          </cell>
          <cell r="E11" t="str">
            <v xml:space="preserve">0A03 - Mecánica </v>
          </cell>
          <cell r="F11" t="str">
            <v>A</v>
          </cell>
          <cell r="G11" t="str">
            <v>MANO DE OBRA DIRECTA</v>
          </cell>
          <cell r="H11" t="str">
            <v>A - MANO DE OBRA DIRECTA</v>
          </cell>
          <cell r="I11" t="str">
            <v>0C01</v>
          </cell>
        </row>
        <row r="12">
          <cell r="A12" t="str">
            <v>11-0308-000G</v>
          </cell>
          <cell r="B12" t="str">
            <v xml:space="preserve">MAO CD - Mecánica / Montajes </v>
          </cell>
          <cell r="C12" t="str">
            <v>0A03</v>
          </cell>
          <cell r="D12" t="str">
            <v xml:space="preserve">Mecánica </v>
          </cell>
          <cell r="E12" t="str">
            <v xml:space="preserve">0A03 - Mecánica </v>
          </cell>
          <cell r="F12" t="str">
            <v>A</v>
          </cell>
          <cell r="G12" t="str">
            <v>MANO DE OBRA DIRECTA</v>
          </cell>
          <cell r="H12" t="str">
            <v>A - MANO DE OBRA DIRECTA</v>
          </cell>
          <cell r="I12" t="str">
            <v>0C01</v>
          </cell>
        </row>
        <row r="13">
          <cell r="A13" t="str">
            <v>11-0407-000G</v>
          </cell>
          <cell r="B13" t="str">
            <v xml:space="preserve">MAO CD - Cañería / Soldadura </v>
          </cell>
          <cell r="C13" t="str">
            <v>0A04</v>
          </cell>
          <cell r="D13" t="str">
            <v xml:space="preserve">Cañería </v>
          </cell>
          <cell r="E13" t="str">
            <v xml:space="preserve">0A04 - Cañería </v>
          </cell>
          <cell r="F13" t="str">
            <v>A</v>
          </cell>
          <cell r="G13" t="str">
            <v>MANO DE OBRA DIRECTA</v>
          </cell>
          <cell r="H13" t="str">
            <v>A - MANO DE OBRA DIRECTA</v>
          </cell>
          <cell r="I13" t="str">
            <v>0D01</v>
          </cell>
        </row>
        <row r="14">
          <cell r="A14" t="str">
            <v>11-0408-000G</v>
          </cell>
          <cell r="B14" t="str">
            <v xml:space="preserve">MAO CD - Cañería / Montajes </v>
          </cell>
          <cell r="C14" t="str">
            <v>0A04</v>
          </cell>
          <cell r="D14" t="str">
            <v xml:space="preserve">Cañería </v>
          </cell>
          <cell r="E14" t="str">
            <v xml:space="preserve">0A04 - Cañería </v>
          </cell>
          <cell r="F14" t="str">
            <v>A</v>
          </cell>
          <cell r="G14" t="str">
            <v>MANO DE OBRA DIRECTA</v>
          </cell>
          <cell r="H14" t="str">
            <v>A - MANO DE OBRA DIRECTA</v>
          </cell>
          <cell r="I14" t="str">
            <v>0D01</v>
          </cell>
        </row>
        <row r="15">
          <cell r="A15" t="str">
            <v>11-0507-000G</v>
          </cell>
          <cell r="B15" t="str">
            <v xml:space="preserve">MAO CD - Electricidad / Soldadura </v>
          </cell>
          <cell r="C15" t="str">
            <v>0A05</v>
          </cell>
          <cell r="D15" t="str">
            <v>Electricidad &amp; Instrumentación</v>
          </cell>
          <cell r="E15" t="str">
            <v>0A05 - Electricidad &amp; Instrumentación</v>
          </cell>
          <cell r="F15" t="str">
            <v>A</v>
          </cell>
          <cell r="G15" t="str">
            <v>MANO DE OBRA DIRECTA</v>
          </cell>
          <cell r="H15" t="str">
            <v>A - MANO DE OBRA DIRECTA</v>
          </cell>
          <cell r="I15" t="str">
            <v>0F01</v>
          </cell>
        </row>
        <row r="16">
          <cell r="A16" t="str">
            <v>11-0508-000G</v>
          </cell>
          <cell r="B16" t="str">
            <v xml:space="preserve">MAO CD - Electricidad / Montajes </v>
          </cell>
          <cell r="C16" t="str">
            <v>0A05</v>
          </cell>
          <cell r="D16" t="str">
            <v>Electricidad &amp; Instrumentación</v>
          </cell>
          <cell r="E16" t="str">
            <v>0A05 - Electricidad &amp; Instrumentación</v>
          </cell>
          <cell r="F16" t="str">
            <v>A</v>
          </cell>
          <cell r="G16" t="str">
            <v>MANO DE OBRA DIRECTA</v>
          </cell>
          <cell r="H16" t="str">
            <v>A - MANO DE OBRA DIRECTA</v>
          </cell>
          <cell r="I16" t="str">
            <v>0F01</v>
          </cell>
        </row>
        <row r="17">
          <cell r="A17" t="str">
            <v>11-0607-000G</v>
          </cell>
          <cell r="B17" t="str">
            <v xml:space="preserve">MAO CD - Instrumentación / Soldadura </v>
          </cell>
          <cell r="C17" t="str">
            <v>0A05</v>
          </cell>
          <cell r="D17" t="str">
            <v>Electricidad &amp; Instrumentación</v>
          </cell>
          <cell r="E17" t="str">
            <v>0A05 - Electricidad &amp; Instrumentación</v>
          </cell>
          <cell r="F17" t="str">
            <v>A</v>
          </cell>
          <cell r="G17" t="str">
            <v>MANO DE OBRA DIRECTA</v>
          </cell>
          <cell r="H17" t="str">
            <v>A - MANO DE OBRA DIRECTA</v>
          </cell>
          <cell r="I17" t="str">
            <v>0F01</v>
          </cell>
        </row>
        <row r="18">
          <cell r="A18" t="str">
            <v>11-0608-000G</v>
          </cell>
          <cell r="B18" t="str">
            <v xml:space="preserve">MAO CD - Instrumentación / Montajes </v>
          </cell>
          <cell r="C18" t="str">
            <v>0A05</v>
          </cell>
          <cell r="D18" t="str">
            <v>Electricidad &amp; Instrumentación</v>
          </cell>
          <cell r="E18" t="str">
            <v>0A05 - Electricidad &amp; Instrumentación</v>
          </cell>
          <cell r="F18" t="str">
            <v>A</v>
          </cell>
          <cell r="G18" t="str">
            <v>MANO DE OBRA DIRECTA</v>
          </cell>
          <cell r="H18" t="str">
            <v>A - MANO DE OBRA DIRECTA</v>
          </cell>
          <cell r="I18" t="str">
            <v>0F01</v>
          </cell>
        </row>
        <row r="19">
          <cell r="A19" t="str">
            <v>11-0701-000G</v>
          </cell>
          <cell r="B19" t="str">
            <v xml:space="preserve">MAO CD - Aislación / Aislación </v>
          </cell>
          <cell r="C19" t="str">
            <v>0A06</v>
          </cell>
          <cell r="D19" t="str">
            <v xml:space="preserve">Aislación </v>
          </cell>
          <cell r="E19" t="str">
            <v xml:space="preserve">0A06 - Aislación </v>
          </cell>
          <cell r="F19" t="str">
            <v>A</v>
          </cell>
          <cell r="G19" t="str">
            <v>MANO DE OBRA DIRECTA</v>
          </cell>
          <cell r="H19" t="str">
            <v>A - MANO DE OBRA DIRECTA</v>
          </cell>
          <cell r="I19" t="str">
            <v>0H01</v>
          </cell>
        </row>
        <row r="20">
          <cell r="A20" t="str">
            <v>11-0807-000G</v>
          </cell>
          <cell r="B20" t="str">
            <v xml:space="preserve">MAO CD - Caldera / Soldadura </v>
          </cell>
          <cell r="C20" t="str">
            <v>0A07</v>
          </cell>
          <cell r="D20" t="str">
            <v xml:space="preserve">Caldera </v>
          </cell>
          <cell r="E20" t="str">
            <v xml:space="preserve">0A07 - Caldera </v>
          </cell>
          <cell r="F20" t="str">
            <v>A</v>
          </cell>
          <cell r="G20" t="str">
            <v>MANO DE OBRA DIRECTA</v>
          </cell>
          <cell r="H20" t="str">
            <v>A - MANO DE OBRA DIRECTA</v>
          </cell>
          <cell r="I20" t="str">
            <v>0I01</v>
          </cell>
        </row>
        <row r="21">
          <cell r="A21" t="str">
            <v>11-0808-000G</v>
          </cell>
          <cell r="B21" t="str">
            <v xml:space="preserve">MAO CD - Caldera / Montajes </v>
          </cell>
          <cell r="C21" t="str">
            <v>0A07</v>
          </cell>
          <cell r="D21" t="str">
            <v xml:space="preserve">Caldera </v>
          </cell>
          <cell r="E21" t="str">
            <v xml:space="preserve">0A07 - Caldera </v>
          </cell>
          <cell r="F21" t="str">
            <v>A</v>
          </cell>
          <cell r="G21" t="str">
            <v>MANO DE OBRA DIRECTA</v>
          </cell>
          <cell r="H21" t="str">
            <v>A - MANO DE OBRA DIRECTA</v>
          </cell>
          <cell r="I21" t="str">
            <v>0I01</v>
          </cell>
        </row>
        <row r="22">
          <cell r="A22" t="str">
            <v>11-0907-000G</v>
          </cell>
          <cell r="B22" t="str">
            <v xml:space="preserve">MAO CD - Ductos / Soldadura </v>
          </cell>
          <cell r="C22" t="str">
            <v>0A09</v>
          </cell>
          <cell r="D22" t="str">
            <v xml:space="preserve">Ductos </v>
          </cell>
          <cell r="E22" t="str">
            <v xml:space="preserve">0A09 - Ductos </v>
          </cell>
          <cell r="F22" t="str">
            <v>A</v>
          </cell>
          <cell r="G22" t="str">
            <v>MANO DE OBRA DIRECTA</v>
          </cell>
          <cell r="H22" t="str">
            <v>A - MANO DE OBRA DIRECTA</v>
          </cell>
          <cell r="I22" t="str">
            <v>0J01</v>
          </cell>
        </row>
        <row r="23">
          <cell r="A23" t="str">
            <v>11-0908-000G</v>
          </cell>
          <cell r="B23" t="str">
            <v xml:space="preserve">MAO CD - Ductos / Montajes </v>
          </cell>
          <cell r="C23" t="str">
            <v>0A09</v>
          </cell>
          <cell r="D23" t="str">
            <v xml:space="preserve">Ductos </v>
          </cell>
          <cell r="E23" t="str">
            <v xml:space="preserve">0A09 - Ductos </v>
          </cell>
          <cell r="F23" t="str">
            <v>A</v>
          </cell>
          <cell r="G23" t="str">
            <v>MANO DE OBRA DIRECTA</v>
          </cell>
          <cell r="H23" t="str">
            <v>A - MANO DE OBRA DIRECTA</v>
          </cell>
          <cell r="I23" t="str">
            <v>0J01</v>
          </cell>
        </row>
        <row r="24">
          <cell r="A24" t="str">
            <v>11-1001-000G</v>
          </cell>
          <cell r="B24" t="str">
            <v xml:space="preserve">MAO CD - Comisionamiento / Comisionamiento </v>
          </cell>
          <cell r="C24" t="str">
            <v>0A10</v>
          </cell>
          <cell r="D24" t="str">
            <v xml:space="preserve">Comisionamiento </v>
          </cell>
          <cell r="E24" t="str">
            <v xml:space="preserve">0A10 - Comisionamiento </v>
          </cell>
          <cell r="F24" t="str">
            <v>A</v>
          </cell>
          <cell r="G24" t="str">
            <v>MANO DE OBRA DIRECTA</v>
          </cell>
          <cell r="H24" t="str">
            <v>A - MANO DE OBRA DIRECTA</v>
          </cell>
          <cell r="I24" t="str">
            <v>0L01</v>
          </cell>
        </row>
        <row r="25">
          <cell r="A25" t="str">
            <v>11-1101-000G</v>
          </cell>
          <cell r="B25" t="str">
            <v xml:space="preserve">MAO CD - Andamios / Andamios </v>
          </cell>
          <cell r="C25" t="str">
            <v>0A08</v>
          </cell>
          <cell r="D25" t="str">
            <v xml:space="preserve">Andamios </v>
          </cell>
          <cell r="E25" t="str">
            <v xml:space="preserve">0A08 - Andamios </v>
          </cell>
          <cell r="F25" t="str">
            <v>A</v>
          </cell>
          <cell r="G25" t="str">
            <v>MANO DE OBRA DIRECTA</v>
          </cell>
          <cell r="H25" t="str">
            <v>A - MANO DE OBRA DIRECTA</v>
          </cell>
          <cell r="I25" t="str">
            <v>0G01</v>
          </cell>
        </row>
        <row r="26">
          <cell r="A26" t="str">
            <v>11-1201-000G</v>
          </cell>
          <cell r="B26" t="str">
            <v xml:space="preserve">MAO CD - Pintura / Pintura </v>
          </cell>
          <cell r="C26" t="str">
            <v>0A11</v>
          </cell>
          <cell r="D26" t="str">
            <v>Arquitectura</v>
          </cell>
          <cell r="E26" t="str">
            <v>0A11 - Arquitectura</v>
          </cell>
          <cell r="F26" t="str">
            <v>A</v>
          </cell>
          <cell r="G26" t="str">
            <v>MANO DE OBRA DIRECTA</v>
          </cell>
          <cell r="H26" t="str">
            <v>A - MANO DE OBRA DIRECTA</v>
          </cell>
          <cell r="I26" t="str">
            <v>0M01</v>
          </cell>
        </row>
        <row r="27">
          <cell r="A27" t="str">
            <v>11-1201-010G</v>
          </cell>
          <cell r="B27" t="str">
            <v xml:space="preserve">MAO CD - Equipos / Equipos / Operador </v>
          </cell>
          <cell r="C27" t="str">
            <v>0D07</v>
          </cell>
          <cell r="D27" t="str">
            <v>Operador</v>
          </cell>
          <cell r="E27" t="str">
            <v>0D07 - Operador</v>
          </cell>
          <cell r="F27" t="str">
            <v>D</v>
          </cell>
          <cell r="G27" t="str">
            <v>EQUIPOS Y COMBUSTIBLES</v>
          </cell>
          <cell r="H27" t="str">
            <v>D - EQUIPOS Y COMBUSTIBLES</v>
          </cell>
          <cell r="I27" t="str">
            <v>0Q01</v>
          </cell>
        </row>
        <row r="28">
          <cell r="A28" t="str">
            <v>11-1201-020G</v>
          </cell>
          <cell r="B28" t="str">
            <v xml:space="preserve">MAO CD - Equipos / Equipos / Rigger </v>
          </cell>
          <cell r="C28" t="str">
            <v>0D08</v>
          </cell>
          <cell r="D28" t="str">
            <v>Rigger</v>
          </cell>
          <cell r="E28" t="str">
            <v>0D08 - Rigger</v>
          </cell>
          <cell r="F28" t="str">
            <v>D</v>
          </cell>
          <cell r="G28" t="str">
            <v>EQUIPOS Y COMBUSTIBLES</v>
          </cell>
          <cell r="H28" t="str">
            <v>D - EQUIPOS Y COMBUSTIBLES</v>
          </cell>
          <cell r="I28" t="str">
            <v>0Q01</v>
          </cell>
        </row>
        <row r="29">
          <cell r="A29" t="str">
            <v>11-1201-030G</v>
          </cell>
          <cell r="B29" t="str">
            <v xml:space="preserve">MAO CD - Equipos / Equipos / Operador dpto Equipos </v>
          </cell>
          <cell r="C29" t="str">
            <v>0D07</v>
          </cell>
          <cell r="D29" t="str">
            <v>Operador</v>
          </cell>
          <cell r="E29" t="str">
            <v>0D07 - Operador</v>
          </cell>
          <cell r="F29" t="str">
            <v>D</v>
          </cell>
          <cell r="G29" t="str">
            <v>EQUIPOS Y COMBUSTIBLES</v>
          </cell>
          <cell r="H29" t="str">
            <v>D - EQUIPOS Y COMBUSTIBLES</v>
          </cell>
          <cell r="I29" t="str">
            <v>0Q01</v>
          </cell>
        </row>
        <row r="30">
          <cell r="A30" t="str">
            <v>11-1201-040G</v>
          </cell>
          <cell r="B30" t="str">
            <v>MAO CD - Equipos / Equipos / Rigger dpto Equipos</v>
          </cell>
          <cell r="C30" t="str">
            <v>0D08</v>
          </cell>
          <cell r="D30" t="str">
            <v>Rigger</v>
          </cell>
          <cell r="E30" t="str">
            <v>0D08 - Rigger</v>
          </cell>
          <cell r="F30" t="str">
            <v>D</v>
          </cell>
          <cell r="G30" t="str">
            <v>EQUIPOS Y COMBUSTIBLES</v>
          </cell>
          <cell r="H30" t="str">
            <v>D - EQUIPOS Y COMBUSTIBLES</v>
          </cell>
          <cell r="I30" t="str">
            <v>0Q01</v>
          </cell>
        </row>
        <row r="31">
          <cell r="A31" t="str">
            <v>11-1307-000G</v>
          </cell>
          <cell r="B31" t="str">
            <v xml:space="preserve">MAO CD - Estanque / Soldadura </v>
          </cell>
          <cell r="C31" t="str">
            <v>0A12</v>
          </cell>
          <cell r="D31" t="str">
            <v xml:space="preserve">Estanque </v>
          </cell>
          <cell r="E31" t="str">
            <v xml:space="preserve">0A12 - Estanque </v>
          </cell>
          <cell r="F31" t="str">
            <v>A</v>
          </cell>
          <cell r="G31" t="str">
            <v>MANO DE OBRA DIRECTA</v>
          </cell>
          <cell r="H31" t="str">
            <v>A - MANO DE OBRA DIRECTA</v>
          </cell>
          <cell r="I31" t="str">
            <v>0N01</v>
          </cell>
        </row>
        <row r="32">
          <cell r="A32" t="str">
            <v>11-1308-000G</v>
          </cell>
          <cell r="B32" t="str">
            <v xml:space="preserve">MAO CD - Estanque / Montajes </v>
          </cell>
          <cell r="C32" t="str">
            <v>0A12</v>
          </cell>
          <cell r="D32" t="str">
            <v xml:space="preserve">Estanque </v>
          </cell>
          <cell r="E32" t="str">
            <v xml:space="preserve">0A12 - Estanque </v>
          </cell>
          <cell r="F32" t="str">
            <v>A</v>
          </cell>
          <cell r="G32" t="str">
            <v>MANO DE OBRA DIRECTA</v>
          </cell>
          <cell r="H32" t="str">
            <v>A - MANO DE OBRA DIRECTA</v>
          </cell>
          <cell r="I32" t="str">
            <v>0N01</v>
          </cell>
        </row>
        <row r="33">
          <cell r="A33" t="str">
            <v>11-7101-000G</v>
          </cell>
          <cell r="B33" t="str">
            <v>MAO CD - Multas (G)</v>
          </cell>
          <cell r="C33" t="str">
            <v>0A13</v>
          </cell>
          <cell r="D33" t="str">
            <v>Multas Costo Directo</v>
          </cell>
          <cell r="E33" t="str">
            <v>0A13 - Multas Costo Directo</v>
          </cell>
          <cell r="F33" t="str">
            <v>A</v>
          </cell>
          <cell r="G33" t="str">
            <v>MANO DE OBRA DIRECTA</v>
          </cell>
          <cell r="H33" t="str">
            <v>A - MANO DE OBRA DIRECTA</v>
          </cell>
          <cell r="I33" t="str">
            <v>0P10</v>
          </cell>
        </row>
        <row r="34">
          <cell r="A34" t="str">
            <v>12-5101-000G</v>
          </cell>
          <cell r="B34" t="str">
            <v xml:space="preserve">MAO CI - Staff Superior / Staff Superior </v>
          </cell>
          <cell r="C34" t="str">
            <v>1F01</v>
          </cell>
          <cell r="D34" t="str">
            <v xml:space="preserve">Staff Superior </v>
          </cell>
          <cell r="E34" t="str">
            <v xml:space="preserve">1F01 - Staff Superior </v>
          </cell>
          <cell r="F34" t="str">
            <v>F</v>
          </cell>
          <cell r="G34" t="str">
            <v>MANO DE OBRA INDIRECTA</v>
          </cell>
          <cell r="H34" t="str">
            <v>F - MANO DE OBRA INDIRECTA</v>
          </cell>
          <cell r="I34" t="str">
            <v>1Y01</v>
          </cell>
        </row>
        <row r="35">
          <cell r="A35" t="str">
            <v>12-5201-000G</v>
          </cell>
          <cell r="B35" t="str">
            <v xml:space="preserve">MAO CI - Oficina Técnica / Oficina Técnica </v>
          </cell>
          <cell r="C35" t="str">
            <v>1F02</v>
          </cell>
          <cell r="D35" t="str">
            <v xml:space="preserve">Oficina Técnica </v>
          </cell>
          <cell r="E35" t="str">
            <v xml:space="preserve">1F02 - Oficina Técnica </v>
          </cell>
          <cell r="F35" t="str">
            <v>F</v>
          </cell>
          <cell r="G35" t="str">
            <v>MANO DE OBRA INDIRECTA</v>
          </cell>
          <cell r="H35" t="str">
            <v>F - MANO DE OBRA INDIRECTA</v>
          </cell>
          <cell r="I35" t="str">
            <v>1Y02</v>
          </cell>
        </row>
        <row r="36">
          <cell r="A36" t="str">
            <v>12-5301-000G</v>
          </cell>
          <cell r="B36" t="str">
            <v xml:space="preserve">MAO CI - Supervisión / Supervisión </v>
          </cell>
          <cell r="C36" t="str">
            <v>1F03</v>
          </cell>
          <cell r="D36" t="str">
            <v xml:space="preserve">Supervisión </v>
          </cell>
          <cell r="E36" t="str">
            <v xml:space="preserve">1F03 - Supervisión </v>
          </cell>
          <cell r="F36" t="str">
            <v>F</v>
          </cell>
          <cell r="G36" t="str">
            <v>MANO DE OBRA INDIRECTA</v>
          </cell>
          <cell r="H36" t="str">
            <v>F - MANO DE OBRA INDIRECTA</v>
          </cell>
          <cell r="I36" t="str">
            <v>1Y03</v>
          </cell>
        </row>
        <row r="37">
          <cell r="A37" t="str">
            <v>12-5401-000G</v>
          </cell>
          <cell r="B37" t="str">
            <v xml:space="preserve">MAO CI - Administración / Administración </v>
          </cell>
          <cell r="C37" t="str">
            <v>1F06</v>
          </cell>
          <cell r="D37" t="str">
            <v xml:space="preserve">Administración </v>
          </cell>
          <cell r="E37" t="str">
            <v xml:space="preserve">1F06 - Administración </v>
          </cell>
          <cell r="F37" t="str">
            <v>F</v>
          </cell>
          <cell r="G37" t="str">
            <v>MANO DE OBRA INDIRECTA</v>
          </cell>
          <cell r="H37" t="str">
            <v>F - MANO DE OBRA INDIRECTA</v>
          </cell>
          <cell r="I37" t="str">
            <v>1Y06</v>
          </cell>
        </row>
        <row r="38">
          <cell r="A38" t="str">
            <v>12-5501-000G</v>
          </cell>
          <cell r="B38" t="str">
            <v xml:space="preserve">MAO CI - Prevención De Riesgos / Prevención De Riesgos </v>
          </cell>
          <cell r="C38" t="str">
            <v>1F04</v>
          </cell>
          <cell r="D38" t="str">
            <v>Prevención de Riesgos</v>
          </cell>
          <cell r="E38" t="str">
            <v>1F04 - Prevención de Riesgos</v>
          </cell>
          <cell r="F38" t="str">
            <v>F</v>
          </cell>
          <cell r="G38" t="str">
            <v>MANO DE OBRA INDIRECTA</v>
          </cell>
          <cell r="H38" t="str">
            <v>F - MANO DE OBRA INDIRECTA</v>
          </cell>
          <cell r="I38" t="str">
            <v>1Y04</v>
          </cell>
        </row>
        <row r="39">
          <cell r="A39" t="str">
            <v>12-5601-000G</v>
          </cell>
          <cell r="B39" t="str">
            <v xml:space="preserve">MAO CI - Control De Calidad / Control De Calidad </v>
          </cell>
          <cell r="C39" t="str">
            <v>1F05</v>
          </cell>
          <cell r="D39" t="str">
            <v xml:space="preserve">Control De Calidad </v>
          </cell>
          <cell r="E39" t="str">
            <v xml:space="preserve">1F05 - Control De Calidad </v>
          </cell>
          <cell r="F39" t="str">
            <v>F</v>
          </cell>
          <cell r="G39" t="str">
            <v>MANO DE OBRA INDIRECTA</v>
          </cell>
          <cell r="H39" t="str">
            <v>F - MANO DE OBRA INDIRECTA</v>
          </cell>
          <cell r="I39" t="str">
            <v>1Y05</v>
          </cell>
        </row>
        <row r="40">
          <cell r="A40" t="str">
            <v>12-5701-000G</v>
          </cell>
          <cell r="B40" t="str">
            <v xml:space="preserve">MAO CI - Servicios / Servicios </v>
          </cell>
          <cell r="C40" t="str">
            <v>1F07</v>
          </cell>
          <cell r="D40" t="str">
            <v xml:space="preserve">Servicios </v>
          </cell>
          <cell r="E40" t="str">
            <v xml:space="preserve">1F07 - Servicios </v>
          </cell>
          <cell r="F40" t="str">
            <v>F</v>
          </cell>
          <cell r="G40" t="str">
            <v>MANO DE OBRA INDIRECTA</v>
          </cell>
          <cell r="H40" t="str">
            <v>F - MANO DE OBRA INDIRECTA</v>
          </cell>
          <cell r="I40" t="str">
            <v>1Y07</v>
          </cell>
        </row>
        <row r="41">
          <cell r="A41" t="str">
            <v>12-5902-000G</v>
          </cell>
          <cell r="B41" t="str">
            <v xml:space="preserve">MAO CI - Servicios / Topografía </v>
          </cell>
          <cell r="C41" t="str">
            <v>1F08</v>
          </cell>
          <cell r="D41" t="str">
            <v>Topografia</v>
          </cell>
          <cell r="E41" t="str">
            <v>1F08 - Topografia</v>
          </cell>
          <cell r="F41" t="str">
            <v>F</v>
          </cell>
          <cell r="G41" t="str">
            <v>MANO DE OBRA INDIRECTA</v>
          </cell>
          <cell r="H41" t="str">
            <v>F - MANO DE OBRA INDIRECTA</v>
          </cell>
          <cell r="I41" t="str">
            <v>1Y08</v>
          </cell>
        </row>
        <row r="42">
          <cell r="A42" t="str">
            <v>12-6001-000G</v>
          </cell>
          <cell r="B42" t="str">
            <v>MAO CI - Prov. Pers. Planta / PROVAC (G)</v>
          </cell>
          <cell r="C42" t="str">
            <v>1F12</v>
          </cell>
          <cell r="D42" t="str">
            <v>Provisiones</v>
          </cell>
          <cell r="E42" t="str">
            <v>1F12 - Provisiones</v>
          </cell>
          <cell r="F42" t="str">
            <v>F</v>
          </cell>
          <cell r="G42" t="str">
            <v>MANO DE OBRA INDIRECTA</v>
          </cell>
          <cell r="H42" t="str">
            <v>F - MANO DE OBRA INDIRECTA</v>
          </cell>
          <cell r="I42" t="str">
            <v>1Y11</v>
          </cell>
        </row>
        <row r="43">
          <cell r="A43" t="str">
            <v>12-6002-000G</v>
          </cell>
          <cell r="B43" t="str">
            <v>MAO CI - Prov. Pers. Planta / PIAS (G)</v>
          </cell>
          <cell r="C43" t="str">
            <v>1F12</v>
          </cell>
          <cell r="D43" t="str">
            <v>Provisiones</v>
          </cell>
          <cell r="E43" t="str">
            <v>1F12 - Provisiones</v>
          </cell>
          <cell r="F43" t="str">
            <v>F</v>
          </cell>
          <cell r="G43" t="str">
            <v>MANO DE OBRA INDIRECTA</v>
          </cell>
          <cell r="H43" t="str">
            <v>F - MANO DE OBRA INDIRECTA</v>
          </cell>
          <cell r="I43" t="str">
            <v>1Y11</v>
          </cell>
        </row>
        <row r="44">
          <cell r="A44" t="str">
            <v>12-7101-000G</v>
          </cell>
          <cell r="B44" t="str">
            <v>MAO CI - Multas (G)</v>
          </cell>
          <cell r="C44" t="str">
            <v>1F13</v>
          </cell>
          <cell r="D44" t="str">
            <v>Otros</v>
          </cell>
          <cell r="E44" t="str">
            <v>1F13 - Otros</v>
          </cell>
          <cell r="F44" t="str">
            <v>F</v>
          </cell>
          <cell r="G44" t="str">
            <v>MANO DE OBRA INDIRECTA</v>
          </cell>
          <cell r="H44" t="str">
            <v>F - MANO DE OBRA INDIRECTA</v>
          </cell>
          <cell r="I44" t="str">
            <v>1Y11</v>
          </cell>
        </row>
        <row r="45">
          <cell r="A45" t="str">
            <v>12-9999-990G</v>
          </cell>
          <cell r="B45" t="str">
            <v>MO / Personal Inclusion / (G)</v>
          </cell>
          <cell r="C45" t="str">
            <v>1F13</v>
          </cell>
          <cell r="D45" t="str">
            <v>Otros</v>
          </cell>
          <cell r="E45" t="str">
            <v>1F13 - Otros</v>
          </cell>
          <cell r="F45" t="str">
            <v>F</v>
          </cell>
          <cell r="G45" t="str">
            <v>MANO DE OBRA INDIRECTA</v>
          </cell>
          <cell r="H45" t="str">
            <v>F - MANO DE OBRA INDIRECTA</v>
          </cell>
          <cell r="I45" t="str">
            <v>1Y11</v>
          </cell>
        </row>
        <row r="46">
          <cell r="A46" t="str">
            <v>21-0102-010A</v>
          </cell>
          <cell r="B46" t="str">
            <v xml:space="preserve">MAT CD - Civil  / Hormigón / Hormigón </v>
          </cell>
          <cell r="C46" t="str">
            <v>0B01</v>
          </cell>
          <cell r="D46" t="str">
            <v xml:space="preserve">Civil  </v>
          </cell>
          <cell r="E46" t="str">
            <v xml:space="preserve">0B01 - Civil  </v>
          </cell>
          <cell r="F46" t="str">
            <v>B</v>
          </cell>
          <cell r="G46" t="str">
            <v>MATERIALES</v>
          </cell>
          <cell r="H46" t="str">
            <v>B - MATERIALES</v>
          </cell>
          <cell r="I46" t="str">
            <v>0A02</v>
          </cell>
        </row>
        <row r="47">
          <cell r="A47" t="str">
            <v>21-0102-010G</v>
          </cell>
          <cell r="B47" t="str">
            <v xml:space="preserve">MAT CD - Civil  / Hormigón / Hormigón </v>
          </cell>
          <cell r="C47" t="str">
            <v>0B01</v>
          </cell>
          <cell r="D47" t="str">
            <v xml:space="preserve">Civil  </v>
          </cell>
          <cell r="E47" t="str">
            <v xml:space="preserve">0B01 - Civil  </v>
          </cell>
          <cell r="F47" t="str">
            <v>B</v>
          </cell>
          <cell r="G47" t="str">
            <v>MATERIALES</v>
          </cell>
          <cell r="H47" t="str">
            <v>B - MATERIALES</v>
          </cell>
          <cell r="I47" t="str">
            <v>0A02</v>
          </cell>
        </row>
        <row r="48">
          <cell r="A48" t="str">
            <v>21-0102-020A</v>
          </cell>
          <cell r="B48" t="str">
            <v xml:space="preserve">MAT CD - Civil  / Hormigón / Hormigón Prefabricado </v>
          </cell>
          <cell r="C48" t="str">
            <v>0B01</v>
          </cell>
          <cell r="D48" t="str">
            <v xml:space="preserve">Civil  </v>
          </cell>
          <cell r="E48" t="str">
            <v xml:space="preserve">0B01 - Civil  </v>
          </cell>
          <cell r="F48" t="str">
            <v>B</v>
          </cell>
          <cell r="G48" t="str">
            <v>MATERIALES</v>
          </cell>
          <cell r="H48" t="str">
            <v>B - MATERIALES</v>
          </cell>
          <cell r="I48" t="str">
            <v>0A02</v>
          </cell>
        </row>
        <row r="49">
          <cell r="A49" t="str">
            <v>21-0102-020G</v>
          </cell>
          <cell r="B49" t="str">
            <v xml:space="preserve">MAT CD - Civil  / Hormigón / Hormigón Prefabricado </v>
          </cell>
          <cell r="C49" t="str">
            <v>0B01</v>
          </cell>
          <cell r="D49" t="str">
            <v xml:space="preserve">Civil  </v>
          </cell>
          <cell r="E49" t="str">
            <v xml:space="preserve">0B01 - Civil  </v>
          </cell>
          <cell r="F49" t="str">
            <v>B</v>
          </cell>
          <cell r="G49" t="str">
            <v>MATERIALES</v>
          </cell>
          <cell r="H49" t="str">
            <v>B - MATERIALES</v>
          </cell>
          <cell r="I49" t="str">
            <v>0A02</v>
          </cell>
        </row>
        <row r="50">
          <cell r="A50" t="str">
            <v>21-0102-030A</v>
          </cell>
          <cell r="B50" t="str">
            <v xml:space="preserve">MAT CD - Civil  / Hormigón / Flete prefabricado </v>
          </cell>
          <cell r="C50" t="str">
            <v>0B01</v>
          </cell>
          <cell r="D50" t="str">
            <v xml:space="preserve">Civil  </v>
          </cell>
          <cell r="E50" t="str">
            <v xml:space="preserve">0B01 - Civil  </v>
          </cell>
          <cell r="F50" t="str">
            <v>B</v>
          </cell>
          <cell r="G50" t="str">
            <v>MATERIALES</v>
          </cell>
          <cell r="H50" t="str">
            <v>B - MATERIALES</v>
          </cell>
          <cell r="I50" t="str">
            <v>0A02</v>
          </cell>
        </row>
        <row r="51">
          <cell r="A51" t="str">
            <v>21-0102-030G</v>
          </cell>
          <cell r="B51" t="str">
            <v xml:space="preserve">MAT CD - Civil  / Hormigón / Flete prefabricado </v>
          </cell>
          <cell r="C51" t="str">
            <v>0B01</v>
          </cell>
          <cell r="D51" t="str">
            <v xml:space="preserve">Civil  </v>
          </cell>
          <cell r="E51" t="str">
            <v xml:space="preserve">0B01 - Civil  </v>
          </cell>
          <cell r="F51" t="str">
            <v>B</v>
          </cell>
          <cell r="G51" t="str">
            <v>MATERIALES</v>
          </cell>
          <cell r="H51" t="str">
            <v>B - MATERIALES</v>
          </cell>
          <cell r="I51" t="str">
            <v>0A02</v>
          </cell>
        </row>
        <row r="52">
          <cell r="A52" t="str">
            <v>21-0103-010A</v>
          </cell>
          <cell r="B52" t="str">
            <v xml:space="preserve">MAT CD - Civil  / Moldaje / Moldajes </v>
          </cell>
          <cell r="C52" t="str">
            <v>0B01</v>
          </cell>
          <cell r="D52" t="str">
            <v xml:space="preserve">Civil  </v>
          </cell>
          <cell r="E52" t="str">
            <v xml:space="preserve">0B01 - Civil  </v>
          </cell>
          <cell r="F52" t="str">
            <v>B</v>
          </cell>
          <cell r="G52" t="str">
            <v>MATERIALES</v>
          </cell>
          <cell r="H52" t="str">
            <v>B - MATERIALES</v>
          </cell>
          <cell r="I52" t="str">
            <v>0A02</v>
          </cell>
        </row>
        <row r="53">
          <cell r="A53" t="str">
            <v>21-0103-010G</v>
          </cell>
          <cell r="B53" t="str">
            <v xml:space="preserve">MAT CD - Civil  / Moldaje / Moldajes </v>
          </cell>
          <cell r="C53" t="str">
            <v>0B01</v>
          </cell>
          <cell r="D53" t="str">
            <v xml:space="preserve">Civil  </v>
          </cell>
          <cell r="E53" t="str">
            <v xml:space="preserve">0B01 - Civil  </v>
          </cell>
          <cell r="F53" t="str">
            <v>B</v>
          </cell>
          <cell r="G53" t="str">
            <v>MATERIALES</v>
          </cell>
          <cell r="H53" t="str">
            <v>B - MATERIALES</v>
          </cell>
          <cell r="I53" t="str">
            <v>0A02</v>
          </cell>
        </row>
        <row r="54">
          <cell r="A54" t="str">
            <v>21-0104-010A</v>
          </cell>
          <cell r="B54" t="str">
            <v xml:space="preserve">MAT CD - Civil  / Enfierradura / Varios </v>
          </cell>
          <cell r="C54" t="str">
            <v>0B01</v>
          </cell>
          <cell r="D54" t="str">
            <v xml:space="preserve">Civil  </v>
          </cell>
          <cell r="E54" t="str">
            <v xml:space="preserve">0B01 - Civil  </v>
          </cell>
          <cell r="F54" t="str">
            <v>B</v>
          </cell>
          <cell r="G54" t="str">
            <v>MATERIALES</v>
          </cell>
          <cell r="H54" t="str">
            <v>B - MATERIALES</v>
          </cell>
          <cell r="I54" t="str">
            <v>0A02</v>
          </cell>
        </row>
        <row r="55">
          <cell r="A55" t="str">
            <v>21-0104-010G</v>
          </cell>
          <cell r="B55" t="str">
            <v xml:space="preserve">MAT CD - Civil  / Enfierradura / Varios </v>
          </cell>
          <cell r="C55" t="str">
            <v>0B01</v>
          </cell>
          <cell r="D55" t="str">
            <v xml:space="preserve">Civil  </v>
          </cell>
          <cell r="E55" t="str">
            <v xml:space="preserve">0B01 - Civil  </v>
          </cell>
          <cell r="F55" t="str">
            <v>B</v>
          </cell>
          <cell r="G55" t="str">
            <v>MATERIALES</v>
          </cell>
          <cell r="H55" t="str">
            <v>B - MATERIALES</v>
          </cell>
          <cell r="I55" t="str">
            <v>0A02</v>
          </cell>
        </row>
        <row r="56">
          <cell r="A56" t="str">
            <v>21-0105-010A</v>
          </cell>
          <cell r="B56" t="str">
            <v xml:space="preserve">MAT CD - Civil  / Arquitectura / Suministro Mat. Arq </v>
          </cell>
          <cell r="C56" t="str">
            <v>0B10</v>
          </cell>
          <cell r="D56" t="str">
            <v>Arquitectura</v>
          </cell>
          <cell r="E56" t="str">
            <v>0B10 - Arquitectura</v>
          </cell>
          <cell r="F56" t="str">
            <v>B</v>
          </cell>
          <cell r="G56" t="str">
            <v>MATERIALES</v>
          </cell>
          <cell r="H56" t="str">
            <v>B - MATERIALES</v>
          </cell>
          <cell r="I56" t="str">
            <v>0M02</v>
          </cell>
        </row>
        <row r="57">
          <cell r="A57" t="str">
            <v>21-0105-010G</v>
          </cell>
          <cell r="B57" t="str">
            <v xml:space="preserve">MAT CD - Civil  / Arquitectura / Suministro Mat. Arq </v>
          </cell>
          <cell r="C57" t="str">
            <v>0B10</v>
          </cell>
          <cell r="D57" t="str">
            <v>Arquitectura</v>
          </cell>
          <cell r="E57" t="str">
            <v>0B10 - Arquitectura</v>
          </cell>
          <cell r="F57" t="str">
            <v>B</v>
          </cell>
          <cell r="G57" t="str">
            <v>MATERIALES</v>
          </cell>
          <cell r="H57" t="str">
            <v>B - MATERIALES</v>
          </cell>
          <cell r="I57" t="str">
            <v>0M02</v>
          </cell>
        </row>
        <row r="58">
          <cell r="A58" t="str">
            <v>21-0105-990A</v>
          </cell>
          <cell r="B58" t="str">
            <v xml:space="preserve">MAT CD - Civil  / Arquitectura / Otros </v>
          </cell>
          <cell r="C58" t="str">
            <v>0B10</v>
          </cell>
          <cell r="D58" t="str">
            <v>Arquitectura</v>
          </cell>
          <cell r="E58" t="str">
            <v>0B10 - Arquitectura</v>
          </cell>
          <cell r="F58" t="str">
            <v>B</v>
          </cell>
          <cell r="G58" t="str">
            <v>MATERIALES</v>
          </cell>
          <cell r="H58" t="str">
            <v>B - MATERIALES</v>
          </cell>
          <cell r="I58" t="str">
            <v>0M02</v>
          </cell>
        </row>
        <row r="59">
          <cell r="A59" t="str">
            <v>21-0105-990G</v>
          </cell>
          <cell r="B59" t="str">
            <v xml:space="preserve">MAT CD - Civil  / Arquitectura / Otros </v>
          </cell>
          <cell r="C59" t="str">
            <v>0B10</v>
          </cell>
          <cell r="D59" t="str">
            <v>Arquitectura</v>
          </cell>
          <cell r="E59" t="str">
            <v>0B10 - Arquitectura</v>
          </cell>
          <cell r="F59" t="str">
            <v>B</v>
          </cell>
          <cell r="G59" t="str">
            <v>MATERIALES</v>
          </cell>
          <cell r="H59" t="str">
            <v>B - MATERIALES</v>
          </cell>
          <cell r="I59" t="str">
            <v>0M02</v>
          </cell>
        </row>
        <row r="60">
          <cell r="A60" t="str">
            <v>21-0111-010A</v>
          </cell>
          <cell r="B60" t="str">
            <v xml:space="preserve">MAT CD - Civil  / Pernos e Insertos / Pernos e Insertos </v>
          </cell>
          <cell r="C60" t="str">
            <v>0B01</v>
          </cell>
          <cell r="D60" t="str">
            <v xml:space="preserve">Civil  </v>
          </cell>
          <cell r="E60" t="str">
            <v xml:space="preserve">0B01 - Civil  </v>
          </cell>
          <cell r="F60" t="str">
            <v>B</v>
          </cell>
          <cell r="G60" t="str">
            <v>MATERIALES</v>
          </cell>
          <cell r="H60" t="str">
            <v>B - MATERIALES</v>
          </cell>
          <cell r="I60" t="str">
            <v>0A02</v>
          </cell>
        </row>
        <row r="61">
          <cell r="A61" t="str">
            <v>21-0111-010G</v>
          </cell>
          <cell r="B61" t="str">
            <v xml:space="preserve">MAT CD - Civil  / Pernos e Insertos / Pernos e Insertos </v>
          </cell>
          <cell r="C61" t="str">
            <v>0B01</v>
          </cell>
          <cell r="D61" t="str">
            <v xml:space="preserve">Civil  </v>
          </cell>
          <cell r="E61" t="str">
            <v xml:space="preserve">0B01 - Civil  </v>
          </cell>
          <cell r="F61" t="str">
            <v>B</v>
          </cell>
          <cell r="G61" t="str">
            <v>MATERIALES</v>
          </cell>
          <cell r="H61" t="str">
            <v>B - MATERIALES</v>
          </cell>
          <cell r="I61" t="str">
            <v>0A02</v>
          </cell>
        </row>
        <row r="62">
          <cell r="A62" t="str">
            <v>21-0199-010A</v>
          </cell>
          <cell r="B62" t="str">
            <v xml:space="preserve">MAT CD - Civil  / Otros / Materiales varios </v>
          </cell>
          <cell r="C62" t="str">
            <v>0B01</v>
          </cell>
          <cell r="D62" t="str">
            <v xml:space="preserve">Civil  </v>
          </cell>
          <cell r="E62" t="str">
            <v xml:space="preserve">0B01 - Civil  </v>
          </cell>
          <cell r="F62" t="str">
            <v>B</v>
          </cell>
          <cell r="G62" t="str">
            <v>MATERIALES</v>
          </cell>
          <cell r="H62" t="str">
            <v>B - MATERIALES</v>
          </cell>
          <cell r="I62" t="str">
            <v>0A02</v>
          </cell>
        </row>
        <row r="63">
          <cell r="A63" t="str">
            <v>21-0199-010G</v>
          </cell>
          <cell r="B63" t="str">
            <v xml:space="preserve">MAT CD - Civil  / Otros / Materiales varios </v>
          </cell>
          <cell r="C63" t="str">
            <v>0B01</v>
          </cell>
          <cell r="D63" t="str">
            <v xml:space="preserve">Civil  </v>
          </cell>
          <cell r="E63" t="str">
            <v xml:space="preserve">0B01 - Civil  </v>
          </cell>
          <cell r="F63" t="str">
            <v>B</v>
          </cell>
          <cell r="G63" t="str">
            <v>MATERIALES</v>
          </cell>
          <cell r="H63" t="str">
            <v>B - MATERIALES</v>
          </cell>
          <cell r="I63" t="str">
            <v>0A02</v>
          </cell>
        </row>
        <row r="64">
          <cell r="A64" t="str">
            <v>21-0212-010A</v>
          </cell>
          <cell r="B64" t="str">
            <v xml:space="preserve">MAT CD - Estructura / Suministro Estructura / Todos </v>
          </cell>
          <cell r="C64" t="str">
            <v>0B02</v>
          </cell>
          <cell r="D64" t="str">
            <v xml:space="preserve">Estructura </v>
          </cell>
          <cell r="E64" t="str">
            <v xml:space="preserve">0B02 - Estructura </v>
          </cell>
          <cell r="F64" t="str">
            <v>B</v>
          </cell>
          <cell r="G64" t="str">
            <v>MATERIALES</v>
          </cell>
          <cell r="H64" t="str">
            <v>B - MATERIALES</v>
          </cell>
          <cell r="I64" t="str">
            <v>0B02</v>
          </cell>
        </row>
        <row r="65">
          <cell r="A65" t="str">
            <v>21-0212-010G</v>
          </cell>
          <cell r="B65" t="str">
            <v xml:space="preserve">MAT CD - Estructura / Suministro Estructura / Todos </v>
          </cell>
          <cell r="C65" t="str">
            <v>0B02</v>
          </cell>
          <cell r="D65" t="str">
            <v xml:space="preserve">Estructura </v>
          </cell>
          <cell r="E65" t="str">
            <v xml:space="preserve">0B02 - Estructura </v>
          </cell>
          <cell r="F65" t="str">
            <v>B</v>
          </cell>
          <cell r="G65" t="str">
            <v>MATERIALES</v>
          </cell>
          <cell r="H65" t="str">
            <v>B - MATERIALES</v>
          </cell>
          <cell r="I65" t="str">
            <v>0B02</v>
          </cell>
        </row>
        <row r="66">
          <cell r="A66" t="str">
            <v>21-0213-010A</v>
          </cell>
          <cell r="B66" t="str">
            <v xml:space="preserve">MAT CD - Estructura / Pernos / Todos </v>
          </cell>
          <cell r="C66" t="str">
            <v>0B02</v>
          </cell>
          <cell r="D66" t="str">
            <v xml:space="preserve">Estructura </v>
          </cell>
          <cell r="E66" t="str">
            <v xml:space="preserve">0B02 - Estructura </v>
          </cell>
          <cell r="F66" t="str">
            <v>B</v>
          </cell>
          <cell r="G66" t="str">
            <v>MATERIALES</v>
          </cell>
          <cell r="H66" t="str">
            <v>B - MATERIALES</v>
          </cell>
          <cell r="I66" t="str">
            <v>0B02</v>
          </cell>
        </row>
        <row r="67">
          <cell r="A67" t="str">
            <v>21-0213-010G</v>
          </cell>
          <cell r="B67" t="str">
            <v xml:space="preserve">MAT CD - Estructura / Pernos / Todos </v>
          </cell>
          <cell r="C67" t="str">
            <v>0B02</v>
          </cell>
          <cell r="D67" t="str">
            <v xml:space="preserve">Estructura </v>
          </cell>
          <cell r="E67" t="str">
            <v xml:space="preserve">0B02 - Estructura </v>
          </cell>
          <cell r="F67" t="str">
            <v>B</v>
          </cell>
          <cell r="G67" t="str">
            <v>MATERIALES</v>
          </cell>
          <cell r="H67" t="str">
            <v>B - MATERIALES</v>
          </cell>
          <cell r="I67" t="str">
            <v>0B02</v>
          </cell>
        </row>
        <row r="68">
          <cell r="A68" t="str">
            <v>21-0214-010A</v>
          </cell>
          <cell r="B68" t="str">
            <v xml:space="preserve">MAT CD - Estructura / Soldaduras y Gases / Todos </v>
          </cell>
          <cell r="C68" t="str">
            <v>0B02</v>
          </cell>
          <cell r="D68" t="str">
            <v xml:space="preserve">Estructura </v>
          </cell>
          <cell r="E68" t="str">
            <v xml:space="preserve">0B02 - Estructura </v>
          </cell>
          <cell r="F68" t="str">
            <v>B</v>
          </cell>
          <cell r="G68" t="str">
            <v>MATERIALES</v>
          </cell>
          <cell r="H68" t="str">
            <v>B - MATERIALES</v>
          </cell>
          <cell r="I68" t="str">
            <v>0B02</v>
          </cell>
        </row>
        <row r="69">
          <cell r="A69" t="str">
            <v>21-0214-010G</v>
          </cell>
          <cell r="B69" t="str">
            <v xml:space="preserve">MAT CD - Estructura / Soldaduras y Gases / Todos </v>
          </cell>
          <cell r="C69" t="str">
            <v>0B02</v>
          </cell>
          <cell r="D69" t="str">
            <v xml:space="preserve">Estructura </v>
          </cell>
          <cell r="E69" t="str">
            <v xml:space="preserve">0B02 - Estructura </v>
          </cell>
          <cell r="F69" t="str">
            <v>B</v>
          </cell>
          <cell r="G69" t="str">
            <v>MATERIALES</v>
          </cell>
          <cell r="H69" t="str">
            <v>B - MATERIALES</v>
          </cell>
          <cell r="I69" t="str">
            <v>0B02</v>
          </cell>
        </row>
        <row r="70">
          <cell r="A70" t="str">
            <v>21-0215-010A</v>
          </cell>
          <cell r="B70" t="str">
            <v xml:space="preserve">MAT CD - Estructura / Suministro Revestimiento / Todos </v>
          </cell>
          <cell r="C70" t="str">
            <v>0B02</v>
          </cell>
          <cell r="D70" t="str">
            <v xml:space="preserve">Estructura </v>
          </cell>
          <cell r="E70" t="str">
            <v xml:space="preserve">0B02 - Estructura </v>
          </cell>
          <cell r="F70" t="str">
            <v>B</v>
          </cell>
          <cell r="G70" t="str">
            <v>MATERIALES</v>
          </cell>
          <cell r="H70" t="str">
            <v>B - MATERIALES</v>
          </cell>
          <cell r="I70" t="str">
            <v>0B02</v>
          </cell>
        </row>
        <row r="71">
          <cell r="A71" t="str">
            <v>21-0215-010G</v>
          </cell>
          <cell r="B71" t="str">
            <v xml:space="preserve">MAT CD - Estructura / Suministro Revestimiento / Todos </v>
          </cell>
          <cell r="C71" t="str">
            <v>0B02</v>
          </cell>
          <cell r="D71" t="str">
            <v xml:space="preserve">Estructura </v>
          </cell>
          <cell r="E71" t="str">
            <v xml:space="preserve">0B02 - Estructura </v>
          </cell>
          <cell r="F71" t="str">
            <v>B</v>
          </cell>
          <cell r="G71" t="str">
            <v>MATERIALES</v>
          </cell>
          <cell r="H71" t="str">
            <v>B - MATERIALES</v>
          </cell>
          <cell r="I71" t="str">
            <v>0B02</v>
          </cell>
        </row>
        <row r="72">
          <cell r="A72" t="str">
            <v>21-0299-010A</v>
          </cell>
          <cell r="B72" t="str">
            <v xml:space="preserve">MAT CD - Estructura / Otros / Todos </v>
          </cell>
          <cell r="C72" t="str">
            <v>0B02</v>
          </cell>
          <cell r="D72" t="str">
            <v xml:space="preserve">Estructura </v>
          </cell>
          <cell r="E72" t="str">
            <v xml:space="preserve">0B02 - Estructura </v>
          </cell>
          <cell r="F72" t="str">
            <v>B</v>
          </cell>
          <cell r="G72" t="str">
            <v>MATERIALES</v>
          </cell>
          <cell r="H72" t="str">
            <v>B - MATERIALES</v>
          </cell>
          <cell r="I72" t="str">
            <v>0B02</v>
          </cell>
        </row>
        <row r="73">
          <cell r="A73" t="str">
            <v>21-0299-010G</v>
          </cell>
          <cell r="B73" t="str">
            <v xml:space="preserve">MAT CD - Estructura / Otros / Todos </v>
          </cell>
          <cell r="C73" t="str">
            <v>0B02</v>
          </cell>
          <cell r="D73" t="str">
            <v xml:space="preserve">Estructura </v>
          </cell>
          <cell r="E73" t="str">
            <v xml:space="preserve">0B02 - Estructura </v>
          </cell>
          <cell r="F73" t="str">
            <v>B</v>
          </cell>
          <cell r="G73" t="str">
            <v>MATERIALES</v>
          </cell>
          <cell r="H73" t="str">
            <v>B - MATERIALES</v>
          </cell>
          <cell r="I73" t="str">
            <v>0B02</v>
          </cell>
        </row>
        <row r="74">
          <cell r="A74" t="str">
            <v>21-0314-010A</v>
          </cell>
          <cell r="B74" t="str">
            <v xml:space="preserve">MAT CD - Mecánica / Soldadura y Gases / Todos </v>
          </cell>
          <cell r="C74" t="str">
            <v>0B04</v>
          </cell>
          <cell r="D74" t="str">
            <v xml:space="preserve">Mecánica </v>
          </cell>
          <cell r="E74" t="str">
            <v xml:space="preserve">0B04 - Mecánica </v>
          </cell>
          <cell r="F74" t="str">
            <v>B</v>
          </cell>
          <cell r="G74" t="str">
            <v>MATERIALES</v>
          </cell>
          <cell r="H74" t="str">
            <v>B - MATERIALES</v>
          </cell>
          <cell r="I74" t="str">
            <v>0C02</v>
          </cell>
        </row>
        <row r="75">
          <cell r="A75" t="str">
            <v>21-0314-010G</v>
          </cell>
          <cell r="B75" t="str">
            <v xml:space="preserve">MAT CD - Mecánica / Soldadura y Gases / Todos </v>
          </cell>
          <cell r="C75" t="str">
            <v>0B04</v>
          </cell>
          <cell r="D75" t="str">
            <v xml:space="preserve">Mecánica </v>
          </cell>
          <cell r="E75" t="str">
            <v xml:space="preserve">0B04 - Mecánica </v>
          </cell>
          <cell r="F75" t="str">
            <v>B</v>
          </cell>
          <cell r="G75" t="str">
            <v>MATERIALES</v>
          </cell>
          <cell r="H75" t="str">
            <v>B - MATERIALES</v>
          </cell>
          <cell r="I75" t="str">
            <v>0C02</v>
          </cell>
        </row>
        <row r="76">
          <cell r="A76" t="str">
            <v>21-0317-010A</v>
          </cell>
          <cell r="B76" t="str">
            <v xml:space="preserve">MAT CD - Mecánica / Suministro Equipos / Todos </v>
          </cell>
          <cell r="C76" t="str">
            <v>0B04</v>
          </cell>
          <cell r="D76" t="str">
            <v xml:space="preserve">Mecánica </v>
          </cell>
          <cell r="E76" t="str">
            <v xml:space="preserve">0B04 - Mecánica </v>
          </cell>
          <cell r="F76" t="str">
            <v>B</v>
          </cell>
          <cell r="G76" t="str">
            <v>MATERIALES</v>
          </cell>
          <cell r="H76" t="str">
            <v>B - MATERIALES</v>
          </cell>
          <cell r="I76" t="str">
            <v>0C02</v>
          </cell>
        </row>
        <row r="77">
          <cell r="A77" t="str">
            <v>21-0317-010G</v>
          </cell>
          <cell r="B77" t="str">
            <v xml:space="preserve">MAT CD - Mecánica / Suministro Equipos / Todos </v>
          </cell>
          <cell r="C77" t="str">
            <v>0B04</v>
          </cell>
          <cell r="D77" t="str">
            <v xml:space="preserve">Mecánica </v>
          </cell>
          <cell r="E77" t="str">
            <v xml:space="preserve">0B04 - Mecánica </v>
          </cell>
          <cell r="F77" t="str">
            <v>B</v>
          </cell>
          <cell r="G77" t="str">
            <v>MATERIALES</v>
          </cell>
          <cell r="H77" t="str">
            <v>B - MATERIALES</v>
          </cell>
          <cell r="I77" t="str">
            <v>0C02</v>
          </cell>
        </row>
        <row r="78">
          <cell r="A78" t="str">
            <v>21-0318-010A</v>
          </cell>
          <cell r="B78" t="str">
            <v xml:space="preserve">MAT CD - Mecánica / Soportes / Todos </v>
          </cell>
          <cell r="C78" t="str">
            <v>0B04</v>
          </cell>
          <cell r="D78" t="str">
            <v xml:space="preserve">Mecánica </v>
          </cell>
          <cell r="E78" t="str">
            <v xml:space="preserve">0B04 - Mecánica </v>
          </cell>
          <cell r="F78" t="str">
            <v>B</v>
          </cell>
          <cell r="G78" t="str">
            <v>MATERIALES</v>
          </cell>
          <cell r="H78" t="str">
            <v>B - MATERIALES</v>
          </cell>
          <cell r="I78" t="str">
            <v>0C02</v>
          </cell>
        </row>
        <row r="79">
          <cell r="A79" t="str">
            <v>21-0318-010G</v>
          </cell>
          <cell r="B79" t="str">
            <v xml:space="preserve">MAT CD - Mecánica / Soportes / Todos </v>
          </cell>
          <cell r="C79" t="str">
            <v>0B04</v>
          </cell>
          <cell r="D79" t="str">
            <v xml:space="preserve">Mecánica </v>
          </cell>
          <cell r="E79" t="str">
            <v xml:space="preserve">0B04 - Mecánica </v>
          </cell>
          <cell r="F79" t="str">
            <v>B</v>
          </cell>
          <cell r="G79" t="str">
            <v>MATERIALES</v>
          </cell>
          <cell r="H79" t="str">
            <v>B - MATERIALES</v>
          </cell>
          <cell r="I79" t="str">
            <v>0C02</v>
          </cell>
        </row>
        <row r="80">
          <cell r="A80" t="str">
            <v>21-0319-010A</v>
          </cell>
          <cell r="B80" t="str">
            <v xml:space="preserve">MAT CD - Mecánica / Pernos y Empaquetaduras / Todos </v>
          </cell>
          <cell r="C80" t="str">
            <v>0B04</v>
          </cell>
          <cell r="D80" t="str">
            <v xml:space="preserve">Mecánica </v>
          </cell>
          <cell r="E80" t="str">
            <v xml:space="preserve">0B04 - Mecánica </v>
          </cell>
          <cell r="F80" t="str">
            <v>B</v>
          </cell>
          <cell r="G80" t="str">
            <v>MATERIALES</v>
          </cell>
          <cell r="H80" t="str">
            <v>B - MATERIALES</v>
          </cell>
          <cell r="I80" t="str">
            <v>0C02</v>
          </cell>
        </row>
        <row r="81">
          <cell r="A81" t="str">
            <v>21-0319-010G</v>
          </cell>
          <cell r="B81" t="str">
            <v xml:space="preserve">MAT CD - Mecánica / Pernos y Empaquetaduras / Todos </v>
          </cell>
          <cell r="C81" t="str">
            <v>0B04</v>
          </cell>
          <cell r="D81" t="str">
            <v xml:space="preserve">Mecánica </v>
          </cell>
          <cell r="E81" t="str">
            <v xml:space="preserve">0B04 - Mecánica </v>
          </cell>
          <cell r="F81" t="str">
            <v>B</v>
          </cell>
          <cell r="G81" t="str">
            <v>MATERIALES</v>
          </cell>
          <cell r="H81" t="str">
            <v>B - MATERIALES</v>
          </cell>
          <cell r="I81" t="str">
            <v>0C02</v>
          </cell>
        </row>
        <row r="82">
          <cell r="A82" t="str">
            <v>21-0399-010A</v>
          </cell>
          <cell r="B82" t="str">
            <v xml:space="preserve">MAT CD - Mecánica / Materiales varios / Todos </v>
          </cell>
          <cell r="C82" t="str">
            <v>0B04</v>
          </cell>
          <cell r="D82" t="str">
            <v xml:space="preserve">Mecánica </v>
          </cell>
          <cell r="E82" t="str">
            <v xml:space="preserve">0B04 - Mecánica </v>
          </cell>
          <cell r="F82" t="str">
            <v>B</v>
          </cell>
          <cell r="G82" t="str">
            <v>MATERIALES</v>
          </cell>
          <cell r="H82" t="str">
            <v>B - MATERIALES</v>
          </cell>
          <cell r="I82" t="str">
            <v>0C02</v>
          </cell>
        </row>
        <row r="83">
          <cell r="A83" t="str">
            <v>21-0399-010G</v>
          </cell>
          <cell r="B83" t="str">
            <v xml:space="preserve">MAT CD - Mecánica / Materiales varios / Todos </v>
          </cell>
          <cell r="C83" t="str">
            <v>0B04</v>
          </cell>
          <cell r="D83" t="str">
            <v xml:space="preserve">Mecánica </v>
          </cell>
          <cell r="E83" t="str">
            <v xml:space="preserve">0B04 - Mecánica </v>
          </cell>
          <cell r="F83" t="str">
            <v>B</v>
          </cell>
          <cell r="G83" t="str">
            <v>MATERIALES</v>
          </cell>
          <cell r="H83" t="str">
            <v>B - MATERIALES</v>
          </cell>
          <cell r="I83" t="str">
            <v>0C02</v>
          </cell>
        </row>
        <row r="84">
          <cell r="A84" t="str">
            <v>21-0414-010A</v>
          </cell>
          <cell r="B84" t="str">
            <v xml:space="preserve">MAT CD - Cañería / Soldadura y Gases / Todos </v>
          </cell>
          <cell r="C84" t="str">
            <v>0B05</v>
          </cell>
          <cell r="D84" t="str">
            <v xml:space="preserve">Cañería </v>
          </cell>
          <cell r="E84" t="str">
            <v xml:space="preserve">0B05 - Cañería </v>
          </cell>
          <cell r="F84" t="str">
            <v>B</v>
          </cell>
          <cell r="G84" t="str">
            <v>MATERIALES</v>
          </cell>
          <cell r="H84" t="str">
            <v>B - MATERIALES</v>
          </cell>
          <cell r="I84" t="str">
            <v>0D02</v>
          </cell>
        </row>
        <row r="85">
          <cell r="A85" t="str">
            <v>21-0414-010G</v>
          </cell>
          <cell r="B85" t="str">
            <v xml:space="preserve">MAT CD - Cañería / Soldadura y Gases / Todos </v>
          </cell>
          <cell r="C85" t="str">
            <v>0B05</v>
          </cell>
          <cell r="D85" t="str">
            <v xml:space="preserve">Cañería </v>
          </cell>
          <cell r="E85" t="str">
            <v xml:space="preserve">0B05 - Cañería </v>
          </cell>
          <cell r="F85" t="str">
            <v>B</v>
          </cell>
          <cell r="G85" t="str">
            <v>MATERIALES</v>
          </cell>
          <cell r="H85" t="str">
            <v>B - MATERIALES</v>
          </cell>
          <cell r="I85" t="str">
            <v>0D02</v>
          </cell>
        </row>
        <row r="86">
          <cell r="A86" t="str">
            <v>21-0418-010A</v>
          </cell>
          <cell r="B86" t="str">
            <v xml:space="preserve">MAT CD - Cañería / Soportes / Todos </v>
          </cell>
          <cell r="C86" t="str">
            <v>0B05</v>
          </cell>
          <cell r="D86" t="str">
            <v xml:space="preserve">Cañería </v>
          </cell>
          <cell r="E86" t="str">
            <v xml:space="preserve">0B05 - Cañería </v>
          </cell>
          <cell r="F86" t="str">
            <v>B</v>
          </cell>
          <cell r="G86" t="str">
            <v>MATERIALES</v>
          </cell>
          <cell r="H86" t="str">
            <v>B - MATERIALES</v>
          </cell>
          <cell r="I86" t="str">
            <v>0D02</v>
          </cell>
        </row>
        <row r="87">
          <cell r="A87" t="str">
            <v>21-0418-010G</v>
          </cell>
          <cell r="B87" t="str">
            <v xml:space="preserve">MAT CD - Cañería / Soportes / Todos </v>
          </cell>
          <cell r="C87" t="str">
            <v>0B05</v>
          </cell>
          <cell r="D87" t="str">
            <v xml:space="preserve">Cañería </v>
          </cell>
          <cell r="E87" t="str">
            <v xml:space="preserve">0B05 - Cañería </v>
          </cell>
          <cell r="F87" t="str">
            <v>B</v>
          </cell>
          <cell r="G87" t="str">
            <v>MATERIALES</v>
          </cell>
          <cell r="H87" t="str">
            <v>B - MATERIALES</v>
          </cell>
          <cell r="I87" t="str">
            <v>0D02</v>
          </cell>
        </row>
        <row r="88">
          <cell r="A88" t="str">
            <v>21-0419-010A</v>
          </cell>
          <cell r="B88" t="str">
            <v xml:space="preserve">MAT CD - Cañería / Pernos y Empaquetaduras / Todos </v>
          </cell>
          <cell r="C88" t="str">
            <v>0B05</v>
          </cell>
          <cell r="D88" t="str">
            <v xml:space="preserve">Cañería </v>
          </cell>
          <cell r="E88" t="str">
            <v xml:space="preserve">0B05 - Cañería </v>
          </cell>
          <cell r="F88" t="str">
            <v>B</v>
          </cell>
          <cell r="G88" t="str">
            <v>MATERIALES</v>
          </cell>
          <cell r="H88" t="str">
            <v>B - MATERIALES</v>
          </cell>
          <cell r="I88" t="str">
            <v>0D02</v>
          </cell>
        </row>
        <row r="89">
          <cell r="A89" t="str">
            <v>21-0419-010G</v>
          </cell>
          <cell r="B89" t="str">
            <v xml:space="preserve">MAT CD - Cañería / Pernos y Empaquetaduras / Todos </v>
          </cell>
          <cell r="C89" t="str">
            <v>0B05</v>
          </cell>
          <cell r="D89" t="str">
            <v xml:space="preserve">Cañería </v>
          </cell>
          <cell r="E89" t="str">
            <v xml:space="preserve">0B05 - Cañería </v>
          </cell>
          <cell r="F89" t="str">
            <v>B</v>
          </cell>
          <cell r="G89" t="str">
            <v>MATERIALES</v>
          </cell>
          <cell r="H89" t="str">
            <v>B - MATERIALES</v>
          </cell>
          <cell r="I89" t="str">
            <v>0D02</v>
          </cell>
        </row>
        <row r="90">
          <cell r="A90" t="str">
            <v>21-0420-010A</v>
          </cell>
          <cell r="B90" t="str">
            <v xml:space="preserve">MAT CD - Cañería / Sumini. Cañería Fitt. y Válvs / Todos </v>
          </cell>
          <cell r="C90" t="str">
            <v>0B05</v>
          </cell>
          <cell r="D90" t="str">
            <v xml:space="preserve">Cañería </v>
          </cell>
          <cell r="E90" t="str">
            <v xml:space="preserve">0B05 - Cañería </v>
          </cell>
          <cell r="F90" t="str">
            <v>B</v>
          </cell>
          <cell r="G90" t="str">
            <v>MATERIALES</v>
          </cell>
          <cell r="H90" t="str">
            <v>B - MATERIALES</v>
          </cell>
          <cell r="I90" t="str">
            <v>0D02</v>
          </cell>
        </row>
        <row r="91">
          <cell r="A91" t="str">
            <v>21-0420-010G</v>
          </cell>
          <cell r="B91" t="str">
            <v xml:space="preserve">MAT CD - Cañería / Sumini. Cañería Fitt. y Válvs / Todos </v>
          </cell>
          <cell r="C91" t="str">
            <v>0B05</v>
          </cell>
          <cell r="D91" t="str">
            <v xml:space="preserve">Cañería </v>
          </cell>
          <cell r="E91" t="str">
            <v xml:space="preserve">0B05 - Cañería </v>
          </cell>
          <cell r="F91" t="str">
            <v>B</v>
          </cell>
          <cell r="G91" t="str">
            <v>MATERIALES</v>
          </cell>
          <cell r="H91" t="str">
            <v>B - MATERIALES</v>
          </cell>
          <cell r="I91" t="str">
            <v>0D02</v>
          </cell>
        </row>
        <row r="92">
          <cell r="A92" t="str">
            <v>21-0499-010A</v>
          </cell>
          <cell r="B92" t="str">
            <v xml:space="preserve">MAT CD - Cañería / Materiales varios / Todos </v>
          </cell>
          <cell r="C92" t="str">
            <v>0B05</v>
          </cell>
          <cell r="D92" t="str">
            <v xml:space="preserve">Cañería </v>
          </cell>
          <cell r="E92" t="str">
            <v xml:space="preserve">0B05 - Cañería </v>
          </cell>
          <cell r="F92" t="str">
            <v>B</v>
          </cell>
          <cell r="G92" t="str">
            <v>MATERIALES</v>
          </cell>
          <cell r="H92" t="str">
            <v>B - MATERIALES</v>
          </cell>
          <cell r="I92" t="str">
            <v>0D02</v>
          </cell>
        </row>
        <row r="93">
          <cell r="A93" t="str">
            <v>21-0499-010G</v>
          </cell>
          <cell r="B93" t="str">
            <v xml:space="preserve">MAT CD - Cañería / Materiales varios / Todos </v>
          </cell>
          <cell r="C93" t="str">
            <v>0B05</v>
          </cell>
          <cell r="D93" t="str">
            <v xml:space="preserve">Cañería </v>
          </cell>
          <cell r="E93" t="str">
            <v xml:space="preserve">0B05 - Cañería </v>
          </cell>
          <cell r="F93" t="str">
            <v>B</v>
          </cell>
          <cell r="G93" t="str">
            <v>MATERIALES</v>
          </cell>
          <cell r="H93" t="str">
            <v>B - MATERIALES</v>
          </cell>
          <cell r="I93" t="str">
            <v>0D02</v>
          </cell>
        </row>
        <row r="94">
          <cell r="A94" t="str">
            <v>21-0514-010A</v>
          </cell>
          <cell r="B94" t="str">
            <v xml:space="preserve">MAT CD - Electricidad / Soldadura y Gases / Todos </v>
          </cell>
          <cell r="C94" t="str">
            <v>0B06</v>
          </cell>
          <cell r="D94" t="str">
            <v>Electricidad &amp; Instrumentación</v>
          </cell>
          <cell r="E94" t="str">
            <v>0B06 - Electricidad &amp; Instrumentación</v>
          </cell>
          <cell r="F94" t="str">
            <v>B</v>
          </cell>
          <cell r="G94" t="str">
            <v>MATERIALES</v>
          </cell>
          <cell r="H94" t="str">
            <v>B - MATERIALES</v>
          </cell>
          <cell r="I94" t="str">
            <v>0F02</v>
          </cell>
        </row>
        <row r="95">
          <cell r="A95" t="str">
            <v>21-0514-010G</v>
          </cell>
          <cell r="B95" t="str">
            <v xml:space="preserve">MAT CD - Electricidad / Soldadura y Gases / Todos </v>
          </cell>
          <cell r="C95" t="str">
            <v>0B06</v>
          </cell>
          <cell r="D95" t="str">
            <v>Electricidad &amp; Instrumentación</v>
          </cell>
          <cell r="E95" t="str">
            <v>0B06 - Electricidad &amp; Instrumentación</v>
          </cell>
          <cell r="F95" t="str">
            <v>B</v>
          </cell>
          <cell r="G95" t="str">
            <v>MATERIALES</v>
          </cell>
          <cell r="H95" t="str">
            <v>B - MATERIALES</v>
          </cell>
          <cell r="I95" t="str">
            <v>0F02</v>
          </cell>
        </row>
        <row r="96">
          <cell r="A96" t="str">
            <v>21-0517-010A</v>
          </cell>
          <cell r="B96" t="str">
            <v xml:space="preserve">MAT CD - Electricidad / Suministro de Equipos / Todos </v>
          </cell>
          <cell r="C96" t="str">
            <v>0B06</v>
          </cell>
          <cell r="D96" t="str">
            <v>Electricidad &amp; Instrumentación</v>
          </cell>
          <cell r="E96" t="str">
            <v>0B06 - Electricidad &amp; Instrumentación</v>
          </cell>
          <cell r="F96" t="str">
            <v>B</v>
          </cell>
          <cell r="G96" t="str">
            <v>MATERIALES</v>
          </cell>
          <cell r="H96" t="str">
            <v>B - MATERIALES</v>
          </cell>
          <cell r="I96" t="str">
            <v>0F02</v>
          </cell>
        </row>
        <row r="97">
          <cell r="A97" t="str">
            <v>21-0517-010G</v>
          </cell>
          <cell r="B97" t="str">
            <v xml:space="preserve">MAT CD - Electricidad / Suministro de Equipos / Todos </v>
          </cell>
          <cell r="C97" t="str">
            <v>0B06</v>
          </cell>
          <cell r="D97" t="str">
            <v>Electricidad &amp; Instrumentación</v>
          </cell>
          <cell r="E97" t="str">
            <v>0B06 - Electricidad &amp; Instrumentación</v>
          </cell>
          <cell r="F97" t="str">
            <v>B</v>
          </cell>
          <cell r="G97" t="str">
            <v>MATERIALES</v>
          </cell>
          <cell r="H97" t="str">
            <v>B - MATERIALES</v>
          </cell>
          <cell r="I97" t="str">
            <v>0F02</v>
          </cell>
        </row>
        <row r="98">
          <cell r="A98" t="str">
            <v>21-0518-010A</v>
          </cell>
          <cell r="B98" t="str">
            <v xml:space="preserve">MAT CD - Electricidad / Soportes / Todos </v>
          </cell>
          <cell r="C98" t="str">
            <v>0B06</v>
          </cell>
          <cell r="D98" t="str">
            <v>Electricidad &amp; Instrumentación</v>
          </cell>
          <cell r="E98" t="str">
            <v>0B06 - Electricidad &amp; Instrumentación</v>
          </cell>
          <cell r="F98" t="str">
            <v>B</v>
          </cell>
          <cell r="G98" t="str">
            <v>MATERIALES</v>
          </cell>
          <cell r="H98" t="str">
            <v>B - MATERIALES</v>
          </cell>
          <cell r="I98" t="str">
            <v>0F02</v>
          </cell>
        </row>
        <row r="99">
          <cell r="A99" t="str">
            <v>21-0518-010G</v>
          </cell>
          <cell r="B99" t="str">
            <v xml:space="preserve">MAT CD - Electricidad / Soportes / Todos </v>
          </cell>
          <cell r="C99" t="str">
            <v>0B06</v>
          </cell>
          <cell r="D99" t="str">
            <v>Electricidad &amp; Instrumentación</v>
          </cell>
          <cell r="E99" t="str">
            <v>0B06 - Electricidad &amp; Instrumentación</v>
          </cell>
          <cell r="F99" t="str">
            <v>B</v>
          </cell>
          <cell r="G99" t="str">
            <v>MATERIALES</v>
          </cell>
          <cell r="H99" t="str">
            <v>B - MATERIALES</v>
          </cell>
          <cell r="I99" t="str">
            <v>0F02</v>
          </cell>
        </row>
        <row r="100">
          <cell r="A100" t="str">
            <v>21-0521-010A</v>
          </cell>
          <cell r="B100" t="str">
            <v xml:space="preserve">MAT CD - Electricidad / Suministro de Cables / Todos </v>
          </cell>
          <cell r="C100" t="str">
            <v>0B06</v>
          </cell>
          <cell r="D100" t="str">
            <v>Electricidad &amp; Instrumentación</v>
          </cell>
          <cell r="E100" t="str">
            <v>0B06 - Electricidad &amp; Instrumentación</v>
          </cell>
          <cell r="F100" t="str">
            <v>B</v>
          </cell>
          <cell r="G100" t="str">
            <v>MATERIALES</v>
          </cell>
          <cell r="H100" t="str">
            <v>B - MATERIALES</v>
          </cell>
          <cell r="I100" t="str">
            <v>0F02</v>
          </cell>
        </row>
        <row r="101">
          <cell r="A101" t="str">
            <v>21-0521-010G</v>
          </cell>
          <cell r="B101" t="str">
            <v xml:space="preserve">MAT CD - Electricidad / Suministro de Cables / Todos </v>
          </cell>
          <cell r="C101" t="str">
            <v>0B06</v>
          </cell>
          <cell r="D101" t="str">
            <v>Electricidad &amp; Instrumentación</v>
          </cell>
          <cell r="E101" t="str">
            <v>0B06 - Electricidad &amp; Instrumentación</v>
          </cell>
          <cell r="F101" t="str">
            <v>B</v>
          </cell>
          <cell r="G101" t="str">
            <v>MATERIALES</v>
          </cell>
          <cell r="H101" t="str">
            <v>B - MATERIALES</v>
          </cell>
          <cell r="I101" t="str">
            <v>0F02</v>
          </cell>
        </row>
        <row r="102">
          <cell r="A102" t="str">
            <v>21-0522-010A</v>
          </cell>
          <cell r="B102" t="str">
            <v xml:space="preserve">MAT CD - Electricidad / Suministro Conduits / Todos </v>
          </cell>
          <cell r="C102" t="str">
            <v>0B06</v>
          </cell>
          <cell r="D102" t="str">
            <v>Electricidad &amp; Instrumentación</v>
          </cell>
          <cell r="E102" t="str">
            <v>0B06 - Electricidad &amp; Instrumentación</v>
          </cell>
          <cell r="F102" t="str">
            <v>B</v>
          </cell>
          <cell r="G102" t="str">
            <v>MATERIALES</v>
          </cell>
          <cell r="H102" t="str">
            <v>B - MATERIALES</v>
          </cell>
          <cell r="I102" t="str">
            <v>0F02</v>
          </cell>
        </row>
        <row r="103">
          <cell r="A103" t="str">
            <v>21-0522-010G</v>
          </cell>
          <cell r="B103" t="str">
            <v xml:space="preserve">MAT CD - Electricidad / Suministro Conduits / Todos </v>
          </cell>
          <cell r="C103" t="str">
            <v>0B06</v>
          </cell>
          <cell r="D103" t="str">
            <v>Electricidad &amp; Instrumentación</v>
          </cell>
          <cell r="E103" t="str">
            <v>0B06 - Electricidad &amp; Instrumentación</v>
          </cell>
          <cell r="F103" t="str">
            <v>B</v>
          </cell>
          <cell r="G103" t="str">
            <v>MATERIALES</v>
          </cell>
          <cell r="H103" t="str">
            <v>B - MATERIALES</v>
          </cell>
          <cell r="I103" t="str">
            <v>0F02</v>
          </cell>
        </row>
        <row r="104">
          <cell r="A104" t="str">
            <v>21-0523-010A</v>
          </cell>
          <cell r="B104" t="str">
            <v xml:space="preserve">MAT CD - Electricidad / Sumin Bdejas+Escalerillas / Todo </v>
          </cell>
          <cell r="C104" t="str">
            <v>0B06</v>
          </cell>
          <cell r="D104" t="str">
            <v>Electricidad &amp; Instrumentación</v>
          </cell>
          <cell r="E104" t="str">
            <v>0B06 - Electricidad &amp; Instrumentación</v>
          </cell>
          <cell r="F104" t="str">
            <v>B</v>
          </cell>
          <cell r="G104" t="str">
            <v>MATERIALES</v>
          </cell>
          <cell r="H104" t="str">
            <v>B - MATERIALES</v>
          </cell>
          <cell r="I104" t="str">
            <v>0F02</v>
          </cell>
        </row>
        <row r="105">
          <cell r="A105" t="str">
            <v>21-0523-010G</v>
          </cell>
          <cell r="B105" t="str">
            <v xml:space="preserve">MAT CD - Electricidad / Sumin Bdejas+Escalerillas / Todo </v>
          </cell>
          <cell r="C105" t="str">
            <v>0B06</v>
          </cell>
          <cell r="D105" t="str">
            <v>Electricidad &amp; Instrumentación</v>
          </cell>
          <cell r="E105" t="str">
            <v>0B06 - Electricidad &amp; Instrumentación</v>
          </cell>
          <cell r="F105" t="str">
            <v>B</v>
          </cell>
          <cell r="G105" t="str">
            <v>MATERIALES</v>
          </cell>
          <cell r="H105" t="str">
            <v>B - MATERIALES</v>
          </cell>
          <cell r="I105" t="str">
            <v>0F02</v>
          </cell>
        </row>
        <row r="106">
          <cell r="A106" t="str">
            <v>21-0599-010A</v>
          </cell>
          <cell r="B106" t="str">
            <v xml:space="preserve">MAT CD - Electricidad / Materiales varios / Todos </v>
          </cell>
          <cell r="C106" t="str">
            <v>0B06</v>
          </cell>
          <cell r="D106" t="str">
            <v>Electricidad &amp; Instrumentación</v>
          </cell>
          <cell r="E106" t="str">
            <v>0B06 - Electricidad &amp; Instrumentación</v>
          </cell>
          <cell r="F106" t="str">
            <v>B</v>
          </cell>
          <cell r="G106" t="str">
            <v>MATERIALES</v>
          </cell>
          <cell r="H106" t="str">
            <v>B - MATERIALES</v>
          </cell>
          <cell r="I106" t="str">
            <v>0F02</v>
          </cell>
        </row>
        <row r="107">
          <cell r="A107" t="str">
            <v>21-0599-010G</v>
          </cell>
          <cell r="B107" t="str">
            <v xml:space="preserve">MAT CD - Electricidad / Materiales varios / Todos </v>
          </cell>
          <cell r="C107" t="str">
            <v>0B06</v>
          </cell>
          <cell r="D107" t="str">
            <v>Electricidad &amp; Instrumentación</v>
          </cell>
          <cell r="E107" t="str">
            <v>0B06 - Electricidad &amp; Instrumentación</v>
          </cell>
          <cell r="F107" t="str">
            <v>B</v>
          </cell>
          <cell r="G107" t="str">
            <v>MATERIALES</v>
          </cell>
          <cell r="H107" t="str">
            <v>B - MATERIALES</v>
          </cell>
          <cell r="I107" t="str">
            <v>0F02</v>
          </cell>
        </row>
        <row r="108">
          <cell r="A108" t="str">
            <v>21-0614-010A</v>
          </cell>
          <cell r="B108" t="str">
            <v xml:space="preserve">MAT CD - Instrumentac. / Soldadura y Gases / Todos </v>
          </cell>
          <cell r="C108" t="str">
            <v>0B06</v>
          </cell>
          <cell r="D108" t="str">
            <v>Electricidad &amp; Instrumentación</v>
          </cell>
          <cell r="E108" t="str">
            <v>0B06 - Electricidad &amp; Instrumentación</v>
          </cell>
          <cell r="F108" t="str">
            <v>B</v>
          </cell>
          <cell r="G108" t="str">
            <v>MATERIALES</v>
          </cell>
          <cell r="H108" t="str">
            <v>B - MATERIALES</v>
          </cell>
          <cell r="I108" t="str">
            <v>0F02</v>
          </cell>
        </row>
        <row r="109">
          <cell r="A109" t="str">
            <v>21-0614-010G</v>
          </cell>
          <cell r="B109" t="str">
            <v xml:space="preserve">MAT CD - Instrumentac. / Soldadura y Gases / Todos </v>
          </cell>
          <cell r="C109" t="str">
            <v>0B06</v>
          </cell>
          <cell r="D109" t="str">
            <v>Electricidad &amp; Instrumentación</v>
          </cell>
          <cell r="E109" t="str">
            <v>0B06 - Electricidad &amp; Instrumentación</v>
          </cell>
          <cell r="F109" t="str">
            <v>B</v>
          </cell>
          <cell r="G109" t="str">
            <v>MATERIALES</v>
          </cell>
          <cell r="H109" t="str">
            <v>B - MATERIALES</v>
          </cell>
          <cell r="I109" t="str">
            <v>0F02</v>
          </cell>
        </row>
        <row r="110">
          <cell r="A110" t="str">
            <v>21-0617-010A</v>
          </cell>
          <cell r="B110" t="str">
            <v xml:space="preserve">MAT CD - Instrumentac. / Suministro de Equipos / Todos </v>
          </cell>
          <cell r="C110" t="str">
            <v>0B06</v>
          </cell>
          <cell r="D110" t="str">
            <v>Electricidad &amp; Instrumentación</v>
          </cell>
          <cell r="E110" t="str">
            <v>0B06 - Electricidad &amp; Instrumentación</v>
          </cell>
          <cell r="F110" t="str">
            <v>B</v>
          </cell>
          <cell r="G110" t="str">
            <v>MATERIALES</v>
          </cell>
          <cell r="H110" t="str">
            <v>B - MATERIALES</v>
          </cell>
          <cell r="I110" t="str">
            <v>0F02</v>
          </cell>
        </row>
        <row r="111">
          <cell r="A111" t="str">
            <v>21-0617-010G</v>
          </cell>
          <cell r="B111" t="str">
            <v xml:space="preserve">MAT CD - Instrumentac. / Suministro de Equipos / Todos </v>
          </cell>
          <cell r="C111" t="str">
            <v>0B06</v>
          </cell>
          <cell r="D111" t="str">
            <v>Electricidad &amp; Instrumentación</v>
          </cell>
          <cell r="E111" t="str">
            <v>0B06 - Electricidad &amp; Instrumentación</v>
          </cell>
          <cell r="F111" t="str">
            <v>B</v>
          </cell>
          <cell r="G111" t="str">
            <v>MATERIALES</v>
          </cell>
          <cell r="H111" t="str">
            <v>B - MATERIALES</v>
          </cell>
          <cell r="I111" t="str">
            <v>0F02</v>
          </cell>
        </row>
        <row r="112">
          <cell r="A112" t="str">
            <v>21-0618-010A</v>
          </cell>
          <cell r="B112" t="str">
            <v xml:space="preserve">MAT CD - Instrumentac. / Soportes / Todos </v>
          </cell>
          <cell r="C112" t="str">
            <v>0B06</v>
          </cell>
          <cell r="D112" t="str">
            <v>Electricidad &amp; Instrumentación</v>
          </cell>
          <cell r="E112" t="str">
            <v>0B06 - Electricidad &amp; Instrumentación</v>
          </cell>
          <cell r="F112" t="str">
            <v>B</v>
          </cell>
          <cell r="G112" t="str">
            <v>MATERIALES</v>
          </cell>
          <cell r="H112" t="str">
            <v>B - MATERIALES</v>
          </cell>
          <cell r="I112" t="str">
            <v>0F02</v>
          </cell>
        </row>
        <row r="113">
          <cell r="A113" t="str">
            <v>21-0618-010G</v>
          </cell>
          <cell r="B113" t="str">
            <v xml:space="preserve">MAT CD - Instrumentac. / Soportes / Todos </v>
          </cell>
          <cell r="C113" t="str">
            <v>0B06</v>
          </cell>
          <cell r="D113" t="str">
            <v>Electricidad &amp; Instrumentación</v>
          </cell>
          <cell r="E113" t="str">
            <v>0B06 - Electricidad &amp; Instrumentación</v>
          </cell>
          <cell r="F113" t="str">
            <v>B</v>
          </cell>
          <cell r="G113" t="str">
            <v>MATERIALES</v>
          </cell>
          <cell r="H113" t="str">
            <v>B - MATERIALES</v>
          </cell>
          <cell r="I113" t="str">
            <v>0F02</v>
          </cell>
        </row>
        <row r="114">
          <cell r="A114" t="str">
            <v>21-0621-010A</v>
          </cell>
          <cell r="B114" t="str">
            <v xml:space="preserve">MAT CD - Instrumentac. / Suministro de Cables / Todos </v>
          </cell>
          <cell r="C114" t="str">
            <v>0B06</v>
          </cell>
          <cell r="D114" t="str">
            <v>Electricidad &amp; Instrumentación</v>
          </cell>
          <cell r="E114" t="str">
            <v>0B06 - Electricidad &amp; Instrumentación</v>
          </cell>
          <cell r="F114" t="str">
            <v>B</v>
          </cell>
          <cell r="G114" t="str">
            <v>MATERIALES</v>
          </cell>
          <cell r="H114" t="str">
            <v>B - MATERIALES</v>
          </cell>
          <cell r="I114" t="str">
            <v>0F02</v>
          </cell>
        </row>
        <row r="115">
          <cell r="A115" t="str">
            <v>21-0621-010G</v>
          </cell>
          <cell r="B115" t="str">
            <v xml:space="preserve">MAT CD - Instrumentac. / Suministro de Cables / Todos </v>
          </cell>
          <cell r="C115" t="str">
            <v>0B06</v>
          </cell>
          <cell r="D115" t="str">
            <v>Electricidad &amp; Instrumentación</v>
          </cell>
          <cell r="E115" t="str">
            <v>0B06 - Electricidad &amp; Instrumentación</v>
          </cell>
          <cell r="F115" t="str">
            <v>B</v>
          </cell>
          <cell r="G115" t="str">
            <v>MATERIALES</v>
          </cell>
          <cell r="H115" t="str">
            <v>B - MATERIALES</v>
          </cell>
          <cell r="I115" t="str">
            <v>0F02</v>
          </cell>
        </row>
        <row r="116">
          <cell r="A116" t="str">
            <v>21-0622-010A</v>
          </cell>
          <cell r="B116" t="str">
            <v xml:space="preserve">MAT CD - Instrumentac. / Suministro Conduits / Todos </v>
          </cell>
          <cell r="C116" t="str">
            <v>0B06</v>
          </cell>
          <cell r="D116" t="str">
            <v>Electricidad &amp; Instrumentación</v>
          </cell>
          <cell r="E116" t="str">
            <v>0B06 - Electricidad &amp; Instrumentación</v>
          </cell>
          <cell r="F116" t="str">
            <v>B</v>
          </cell>
          <cell r="G116" t="str">
            <v>MATERIALES</v>
          </cell>
          <cell r="H116" t="str">
            <v>B - MATERIALES</v>
          </cell>
          <cell r="I116" t="str">
            <v>0F02</v>
          </cell>
        </row>
        <row r="117">
          <cell r="A117" t="str">
            <v>21-0622-010G</v>
          </cell>
          <cell r="B117" t="str">
            <v xml:space="preserve">MAT CD - Instrumentac. / Suministro Conduits / Todos </v>
          </cell>
          <cell r="C117" t="str">
            <v>0B06</v>
          </cell>
          <cell r="D117" t="str">
            <v>Electricidad &amp; Instrumentación</v>
          </cell>
          <cell r="E117" t="str">
            <v>0B06 - Electricidad &amp; Instrumentación</v>
          </cell>
          <cell r="F117" t="str">
            <v>B</v>
          </cell>
          <cell r="G117" t="str">
            <v>MATERIALES</v>
          </cell>
          <cell r="H117" t="str">
            <v>B - MATERIALES</v>
          </cell>
          <cell r="I117" t="str">
            <v>0F02</v>
          </cell>
        </row>
        <row r="118">
          <cell r="A118" t="str">
            <v>21-0623-010A</v>
          </cell>
          <cell r="B118" t="str">
            <v xml:space="preserve">MAT CD - Instrumentac. / Sumin Bdejas+Escalerills / Todo </v>
          </cell>
          <cell r="C118" t="str">
            <v>0B06</v>
          </cell>
          <cell r="D118" t="str">
            <v>Electricidad &amp; Instrumentación</v>
          </cell>
          <cell r="E118" t="str">
            <v>0B06 - Electricidad &amp; Instrumentación</v>
          </cell>
          <cell r="F118" t="str">
            <v>B</v>
          </cell>
          <cell r="G118" t="str">
            <v>MATERIALES</v>
          </cell>
          <cell r="H118" t="str">
            <v>B - MATERIALES</v>
          </cell>
          <cell r="I118" t="str">
            <v>0F02</v>
          </cell>
        </row>
        <row r="119">
          <cell r="A119" t="str">
            <v>21-0623-010G</v>
          </cell>
          <cell r="B119" t="str">
            <v xml:space="preserve">MAT CD - Instrumentac. / Sumin Bdejas+Escalerills / Todo </v>
          </cell>
          <cell r="C119" t="str">
            <v>0B06</v>
          </cell>
          <cell r="D119" t="str">
            <v>Electricidad &amp; Instrumentación</v>
          </cell>
          <cell r="E119" t="str">
            <v>0B06 - Electricidad &amp; Instrumentación</v>
          </cell>
          <cell r="F119" t="str">
            <v>B</v>
          </cell>
          <cell r="G119" t="str">
            <v>MATERIALES</v>
          </cell>
          <cell r="H119" t="str">
            <v>B - MATERIALES</v>
          </cell>
          <cell r="I119" t="str">
            <v>0F02</v>
          </cell>
        </row>
        <row r="120">
          <cell r="A120" t="str">
            <v>21-0630-010A</v>
          </cell>
          <cell r="B120" t="str">
            <v xml:space="preserve">MAT CD - Instrumentac. / Suministro Instrumentos / Todos </v>
          </cell>
          <cell r="C120" t="str">
            <v>0B06</v>
          </cell>
          <cell r="D120" t="str">
            <v>Electricidad &amp; Instrumentación</v>
          </cell>
          <cell r="E120" t="str">
            <v>0B06 - Electricidad &amp; Instrumentación</v>
          </cell>
          <cell r="F120" t="str">
            <v>B</v>
          </cell>
          <cell r="G120" t="str">
            <v>MATERIALES</v>
          </cell>
          <cell r="H120" t="str">
            <v>B - MATERIALES</v>
          </cell>
          <cell r="I120" t="str">
            <v>0F02</v>
          </cell>
        </row>
        <row r="121">
          <cell r="A121" t="str">
            <v>21-0630-010G</v>
          </cell>
          <cell r="B121" t="str">
            <v xml:space="preserve">MAT CD - Instrumentac. / Suministro Instrumentos / Todos </v>
          </cell>
          <cell r="C121" t="str">
            <v>0B06</v>
          </cell>
          <cell r="D121" t="str">
            <v>Electricidad &amp; Instrumentación</v>
          </cell>
          <cell r="E121" t="str">
            <v>0B06 - Electricidad &amp; Instrumentación</v>
          </cell>
          <cell r="F121" t="str">
            <v>B</v>
          </cell>
          <cell r="G121" t="str">
            <v>MATERIALES</v>
          </cell>
          <cell r="H121" t="str">
            <v>B - MATERIALES</v>
          </cell>
          <cell r="I121" t="str">
            <v>0F02</v>
          </cell>
        </row>
        <row r="122">
          <cell r="A122" t="str">
            <v>21-0699-010A</v>
          </cell>
          <cell r="B122" t="str">
            <v xml:space="preserve">MAT CD - Instrumentac. / Materiales varios / Todos </v>
          </cell>
          <cell r="C122" t="str">
            <v>0B06</v>
          </cell>
          <cell r="D122" t="str">
            <v>Electricidad &amp; Instrumentación</v>
          </cell>
          <cell r="E122" t="str">
            <v>0B06 - Electricidad &amp; Instrumentación</v>
          </cell>
          <cell r="F122" t="str">
            <v>B</v>
          </cell>
          <cell r="G122" t="str">
            <v>MATERIALES</v>
          </cell>
          <cell r="H122" t="str">
            <v>B - MATERIALES</v>
          </cell>
          <cell r="I122" t="str">
            <v>0F02</v>
          </cell>
        </row>
        <row r="123">
          <cell r="A123" t="str">
            <v>21-0699-010G</v>
          </cell>
          <cell r="B123" t="str">
            <v xml:space="preserve">MAT CD - Instrumentac. / Materiales varios / Todos </v>
          </cell>
          <cell r="C123" t="str">
            <v>0B06</v>
          </cell>
          <cell r="D123" t="str">
            <v>Electricidad &amp; Instrumentación</v>
          </cell>
          <cell r="E123" t="str">
            <v>0B06 - Electricidad &amp; Instrumentación</v>
          </cell>
          <cell r="F123" t="str">
            <v>B</v>
          </cell>
          <cell r="G123" t="str">
            <v>MATERIALES</v>
          </cell>
          <cell r="H123" t="str">
            <v>B - MATERIALES</v>
          </cell>
          <cell r="I123" t="str">
            <v>0F02</v>
          </cell>
        </row>
        <row r="124">
          <cell r="A124" t="str">
            <v>21-0724-010A</v>
          </cell>
          <cell r="B124" t="str">
            <v xml:space="preserve">MAT CD - Aislación / Suminist. Material Aislación / Todo </v>
          </cell>
          <cell r="C124" t="str">
            <v>0B03</v>
          </cell>
          <cell r="D124" t="str">
            <v xml:space="preserve">Aislación </v>
          </cell>
          <cell r="E124" t="str">
            <v xml:space="preserve">0B03 - Aislación </v>
          </cell>
          <cell r="F124" t="str">
            <v>B</v>
          </cell>
          <cell r="G124" t="str">
            <v>MATERIALES</v>
          </cell>
          <cell r="H124" t="str">
            <v>B - MATERIALES</v>
          </cell>
          <cell r="I124" t="str">
            <v>0H02</v>
          </cell>
        </row>
        <row r="125">
          <cell r="A125" t="str">
            <v>21-0724-010G</v>
          </cell>
          <cell r="B125" t="str">
            <v xml:space="preserve">MAT CD - Aislación / Suminist. Material Aislación / Todo </v>
          </cell>
          <cell r="C125" t="str">
            <v>0B03</v>
          </cell>
          <cell r="D125" t="str">
            <v xml:space="preserve">Aislación </v>
          </cell>
          <cell r="E125" t="str">
            <v xml:space="preserve">0B03 - Aislación </v>
          </cell>
          <cell r="F125" t="str">
            <v>B</v>
          </cell>
          <cell r="G125" t="str">
            <v>MATERIALES</v>
          </cell>
          <cell r="H125" t="str">
            <v>B - MATERIALES</v>
          </cell>
          <cell r="I125" t="str">
            <v>0H02</v>
          </cell>
        </row>
        <row r="126">
          <cell r="A126" t="str">
            <v>21-0725-010A</v>
          </cell>
          <cell r="B126" t="str">
            <v xml:space="preserve">MAT CD - Aislación / Suministro de Revestimiento / Todos </v>
          </cell>
          <cell r="C126" t="str">
            <v>0B03</v>
          </cell>
          <cell r="D126" t="str">
            <v xml:space="preserve">Aislación </v>
          </cell>
          <cell r="E126" t="str">
            <v xml:space="preserve">0B03 - Aislación </v>
          </cell>
          <cell r="F126" t="str">
            <v>B</v>
          </cell>
          <cell r="G126" t="str">
            <v>MATERIALES</v>
          </cell>
          <cell r="H126" t="str">
            <v>B - MATERIALES</v>
          </cell>
          <cell r="I126" t="str">
            <v>0H02</v>
          </cell>
        </row>
        <row r="127">
          <cell r="A127" t="str">
            <v>21-0725-010G</v>
          </cell>
          <cell r="B127" t="str">
            <v xml:space="preserve">MAT CD - Aislación / Suministro de Revestimiento / Todos </v>
          </cell>
          <cell r="C127" t="str">
            <v>0B03</v>
          </cell>
          <cell r="D127" t="str">
            <v xml:space="preserve">Aislación </v>
          </cell>
          <cell r="E127" t="str">
            <v xml:space="preserve">0B03 - Aislación </v>
          </cell>
          <cell r="F127" t="str">
            <v>B</v>
          </cell>
          <cell r="G127" t="str">
            <v>MATERIALES</v>
          </cell>
          <cell r="H127" t="str">
            <v>B - MATERIALES</v>
          </cell>
          <cell r="I127" t="str">
            <v>0H02</v>
          </cell>
        </row>
        <row r="128">
          <cell r="A128" t="str">
            <v>21-0799-010A</v>
          </cell>
          <cell r="B128" t="str">
            <v xml:space="preserve">MAT CD - Aislación / Materiales varios / Todos </v>
          </cell>
          <cell r="C128" t="str">
            <v>0B03</v>
          </cell>
          <cell r="D128" t="str">
            <v xml:space="preserve">Aislación </v>
          </cell>
          <cell r="E128" t="str">
            <v xml:space="preserve">0B03 - Aislación </v>
          </cell>
          <cell r="F128" t="str">
            <v>B</v>
          </cell>
          <cell r="G128" t="str">
            <v>MATERIALES</v>
          </cell>
          <cell r="H128" t="str">
            <v>B - MATERIALES</v>
          </cell>
          <cell r="I128" t="str">
            <v>0H02</v>
          </cell>
        </row>
        <row r="129">
          <cell r="A129" t="str">
            <v>21-0799-010G</v>
          </cell>
          <cell r="B129" t="str">
            <v xml:space="preserve">MAT CD - Aislación / Materiales varios / Todos </v>
          </cell>
          <cell r="C129" t="str">
            <v>0B03</v>
          </cell>
          <cell r="D129" t="str">
            <v xml:space="preserve">Aislación </v>
          </cell>
          <cell r="E129" t="str">
            <v xml:space="preserve">0B03 - Aislación </v>
          </cell>
          <cell r="F129" t="str">
            <v>B</v>
          </cell>
          <cell r="G129" t="str">
            <v>MATERIALES</v>
          </cell>
          <cell r="H129" t="str">
            <v>B - MATERIALES</v>
          </cell>
          <cell r="I129" t="str">
            <v>0H02</v>
          </cell>
        </row>
        <row r="130">
          <cell r="A130" t="str">
            <v>21-0814-010A</v>
          </cell>
          <cell r="B130" t="str">
            <v xml:space="preserve">MAT CD - Caldera / Soldadura y Gases / Todos </v>
          </cell>
          <cell r="C130" t="str">
            <v>0B07</v>
          </cell>
          <cell r="D130" t="str">
            <v xml:space="preserve">Caldera </v>
          </cell>
          <cell r="E130" t="str">
            <v xml:space="preserve">0B07 - Caldera </v>
          </cell>
          <cell r="F130" t="str">
            <v>B</v>
          </cell>
          <cell r="G130" t="str">
            <v>MATERIALES</v>
          </cell>
          <cell r="H130" t="str">
            <v>B - MATERIALES</v>
          </cell>
          <cell r="I130" t="str">
            <v>0I02</v>
          </cell>
        </row>
        <row r="131">
          <cell r="A131" t="str">
            <v>21-0814-010G</v>
          </cell>
          <cell r="B131" t="str">
            <v xml:space="preserve">MAT CD - Caldera / Soldadura y Gases / Todos </v>
          </cell>
          <cell r="C131" t="str">
            <v>0B07</v>
          </cell>
          <cell r="D131" t="str">
            <v xml:space="preserve">Caldera </v>
          </cell>
          <cell r="E131" t="str">
            <v xml:space="preserve">0B07 - Caldera </v>
          </cell>
          <cell r="F131" t="str">
            <v>B</v>
          </cell>
          <cell r="G131" t="str">
            <v>MATERIALES</v>
          </cell>
          <cell r="H131" t="str">
            <v>B - MATERIALES</v>
          </cell>
          <cell r="I131" t="str">
            <v>0I02</v>
          </cell>
        </row>
        <row r="132">
          <cell r="A132" t="str">
            <v>21-0826-010A</v>
          </cell>
          <cell r="B132" t="str">
            <v xml:space="preserve">MAT CD - Caldera / Suministro Caldera / Todos </v>
          </cell>
          <cell r="C132" t="str">
            <v>0B07</v>
          </cell>
          <cell r="D132" t="str">
            <v xml:space="preserve">Caldera </v>
          </cell>
          <cell r="E132" t="str">
            <v xml:space="preserve">0B07 - Caldera </v>
          </cell>
          <cell r="F132" t="str">
            <v>B</v>
          </cell>
          <cell r="G132" t="str">
            <v>MATERIALES</v>
          </cell>
          <cell r="H132" t="str">
            <v>B - MATERIALES</v>
          </cell>
          <cell r="I132" t="str">
            <v>0I02</v>
          </cell>
        </row>
        <row r="133">
          <cell r="A133" t="str">
            <v>21-0826-010G</v>
          </cell>
          <cell r="B133" t="str">
            <v xml:space="preserve">MAT CD - Caldera / Suministro Caldera / Todos </v>
          </cell>
          <cell r="C133" t="str">
            <v>0B07</v>
          </cell>
          <cell r="D133" t="str">
            <v xml:space="preserve">Caldera </v>
          </cell>
          <cell r="E133" t="str">
            <v xml:space="preserve">0B07 - Caldera </v>
          </cell>
          <cell r="F133" t="str">
            <v>B</v>
          </cell>
          <cell r="G133" t="str">
            <v>MATERIALES</v>
          </cell>
          <cell r="H133" t="str">
            <v>B - MATERIALES</v>
          </cell>
          <cell r="I133" t="str">
            <v>0I02</v>
          </cell>
        </row>
        <row r="134">
          <cell r="A134" t="str">
            <v>21-0899-010A</v>
          </cell>
          <cell r="B134" t="str">
            <v xml:space="preserve">MAT CD - Caldera / Materiales varios / Todos </v>
          </cell>
          <cell r="C134" t="str">
            <v>0B07</v>
          </cell>
          <cell r="D134" t="str">
            <v xml:space="preserve">Caldera </v>
          </cell>
          <cell r="E134" t="str">
            <v xml:space="preserve">0B07 - Caldera </v>
          </cell>
          <cell r="F134" t="str">
            <v>B</v>
          </cell>
          <cell r="G134" t="str">
            <v>MATERIALES</v>
          </cell>
          <cell r="H134" t="str">
            <v>B - MATERIALES</v>
          </cell>
          <cell r="I134" t="str">
            <v>0I02</v>
          </cell>
        </row>
        <row r="135">
          <cell r="A135" t="str">
            <v>21-0899-010G</v>
          </cell>
          <cell r="B135" t="str">
            <v xml:space="preserve">MAT CD - Caldera / Materiales varios / Todos </v>
          </cell>
          <cell r="C135" t="str">
            <v>0B07</v>
          </cell>
          <cell r="D135" t="str">
            <v xml:space="preserve">Caldera </v>
          </cell>
          <cell r="E135" t="str">
            <v xml:space="preserve">0B07 - Caldera </v>
          </cell>
          <cell r="F135" t="str">
            <v>B</v>
          </cell>
          <cell r="G135" t="str">
            <v>MATERIALES</v>
          </cell>
          <cell r="H135" t="str">
            <v>B - MATERIALES</v>
          </cell>
          <cell r="I135" t="str">
            <v>0I02</v>
          </cell>
        </row>
        <row r="136">
          <cell r="A136" t="str">
            <v>21-0914-010A</v>
          </cell>
          <cell r="B136" t="str">
            <v xml:space="preserve">MAT CD - Ductos / Soldadura y Gases / Todos </v>
          </cell>
          <cell r="C136" t="str">
            <v>0B08</v>
          </cell>
          <cell r="D136" t="str">
            <v xml:space="preserve">Ductos </v>
          </cell>
          <cell r="E136" t="str">
            <v xml:space="preserve">0B08 - Ductos </v>
          </cell>
          <cell r="F136" t="str">
            <v>B</v>
          </cell>
          <cell r="G136" t="str">
            <v>MATERIALES</v>
          </cell>
          <cell r="H136" t="str">
            <v>B - MATERIALES</v>
          </cell>
          <cell r="I136" t="str">
            <v>0J02</v>
          </cell>
        </row>
        <row r="137">
          <cell r="A137" t="str">
            <v>21-0914-010G</v>
          </cell>
          <cell r="B137" t="str">
            <v xml:space="preserve">MAT CD - Ductos / Soldadura y Gases / Todos </v>
          </cell>
          <cell r="C137" t="str">
            <v>0B08</v>
          </cell>
          <cell r="D137" t="str">
            <v xml:space="preserve">Ductos </v>
          </cell>
          <cell r="E137" t="str">
            <v xml:space="preserve">0B08 - Ductos </v>
          </cell>
          <cell r="F137" t="str">
            <v>B</v>
          </cell>
          <cell r="G137" t="str">
            <v>MATERIALES</v>
          </cell>
          <cell r="H137" t="str">
            <v>B - MATERIALES</v>
          </cell>
          <cell r="I137" t="str">
            <v>0J02</v>
          </cell>
        </row>
        <row r="138">
          <cell r="A138" t="str">
            <v>21-0918-010A</v>
          </cell>
          <cell r="B138" t="str">
            <v xml:space="preserve">MAT CD - Ductos / Soportes / Todos </v>
          </cell>
          <cell r="C138" t="str">
            <v>0B08</v>
          </cell>
          <cell r="D138" t="str">
            <v xml:space="preserve">Ductos </v>
          </cell>
          <cell r="E138" t="str">
            <v xml:space="preserve">0B08 - Ductos </v>
          </cell>
          <cell r="F138" t="str">
            <v>B</v>
          </cell>
          <cell r="G138" t="str">
            <v>MATERIALES</v>
          </cell>
          <cell r="H138" t="str">
            <v>B - MATERIALES</v>
          </cell>
          <cell r="I138" t="str">
            <v>0J02</v>
          </cell>
        </row>
        <row r="139">
          <cell r="A139" t="str">
            <v>21-0918-010G</v>
          </cell>
          <cell r="B139" t="str">
            <v xml:space="preserve">MAT CD - Ductos / Soportes / Todos </v>
          </cell>
          <cell r="C139" t="str">
            <v>0B08</v>
          </cell>
          <cell r="D139" t="str">
            <v xml:space="preserve">Ductos </v>
          </cell>
          <cell r="E139" t="str">
            <v xml:space="preserve">0B08 - Ductos </v>
          </cell>
          <cell r="F139" t="str">
            <v>B</v>
          </cell>
          <cell r="G139" t="str">
            <v>MATERIALES</v>
          </cell>
          <cell r="H139" t="str">
            <v>B - MATERIALES</v>
          </cell>
          <cell r="I139" t="str">
            <v>0J02</v>
          </cell>
        </row>
        <row r="140">
          <cell r="A140" t="str">
            <v>21-0919-010A</v>
          </cell>
          <cell r="B140" t="str">
            <v xml:space="preserve">MAT CD - Ductos / Pernos y Empaquetaduras / Todos </v>
          </cell>
          <cell r="C140" t="str">
            <v>0B08</v>
          </cell>
          <cell r="D140" t="str">
            <v xml:space="preserve">Ductos </v>
          </cell>
          <cell r="E140" t="str">
            <v xml:space="preserve">0B08 - Ductos </v>
          </cell>
          <cell r="F140" t="str">
            <v>B</v>
          </cell>
          <cell r="G140" t="str">
            <v>MATERIALES</v>
          </cell>
          <cell r="H140" t="str">
            <v>B - MATERIALES</v>
          </cell>
          <cell r="I140" t="str">
            <v>0J02</v>
          </cell>
        </row>
        <row r="141">
          <cell r="A141" t="str">
            <v>21-0919-010G</v>
          </cell>
          <cell r="B141" t="str">
            <v xml:space="preserve">MAT CD - Ductos / Pernos y Empaquetaduras / Todos </v>
          </cell>
          <cell r="C141" t="str">
            <v>0B08</v>
          </cell>
          <cell r="D141" t="str">
            <v xml:space="preserve">Ductos </v>
          </cell>
          <cell r="E141" t="str">
            <v xml:space="preserve">0B08 - Ductos </v>
          </cell>
          <cell r="F141" t="str">
            <v>B</v>
          </cell>
          <cell r="G141" t="str">
            <v>MATERIALES</v>
          </cell>
          <cell r="H141" t="str">
            <v>B - MATERIALES</v>
          </cell>
          <cell r="I141" t="str">
            <v>0J02</v>
          </cell>
        </row>
        <row r="142">
          <cell r="A142" t="str">
            <v>21-0927-010A</v>
          </cell>
          <cell r="B142" t="str">
            <v xml:space="preserve">MAT CD - Ductos / Suminist. y Fabricación Ductos / Todos </v>
          </cell>
          <cell r="C142" t="str">
            <v>0B08</v>
          </cell>
          <cell r="D142" t="str">
            <v xml:space="preserve">Ductos </v>
          </cell>
          <cell r="E142" t="str">
            <v xml:space="preserve">0B08 - Ductos </v>
          </cell>
          <cell r="F142" t="str">
            <v>B</v>
          </cell>
          <cell r="G142" t="str">
            <v>MATERIALES</v>
          </cell>
          <cell r="H142" t="str">
            <v>B - MATERIALES</v>
          </cell>
          <cell r="I142" t="str">
            <v>0J02</v>
          </cell>
        </row>
        <row r="143">
          <cell r="A143" t="str">
            <v>21-0927-010G</v>
          </cell>
          <cell r="B143" t="str">
            <v xml:space="preserve">MAT CD - Ductos / Suminist. y Fabricación Ductos / Todos </v>
          </cell>
          <cell r="C143" t="str">
            <v>0B08</v>
          </cell>
          <cell r="D143" t="str">
            <v xml:space="preserve">Ductos </v>
          </cell>
          <cell r="E143" t="str">
            <v xml:space="preserve">0B08 - Ductos </v>
          </cell>
          <cell r="F143" t="str">
            <v>B</v>
          </cell>
          <cell r="G143" t="str">
            <v>MATERIALES</v>
          </cell>
          <cell r="H143" t="str">
            <v>B - MATERIALES</v>
          </cell>
          <cell r="I143" t="str">
            <v>0J02</v>
          </cell>
        </row>
        <row r="144">
          <cell r="A144" t="str">
            <v>21-0999-010A</v>
          </cell>
          <cell r="B144" t="str">
            <v xml:space="preserve">MAT CD - Ductos / Materiales Varios / Todos </v>
          </cell>
          <cell r="C144" t="str">
            <v>0B08</v>
          </cell>
          <cell r="D144" t="str">
            <v xml:space="preserve">Ductos </v>
          </cell>
          <cell r="E144" t="str">
            <v xml:space="preserve">0B08 - Ductos </v>
          </cell>
          <cell r="F144" t="str">
            <v>B</v>
          </cell>
          <cell r="G144" t="str">
            <v>MATERIALES</v>
          </cell>
          <cell r="H144" t="str">
            <v>B - MATERIALES</v>
          </cell>
          <cell r="I144" t="str">
            <v>0J02</v>
          </cell>
        </row>
        <row r="145">
          <cell r="A145" t="str">
            <v>21-0999-010G</v>
          </cell>
          <cell r="B145" t="str">
            <v xml:space="preserve">MAT CD - Ductos / Materiales Varios / Todos </v>
          </cell>
          <cell r="C145" t="str">
            <v>0B08</v>
          </cell>
          <cell r="D145" t="str">
            <v xml:space="preserve">Ductos </v>
          </cell>
          <cell r="E145" t="str">
            <v xml:space="preserve">0B08 - Ductos </v>
          </cell>
          <cell r="F145" t="str">
            <v>B</v>
          </cell>
          <cell r="G145" t="str">
            <v>MATERIALES</v>
          </cell>
          <cell r="H145" t="str">
            <v>B - MATERIALES</v>
          </cell>
          <cell r="I145" t="str">
            <v>0J02</v>
          </cell>
        </row>
        <row r="146">
          <cell r="A146" t="str">
            <v>21-1314-010A</v>
          </cell>
          <cell r="B146" t="str">
            <v xml:space="preserve">MAT CD - Estanque / Soldadura y Gases / Todos </v>
          </cell>
          <cell r="C146" t="str">
            <v>0B09</v>
          </cell>
          <cell r="D146" t="str">
            <v xml:space="preserve">Estanque </v>
          </cell>
          <cell r="E146" t="str">
            <v xml:space="preserve">0B09 - Estanque </v>
          </cell>
          <cell r="F146" t="str">
            <v>B</v>
          </cell>
          <cell r="G146" t="str">
            <v>MATERIALES</v>
          </cell>
          <cell r="H146" t="str">
            <v>B - MATERIALES</v>
          </cell>
          <cell r="I146" t="str">
            <v>0N02</v>
          </cell>
        </row>
        <row r="147">
          <cell r="A147" t="str">
            <v>21-1314-010G</v>
          </cell>
          <cell r="B147" t="str">
            <v xml:space="preserve">MAT CD - Estanque / Soldadura y Gases / Todos </v>
          </cell>
          <cell r="C147" t="str">
            <v>0B09</v>
          </cell>
          <cell r="D147" t="str">
            <v xml:space="preserve">Estanque </v>
          </cell>
          <cell r="E147" t="str">
            <v xml:space="preserve">0B09 - Estanque </v>
          </cell>
          <cell r="F147" t="str">
            <v>B</v>
          </cell>
          <cell r="G147" t="str">
            <v>MATERIALES</v>
          </cell>
          <cell r="H147" t="str">
            <v>B - MATERIALES</v>
          </cell>
          <cell r="I147" t="str">
            <v>0N02</v>
          </cell>
        </row>
        <row r="148">
          <cell r="A148" t="str">
            <v>21-1319-010A</v>
          </cell>
          <cell r="B148" t="str">
            <v xml:space="preserve">MAT CD - Estanque / Pernos y Empaquetaduras / Todos </v>
          </cell>
          <cell r="C148" t="str">
            <v>0B09</v>
          </cell>
          <cell r="D148" t="str">
            <v xml:space="preserve">Estanque </v>
          </cell>
          <cell r="E148" t="str">
            <v xml:space="preserve">0B09 - Estanque </v>
          </cell>
          <cell r="F148" t="str">
            <v>B</v>
          </cell>
          <cell r="G148" t="str">
            <v>MATERIALES</v>
          </cell>
          <cell r="H148" t="str">
            <v>B - MATERIALES</v>
          </cell>
          <cell r="I148" t="str">
            <v>0N02</v>
          </cell>
        </row>
        <row r="149">
          <cell r="A149" t="str">
            <v>21-1319-010G</v>
          </cell>
          <cell r="B149" t="str">
            <v xml:space="preserve">MAT CD - Estanque / Pernos y Empaquetaduras / Todos </v>
          </cell>
          <cell r="C149" t="str">
            <v>0B09</v>
          </cell>
          <cell r="D149" t="str">
            <v xml:space="preserve">Estanque </v>
          </cell>
          <cell r="E149" t="str">
            <v xml:space="preserve">0B09 - Estanque </v>
          </cell>
          <cell r="F149" t="str">
            <v>B</v>
          </cell>
          <cell r="G149" t="str">
            <v>MATERIALES</v>
          </cell>
          <cell r="H149" t="str">
            <v>B - MATERIALES</v>
          </cell>
          <cell r="I149" t="str">
            <v>0N02</v>
          </cell>
        </row>
        <row r="150">
          <cell r="A150" t="str">
            <v>21-1328-010A</v>
          </cell>
          <cell r="B150" t="str">
            <v xml:space="preserve">MAT CD - Estanque / Suminist. Estanque (Planchas) / Todo </v>
          </cell>
          <cell r="C150" t="str">
            <v>0B09</v>
          </cell>
          <cell r="D150" t="str">
            <v xml:space="preserve">Estanque </v>
          </cell>
          <cell r="E150" t="str">
            <v xml:space="preserve">0B09 - Estanque </v>
          </cell>
          <cell r="F150" t="str">
            <v>B</v>
          </cell>
          <cell r="G150" t="str">
            <v>MATERIALES</v>
          </cell>
          <cell r="H150" t="str">
            <v>B - MATERIALES</v>
          </cell>
          <cell r="I150" t="str">
            <v>0N02</v>
          </cell>
        </row>
        <row r="151">
          <cell r="A151" t="str">
            <v>21-1328-010G</v>
          </cell>
          <cell r="B151" t="str">
            <v xml:space="preserve">MAT CD - Estanque / Suminist. Estanque (Planchas) / Todo </v>
          </cell>
          <cell r="C151" t="str">
            <v>0B09</v>
          </cell>
          <cell r="D151" t="str">
            <v xml:space="preserve">Estanque </v>
          </cell>
          <cell r="E151" t="str">
            <v xml:space="preserve">0B09 - Estanque </v>
          </cell>
          <cell r="F151" t="str">
            <v>B</v>
          </cell>
          <cell r="G151" t="str">
            <v>MATERIALES</v>
          </cell>
          <cell r="H151" t="str">
            <v>B - MATERIALES</v>
          </cell>
          <cell r="I151" t="str">
            <v>0N02</v>
          </cell>
        </row>
        <row r="152">
          <cell r="A152" t="str">
            <v>21-1399-010A</v>
          </cell>
          <cell r="B152" t="str">
            <v xml:space="preserve">MAT CD - Estanque / Materiales Varios / Todos </v>
          </cell>
          <cell r="C152" t="str">
            <v>0B09</v>
          </cell>
          <cell r="D152" t="str">
            <v xml:space="preserve">Estanque </v>
          </cell>
          <cell r="E152" t="str">
            <v xml:space="preserve">0B09 - Estanque </v>
          </cell>
          <cell r="F152" t="str">
            <v>B</v>
          </cell>
          <cell r="G152" t="str">
            <v>MATERIALES</v>
          </cell>
          <cell r="H152" t="str">
            <v>B - MATERIALES</v>
          </cell>
          <cell r="I152" t="str">
            <v>0N02</v>
          </cell>
        </row>
        <row r="153">
          <cell r="A153" t="str">
            <v>21-1399-010G</v>
          </cell>
          <cell r="B153" t="str">
            <v xml:space="preserve">MAT CD - Estanque / Materiales Varios / Todos </v>
          </cell>
          <cell r="C153" t="str">
            <v>0B09</v>
          </cell>
          <cell r="D153" t="str">
            <v xml:space="preserve">Estanque </v>
          </cell>
          <cell r="E153" t="str">
            <v xml:space="preserve">0B09 - Estanque </v>
          </cell>
          <cell r="F153" t="str">
            <v>B</v>
          </cell>
          <cell r="G153" t="str">
            <v>MATERIALES</v>
          </cell>
          <cell r="H153" t="str">
            <v>B - MATERIALES</v>
          </cell>
          <cell r="I153" t="str">
            <v>0N02</v>
          </cell>
        </row>
        <row r="154">
          <cell r="A154" t="str">
            <v>21-9730-010A</v>
          </cell>
          <cell r="B154" t="str">
            <v>MAT CD - Importaciones / Importaciones / Todos (A)</v>
          </cell>
          <cell r="C154" t="str">
            <v>0B11</v>
          </cell>
          <cell r="D154" t="str">
            <v>Importaciones</v>
          </cell>
          <cell r="E154" t="str">
            <v>0B11 - Importaciones</v>
          </cell>
          <cell r="F154" t="str">
            <v>B</v>
          </cell>
          <cell r="G154" t="str">
            <v>MATERIALES</v>
          </cell>
          <cell r="H154" t="str">
            <v>B - MATERIALES</v>
          </cell>
          <cell r="I154" t="str">
            <v>0Q04</v>
          </cell>
        </row>
        <row r="155">
          <cell r="A155" t="str">
            <v>21-9730-010G</v>
          </cell>
          <cell r="B155" t="str">
            <v>MAT CD - Importaciones / Importaciones / Todos (G)</v>
          </cell>
          <cell r="C155" t="str">
            <v>0B11</v>
          </cell>
          <cell r="D155" t="str">
            <v>Importaciones</v>
          </cell>
          <cell r="E155" t="str">
            <v>0B11 - Importaciones</v>
          </cell>
          <cell r="F155" t="str">
            <v>B</v>
          </cell>
          <cell r="G155" t="str">
            <v>MATERIALES</v>
          </cell>
          <cell r="H155" t="str">
            <v>B - MATERIALES</v>
          </cell>
          <cell r="I155" t="str">
            <v>0Q04</v>
          </cell>
        </row>
        <row r="156">
          <cell r="A156" t="str">
            <v>21-9801-010A</v>
          </cell>
          <cell r="B156" t="str">
            <v>MAT CD - Especialidad por distribuir / Todos / Todos (A)</v>
          </cell>
          <cell r="C156"/>
          <cell r="D156"/>
          <cell r="E156"/>
          <cell r="F156"/>
          <cell r="G156"/>
          <cell r="H156"/>
          <cell r="I156"/>
        </row>
        <row r="157">
          <cell r="A157" t="str">
            <v>21-9801-010G</v>
          </cell>
          <cell r="B157" t="str">
            <v>MAT CD - Especialidad por distribuir / Todos / Todos (G)</v>
          </cell>
          <cell r="C157"/>
          <cell r="D157"/>
          <cell r="E157"/>
          <cell r="F157"/>
          <cell r="G157"/>
          <cell r="H157"/>
          <cell r="I157"/>
        </row>
        <row r="158">
          <cell r="A158" t="str">
            <v>21-9901-010A</v>
          </cell>
          <cell r="B158" t="str">
            <v>MAT CD - Especialidad por distribuir / Todos /Reembolsable</v>
          </cell>
          <cell r="C158"/>
          <cell r="D158"/>
          <cell r="E158"/>
          <cell r="F158"/>
          <cell r="G158"/>
          <cell r="H158"/>
          <cell r="I158"/>
        </row>
        <row r="159">
          <cell r="A159" t="str">
            <v>21-9901-010G</v>
          </cell>
          <cell r="B159" t="str">
            <v>MAT CD - Especialidad por distribuir / Todos /Reembolsable</v>
          </cell>
          <cell r="C159"/>
          <cell r="D159"/>
          <cell r="E159"/>
          <cell r="F159"/>
          <cell r="G159"/>
          <cell r="H159"/>
          <cell r="I159"/>
        </row>
        <row r="160">
          <cell r="A160" t="str">
            <v>31-0101-000A</v>
          </cell>
          <cell r="B160" t="str">
            <v xml:space="preserve">SUB CD - Civil  / Movimiento de tierra </v>
          </cell>
          <cell r="C160" t="str">
            <v>0X01</v>
          </cell>
          <cell r="D160" t="str">
            <v xml:space="preserve">Civil  </v>
          </cell>
          <cell r="E160" t="str">
            <v xml:space="preserve">0X01 - Civil  </v>
          </cell>
          <cell r="F160" t="str">
            <v>E</v>
          </cell>
          <cell r="G160" t="str">
            <v>SUBCONTRATOS</v>
          </cell>
          <cell r="H160" t="str">
            <v>E - SUBCONTRATOS</v>
          </cell>
          <cell r="I160" t="str">
            <v>0Q02</v>
          </cell>
        </row>
        <row r="161">
          <cell r="A161" t="str">
            <v>31-0101-000G</v>
          </cell>
          <cell r="B161" t="str">
            <v xml:space="preserve">SUB CD - Civil  / Movimiento de tierra </v>
          </cell>
          <cell r="C161" t="str">
            <v>0X01</v>
          </cell>
          <cell r="D161" t="str">
            <v xml:space="preserve">Civil  </v>
          </cell>
          <cell r="E161" t="str">
            <v xml:space="preserve">0X01 - Civil  </v>
          </cell>
          <cell r="F161" t="str">
            <v>E</v>
          </cell>
          <cell r="G161" t="str">
            <v>SUBCONTRATOS</v>
          </cell>
          <cell r="H161" t="str">
            <v>E - SUBCONTRATOS</v>
          </cell>
          <cell r="I161" t="str">
            <v>0Q02</v>
          </cell>
        </row>
        <row r="162">
          <cell r="A162" t="str">
            <v>31-0102-000A</v>
          </cell>
          <cell r="B162" t="str">
            <v xml:space="preserve">SUB CD - Civil  / Hormigón </v>
          </cell>
          <cell r="C162" t="str">
            <v>0X01</v>
          </cell>
          <cell r="D162" t="str">
            <v xml:space="preserve">Civil  </v>
          </cell>
          <cell r="E162" t="str">
            <v xml:space="preserve">0X01 - Civil  </v>
          </cell>
          <cell r="F162" t="str">
            <v>E</v>
          </cell>
          <cell r="G162" t="str">
            <v>SUBCONTRATOS</v>
          </cell>
          <cell r="H162" t="str">
            <v>E - SUBCONTRATOS</v>
          </cell>
          <cell r="I162" t="str">
            <v>0Q02</v>
          </cell>
        </row>
        <row r="163">
          <cell r="A163" t="str">
            <v>31-0102-000G</v>
          </cell>
          <cell r="B163" t="str">
            <v xml:space="preserve">SUB CD - Civil  / Hormigón </v>
          </cell>
          <cell r="C163" t="str">
            <v>0X01</v>
          </cell>
          <cell r="D163" t="str">
            <v xml:space="preserve">Civil  </v>
          </cell>
          <cell r="E163" t="str">
            <v xml:space="preserve">0X01 - Civil  </v>
          </cell>
          <cell r="F163" t="str">
            <v>E</v>
          </cell>
          <cell r="G163" t="str">
            <v>SUBCONTRATOS</v>
          </cell>
          <cell r="H163" t="str">
            <v>E - SUBCONTRATOS</v>
          </cell>
          <cell r="I163" t="str">
            <v>0Q02</v>
          </cell>
        </row>
        <row r="164">
          <cell r="A164" t="str">
            <v>31-0103-000A</v>
          </cell>
          <cell r="B164" t="str">
            <v xml:space="preserve">SUB CD - Civil  / Moldaje </v>
          </cell>
          <cell r="C164" t="str">
            <v>0X01</v>
          </cell>
          <cell r="D164" t="str">
            <v xml:space="preserve">Civil  </v>
          </cell>
          <cell r="E164" t="str">
            <v xml:space="preserve">0X01 - Civil  </v>
          </cell>
          <cell r="F164" t="str">
            <v>E</v>
          </cell>
          <cell r="G164" t="str">
            <v>SUBCONTRATOS</v>
          </cell>
          <cell r="H164" t="str">
            <v>E - SUBCONTRATOS</v>
          </cell>
          <cell r="I164" t="str">
            <v>0Q02</v>
          </cell>
        </row>
        <row r="165">
          <cell r="A165" t="str">
            <v>31-0103-000G</v>
          </cell>
          <cell r="B165" t="str">
            <v xml:space="preserve">SUB CD - Civil  / Moldaje </v>
          </cell>
          <cell r="C165" t="str">
            <v>0X01</v>
          </cell>
          <cell r="D165" t="str">
            <v xml:space="preserve">Civil  </v>
          </cell>
          <cell r="E165" t="str">
            <v xml:space="preserve">0X01 - Civil  </v>
          </cell>
          <cell r="F165" t="str">
            <v>E</v>
          </cell>
          <cell r="G165" t="str">
            <v>SUBCONTRATOS</v>
          </cell>
          <cell r="H165" t="str">
            <v>E - SUBCONTRATOS</v>
          </cell>
          <cell r="I165" t="str">
            <v>0Q02</v>
          </cell>
        </row>
        <row r="166">
          <cell r="A166" t="str">
            <v>31-0104-000A</v>
          </cell>
          <cell r="B166" t="str">
            <v xml:space="preserve">SUB CD - Civil  / Enfierradura </v>
          </cell>
          <cell r="C166" t="str">
            <v>0X01</v>
          </cell>
          <cell r="D166" t="str">
            <v xml:space="preserve">Civil  </v>
          </cell>
          <cell r="E166" t="str">
            <v xml:space="preserve">0X01 - Civil  </v>
          </cell>
          <cell r="F166" t="str">
            <v>E</v>
          </cell>
          <cell r="G166" t="str">
            <v>SUBCONTRATOS</v>
          </cell>
          <cell r="H166" t="str">
            <v>E - SUBCONTRATOS</v>
          </cell>
          <cell r="I166" t="str">
            <v>0Q02</v>
          </cell>
        </row>
        <row r="167">
          <cell r="A167" t="str">
            <v>31-0104-000G</v>
          </cell>
          <cell r="B167" t="str">
            <v xml:space="preserve">SUB CD - Civil  / Enfierradura </v>
          </cell>
          <cell r="C167" t="str">
            <v>0X01</v>
          </cell>
          <cell r="D167" t="str">
            <v xml:space="preserve">Civil  </v>
          </cell>
          <cell r="E167" t="str">
            <v xml:space="preserve">0X01 - Civil  </v>
          </cell>
          <cell r="F167" t="str">
            <v>E</v>
          </cell>
          <cell r="G167" t="str">
            <v>SUBCONTRATOS</v>
          </cell>
          <cell r="H167" t="str">
            <v>E - SUBCONTRATOS</v>
          </cell>
          <cell r="I167" t="str">
            <v>0Q02</v>
          </cell>
        </row>
        <row r="168">
          <cell r="A168" t="str">
            <v>31-0105-000A</v>
          </cell>
          <cell r="B168" t="str">
            <v xml:space="preserve">SUB CD - Civil  / Arquitectura </v>
          </cell>
          <cell r="C168" t="str">
            <v>0X01</v>
          </cell>
          <cell r="D168" t="str">
            <v xml:space="preserve">Civil  </v>
          </cell>
          <cell r="E168" t="str">
            <v xml:space="preserve">0X01 - Civil  </v>
          </cell>
          <cell r="F168" t="str">
            <v>E</v>
          </cell>
          <cell r="G168" t="str">
            <v>SUBCONTRATOS</v>
          </cell>
          <cell r="H168" t="str">
            <v>E - SUBCONTRATOS</v>
          </cell>
          <cell r="I168" t="str">
            <v>0Q02</v>
          </cell>
        </row>
        <row r="169">
          <cell r="A169" t="str">
            <v>31-0105-000G</v>
          </cell>
          <cell r="B169" t="str">
            <v xml:space="preserve">SUB CD - Civil  / Arquitectura </v>
          </cell>
          <cell r="C169" t="str">
            <v>0X01</v>
          </cell>
          <cell r="D169" t="str">
            <v xml:space="preserve">Civil  </v>
          </cell>
          <cell r="E169" t="str">
            <v xml:space="preserve">0X01 - Civil  </v>
          </cell>
          <cell r="F169" t="str">
            <v>E</v>
          </cell>
          <cell r="G169" t="str">
            <v>SUBCONTRATOS</v>
          </cell>
          <cell r="H169" t="str">
            <v>E - SUBCONTRATOS</v>
          </cell>
          <cell r="I169" t="str">
            <v>0Q02</v>
          </cell>
        </row>
        <row r="170">
          <cell r="A170" t="str">
            <v>31-0132-000A</v>
          </cell>
          <cell r="B170" t="str">
            <v xml:space="preserve">SUB CD - Civil  / Agotamiento </v>
          </cell>
          <cell r="C170" t="str">
            <v>0X01</v>
          </cell>
          <cell r="D170" t="str">
            <v xml:space="preserve">Civil  </v>
          </cell>
          <cell r="E170" t="str">
            <v xml:space="preserve">0X01 - Civil  </v>
          </cell>
          <cell r="F170" t="str">
            <v>E</v>
          </cell>
          <cell r="G170" t="str">
            <v>SUBCONTRATOS</v>
          </cell>
          <cell r="H170" t="str">
            <v>E - SUBCONTRATOS</v>
          </cell>
          <cell r="I170" t="str">
            <v>0Q02</v>
          </cell>
        </row>
        <row r="171">
          <cell r="A171" t="str">
            <v>31-0132-000G</v>
          </cell>
          <cell r="B171" t="str">
            <v xml:space="preserve">SUB CD - Civil  / Agotamiento </v>
          </cell>
          <cell r="C171" t="str">
            <v>0X01</v>
          </cell>
          <cell r="D171" t="str">
            <v xml:space="preserve">Civil  </v>
          </cell>
          <cell r="E171" t="str">
            <v xml:space="preserve">0X01 - Civil  </v>
          </cell>
          <cell r="F171" t="str">
            <v>E</v>
          </cell>
          <cell r="G171" t="str">
            <v>SUBCONTRATOS</v>
          </cell>
          <cell r="H171" t="str">
            <v>E - SUBCONTRATOS</v>
          </cell>
          <cell r="I171" t="str">
            <v>0Q02</v>
          </cell>
        </row>
        <row r="172">
          <cell r="A172" t="str">
            <v>31-0133-000A</v>
          </cell>
          <cell r="B172" t="str">
            <v xml:space="preserve">SUB CD - Civil  / Laboratorio (Resist. hormigón densid.) </v>
          </cell>
          <cell r="C172" t="str">
            <v>0X01</v>
          </cell>
          <cell r="D172" t="str">
            <v xml:space="preserve">Civil  </v>
          </cell>
          <cell r="E172" t="str">
            <v xml:space="preserve">0X01 - Civil  </v>
          </cell>
          <cell r="F172" t="str">
            <v>E</v>
          </cell>
          <cell r="G172" t="str">
            <v>SUBCONTRATOS</v>
          </cell>
          <cell r="H172" t="str">
            <v>E - SUBCONTRATOS</v>
          </cell>
          <cell r="I172" t="str">
            <v>0Q02</v>
          </cell>
        </row>
        <row r="173">
          <cell r="A173" t="str">
            <v>31-0133-000G</v>
          </cell>
          <cell r="B173" t="str">
            <v xml:space="preserve">SUB CD - Civil  / Laboratorio (Resist. hormigón densid.) </v>
          </cell>
          <cell r="C173" t="str">
            <v>0X01</v>
          </cell>
          <cell r="D173" t="str">
            <v xml:space="preserve">Civil  </v>
          </cell>
          <cell r="E173" t="str">
            <v xml:space="preserve">0X01 - Civil  </v>
          </cell>
          <cell r="F173" t="str">
            <v>E</v>
          </cell>
          <cell r="G173" t="str">
            <v>SUBCONTRATOS</v>
          </cell>
          <cell r="H173" t="str">
            <v>E - SUBCONTRATOS</v>
          </cell>
          <cell r="I173" t="str">
            <v>0Q02</v>
          </cell>
        </row>
        <row r="174">
          <cell r="A174" t="str">
            <v>31-0134-000A</v>
          </cell>
          <cell r="B174" t="str">
            <v xml:space="preserve">SUB CD - Civil  / Revestimiento Radier Epoxico </v>
          </cell>
          <cell r="C174" t="str">
            <v>0X01</v>
          </cell>
          <cell r="D174" t="str">
            <v xml:space="preserve">Civil  </v>
          </cell>
          <cell r="E174" t="str">
            <v xml:space="preserve">0X01 - Civil  </v>
          </cell>
          <cell r="F174" t="str">
            <v>E</v>
          </cell>
          <cell r="G174" t="str">
            <v>SUBCONTRATOS</v>
          </cell>
          <cell r="H174" t="str">
            <v>E - SUBCONTRATOS</v>
          </cell>
          <cell r="I174" t="str">
            <v>0Q02</v>
          </cell>
        </row>
        <row r="175">
          <cell r="A175" t="str">
            <v>31-0134-000G</v>
          </cell>
          <cell r="B175" t="str">
            <v xml:space="preserve">SUB CD - Civil  / Revestimiento Radier Epoxico </v>
          </cell>
          <cell r="C175" t="str">
            <v>0X01</v>
          </cell>
          <cell r="D175" t="str">
            <v xml:space="preserve">Civil  </v>
          </cell>
          <cell r="E175" t="str">
            <v xml:space="preserve">0X01 - Civil  </v>
          </cell>
          <cell r="F175" t="str">
            <v>E</v>
          </cell>
          <cell r="G175" t="str">
            <v>SUBCONTRATOS</v>
          </cell>
          <cell r="H175" t="str">
            <v>E - SUBCONTRATOS</v>
          </cell>
          <cell r="I175" t="str">
            <v>0Q02</v>
          </cell>
        </row>
        <row r="176">
          <cell r="A176" t="str">
            <v>31-0135-000A</v>
          </cell>
          <cell r="B176" t="str">
            <v xml:space="preserve">SUB CD - Civil  / Entibaciones </v>
          </cell>
          <cell r="C176" t="str">
            <v>0X01</v>
          </cell>
          <cell r="D176" t="str">
            <v xml:space="preserve">Civil  </v>
          </cell>
          <cell r="E176" t="str">
            <v xml:space="preserve">0X01 - Civil  </v>
          </cell>
          <cell r="F176" t="str">
            <v>E</v>
          </cell>
          <cell r="G176" t="str">
            <v>SUBCONTRATOS</v>
          </cell>
          <cell r="H176" t="str">
            <v>E - SUBCONTRATOS</v>
          </cell>
          <cell r="I176" t="str">
            <v>0Q02</v>
          </cell>
        </row>
        <row r="177">
          <cell r="A177" t="str">
            <v>31-0135-000G</v>
          </cell>
          <cell r="B177" t="str">
            <v xml:space="preserve">SUB CD - Civil  / Entibaciones </v>
          </cell>
          <cell r="C177" t="str">
            <v>0X01</v>
          </cell>
          <cell r="D177" t="str">
            <v xml:space="preserve">Civil  </v>
          </cell>
          <cell r="E177" t="str">
            <v xml:space="preserve">0X01 - Civil  </v>
          </cell>
          <cell r="F177" t="str">
            <v>E</v>
          </cell>
          <cell r="G177" t="str">
            <v>SUBCONTRATOS</v>
          </cell>
          <cell r="H177" t="str">
            <v>E - SUBCONTRATOS</v>
          </cell>
          <cell r="I177" t="str">
            <v>0Q02</v>
          </cell>
        </row>
        <row r="178">
          <cell r="A178" t="str">
            <v>31-0199-000A</v>
          </cell>
          <cell r="B178" t="str">
            <v xml:space="preserve">SUB CD - Civil  / Otros </v>
          </cell>
          <cell r="C178" t="str">
            <v>0X01</v>
          </cell>
          <cell r="D178" t="str">
            <v xml:space="preserve">Civil  </v>
          </cell>
          <cell r="E178" t="str">
            <v xml:space="preserve">0X01 - Civil  </v>
          </cell>
          <cell r="F178" t="str">
            <v>E</v>
          </cell>
          <cell r="G178" t="str">
            <v>SUBCONTRATOS</v>
          </cell>
          <cell r="H178" t="str">
            <v>E - SUBCONTRATOS</v>
          </cell>
          <cell r="I178" t="str">
            <v>0Q02</v>
          </cell>
        </row>
        <row r="179">
          <cell r="A179" t="str">
            <v>31-0199-000G</v>
          </cell>
          <cell r="B179" t="str">
            <v xml:space="preserve">SUB CD - Civil  / Otros </v>
          </cell>
          <cell r="C179" t="str">
            <v>0X01</v>
          </cell>
          <cell r="D179" t="str">
            <v xml:space="preserve">Civil  </v>
          </cell>
          <cell r="E179" t="str">
            <v xml:space="preserve">0X01 - Civil  </v>
          </cell>
          <cell r="F179" t="str">
            <v>E</v>
          </cell>
          <cell r="G179" t="str">
            <v>SUBCONTRATOS</v>
          </cell>
          <cell r="H179" t="str">
            <v>E - SUBCONTRATOS</v>
          </cell>
          <cell r="I179" t="str">
            <v>0Q02</v>
          </cell>
        </row>
        <row r="180">
          <cell r="A180" t="str">
            <v>31-0206-000A</v>
          </cell>
          <cell r="B180" t="str">
            <v xml:space="preserve">SUB CD - Estructura / Pintura </v>
          </cell>
          <cell r="C180" t="str">
            <v>0X04</v>
          </cell>
          <cell r="D180" t="str">
            <v xml:space="preserve">Estructura </v>
          </cell>
          <cell r="E180" t="str">
            <v xml:space="preserve">0X04 - Estructura </v>
          </cell>
          <cell r="F180" t="str">
            <v>E</v>
          </cell>
          <cell r="G180" t="str">
            <v>SUBCONTRATOS</v>
          </cell>
          <cell r="H180" t="str">
            <v>E - SUBCONTRATOS</v>
          </cell>
          <cell r="I180" t="str">
            <v>0Q02</v>
          </cell>
        </row>
        <row r="181">
          <cell r="A181" t="str">
            <v>31-0206-000G</v>
          </cell>
          <cell r="B181" t="str">
            <v xml:space="preserve">SUB CD - Estructura / Pintura </v>
          </cell>
          <cell r="C181" t="str">
            <v>0X04</v>
          </cell>
          <cell r="D181" t="str">
            <v xml:space="preserve">Estructura </v>
          </cell>
          <cell r="E181" t="str">
            <v xml:space="preserve">0X04 - Estructura </v>
          </cell>
          <cell r="F181" t="str">
            <v>E</v>
          </cell>
          <cell r="G181" t="str">
            <v>SUBCONTRATOS</v>
          </cell>
          <cell r="H181" t="str">
            <v>E - SUBCONTRATOS</v>
          </cell>
          <cell r="I181" t="str">
            <v>0Q02</v>
          </cell>
        </row>
        <row r="182">
          <cell r="A182" t="str">
            <v>31-0207-000A</v>
          </cell>
          <cell r="B182" t="str">
            <v xml:space="preserve">SUB CD - Estructura / Montaje de Estructura </v>
          </cell>
          <cell r="C182" t="str">
            <v>0X04</v>
          </cell>
          <cell r="D182" t="str">
            <v xml:space="preserve">Estructura </v>
          </cell>
          <cell r="E182" t="str">
            <v xml:space="preserve">0X04 - Estructura </v>
          </cell>
          <cell r="F182" t="str">
            <v>E</v>
          </cell>
          <cell r="G182" t="str">
            <v>SUBCONTRATOS</v>
          </cell>
          <cell r="H182" t="str">
            <v>E - SUBCONTRATOS</v>
          </cell>
          <cell r="I182" t="str">
            <v>0Q02</v>
          </cell>
        </row>
        <row r="183">
          <cell r="A183" t="str">
            <v>31-0207-000G</v>
          </cell>
          <cell r="B183" t="str">
            <v xml:space="preserve">SUB CD - Estructura / Montaje de Estructura </v>
          </cell>
          <cell r="C183" t="str">
            <v>0X04</v>
          </cell>
          <cell r="D183" t="str">
            <v xml:space="preserve">Estructura </v>
          </cell>
          <cell r="E183" t="str">
            <v xml:space="preserve">0X04 - Estructura </v>
          </cell>
          <cell r="F183" t="str">
            <v>E</v>
          </cell>
          <cell r="G183" t="str">
            <v>SUBCONTRATOS</v>
          </cell>
          <cell r="H183" t="str">
            <v>E - SUBCONTRATOS</v>
          </cell>
          <cell r="I183" t="str">
            <v>0Q02</v>
          </cell>
        </row>
        <row r="184">
          <cell r="A184" t="str">
            <v>31-0208-000A</v>
          </cell>
          <cell r="B184" t="str">
            <v xml:space="preserve">SUB CD - Estructura / Montaje de Revestimiento </v>
          </cell>
          <cell r="C184" t="str">
            <v>0X04</v>
          </cell>
          <cell r="D184" t="str">
            <v xml:space="preserve">Estructura </v>
          </cell>
          <cell r="E184" t="str">
            <v xml:space="preserve">0X04 - Estructura </v>
          </cell>
          <cell r="F184" t="str">
            <v>E</v>
          </cell>
          <cell r="G184" t="str">
            <v>SUBCONTRATOS</v>
          </cell>
          <cell r="H184" t="str">
            <v>E - SUBCONTRATOS</v>
          </cell>
          <cell r="I184" t="str">
            <v>0Q02</v>
          </cell>
        </row>
        <row r="185">
          <cell r="A185" t="str">
            <v>31-0208-000G</v>
          </cell>
          <cell r="B185" t="str">
            <v xml:space="preserve">SUB CD - Estructura / Montaje de Revestimiento </v>
          </cell>
          <cell r="C185" t="str">
            <v>0X04</v>
          </cell>
          <cell r="D185" t="str">
            <v xml:space="preserve">Estructura </v>
          </cell>
          <cell r="E185" t="str">
            <v xml:space="preserve">0X04 - Estructura </v>
          </cell>
          <cell r="F185" t="str">
            <v>E</v>
          </cell>
          <cell r="G185" t="str">
            <v>SUBCONTRATOS</v>
          </cell>
          <cell r="H185" t="str">
            <v>E - SUBCONTRATOS</v>
          </cell>
          <cell r="I185" t="str">
            <v>0Q02</v>
          </cell>
        </row>
        <row r="186">
          <cell r="A186" t="str">
            <v>31-0299-000A</v>
          </cell>
          <cell r="B186" t="str">
            <v xml:space="preserve">SUB CD - Estructura / Otros </v>
          </cell>
          <cell r="C186" t="str">
            <v>0X04</v>
          </cell>
          <cell r="D186" t="str">
            <v xml:space="preserve">Estructura </v>
          </cell>
          <cell r="E186" t="str">
            <v xml:space="preserve">0X04 - Estructura </v>
          </cell>
          <cell r="F186" t="str">
            <v>E</v>
          </cell>
          <cell r="G186" t="str">
            <v>SUBCONTRATOS</v>
          </cell>
          <cell r="H186" t="str">
            <v>E - SUBCONTRATOS</v>
          </cell>
          <cell r="I186" t="str">
            <v>0Q02</v>
          </cell>
        </row>
        <row r="187">
          <cell r="A187" t="str">
            <v>31-0299-000G</v>
          </cell>
          <cell r="B187" t="str">
            <v xml:space="preserve">SUB CD - Estructura / Otros </v>
          </cell>
          <cell r="C187" t="str">
            <v>0X04</v>
          </cell>
          <cell r="D187" t="str">
            <v xml:space="preserve">Estructura </v>
          </cell>
          <cell r="E187" t="str">
            <v xml:space="preserve">0X04 - Estructura </v>
          </cell>
          <cell r="F187" t="str">
            <v>E</v>
          </cell>
          <cell r="G187" t="str">
            <v>SUBCONTRATOS</v>
          </cell>
          <cell r="H187" t="str">
            <v>E - SUBCONTRATOS</v>
          </cell>
          <cell r="I187" t="str">
            <v>0Q02</v>
          </cell>
        </row>
        <row r="188">
          <cell r="A188" t="str">
            <v>31-0307-000A</v>
          </cell>
          <cell r="B188" t="str">
            <v xml:space="preserve">SUB CD - Mecánica / Montaje Equipos </v>
          </cell>
          <cell r="C188" t="str">
            <v>0X02</v>
          </cell>
          <cell r="D188" t="str">
            <v xml:space="preserve">Mecánica </v>
          </cell>
          <cell r="E188" t="str">
            <v xml:space="preserve">0X02 - Mecánica </v>
          </cell>
          <cell r="F188" t="str">
            <v>E</v>
          </cell>
          <cell r="G188" t="str">
            <v>SUBCONTRATOS</v>
          </cell>
          <cell r="H188" t="str">
            <v>E - SUBCONTRATOS</v>
          </cell>
          <cell r="I188" t="str">
            <v>0Q02</v>
          </cell>
        </row>
        <row r="189">
          <cell r="A189" t="str">
            <v>31-0307-000G</v>
          </cell>
          <cell r="B189" t="str">
            <v xml:space="preserve">SUB CD - Mecánica / Montaje Equipos </v>
          </cell>
          <cell r="C189" t="str">
            <v>0X02</v>
          </cell>
          <cell r="D189" t="str">
            <v xml:space="preserve">Mecánica </v>
          </cell>
          <cell r="E189" t="str">
            <v xml:space="preserve">0X02 - Mecánica </v>
          </cell>
          <cell r="F189" t="str">
            <v>E</v>
          </cell>
          <cell r="G189" t="str">
            <v>SUBCONTRATOS</v>
          </cell>
          <cell r="H189" t="str">
            <v>E - SUBCONTRATOS</v>
          </cell>
          <cell r="I189" t="str">
            <v>0Q02</v>
          </cell>
        </row>
        <row r="190">
          <cell r="A190" t="str">
            <v>31-0308-000A</v>
          </cell>
          <cell r="B190" t="str">
            <v xml:space="preserve">SUB CD - Mecánica / Montajes </v>
          </cell>
          <cell r="C190" t="str">
            <v>0X02</v>
          </cell>
          <cell r="D190" t="str">
            <v xml:space="preserve">Mecánica </v>
          </cell>
          <cell r="E190" t="str">
            <v xml:space="preserve">0X02 - Mecánica </v>
          </cell>
          <cell r="F190" t="str">
            <v>E</v>
          </cell>
          <cell r="G190" t="str">
            <v>SUBCONTRATOS</v>
          </cell>
          <cell r="H190" t="str">
            <v>E - SUBCONTRATOS</v>
          </cell>
          <cell r="I190" t="str">
            <v>0Q02</v>
          </cell>
        </row>
        <row r="191">
          <cell r="A191" t="str">
            <v>31-0308-000G</v>
          </cell>
          <cell r="B191" t="str">
            <v xml:space="preserve">SUB CD - Mecánica / Montajes </v>
          </cell>
          <cell r="C191" t="str">
            <v>0X02</v>
          </cell>
          <cell r="D191" t="str">
            <v xml:space="preserve">Mecánica </v>
          </cell>
          <cell r="E191" t="str">
            <v xml:space="preserve">0X02 - Mecánica </v>
          </cell>
          <cell r="F191" t="str">
            <v>E</v>
          </cell>
          <cell r="G191" t="str">
            <v>SUBCONTRATOS</v>
          </cell>
          <cell r="H191" t="str">
            <v>E - SUBCONTRATOS</v>
          </cell>
          <cell r="I191" t="str">
            <v>0Q02</v>
          </cell>
        </row>
        <row r="192">
          <cell r="A192" t="str">
            <v>31-0339-000A</v>
          </cell>
          <cell r="B192" t="str">
            <v xml:space="preserve">SUB CD - Mecánica / Empalme Correas </v>
          </cell>
          <cell r="C192" t="str">
            <v>0X02</v>
          </cell>
          <cell r="D192" t="str">
            <v xml:space="preserve">Mecánica </v>
          </cell>
          <cell r="E192" t="str">
            <v xml:space="preserve">0X02 - Mecánica </v>
          </cell>
          <cell r="F192" t="str">
            <v>E</v>
          </cell>
          <cell r="G192" t="str">
            <v>SUBCONTRATOS</v>
          </cell>
          <cell r="H192" t="str">
            <v>E - SUBCONTRATOS</v>
          </cell>
          <cell r="I192" t="str">
            <v>0Q02</v>
          </cell>
        </row>
        <row r="193">
          <cell r="A193" t="str">
            <v>31-0339-000G</v>
          </cell>
          <cell r="B193" t="str">
            <v xml:space="preserve">SUB CD - Mecánica / Empalme Correas </v>
          </cell>
          <cell r="C193" t="str">
            <v>0X02</v>
          </cell>
          <cell r="D193" t="str">
            <v xml:space="preserve">Mecánica </v>
          </cell>
          <cell r="E193" t="str">
            <v xml:space="preserve">0X02 - Mecánica </v>
          </cell>
          <cell r="F193" t="str">
            <v>E</v>
          </cell>
          <cell r="G193" t="str">
            <v>SUBCONTRATOS</v>
          </cell>
          <cell r="H193" t="str">
            <v>E - SUBCONTRATOS</v>
          </cell>
          <cell r="I193" t="str">
            <v>0Q02</v>
          </cell>
        </row>
        <row r="194">
          <cell r="A194" t="str">
            <v>31-0340-000A</v>
          </cell>
          <cell r="B194" t="str">
            <v xml:space="preserve">SUB CD - Mecánica / Alineamiento Laser </v>
          </cell>
          <cell r="C194" t="str">
            <v>0X02</v>
          </cell>
          <cell r="D194" t="str">
            <v xml:space="preserve">Mecánica </v>
          </cell>
          <cell r="E194" t="str">
            <v xml:space="preserve">0X02 - Mecánica </v>
          </cell>
          <cell r="F194" t="str">
            <v>E</v>
          </cell>
          <cell r="G194" t="str">
            <v>SUBCONTRATOS</v>
          </cell>
          <cell r="H194" t="str">
            <v>E - SUBCONTRATOS</v>
          </cell>
          <cell r="I194" t="str">
            <v>0Q02</v>
          </cell>
        </row>
        <row r="195">
          <cell r="A195" t="str">
            <v>31-0340-000G</v>
          </cell>
          <cell r="B195" t="str">
            <v xml:space="preserve">SUB CD - Mecánica / Alineamiento Laser </v>
          </cell>
          <cell r="C195" t="str">
            <v>0X02</v>
          </cell>
          <cell r="D195" t="str">
            <v xml:space="preserve">Mecánica </v>
          </cell>
          <cell r="E195" t="str">
            <v xml:space="preserve">0X02 - Mecánica </v>
          </cell>
          <cell r="F195" t="str">
            <v>E</v>
          </cell>
          <cell r="G195" t="str">
            <v>SUBCONTRATOS</v>
          </cell>
          <cell r="H195" t="str">
            <v>E - SUBCONTRATOS</v>
          </cell>
          <cell r="I195" t="str">
            <v>0Q02</v>
          </cell>
        </row>
        <row r="196">
          <cell r="A196" t="str">
            <v>31-0341-000A</v>
          </cell>
          <cell r="B196" t="str">
            <v xml:space="preserve">SUB CD - Mecánica / Análisis de Vibración </v>
          </cell>
          <cell r="C196" t="str">
            <v>0X02</v>
          </cell>
          <cell r="D196" t="str">
            <v xml:space="preserve">Mecánica </v>
          </cell>
          <cell r="E196" t="str">
            <v xml:space="preserve">0X02 - Mecánica </v>
          </cell>
          <cell r="F196" t="str">
            <v>E</v>
          </cell>
          <cell r="G196" t="str">
            <v>SUBCONTRATOS</v>
          </cell>
          <cell r="H196" t="str">
            <v>E - SUBCONTRATOS</v>
          </cell>
          <cell r="I196" t="str">
            <v>0Q02</v>
          </cell>
        </row>
        <row r="197">
          <cell r="A197" t="str">
            <v>31-0341-000G</v>
          </cell>
          <cell r="B197" t="str">
            <v xml:space="preserve">SUB CD - Mecánica / Análisis de Vibración </v>
          </cell>
          <cell r="C197" t="str">
            <v>0X02</v>
          </cell>
          <cell r="D197" t="str">
            <v xml:space="preserve">Mecánica </v>
          </cell>
          <cell r="E197" t="str">
            <v xml:space="preserve">0X02 - Mecánica </v>
          </cell>
          <cell r="F197" t="str">
            <v>E</v>
          </cell>
          <cell r="G197" t="str">
            <v>SUBCONTRATOS</v>
          </cell>
          <cell r="H197" t="str">
            <v>E - SUBCONTRATOS</v>
          </cell>
          <cell r="I197" t="str">
            <v>0Q02</v>
          </cell>
        </row>
        <row r="198">
          <cell r="A198" t="str">
            <v>31-0342-000A</v>
          </cell>
          <cell r="B198" t="str">
            <v xml:space="preserve">SUB CD - Mecánica / HI-TORQ </v>
          </cell>
          <cell r="C198" t="str">
            <v>0X02</v>
          </cell>
          <cell r="D198" t="str">
            <v xml:space="preserve">Mecánica </v>
          </cell>
          <cell r="E198" t="str">
            <v xml:space="preserve">0X02 - Mecánica </v>
          </cell>
          <cell r="F198" t="str">
            <v>E</v>
          </cell>
          <cell r="G198" t="str">
            <v>SUBCONTRATOS</v>
          </cell>
          <cell r="H198" t="str">
            <v>E - SUBCONTRATOS</v>
          </cell>
          <cell r="I198" t="str">
            <v>0Q02</v>
          </cell>
        </row>
        <row r="199">
          <cell r="A199" t="str">
            <v>31-0342-000G</v>
          </cell>
          <cell r="B199" t="str">
            <v xml:space="preserve">SUB CD - Mecánica / HI-TORQ </v>
          </cell>
          <cell r="C199" t="str">
            <v>0X02</v>
          </cell>
          <cell r="D199" t="str">
            <v xml:space="preserve">Mecánica </v>
          </cell>
          <cell r="E199" t="str">
            <v xml:space="preserve">0X02 - Mecánica </v>
          </cell>
          <cell r="F199" t="str">
            <v>E</v>
          </cell>
          <cell r="G199" t="str">
            <v>SUBCONTRATOS</v>
          </cell>
          <cell r="H199" t="str">
            <v>E - SUBCONTRATOS</v>
          </cell>
          <cell r="I199" t="str">
            <v>0Q02</v>
          </cell>
        </row>
        <row r="200">
          <cell r="A200" t="str">
            <v>31-0343-000A</v>
          </cell>
          <cell r="B200" t="str">
            <v xml:space="preserve">SUB CD - Mecánica / Limpieza Química </v>
          </cell>
          <cell r="C200" t="str">
            <v>0X02</v>
          </cell>
          <cell r="D200" t="str">
            <v xml:space="preserve">Mecánica </v>
          </cell>
          <cell r="E200" t="str">
            <v xml:space="preserve">0X02 - Mecánica </v>
          </cell>
          <cell r="F200" t="str">
            <v>E</v>
          </cell>
          <cell r="G200" t="str">
            <v>SUBCONTRATOS</v>
          </cell>
          <cell r="H200" t="str">
            <v>E - SUBCONTRATOS</v>
          </cell>
          <cell r="I200" t="str">
            <v>0Q02</v>
          </cell>
        </row>
        <row r="201">
          <cell r="A201" t="str">
            <v>31-0343-000G</v>
          </cell>
          <cell r="B201" t="str">
            <v xml:space="preserve">SUB CD - Mecánica / Limpieza Química </v>
          </cell>
          <cell r="C201" t="str">
            <v>0X02</v>
          </cell>
          <cell r="D201" t="str">
            <v xml:space="preserve">Mecánica </v>
          </cell>
          <cell r="E201" t="str">
            <v xml:space="preserve">0X02 - Mecánica </v>
          </cell>
          <cell r="F201" t="str">
            <v>E</v>
          </cell>
          <cell r="G201" t="str">
            <v>SUBCONTRATOS</v>
          </cell>
          <cell r="H201" t="str">
            <v>E - SUBCONTRATOS</v>
          </cell>
          <cell r="I201" t="str">
            <v>0Q02</v>
          </cell>
        </row>
        <row r="202">
          <cell r="A202" t="str">
            <v>31-0399-000A</v>
          </cell>
          <cell r="B202" t="str">
            <v xml:space="preserve">SUB CD - Mecánica / Otros </v>
          </cell>
          <cell r="C202" t="str">
            <v>0X02</v>
          </cell>
          <cell r="D202" t="str">
            <v xml:space="preserve">Mecánica </v>
          </cell>
          <cell r="E202" t="str">
            <v xml:space="preserve">0X02 - Mecánica </v>
          </cell>
          <cell r="F202" t="str">
            <v>E</v>
          </cell>
          <cell r="G202" t="str">
            <v>SUBCONTRATOS</v>
          </cell>
          <cell r="H202" t="str">
            <v>E - SUBCONTRATOS</v>
          </cell>
          <cell r="I202" t="str">
            <v>0Q02</v>
          </cell>
        </row>
        <row r="203">
          <cell r="A203" t="str">
            <v>31-0399-000G</v>
          </cell>
          <cell r="B203" t="str">
            <v xml:space="preserve">SUB CD - Mecánica / Otros </v>
          </cell>
          <cell r="C203" t="str">
            <v>0X02</v>
          </cell>
          <cell r="D203" t="str">
            <v xml:space="preserve">Mecánica </v>
          </cell>
          <cell r="E203" t="str">
            <v xml:space="preserve">0X02 - Mecánica </v>
          </cell>
          <cell r="F203" t="str">
            <v>E</v>
          </cell>
          <cell r="G203" t="str">
            <v>SUBCONTRATOS</v>
          </cell>
          <cell r="H203" t="str">
            <v>E - SUBCONTRATOS</v>
          </cell>
          <cell r="I203" t="str">
            <v>0Q02</v>
          </cell>
        </row>
        <row r="204">
          <cell r="A204" t="str">
            <v>31-0406-000A</v>
          </cell>
          <cell r="B204" t="str">
            <v xml:space="preserve">SUB CD - Cañería / Soldadura </v>
          </cell>
          <cell r="C204" t="str">
            <v>0X03</v>
          </cell>
          <cell r="D204" t="str">
            <v xml:space="preserve">Cañería </v>
          </cell>
          <cell r="E204" t="str">
            <v xml:space="preserve">0X03 - Cañería </v>
          </cell>
          <cell r="F204" t="str">
            <v>E</v>
          </cell>
          <cell r="G204" t="str">
            <v>SUBCONTRATOS</v>
          </cell>
          <cell r="H204" t="str">
            <v>E - SUBCONTRATOS</v>
          </cell>
          <cell r="I204" t="str">
            <v>0Q02</v>
          </cell>
        </row>
        <row r="205">
          <cell r="A205" t="str">
            <v>31-0406-000G</v>
          </cell>
          <cell r="B205" t="str">
            <v xml:space="preserve">SUB CD - Cañería / Soldadura </v>
          </cell>
          <cell r="C205" t="str">
            <v>0X03</v>
          </cell>
          <cell r="D205" t="str">
            <v xml:space="preserve">Cañería </v>
          </cell>
          <cell r="E205" t="str">
            <v xml:space="preserve">0X03 - Cañería </v>
          </cell>
          <cell r="F205" t="str">
            <v>E</v>
          </cell>
          <cell r="G205" t="str">
            <v>SUBCONTRATOS</v>
          </cell>
          <cell r="H205" t="str">
            <v>E - SUBCONTRATOS</v>
          </cell>
          <cell r="I205" t="str">
            <v>0Q02</v>
          </cell>
        </row>
        <row r="206">
          <cell r="A206" t="str">
            <v>31-0407-000A</v>
          </cell>
          <cell r="B206" t="str">
            <v xml:space="preserve">SUB CD - Cañería / Montaje Cañerías </v>
          </cell>
          <cell r="C206" t="str">
            <v>0X03</v>
          </cell>
          <cell r="D206" t="str">
            <v xml:space="preserve">Cañería </v>
          </cell>
          <cell r="E206" t="str">
            <v xml:space="preserve">0X03 - Cañería </v>
          </cell>
          <cell r="F206" t="str">
            <v>E</v>
          </cell>
          <cell r="G206" t="str">
            <v>SUBCONTRATOS</v>
          </cell>
          <cell r="H206" t="str">
            <v>E - SUBCONTRATOS</v>
          </cell>
          <cell r="I206" t="str">
            <v>0Q02</v>
          </cell>
        </row>
        <row r="207">
          <cell r="A207" t="str">
            <v>31-0407-000G</v>
          </cell>
          <cell r="B207" t="str">
            <v xml:space="preserve">SUB CD - Cañería / Montaje Cañerías </v>
          </cell>
          <cell r="C207" t="str">
            <v>0X03</v>
          </cell>
          <cell r="D207" t="str">
            <v xml:space="preserve">Cañería </v>
          </cell>
          <cell r="E207" t="str">
            <v xml:space="preserve">0X03 - Cañería </v>
          </cell>
          <cell r="F207" t="str">
            <v>E</v>
          </cell>
          <cell r="G207" t="str">
            <v>SUBCONTRATOS</v>
          </cell>
          <cell r="H207" t="str">
            <v>E - SUBCONTRATOS</v>
          </cell>
          <cell r="I207" t="str">
            <v>0Q02</v>
          </cell>
        </row>
        <row r="208">
          <cell r="A208" t="str">
            <v>31-0408-000A</v>
          </cell>
          <cell r="B208" t="str">
            <v xml:space="preserve">SUB CD - Cañería / Montajes </v>
          </cell>
          <cell r="C208" t="str">
            <v>0X03</v>
          </cell>
          <cell r="D208" t="str">
            <v xml:space="preserve">Cañería </v>
          </cell>
          <cell r="E208" t="str">
            <v xml:space="preserve">0X03 - Cañería </v>
          </cell>
          <cell r="F208" t="str">
            <v>E</v>
          </cell>
          <cell r="G208" t="str">
            <v>SUBCONTRATOS</v>
          </cell>
          <cell r="H208" t="str">
            <v>E - SUBCONTRATOS</v>
          </cell>
          <cell r="I208" t="str">
            <v>0Q02</v>
          </cell>
        </row>
        <row r="209">
          <cell r="A209" t="str">
            <v>31-0408-000G</v>
          </cell>
          <cell r="B209" t="str">
            <v xml:space="preserve">SUB CD - Cañería / Montajes </v>
          </cell>
          <cell r="C209" t="str">
            <v>0X03</v>
          </cell>
          <cell r="D209" t="str">
            <v xml:space="preserve">Cañería </v>
          </cell>
          <cell r="E209" t="str">
            <v xml:space="preserve">0X03 - Cañería </v>
          </cell>
          <cell r="F209" t="str">
            <v>E</v>
          </cell>
          <cell r="G209" t="str">
            <v>SUBCONTRATOS</v>
          </cell>
          <cell r="H209" t="str">
            <v>E - SUBCONTRATOS</v>
          </cell>
          <cell r="I209" t="str">
            <v>0Q02</v>
          </cell>
        </row>
        <row r="210">
          <cell r="A210" t="str">
            <v>31-0445-000A</v>
          </cell>
          <cell r="B210" t="str">
            <v xml:space="preserve">SUB CD - Cañería / Pintura Cañerías </v>
          </cell>
          <cell r="C210" t="str">
            <v>0X03</v>
          </cell>
          <cell r="D210" t="str">
            <v xml:space="preserve">Cañería </v>
          </cell>
          <cell r="E210" t="str">
            <v xml:space="preserve">0X03 - Cañería </v>
          </cell>
          <cell r="F210" t="str">
            <v>E</v>
          </cell>
          <cell r="G210" t="str">
            <v>SUBCONTRATOS</v>
          </cell>
          <cell r="H210" t="str">
            <v>E - SUBCONTRATOS</v>
          </cell>
          <cell r="I210" t="str">
            <v>0Q02</v>
          </cell>
        </row>
        <row r="211">
          <cell r="A211" t="str">
            <v>31-0445-000G</v>
          </cell>
          <cell r="B211" t="str">
            <v xml:space="preserve">SUB CD - Cañería / Pintura Cañerías </v>
          </cell>
          <cell r="C211" t="str">
            <v>0X03</v>
          </cell>
          <cell r="D211" t="str">
            <v xml:space="preserve">Cañería </v>
          </cell>
          <cell r="E211" t="str">
            <v xml:space="preserve">0X03 - Cañería </v>
          </cell>
          <cell r="F211" t="str">
            <v>E</v>
          </cell>
          <cell r="G211" t="str">
            <v>SUBCONTRATOS</v>
          </cell>
          <cell r="H211" t="str">
            <v>E - SUBCONTRATOS</v>
          </cell>
          <cell r="I211" t="str">
            <v>0Q02</v>
          </cell>
        </row>
        <row r="212">
          <cell r="A212" t="str">
            <v>31-0446-000A</v>
          </cell>
          <cell r="B212" t="str">
            <v xml:space="preserve">SUB CD - Cañería / END (Radiografías, Tintas Penetrant.) </v>
          </cell>
          <cell r="C212" t="str">
            <v>0X03</v>
          </cell>
          <cell r="D212" t="str">
            <v xml:space="preserve">Cañería </v>
          </cell>
          <cell r="E212" t="str">
            <v xml:space="preserve">0X03 - Cañería </v>
          </cell>
          <cell r="F212" t="str">
            <v>E</v>
          </cell>
          <cell r="G212" t="str">
            <v>SUBCONTRATOS</v>
          </cell>
          <cell r="H212" t="str">
            <v>E - SUBCONTRATOS</v>
          </cell>
          <cell r="I212" t="str">
            <v>0Q02</v>
          </cell>
        </row>
        <row r="213">
          <cell r="A213" t="str">
            <v>31-0446-000G</v>
          </cell>
          <cell r="B213" t="str">
            <v xml:space="preserve">SUB CD - Cañería / END (Radiografías, Tintas Penetrant.) </v>
          </cell>
          <cell r="C213" t="str">
            <v>0X03</v>
          </cell>
          <cell r="D213" t="str">
            <v xml:space="preserve">Cañería </v>
          </cell>
          <cell r="E213" t="str">
            <v xml:space="preserve">0X03 - Cañería </v>
          </cell>
          <cell r="F213" t="str">
            <v>E</v>
          </cell>
          <cell r="G213" t="str">
            <v>SUBCONTRATOS</v>
          </cell>
          <cell r="H213" t="str">
            <v>E - SUBCONTRATOS</v>
          </cell>
          <cell r="I213" t="str">
            <v>0Q02</v>
          </cell>
        </row>
        <row r="214">
          <cell r="A214" t="str">
            <v>31-0447-000A</v>
          </cell>
          <cell r="B214" t="str">
            <v xml:space="preserve">SUB CD - Cañería / Limpieza Química </v>
          </cell>
          <cell r="C214" t="str">
            <v>0X03</v>
          </cell>
          <cell r="D214" t="str">
            <v xml:space="preserve">Cañería </v>
          </cell>
          <cell r="E214" t="str">
            <v xml:space="preserve">0X03 - Cañería </v>
          </cell>
          <cell r="F214" t="str">
            <v>E</v>
          </cell>
          <cell r="G214" t="str">
            <v>SUBCONTRATOS</v>
          </cell>
          <cell r="H214" t="str">
            <v>E - SUBCONTRATOS</v>
          </cell>
          <cell r="I214" t="str">
            <v>0Q02</v>
          </cell>
        </row>
        <row r="215">
          <cell r="A215" t="str">
            <v>31-0447-000G</v>
          </cell>
          <cell r="B215" t="str">
            <v xml:space="preserve">SUB CD - Cañería / Limpieza Química </v>
          </cell>
          <cell r="C215" t="str">
            <v>0X03</v>
          </cell>
          <cell r="D215" t="str">
            <v xml:space="preserve">Cañería </v>
          </cell>
          <cell r="E215" t="str">
            <v xml:space="preserve">0X03 - Cañería </v>
          </cell>
          <cell r="F215" t="str">
            <v>E</v>
          </cell>
          <cell r="G215" t="str">
            <v>SUBCONTRATOS</v>
          </cell>
          <cell r="H215" t="str">
            <v>E - SUBCONTRATOS</v>
          </cell>
          <cell r="I215" t="str">
            <v>0Q02</v>
          </cell>
        </row>
        <row r="216">
          <cell r="A216" t="str">
            <v>31-0448-000A</v>
          </cell>
          <cell r="B216" t="str">
            <v xml:space="preserve">SUB CD - Cañería / Soplado Cañería </v>
          </cell>
          <cell r="C216" t="str">
            <v>0X03</v>
          </cell>
          <cell r="D216" t="str">
            <v xml:space="preserve">Cañería </v>
          </cell>
          <cell r="E216" t="str">
            <v xml:space="preserve">0X03 - Cañería </v>
          </cell>
          <cell r="F216" t="str">
            <v>E</v>
          </cell>
          <cell r="G216" t="str">
            <v>SUBCONTRATOS</v>
          </cell>
          <cell r="H216" t="str">
            <v>E - SUBCONTRATOS</v>
          </cell>
          <cell r="I216" t="str">
            <v>0Q02</v>
          </cell>
        </row>
        <row r="217">
          <cell r="A217" t="str">
            <v>31-0448-000G</v>
          </cell>
          <cell r="B217" t="str">
            <v xml:space="preserve">SUB CD - Cañería / Soplado Cañería </v>
          </cell>
          <cell r="C217" t="str">
            <v>0X03</v>
          </cell>
          <cell r="D217" t="str">
            <v xml:space="preserve">Cañería </v>
          </cell>
          <cell r="E217" t="str">
            <v xml:space="preserve">0X03 - Cañería </v>
          </cell>
          <cell r="F217" t="str">
            <v>E</v>
          </cell>
          <cell r="G217" t="str">
            <v>SUBCONTRATOS</v>
          </cell>
          <cell r="H217" t="str">
            <v>E - SUBCONTRATOS</v>
          </cell>
          <cell r="I217" t="str">
            <v>0Q02</v>
          </cell>
        </row>
        <row r="218">
          <cell r="A218" t="str">
            <v>31-0449-000A</v>
          </cell>
          <cell r="B218" t="str">
            <v xml:space="preserve">SUB CD - Cañería / Tratamiento Térmico </v>
          </cell>
          <cell r="C218" t="str">
            <v>0X03</v>
          </cell>
          <cell r="D218" t="str">
            <v xml:space="preserve">Cañería </v>
          </cell>
          <cell r="E218" t="str">
            <v xml:space="preserve">0X03 - Cañería </v>
          </cell>
          <cell r="F218" t="str">
            <v>E</v>
          </cell>
          <cell r="G218" t="str">
            <v>SUBCONTRATOS</v>
          </cell>
          <cell r="H218" t="str">
            <v>E - SUBCONTRATOS</v>
          </cell>
          <cell r="I218" t="str">
            <v>0Q02</v>
          </cell>
        </row>
        <row r="219">
          <cell r="A219" t="str">
            <v>31-0449-000G</v>
          </cell>
          <cell r="B219" t="str">
            <v xml:space="preserve">SUB CD - Cañería / Tratamiento Térmico </v>
          </cell>
          <cell r="C219" t="str">
            <v>0X03</v>
          </cell>
          <cell r="D219" t="str">
            <v xml:space="preserve">Cañería </v>
          </cell>
          <cell r="E219" t="str">
            <v xml:space="preserve">0X03 - Cañería </v>
          </cell>
          <cell r="F219" t="str">
            <v>E</v>
          </cell>
          <cell r="G219" t="str">
            <v>SUBCONTRATOS</v>
          </cell>
          <cell r="H219" t="str">
            <v>E - SUBCONTRATOS</v>
          </cell>
          <cell r="I219" t="str">
            <v>0Q02</v>
          </cell>
        </row>
        <row r="220">
          <cell r="A220" t="str">
            <v>31-0450-000A</v>
          </cell>
          <cell r="B220" t="str">
            <v xml:space="preserve">SUB CD - Cañería / Vendajes Cañerías FRP </v>
          </cell>
          <cell r="C220" t="str">
            <v>0X03</v>
          </cell>
          <cell r="D220" t="str">
            <v xml:space="preserve">Cañería </v>
          </cell>
          <cell r="E220" t="str">
            <v xml:space="preserve">0X03 - Cañería </v>
          </cell>
          <cell r="F220" t="str">
            <v>E</v>
          </cell>
          <cell r="G220" t="str">
            <v>SUBCONTRATOS</v>
          </cell>
          <cell r="H220" t="str">
            <v>E - SUBCONTRATOS</v>
          </cell>
          <cell r="I220" t="str">
            <v>0Q02</v>
          </cell>
        </row>
        <row r="221">
          <cell r="A221" t="str">
            <v>31-0450-000G</v>
          </cell>
          <cell r="B221" t="str">
            <v xml:space="preserve">SUB CD - Cañería / Vendajes Cañerías FRP </v>
          </cell>
          <cell r="C221" t="str">
            <v>0X03</v>
          </cell>
          <cell r="D221" t="str">
            <v xml:space="preserve">Cañería </v>
          </cell>
          <cell r="E221" t="str">
            <v xml:space="preserve">0X03 - Cañería </v>
          </cell>
          <cell r="F221" t="str">
            <v>E</v>
          </cell>
          <cell r="G221" t="str">
            <v>SUBCONTRATOS</v>
          </cell>
          <cell r="H221" t="str">
            <v>E - SUBCONTRATOS</v>
          </cell>
          <cell r="I221" t="str">
            <v>0Q02</v>
          </cell>
        </row>
        <row r="222">
          <cell r="A222" t="str">
            <v>31-0451-000A</v>
          </cell>
          <cell r="B222" t="str">
            <v xml:space="preserve">SUB CD - Cañería / Termofusión Cañería </v>
          </cell>
          <cell r="C222" t="str">
            <v>0X03</v>
          </cell>
          <cell r="D222" t="str">
            <v xml:space="preserve">Cañería </v>
          </cell>
          <cell r="E222" t="str">
            <v xml:space="preserve">0X03 - Cañería </v>
          </cell>
          <cell r="F222" t="str">
            <v>E</v>
          </cell>
          <cell r="G222" t="str">
            <v>SUBCONTRATOS</v>
          </cell>
          <cell r="H222" t="str">
            <v>E - SUBCONTRATOS</v>
          </cell>
          <cell r="I222" t="str">
            <v>0Q02</v>
          </cell>
        </row>
        <row r="223">
          <cell r="A223" t="str">
            <v>31-0451-000G</v>
          </cell>
          <cell r="B223" t="str">
            <v xml:space="preserve">SUB CD - Cañería / Termofusión Cañería </v>
          </cell>
          <cell r="C223" t="str">
            <v>0X03</v>
          </cell>
          <cell r="D223" t="str">
            <v xml:space="preserve">Cañería </v>
          </cell>
          <cell r="E223" t="str">
            <v xml:space="preserve">0X03 - Cañería </v>
          </cell>
          <cell r="F223" t="str">
            <v>E</v>
          </cell>
          <cell r="G223" t="str">
            <v>SUBCONTRATOS</v>
          </cell>
          <cell r="H223" t="str">
            <v>E - SUBCONTRATOS</v>
          </cell>
          <cell r="I223" t="str">
            <v>0Q02</v>
          </cell>
        </row>
        <row r="224">
          <cell r="A224" t="str">
            <v>31-0452-000A</v>
          </cell>
          <cell r="B224" t="str">
            <v xml:space="preserve">SUB CD - Cañería / Pruebas Hidraulicas / Neumaticas </v>
          </cell>
          <cell r="C224" t="str">
            <v>0X03</v>
          </cell>
          <cell r="D224" t="str">
            <v xml:space="preserve">Cañería </v>
          </cell>
          <cell r="E224" t="str">
            <v xml:space="preserve">0X03 - Cañería </v>
          </cell>
          <cell r="F224" t="str">
            <v>E</v>
          </cell>
          <cell r="G224" t="str">
            <v>SUBCONTRATOS</v>
          </cell>
          <cell r="H224" t="str">
            <v>E - SUBCONTRATOS</v>
          </cell>
          <cell r="I224" t="str">
            <v>0Q02</v>
          </cell>
        </row>
        <row r="225">
          <cell r="A225" t="str">
            <v>31-0452-000G</v>
          </cell>
          <cell r="B225" t="str">
            <v xml:space="preserve">SUB CD - Cañería / Pruebas Hidraulicas / Neumaticas </v>
          </cell>
          <cell r="C225" t="str">
            <v>0X03</v>
          </cell>
          <cell r="D225" t="str">
            <v xml:space="preserve">Cañería </v>
          </cell>
          <cell r="E225" t="str">
            <v xml:space="preserve">0X03 - Cañería </v>
          </cell>
          <cell r="F225" t="str">
            <v>E</v>
          </cell>
          <cell r="G225" t="str">
            <v>SUBCONTRATOS</v>
          </cell>
          <cell r="H225" t="str">
            <v>E - SUBCONTRATOS</v>
          </cell>
          <cell r="I225" t="str">
            <v>0Q02</v>
          </cell>
        </row>
        <row r="226">
          <cell r="A226" t="str">
            <v>31-0499-000A</v>
          </cell>
          <cell r="B226" t="str">
            <v xml:space="preserve">SUB CD - Cañería / Otros Subcontratos </v>
          </cell>
          <cell r="C226" t="str">
            <v>0X03</v>
          </cell>
          <cell r="D226" t="str">
            <v xml:space="preserve">Cañería </v>
          </cell>
          <cell r="E226" t="str">
            <v xml:space="preserve">0X03 - Cañería </v>
          </cell>
          <cell r="F226" t="str">
            <v>E</v>
          </cell>
          <cell r="G226" t="str">
            <v>SUBCONTRATOS</v>
          </cell>
          <cell r="H226" t="str">
            <v>E - SUBCONTRATOS</v>
          </cell>
          <cell r="I226" t="str">
            <v>0Q02</v>
          </cell>
        </row>
        <row r="227">
          <cell r="A227" t="str">
            <v>31-0499-000G</v>
          </cell>
          <cell r="B227" t="str">
            <v xml:space="preserve">SUB CD - Cañería / Otros Subcontratos </v>
          </cell>
          <cell r="C227" t="str">
            <v>0X03</v>
          </cell>
          <cell r="D227" t="str">
            <v xml:space="preserve">Cañería </v>
          </cell>
          <cell r="E227" t="str">
            <v xml:space="preserve">0X03 - Cañería </v>
          </cell>
          <cell r="F227" t="str">
            <v>E</v>
          </cell>
          <cell r="G227" t="str">
            <v>SUBCONTRATOS</v>
          </cell>
          <cell r="H227" t="str">
            <v>E - SUBCONTRATOS</v>
          </cell>
          <cell r="I227" t="str">
            <v>0Q02</v>
          </cell>
        </row>
        <row r="228">
          <cell r="A228" t="str">
            <v>31-0508-000A</v>
          </cell>
          <cell r="B228" t="str">
            <v xml:space="preserve">SUB CD - Electricidad / Mtaje. Lín. Media y Alta Tensión </v>
          </cell>
          <cell r="C228" t="str">
            <v>0X06</v>
          </cell>
          <cell r="D228" t="str">
            <v>Electricidad &amp; Instrumentación</v>
          </cell>
          <cell r="E228" t="str">
            <v>0X06 - Electricidad &amp; Instrumentación</v>
          </cell>
          <cell r="F228" t="str">
            <v>E</v>
          </cell>
          <cell r="G228" t="str">
            <v>SUBCONTRATOS</v>
          </cell>
          <cell r="H228" t="str">
            <v>E - SUBCONTRATOS</v>
          </cell>
          <cell r="I228" t="str">
            <v>0Q02</v>
          </cell>
        </row>
        <row r="229">
          <cell r="A229" t="str">
            <v>31-0508-000G</v>
          </cell>
          <cell r="B229" t="str">
            <v xml:space="preserve">SUB CD - Electricidad / Mtaje. Lín. Media y Alta Tensión </v>
          </cell>
          <cell r="C229" t="str">
            <v>0X06</v>
          </cell>
          <cell r="D229" t="str">
            <v>Electricidad &amp; Instrumentación</v>
          </cell>
          <cell r="E229" t="str">
            <v>0X06 - Electricidad &amp; Instrumentación</v>
          </cell>
          <cell r="F229" t="str">
            <v>E</v>
          </cell>
          <cell r="G229" t="str">
            <v>SUBCONTRATOS</v>
          </cell>
          <cell r="H229" t="str">
            <v>E - SUBCONTRATOS</v>
          </cell>
          <cell r="I229" t="str">
            <v>0Q02</v>
          </cell>
        </row>
        <row r="230">
          <cell r="A230" t="str">
            <v>31-0553-000A</v>
          </cell>
          <cell r="B230" t="str">
            <v xml:space="preserve">SUB CD - Electricidad / Pruebas Equipos </v>
          </cell>
          <cell r="C230" t="str">
            <v>0X06</v>
          </cell>
          <cell r="D230" t="str">
            <v>Electricidad &amp; Instrumentación</v>
          </cell>
          <cell r="E230" t="str">
            <v>0X06 - Electricidad &amp; Instrumentación</v>
          </cell>
          <cell r="F230" t="str">
            <v>E</v>
          </cell>
          <cell r="G230" t="str">
            <v>SUBCONTRATOS</v>
          </cell>
          <cell r="H230" t="str">
            <v>E - SUBCONTRATOS</v>
          </cell>
          <cell r="I230" t="str">
            <v>0Q02</v>
          </cell>
        </row>
        <row r="231">
          <cell r="A231" t="str">
            <v>31-0553-000G</v>
          </cell>
          <cell r="B231" t="str">
            <v xml:space="preserve">SUB CD - Electricidad / Pruebas Equipos </v>
          </cell>
          <cell r="C231" t="str">
            <v>0X06</v>
          </cell>
          <cell r="D231" t="str">
            <v>Electricidad &amp; Instrumentación</v>
          </cell>
          <cell r="E231" t="str">
            <v>0X06 - Electricidad &amp; Instrumentación</v>
          </cell>
          <cell r="F231" t="str">
            <v>E</v>
          </cell>
          <cell r="G231" t="str">
            <v>SUBCONTRATOS</v>
          </cell>
          <cell r="H231" t="str">
            <v>E - SUBCONTRATOS</v>
          </cell>
          <cell r="I231" t="str">
            <v>0Q02</v>
          </cell>
        </row>
        <row r="232">
          <cell r="A232" t="str">
            <v>31-0554-000A</v>
          </cell>
          <cell r="B232" t="str">
            <v xml:space="preserve">SUB CD - Electricidad / Llenado de Aceite Transforms. </v>
          </cell>
          <cell r="C232" t="str">
            <v>0X06</v>
          </cell>
          <cell r="D232" t="str">
            <v>Electricidad &amp; Instrumentación</v>
          </cell>
          <cell r="E232" t="str">
            <v>0X06 - Electricidad &amp; Instrumentación</v>
          </cell>
          <cell r="F232" t="str">
            <v>E</v>
          </cell>
          <cell r="G232" t="str">
            <v>SUBCONTRATOS</v>
          </cell>
          <cell r="H232" t="str">
            <v>E - SUBCONTRATOS</v>
          </cell>
          <cell r="I232" t="str">
            <v>0Q02</v>
          </cell>
        </row>
        <row r="233">
          <cell r="A233" t="str">
            <v>31-0554-000G</v>
          </cell>
          <cell r="B233" t="str">
            <v xml:space="preserve">SUB CD - Electricidad / Llenado de Aceite Transforms. </v>
          </cell>
          <cell r="C233" t="str">
            <v>0X06</v>
          </cell>
          <cell r="D233" t="str">
            <v>Electricidad &amp; Instrumentación</v>
          </cell>
          <cell r="E233" t="str">
            <v>0X06 - Electricidad &amp; Instrumentación</v>
          </cell>
          <cell r="F233" t="str">
            <v>E</v>
          </cell>
          <cell r="G233" t="str">
            <v>SUBCONTRATOS</v>
          </cell>
          <cell r="H233" t="str">
            <v>E - SUBCONTRATOS</v>
          </cell>
          <cell r="I233" t="str">
            <v>0Q02</v>
          </cell>
        </row>
        <row r="234">
          <cell r="A234" t="str">
            <v>31-0555-000A</v>
          </cell>
          <cell r="B234" t="str">
            <v xml:space="preserve">SUB CD - Electricidad / HI-POT </v>
          </cell>
          <cell r="C234" t="str">
            <v>0X06</v>
          </cell>
          <cell r="D234" t="str">
            <v>Electricidad &amp; Instrumentación</v>
          </cell>
          <cell r="E234" t="str">
            <v>0X06 - Electricidad &amp; Instrumentación</v>
          </cell>
          <cell r="F234" t="str">
            <v>E</v>
          </cell>
          <cell r="G234" t="str">
            <v>SUBCONTRATOS</v>
          </cell>
          <cell r="H234" t="str">
            <v>E - SUBCONTRATOS</v>
          </cell>
          <cell r="I234" t="str">
            <v>0Q02</v>
          </cell>
        </row>
        <row r="235">
          <cell r="A235" t="str">
            <v>31-0555-000G</v>
          </cell>
          <cell r="B235" t="str">
            <v xml:space="preserve">SUB CD - Electricidad / HI-POT </v>
          </cell>
          <cell r="C235" t="str">
            <v>0X06</v>
          </cell>
          <cell r="D235" t="str">
            <v>Electricidad &amp; Instrumentación</v>
          </cell>
          <cell r="E235" t="str">
            <v>0X06 - Electricidad &amp; Instrumentación</v>
          </cell>
          <cell r="F235" t="str">
            <v>E</v>
          </cell>
          <cell r="G235" t="str">
            <v>SUBCONTRATOS</v>
          </cell>
          <cell r="H235" t="str">
            <v>E - SUBCONTRATOS</v>
          </cell>
          <cell r="I235" t="str">
            <v>0Q02</v>
          </cell>
        </row>
        <row r="236">
          <cell r="A236" t="str">
            <v>31-0599-000A</v>
          </cell>
          <cell r="B236" t="str">
            <v xml:space="preserve">SUB CD - Electricidad / Otros Subcontratos </v>
          </cell>
          <cell r="C236" t="str">
            <v>0X06</v>
          </cell>
          <cell r="D236" t="str">
            <v>Electricidad &amp; Instrumentación</v>
          </cell>
          <cell r="E236" t="str">
            <v>0X06 - Electricidad &amp; Instrumentación</v>
          </cell>
          <cell r="F236" t="str">
            <v>E</v>
          </cell>
          <cell r="G236" t="str">
            <v>SUBCONTRATOS</v>
          </cell>
          <cell r="H236" t="str">
            <v>E - SUBCONTRATOS</v>
          </cell>
          <cell r="I236" t="str">
            <v>0Q02</v>
          </cell>
        </row>
        <row r="237">
          <cell r="A237" t="str">
            <v>31-0599-000G</v>
          </cell>
          <cell r="B237" t="str">
            <v xml:space="preserve">SUB CD - Electricidad / Otros Subcontratos </v>
          </cell>
          <cell r="C237" t="str">
            <v>0X06</v>
          </cell>
          <cell r="D237" t="str">
            <v>Electricidad &amp; Instrumentación</v>
          </cell>
          <cell r="E237" t="str">
            <v>0X06 - Electricidad &amp; Instrumentación</v>
          </cell>
          <cell r="F237" t="str">
            <v>E</v>
          </cell>
          <cell r="G237" t="str">
            <v>SUBCONTRATOS</v>
          </cell>
          <cell r="H237" t="str">
            <v>E - SUBCONTRATOS</v>
          </cell>
          <cell r="I237" t="str">
            <v>0Q02</v>
          </cell>
        </row>
        <row r="238">
          <cell r="A238" t="str">
            <v>31-0657-000A</v>
          </cell>
          <cell r="B238" t="str">
            <v xml:space="preserve">SUB CD - Instrumentación / Calibración de Equipos </v>
          </cell>
          <cell r="C238" t="str">
            <v>0X06</v>
          </cell>
          <cell r="D238" t="str">
            <v>Electricidad &amp; Instrumentación</v>
          </cell>
          <cell r="E238" t="str">
            <v>0X06 - Electricidad &amp; Instrumentación</v>
          </cell>
          <cell r="F238" t="str">
            <v>E</v>
          </cell>
          <cell r="G238" t="str">
            <v>SUBCONTRATOS</v>
          </cell>
          <cell r="H238" t="str">
            <v>E - SUBCONTRATOS</v>
          </cell>
          <cell r="I238" t="str">
            <v>0Q02</v>
          </cell>
        </row>
        <row r="239">
          <cell r="A239" t="str">
            <v>31-0657-000G</v>
          </cell>
          <cell r="B239" t="str">
            <v xml:space="preserve">SUB CD - Instrumentación / Calibración de Equipos </v>
          </cell>
          <cell r="C239" t="str">
            <v>0X06</v>
          </cell>
          <cell r="D239" t="str">
            <v>Electricidad &amp; Instrumentación</v>
          </cell>
          <cell r="E239" t="str">
            <v>0X06 - Electricidad &amp; Instrumentación</v>
          </cell>
          <cell r="F239" t="str">
            <v>E</v>
          </cell>
          <cell r="G239" t="str">
            <v>SUBCONTRATOS</v>
          </cell>
          <cell r="H239" t="str">
            <v>E - SUBCONTRATOS</v>
          </cell>
          <cell r="I239" t="str">
            <v>0Q02</v>
          </cell>
        </row>
        <row r="240">
          <cell r="A240" t="str">
            <v>31-0658-000A</v>
          </cell>
          <cell r="B240" t="str">
            <v xml:space="preserve">SUB CD - Instrumentación / Chequeos de Lazo </v>
          </cell>
          <cell r="C240" t="str">
            <v>0X06</v>
          </cell>
          <cell r="D240" t="str">
            <v>Electricidad &amp; Instrumentación</v>
          </cell>
          <cell r="E240" t="str">
            <v>0X06 - Electricidad &amp; Instrumentación</v>
          </cell>
          <cell r="F240" t="str">
            <v>E</v>
          </cell>
          <cell r="G240" t="str">
            <v>SUBCONTRATOS</v>
          </cell>
          <cell r="H240" t="str">
            <v>E - SUBCONTRATOS</v>
          </cell>
          <cell r="I240" t="str">
            <v>0Q02</v>
          </cell>
        </row>
        <row r="241">
          <cell r="A241" t="str">
            <v>31-0658-000G</v>
          </cell>
          <cell r="B241" t="str">
            <v xml:space="preserve">SUB CD - Instrumentación / Chequeos de Lazo </v>
          </cell>
          <cell r="C241" t="str">
            <v>0X06</v>
          </cell>
          <cell r="D241" t="str">
            <v>Electricidad &amp; Instrumentación</v>
          </cell>
          <cell r="E241" t="str">
            <v>0X06 - Electricidad &amp; Instrumentación</v>
          </cell>
          <cell r="F241" t="str">
            <v>E</v>
          </cell>
          <cell r="G241" t="str">
            <v>SUBCONTRATOS</v>
          </cell>
          <cell r="H241" t="str">
            <v>E - SUBCONTRATOS</v>
          </cell>
          <cell r="I241" t="str">
            <v>0Q02</v>
          </cell>
        </row>
        <row r="242">
          <cell r="A242" t="str">
            <v>31-0699-000A</v>
          </cell>
          <cell r="B242" t="str">
            <v xml:space="preserve">SUB CD - Instrumentación / Otros Subcontratos </v>
          </cell>
          <cell r="C242" t="str">
            <v>0X06</v>
          </cell>
          <cell r="D242" t="str">
            <v>Electricidad &amp; Instrumentación</v>
          </cell>
          <cell r="E242" t="str">
            <v>0X06 - Electricidad &amp; Instrumentación</v>
          </cell>
          <cell r="F242" t="str">
            <v>E</v>
          </cell>
          <cell r="G242" t="str">
            <v>SUBCONTRATOS</v>
          </cell>
          <cell r="H242" t="str">
            <v>E - SUBCONTRATOS</v>
          </cell>
          <cell r="I242" t="str">
            <v>0Q02</v>
          </cell>
        </row>
        <row r="243">
          <cell r="A243" t="str">
            <v>31-0699-000G</v>
          </cell>
          <cell r="B243" t="str">
            <v xml:space="preserve">SUB CD - Instrumentación / Otros Subcontratos </v>
          </cell>
          <cell r="C243" t="str">
            <v>0X06</v>
          </cell>
          <cell r="D243" t="str">
            <v>Electricidad &amp; Instrumentación</v>
          </cell>
          <cell r="E243" t="str">
            <v>0X06 - Electricidad &amp; Instrumentación</v>
          </cell>
          <cell r="F243" t="str">
            <v>E</v>
          </cell>
          <cell r="G243" t="str">
            <v>SUBCONTRATOS</v>
          </cell>
          <cell r="H243" t="str">
            <v>E - SUBCONTRATOS</v>
          </cell>
          <cell r="I243" t="str">
            <v>0Q02</v>
          </cell>
        </row>
        <row r="244">
          <cell r="A244" t="str">
            <v>31-0708-000A</v>
          </cell>
          <cell r="B244" t="str">
            <v xml:space="preserve">SUB CD - Aislación / Montaje Aislación </v>
          </cell>
          <cell r="C244" t="str">
            <v>0X05</v>
          </cell>
          <cell r="D244" t="str">
            <v xml:space="preserve">Aislación </v>
          </cell>
          <cell r="E244" t="str">
            <v xml:space="preserve">0X05 - Aislación </v>
          </cell>
          <cell r="F244" t="str">
            <v>E</v>
          </cell>
          <cell r="G244" t="str">
            <v>SUBCONTRATOS</v>
          </cell>
          <cell r="H244" t="str">
            <v>E - SUBCONTRATOS</v>
          </cell>
          <cell r="I244" t="str">
            <v>0Q02</v>
          </cell>
        </row>
        <row r="245">
          <cell r="A245" t="str">
            <v>31-0708-000G</v>
          </cell>
          <cell r="B245" t="str">
            <v xml:space="preserve">SUB CD - Aislación / Montaje Aislación </v>
          </cell>
          <cell r="C245" t="str">
            <v>0X05</v>
          </cell>
          <cell r="D245" t="str">
            <v xml:space="preserve">Aislación </v>
          </cell>
          <cell r="E245" t="str">
            <v xml:space="preserve">0X05 - Aislación </v>
          </cell>
          <cell r="F245" t="str">
            <v>E</v>
          </cell>
          <cell r="G245" t="str">
            <v>SUBCONTRATOS</v>
          </cell>
          <cell r="H245" t="str">
            <v>E - SUBCONTRATOS</v>
          </cell>
          <cell r="I245" t="str">
            <v>0Q02</v>
          </cell>
        </row>
        <row r="246">
          <cell r="A246" t="str">
            <v>31-0799-000A</v>
          </cell>
          <cell r="B246" t="str">
            <v xml:space="preserve">SUB CD - Aislación / Otros Subcontratos </v>
          </cell>
          <cell r="C246" t="str">
            <v>0X05</v>
          </cell>
          <cell r="D246" t="str">
            <v xml:space="preserve">Aislación </v>
          </cell>
          <cell r="E246" t="str">
            <v xml:space="preserve">0X05 - Aislación </v>
          </cell>
          <cell r="F246" t="str">
            <v>E</v>
          </cell>
          <cell r="G246" t="str">
            <v>SUBCONTRATOS</v>
          </cell>
          <cell r="H246" t="str">
            <v>E - SUBCONTRATOS</v>
          </cell>
          <cell r="I246" t="str">
            <v>0Q02</v>
          </cell>
        </row>
        <row r="247">
          <cell r="A247" t="str">
            <v>31-0799-000G</v>
          </cell>
          <cell r="B247" t="str">
            <v xml:space="preserve">SUB CD - Aislación / Otros Subcontratos </v>
          </cell>
          <cell r="C247" t="str">
            <v>0X05</v>
          </cell>
          <cell r="D247" t="str">
            <v xml:space="preserve">Aislación </v>
          </cell>
          <cell r="E247" t="str">
            <v xml:space="preserve">0X05 - Aislación </v>
          </cell>
          <cell r="F247" t="str">
            <v>E</v>
          </cell>
          <cell r="G247" t="str">
            <v>SUBCONTRATOS</v>
          </cell>
          <cell r="H247" t="str">
            <v>E - SUBCONTRATOS</v>
          </cell>
          <cell r="I247" t="str">
            <v>0Q02</v>
          </cell>
        </row>
        <row r="248">
          <cell r="A248" t="str">
            <v>31-0807-000A</v>
          </cell>
          <cell r="B248" t="str">
            <v xml:space="preserve">SUB CD - Caldera / Soldadura </v>
          </cell>
          <cell r="C248" t="str">
            <v>0X07</v>
          </cell>
          <cell r="D248" t="str">
            <v xml:space="preserve">Caldera </v>
          </cell>
          <cell r="E248" t="str">
            <v xml:space="preserve">0X07 - Caldera </v>
          </cell>
          <cell r="F248" t="str">
            <v>E</v>
          </cell>
          <cell r="G248" t="str">
            <v>SUBCONTRATOS</v>
          </cell>
          <cell r="H248" t="str">
            <v>E - SUBCONTRATOS</v>
          </cell>
          <cell r="I248" t="str">
            <v>0Q02</v>
          </cell>
        </row>
        <row r="249">
          <cell r="A249" t="str">
            <v>31-0807-000G</v>
          </cell>
          <cell r="B249" t="str">
            <v xml:space="preserve">SUB CD - Caldera / Soldadura </v>
          </cell>
          <cell r="C249" t="str">
            <v>0X07</v>
          </cell>
          <cell r="D249" t="str">
            <v xml:space="preserve">Caldera </v>
          </cell>
          <cell r="E249" t="str">
            <v xml:space="preserve">0X07 - Caldera </v>
          </cell>
          <cell r="F249" t="str">
            <v>E</v>
          </cell>
          <cell r="G249" t="str">
            <v>SUBCONTRATOS</v>
          </cell>
          <cell r="H249" t="str">
            <v>E - SUBCONTRATOS</v>
          </cell>
          <cell r="I249" t="str">
            <v>0Q02</v>
          </cell>
        </row>
        <row r="250">
          <cell r="A250" t="str">
            <v>31-0808-000A</v>
          </cell>
          <cell r="B250" t="str">
            <v xml:space="preserve">SUB CD - Caldera / Montaje Caldera </v>
          </cell>
          <cell r="C250" t="str">
            <v>0X07</v>
          </cell>
          <cell r="D250" t="str">
            <v xml:space="preserve">Caldera </v>
          </cell>
          <cell r="E250" t="str">
            <v xml:space="preserve">0X07 - Caldera </v>
          </cell>
          <cell r="F250" t="str">
            <v>E</v>
          </cell>
          <cell r="G250" t="str">
            <v>SUBCONTRATOS</v>
          </cell>
          <cell r="H250" t="str">
            <v>E - SUBCONTRATOS</v>
          </cell>
          <cell r="I250" t="str">
            <v>0Q02</v>
          </cell>
        </row>
        <row r="251">
          <cell r="A251" t="str">
            <v>31-0808-000G</v>
          </cell>
          <cell r="B251" t="str">
            <v xml:space="preserve">SUB CD - Caldera / Montaje Caldera </v>
          </cell>
          <cell r="C251" t="str">
            <v>0X07</v>
          </cell>
          <cell r="D251" t="str">
            <v xml:space="preserve">Caldera </v>
          </cell>
          <cell r="E251" t="str">
            <v xml:space="preserve">0X07 - Caldera </v>
          </cell>
          <cell r="F251" t="str">
            <v>E</v>
          </cell>
          <cell r="G251" t="str">
            <v>SUBCONTRATOS</v>
          </cell>
          <cell r="H251" t="str">
            <v>E - SUBCONTRATOS</v>
          </cell>
          <cell r="I251" t="str">
            <v>0Q02</v>
          </cell>
        </row>
        <row r="252">
          <cell r="A252" t="str">
            <v>31-0846-000A</v>
          </cell>
          <cell r="B252" t="str">
            <v xml:space="preserve">SUB CD - Caldera / END (Radiografs., Tintas Penetrant.) </v>
          </cell>
          <cell r="C252" t="str">
            <v>0X07</v>
          </cell>
          <cell r="D252" t="str">
            <v xml:space="preserve">Caldera </v>
          </cell>
          <cell r="E252" t="str">
            <v xml:space="preserve">0X07 - Caldera </v>
          </cell>
          <cell r="F252" t="str">
            <v>E</v>
          </cell>
          <cell r="G252" t="str">
            <v>SUBCONTRATOS</v>
          </cell>
          <cell r="H252" t="str">
            <v>E - SUBCONTRATOS</v>
          </cell>
          <cell r="I252" t="str">
            <v>0Q02</v>
          </cell>
        </row>
        <row r="253">
          <cell r="A253" t="str">
            <v>31-0846-000G</v>
          </cell>
          <cell r="B253" t="str">
            <v xml:space="preserve">SUB CD - Caldera / END (Radiografs., Tintas Penetrant.) </v>
          </cell>
          <cell r="C253" t="str">
            <v>0X07</v>
          </cell>
          <cell r="D253" t="str">
            <v xml:space="preserve">Caldera </v>
          </cell>
          <cell r="E253" t="str">
            <v xml:space="preserve">0X07 - Caldera </v>
          </cell>
          <cell r="F253" t="str">
            <v>E</v>
          </cell>
          <cell r="G253" t="str">
            <v>SUBCONTRATOS</v>
          </cell>
          <cell r="H253" t="str">
            <v>E - SUBCONTRATOS</v>
          </cell>
          <cell r="I253" t="str">
            <v>0Q02</v>
          </cell>
        </row>
        <row r="254">
          <cell r="A254" t="str">
            <v>31-0861-000A</v>
          </cell>
          <cell r="B254" t="str">
            <v xml:space="preserve">SUB CD - Caldera / Soplado </v>
          </cell>
          <cell r="C254" t="str">
            <v>0X07</v>
          </cell>
          <cell r="D254" t="str">
            <v xml:space="preserve">Caldera </v>
          </cell>
          <cell r="E254" t="str">
            <v xml:space="preserve">0X07 - Caldera </v>
          </cell>
          <cell r="F254" t="str">
            <v>E</v>
          </cell>
          <cell r="G254" t="str">
            <v>SUBCONTRATOS</v>
          </cell>
          <cell r="H254" t="str">
            <v>E - SUBCONTRATOS</v>
          </cell>
          <cell r="I254" t="str">
            <v>0Q02</v>
          </cell>
        </row>
        <row r="255">
          <cell r="A255" t="str">
            <v>31-0861-000G</v>
          </cell>
          <cell r="B255" t="str">
            <v xml:space="preserve">SUB CD - Caldera / Soplado </v>
          </cell>
          <cell r="C255" t="str">
            <v>0X07</v>
          </cell>
          <cell r="D255" t="str">
            <v xml:space="preserve">Caldera </v>
          </cell>
          <cell r="E255" t="str">
            <v xml:space="preserve">0X07 - Caldera </v>
          </cell>
          <cell r="F255" t="str">
            <v>E</v>
          </cell>
          <cell r="G255" t="str">
            <v>SUBCONTRATOS</v>
          </cell>
          <cell r="H255" t="str">
            <v>E - SUBCONTRATOS</v>
          </cell>
          <cell r="I255" t="str">
            <v>0Q02</v>
          </cell>
        </row>
        <row r="256">
          <cell r="A256" t="str">
            <v>31-0862-000A</v>
          </cell>
          <cell r="B256" t="str">
            <v xml:space="preserve">SUB CD - Caldera / Refractario </v>
          </cell>
          <cell r="C256" t="str">
            <v>0X07</v>
          </cell>
          <cell r="D256" t="str">
            <v xml:space="preserve">Caldera </v>
          </cell>
          <cell r="E256" t="str">
            <v xml:space="preserve">0X07 - Caldera </v>
          </cell>
          <cell r="F256" t="str">
            <v>E</v>
          </cell>
          <cell r="G256" t="str">
            <v>SUBCONTRATOS</v>
          </cell>
          <cell r="H256" t="str">
            <v>E - SUBCONTRATOS</v>
          </cell>
          <cell r="I256" t="str">
            <v>0Q02</v>
          </cell>
        </row>
        <row r="257">
          <cell r="A257" t="str">
            <v>31-0862-000G</v>
          </cell>
          <cell r="B257" t="str">
            <v xml:space="preserve">SUB CD - Caldera / Refractario </v>
          </cell>
          <cell r="C257" t="str">
            <v>0X07</v>
          </cell>
          <cell r="D257" t="str">
            <v xml:space="preserve">Caldera </v>
          </cell>
          <cell r="E257" t="str">
            <v xml:space="preserve">0X07 - Caldera </v>
          </cell>
          <cell r="F257" t="str">
            <v>E</v>
          </cell>
          <cell r="G257" t="str">
            <v>SUBCONTRATOS</v>
          </cell>
          <cell r="H257" t="str">
            <v>E - SUBCONTRATOS</v>
          </cell>
          <cell r="I257" t="str">
            <v>0Q02</v>
          </cell>
        </row>
        <row r="258">
          <cell r="A258" t="str">
            <v>31-0864-000A</v>
          </cell>
          <cell r="B258" t="str">
            <v xml:space="preserve">SUB CD - Caldera / Tratamiento Térmico </v>
          </cell>
          <cell r="C258" t="str">
            <v>0X07</v>
          </cell>
          <cell r="D258" t="str">
            <v xml:space="preserve">Caldera </v>
          </cell>
          <cell r="E258" t="str">
            <v xml:space="preserve">0X07 - Caldera </v>
          </cell>
          <cell r="F258" t="str">
            <v>E</v>
          </cell>
          <cell r="G258" t="str">
            <v>SUBCONTRATOS</v>
          </cell>
          <cell r="H258" t="str">
            <v>E - SUBCONTRATOS</v>
          </cell>
          <cell r="I258" t="str">
            <v>0Q02</v>
          </cell>
        </row>
        <row r="259">
          <cell r="A259" t="str">
            <v>31-0864-000G</v>
          </cell>
          <cell r="B259" t="str">
            <v xml:space="preserve">SUB CD - Caldera / Tratamiento Térmico </v>
          </cell>
          <cell r="C259" t="str">
            <v>0X07</v>
          </cell>
          <cell r="D259" t="str">
            <v xml:space="preserve">Caldera </v>
          </cell>
          <cell r="E259" t="str">
            <v xml:space="preserve">0X07 - Caldera </v>
          </cell>
          <cell r="F259" t="str">
            <v>E</v>
          </cell>
          <cell r="G259" t="str">
            <v>SUBCONTRATOS</v>
          </cell>
          <cell r="H259" t="str">
            <v>E - SUBCONTRATOS</v>
          </cell>
          <cell r="I259" t="str">
            <v>0Q02</v>
          </cell>
        </row>
        <row r="260">
          <cell r="A260" t="str">
            <v>31-0865-000A</v>
          </cell>
          <cell r="B260" t="str">
            <v xml:space="preserve">SUB CD - Caldera / Izamiento Domo </v>
          </cell>
          <cell r="C260" t="str">
            <v>0X07</v>
          </cell>
          <cell r="D260" t="str">
            <v xml:space="preserve">Caldera </v>
          </cell>
          <cell r="E260" t="str">
            <v xml:space="preserve">0X07 - Caldera </v>
          </cell>
          <cell r="F260" t="str">
            <v>E</v>
          </cell>
          <cell r="G260" t="str">
            <v>SUBCONTRATOS</v>
          </cell>
          <cell r="H260" t="str">
            <v>E - SUBCONTRATOS</v>
          </cell>
          <cell r="I260" t="str">
            <v>0Q02</v>
          </cell>
        </row>
        <row r="261">
          <cell r="A261" t="str">
            <v>31-0865-000G</v>
          </cell>
          <cell r="B261" t="str">
            <v xml:space="preserve">SUB CD - Caldera / Izamiento Domo </v>
          </cell>
          <cell r="C261" t="str">
            <v>0X07</v>
          </cell>
          <cell r="D261" t="str">
            <v xml:space="preserve">Caldera </v>
          </cell>
          <cell r="E261" t="str">
            <v xml:space="preserve">0X07 - Caldera </v>
          </cell>
          <cell r="F261" t="str">
            <v>E</v>
          </cell>
          <cell r="G261" t="str">
            <v>SUBCONTRATOS</v>
          </cell>
          <cell r="H261" t="str">
            <v>E - SUBCONTRATOS</v>
          </cell>
          <cell r="I261" t="str">
            <v>0Q02</v>
          </cell>
        </row>
        <row r="262">
          <cell r="A262" t="str">
            <v>31-0866-000A</v>
          </cell>
          <cell r="B262" t="str">
            <v xml:space="preserve">SUB CD - Caldera / Prueba Hidraulica </v>
          </cell>
          <cell r="C262" t="str">
            <v>0X07</v>
          </cell>
          <cell r="D262" t="str">
            <v xml:space="preserve">Caldera </v>
          </cell>
          <cell r="E262" t="str">
            <v xml:space="preserve">0X07 - Caldera </v>
          </cell>
          <cell r="F262" t="str">
            <v>E</v>
          </cell>
          <cell r="G262" t="str">
            <v>SUBCONTRATOS</v>
          </cell>
          <cell r="H262" t="str">
            <v>E - SUBCONTRATOS</v>
          </cell>
          <cell r="I262" t="str">
            <v>0Q02</v>
          </cell>
        </row>
        <row r="263">
          <cell r="A263" t="str">
            <v>31-0866-000G</v>
          </cell>
          <cell r="B263" t="str">
            <v xml:space="preserve">SUB CD - Caldera / Prueba Hidraulica </v>
          </cell>
          <cell r="C263" t="str">
            <v>0X07</v>
          </cell>
          <cell r="D263" t="str">
            <v xml:space="preserve">Caldera </v>
          </cell>
          <cell r="E263" t="str">
            <v xml:space="preserve">0X07 - Caldera </v>
          </cell>
          <cell r="F263" t="str">
            <v>E</v>
          </cell>
          <cell r="G263" t="str">
            <v>SUBCONTRATOS</v>
          </cell>
          <cell r="H263" t="str">
            <v>E - SUBCONTRATOS</v>
          </cell>
          <cell r="I263" t="str">
            <v>0Q02</v>
          </cell>
        </row>
        <row r="264">
          <cell r="A264" t="str">
            <v>31-0867-000A</v>
          </cell>
          <cell r="B264" t="str">
            <v xml:space="preserve">SUB CD - Caldera / Agua Desmineralizada </v>
          </cell>
          <cell r="C264" t="str">
            <v>0X07</v>
          </cell>
          <cell r="D264" t="str">
            <v xml:space="preserve">Caldera </v>
          </cell>
          <cell r="E264" t="str">
            <v xml:space="preserve">0X07 - Caldera </v>
          </cell>
          <cell r="F264" t="str">
            <v>E</v>
          </cell>
          <cell r="G264" t="str">
            <v>SUBCONTRATOS</v>
          </cell>
          <cell r="H264" t="str">
            <v>E - SUBCONTRATOS</v>
          </cell>
          <cell r="I264" t="str">
            <v>0Q02</v>
          </cell>
        </row>
        <row r="265">
          <cell r="A265" t="str">
            <v>31-0867-000G</v>
          </cell>
          <cell r="B265" t="str">
            <v xml:space="preserve">SUB CD - Caldera / Agua Desmineralizada </v>
          </cell>
          <cell r="C265" t="str">
            <v>0X07</v>
          </cell>
          <cell r="D265" t="str">
            <v xml:space="preserve">Caldera </v>
          </cell>
          <cell r="E265" t="str">
            <v xml:space="preserve">0X07 - Caldera </v>
          </cell>
          <cell r="F265" t="str">
            <v>E</v>
          </cell>
          <cell r="G265" t="str">
            <v>SUBCONTRATOS</v>
          </cell>
          <cell r="H265" t="str">
            <v>E - SUBCONTRATOS</v>
          </cell>
          <cell r="I265" t="str">
            <v>0Q02</v>
          </cell>
        </row>
        <row r="266">
          <cell r="A266" t="str">
            <v>31-0868-000A</v>
          </cell>
          <cell r="B266" t="str">
            <v xml:space="preserve">SUB CD - Caldera / Manejo y Disposición Efluentes </v>
          </cell>
          <cell r="C266" t="str">
            <v>0X07</v>
          </cell>
          <cell r="D266" t="str">
            <v xml:space="preserve">Caldera </v>
          </cell>
          <cell r="E266" t="str">
            <v xml:space="preserve">0X07 - Caldera </v>
          </cell>
          <cell r="F266" t="str">
            <v>E</v>
          </cell>
          <cell r="G266" t="str">
            <v>SUBCONTRATOS</v>
          </cell>
          <cell r="H266" t="str">
            <v>E - SUBCONTRATOS</v>
          </cell>
          <cell r="I266" t="str">
            <v>0Q02</v>
          </cell>
        </row>
        <row r="267">
          <cell r="A267" t="str">
            <v>31-0868-000G</v>
          </cell>
          <cell r="B267" t="str">
            <v xml:space="preserve">SUB CD - Caldera / Manejo y Disposición Efluentes </v>
          </cell>
          <cell r="C267" t="str">
            <v>0X07</v>
          </cell>
          <cell r="D267" t="str">
            <v xml:space="preserve">Caldera </v>
          </cell>
          <cell r="E267" t="str">
            <v xml:space="preserve">0X07 - Caldera </v>
          </cell>
          <cell r="F267" t="str">
            <v>E</v>
          </cell>
          <cell r="G267" t="str">
            <v>SUBCONTRATOS</v>
          </cell>
          <cell r="H267" t="str">
            <v>E - SUBCONTRATOS</v>
          </cell>
          <cell r="I267" t="str">
            <v>0Q02</v>
          </cell>
        </row>
        <row r="268">
          <cell r="A268" t="str">
            <v>31-0899-000A</v>
          </cell>
          <cell r="B268" t="str">
            <v xml:space="preserve">SUB CD - Caldera / Otros Subcontratos </v>
          </cell>
          <cell r="C268" t="str">
            <v>0X07</v>
          </cell>
          <cell r="D268" t="str">
            <v xml:space="preserve">Caldera </v>
          </cell>
          <cell r="E268" t="str">
            <v xml:space="preserve">0X07 - Caldera </v>
          </cell>
          <cell r="F268" t="str">
            <v>E</v>
          </cell>
          <cell r="G268" t="str">
            <v>SUBCONTRATOS</v>
          </cell>
          <cell r="H268" t="str">
            <v>E - SUBCONTRATOS</v>
          </cell>
          <cell r="I268" t="str">
            <v>0Q02</v>
          </cell>
        </row>
        <row r="269">
          <cell r="A269" t="str">
            <v>31-0899-000G</v>
          </cell>
          <cell r="B269" t="str">
            <v xml:space="preserve">SUB CD - Caldera / Otros Subcontratos </v>
          </cell>
          <cell r="C269" t="str">
            <v>0X07</v>
          </cell>
          <cell r="D269" t="str">
            <v xml:space="preserve">Caldera </v>
          </cell>
          <cell r="E269" t="str">
            <v xml:space="preserve">0X07 - Caldera </v>
          </cell>
          <cell r="F269" t="str">
            <v>E</v>
          </cell>
          <cell r="G269" t="str">
            <v>SUBCONTRATOS</v>
          </cell>
          <cell r="H269" t="str">
            <v>E - SUBCONTRATOS</v>
          </cell>
          <cell r="I269" t="str">
            <v>0Q02</v>
          </cell>
        </row>
        <row r="270">
          <cell r="A270" t="str">
            <v>31-0907-000A</v>
          </cell>
          <cell r="B270" t="str">
            <v xml:space="preserve">SUB CD - Ductos / Soldadura </v>
          </cell>
          <cell r="C270" t="str">
            <v>0X08</v>
          </cell>
          <cell r="D270" t="str">
            <v xml:space="preserve">Ductos </v>
          </cell>
          <cell r="E270" t="str">
            <v xml:space="preserve">0X08 - Ductos </v>
          </cell>
          <cell r="F270" t="str">
            <v>E</v>
          </cell>
          <cell r="G270" t="str">
            <v>SUBCONTRATOS</v>
          </cell>
          <cell r="H270" t="str">
            <v>E - SUBCONTRATOS</v>
          </cell>
          <cell r="I270" t="str">
            <v>0Q02</v>
          </cell>
        </row>
        <row r="271">
          <cell r="A271" t="str">
            <v>31-0907-000G</v>
          </cell>
          <cell r="B271" t="str">
            <v xml:space="preserve">SUB CD - Ductos / Soldadura </v>
          </cell>
          <cell r="C271" t="str">
            <v>0X08</v>
          </cell>
          <cell r="D271" t="str">
            <v xml:space="preserve">Ductos </v>
          </cell>
          <cell r="E271" t="str">
            <v xml:space="preserve">0X08 - Ductos </v>
          </cell>
          <cell r="F271" t="str">
            <v>E</v>
          </cell>
          <cell r="G271" t="str">
            <v>SUBCONTRATOS</v>
          </cell>
          <cell r="H271" t="str">
            <v>E - SUBCONTRATOS</v>
          </cell>
          <cell r="I271" t="str">
            <v>0Q02</v>
          </cell>
        </row>
        <row r="272">
          <cell r="A272" t="str">
            <v>31-0908-000A</v>
          </cell>
          <cell r="B272" t="str">
            <v xml:space="preserve">SUB CD - Ductos / Montajes </v>
          </cell>
          <cell r="C272" t="str">
            <v>0X08</v>
          </cell>
          <cell r="D272" t="str">
            <v xml:space="preserve">Ductos </v>
          </cell>
          <cell r="E272" t="str">
            <v xml:space="preserve">0X08 - Ductos </v>
          </cell>
          <cell r="F272" t="str">
            <v>E</v>
          </cell>
          <cell r="G272" t="str">
            <v>SUBCONTRATOS</v>
          </cell>
          <cell r="H272" t="str">
            <v>E - SUBCONTRATOS</v>
          </cell>
          <cell r="I272" t="str">
            <v>0Q02</v>
          </cell>
        </row>
        <row r="273">
          <cell r="A273" t="str">
            <v>31-0908-000G</v>
          </cell>
          <cell r="B273" t="str">
            <v xml:space="preserve">SUB CD - Ductos / Montajes </v>
          </cell>
          <cell r="C273" t="str">
            <v>0X08</v>
          </cell>
          <cell r="D273" t="str">
            <v xml:space="preserve">Ductos </v>
          </cell>
          <cell r="E273" t="str">
            <v xml:space="preserve">0X08 - Ductos </v>
          </cell>
          <cell r="F273" t="str">
            <v>E</v>
          </cell>
          <cell r="G273" t="str">
            <v>SUBCONTRATOS</v>
          </cell>
          <cell r="H273" t="str">
            <v>E - SUBCONTRATOS</v>
          </cell>
          <cell r="I273" t="str">
            <v>0Q02</v>
          </cell>
        </row>
        <row r="274">
          <cell r="A274" t="str">
            <v>31-0946-000A</v>
          </cell>
          <cell r="B274" t="str">
            <v xml:space="preserve">SUB CD - Ductos / END (Radiografs., Tintas Penetrant.) </v>
          </cell>
          <cell r="C274" t="str">
            <v>0X08</v>
          </cell>
          <cell r="D274" t="str">
            <v xml:space="preserve">Ductos </v>
          </cell>
          <cell r="E274" t="str">
            <v xml:space="preserve">0X08 - Ductos </v>
          </cell>
          <cell r="F274" t="str">
            <v>E</v>
          </cell>
          <cell r="G274" t="str">
            <v>SUBCONTRATOS</v>
          </cell>
          <cell r="H274" t="str">
            <v>E - SUBCONTRATOS</v>
          </cell>
          <cell r="I274" t="str">
            <v>0Q02</v>
          </cell>
        </row>
        <row r="275">
          <cell r="A275" t="str">
            <v>31-0946-000G</v>
          </cell>
          <cell r="B275" t="str">
            <v xml:space="preserve">SUB CD - Ductos / END (Radiografs., Tintas Penetrant.) </v>
          </cell>
          <cell r="C275" t="str">
            <v>0X08</v>
          </cell>
          <cell r="D275" t="str">
            <v xml:space="preserve">Ductos </v>
          </cell>
          <cell r="E275" t="str">
            <v xml:space="preserve">0X08 - Ductos </v>
          </cell>
          <cell r="F275" t="str">
            <v>E</v>
          </cell>
          <cell r="G275" t="str">
            <v>SUBCONTRATOS</v>
          </cell>
          <cell r="H275" t="str">
            <v>E - SUBCONTRATOS</v>
          </cell>
          <cell r="I275" t="str">
            <v>0Q02</v>
          </cell>
        </row>
        <row r="276">
          <cell r="A276" t="str">
            <v>31-0999-000A</v>
          </cell>
          <cell r="B276" t="str">
            <v xml:space="preserve">SUB CD - Ductos / Otros Subcontratos </v>
          </cell>
          <cell r="C276" t="str">
            <v>0X08</v>
          </cell>
          <cell r="D276" t="str">
            <v xml:space="preserve">Ductos </v>
          </cell>
          <cell r="E276" t="str">
            <v xml:space="preserve">0X08 - Ductos </v>
          </cell>
          <cell r="F276" t="str">
            <v>E</v>
          </cell>
          <cell r="G276" t="str">
            <v>SUBCONTRATOS</v>
          </cell>
          <cell r="H276" t="str">
            <v>E - SUBCONTRATOS</v>
          </cell>
          <cell r="I276" t="str">
            <v>0Q02</v>
          </cell>
        </row>
        <row r="277">
          <cell r="A277" t="str">
            <v>31-0999-000G</v>
          </cell>
          <cell r="B277" t="str">
            <v xml:space="preserve">SUB CD - Ductos / Otros Subcontratos </v>
          </cell>
          <cell r="C277" t="str">
            <v>0X08</v>
          </cell>
          <cell r="D277" t="str">
            <v xml:space="preserve">Ductos </v>
          </cell>
          <cell r="E277" t="str">
            <v xml:space="preserve">0X08 - Ductos </v>
          </cell>
          <cell r="F277" t="str">
            <v>E</v>
          </cell>
          <cell r="G277" t="str">
            <v>SUBCONTRATOS</v>
          </cell>
          <cell r="H277" t="str">
            <v>E - SUBCONTRATOS</v>
          </cell>
          <cell r="I277" t="str">
            <v>0Q02</v>
          </cell>
        </row>
        <row r="278">
          <cell r="A278" t="str">
            <v>31-1307-000A</v>
          </cell>
          <cell r="B278" t="str">
            <v xml:space="preserve">SUB CD - Estanque / Soldadura </v>
          </cell>
          <cell r="C278" t="str">
            <v>0X09</v>
          </cell>
          <cell r="D278" t="str">
            <v xml:space="preserve">Estanque </v>
          </cell>
          <cell r="E278" t="str">
            <v xml:space="preserve">0X09 - Estanque </v>
          </cell>
          <cell r="F278" t="str">
            <v>E</v>
          </cell>
          <cell r="G278" t="str">
            <v>SUBCONTRATOS</v>
          </cell>
          <cell r="H278" t="str">
            <v>E - SUBCONTRATOS</v>
          </cell>
          <cell r="I278" t="str">
            <v>0Q02</v>
          </cell>
        </row>
        <row r="279">
          <cell r="A279" t="str">
            <v>31-1307-000G</v>
          </cell>
          <cell r="B279" t="str">
            <v xml:space="preserve">SUB CD - Estanque / Soldadura </v>
          </cell>
          <cell r="C279" t="str">
            <v>0X09</v>
          </cell>
          <cell r="D279" t="str">
            <v xml:space="preserve">Estanque </v>
          </cell>
          <cell r="E279" t="str">
            <v xml:space="preserve">0X09 - Estanque </v>
          </cell>
          <cell r="F279" t="str">
            <v>E</v>
          </cell>
          <cell r="G279" t="str">
            <v>SUBCONTRATOS</v>
          </cell>
          <cell r="H279" t="str">
            <v>E - SUBCONTRATOS</v>
          </cell>
          <cell r="I279" t="str">
            <v>0Q02</v>
          </cell>
        </row>
        <row r="280">
          <cell r="A280" t="str">
            <v>31-1308-000A</v>
          </cell>
          <cell r="B280" t="str">
            <v xml:space="preserve">SUB CD - Estanque / Montaje Estanque </v>
          </cell>
          <cell r="C280" t="str">
            <v>0X09</v>
          </cell>
          <cell r="D280" t="str">
            <v xml:space="preserve">Estanque </v>
          </cell>
          <cell r="E280" t="str">
            <v xml:space="preserve">0X09 - Estanque </v>
          </cell>
          <cell r="F280" t="str">
            <v>E</v>
          </cell>
          <cell r="G280" t="str">
            <v>SUBCONTRATOS</v>
          </cell>
          <cell r="H280" t="str">
            <v>E - SUBCONTRATOS</v>
          </cell>
          <cell r="I280" t="str">
            <v>0Q02</v>
          </cell>
        </row>
        <row r="281">
          <cell r="A281" t="str">
            <v>31-1308-000G</v>
          </cell>
          <cell r="B281" t="str">
            <v xml:space="preserve">SUB CD - Estanque / Montaje Estanque </v>
          </cell>
          <cell r="C281" t="str">
            <v>0X09</v>
          </cell>
          <cell r="D281" t="str">
            <v xml:space="preserve">Estanque </v>
          </cell>
          <cell r="E281" t="str">
            <v xml:space="preserve">0X09 - Estanque </v>
          </cell>
          <cell r="F281" t="str">
            <v>E</v>
          </cell>
          <cell r="G281" t="str">
            <v>SUBCONTRATOS</v>
          </cell>
          <cell r="H281" t="str">
            <v>E - SUBCONTRATOS</v>
          </cell>
          <cell r="I281" t="str">
            <v>0Q02</v>
          </cell>
        </row>
        <row r="282">
          <cell r="A282" t="str">
            <v>31-1346-000A</v>
          </cell>
          <cell r="B282" t="str">
            <v xml:space="preserve">SUB CD - Estanque / END (Radiografs., Tintas Penetrant.) </v>
          </cell>
          <cell r="C282" t="str">
            <v>0X09</v>
          </cell>
          <cell r="D282" t="str">
            <v xml:space="preserve">Estanque </v>
          </cell>
          <cell r="E282" t="str">
            <v xml:space="preserve">0X09 - Estanque </v>
          </cell>
          <cell r="F282" t="str">
            <v>E</v>
          </cell>
          <cell r="G282" t="str">
            <v>SUBCONTRATOS</v>
          </cell>
          <cell r="H282" t="str">
            <v>E - SUBCONTRATOS</v>
          </cell>
          <cell r="I282" t="str">
            <v>0Q02</v>
          </cell>
        </row>
        <row r="283">
          <cell r="A283" t="str">
            <v>31-1346-000G</v>
          </cell>
          <cell r="B283" t="str">
            <v xml:space="preserve">SUB CD - Estanque / END (Radiografs., Tintas Penetrant.) </v>
          </cell>
          <cell r="C283" t="str">
            <v>0X09</v>
          </cell>
          <cell r="D283" t="str">
            <v xml:space="preserve">Estanque </v>
          </cell>
          <cell r="E283" t="str">
            <v xml:space="preserve">0X09 - Estanque </v>
          </cell>
          <cell r="F283" t="str">
            <v>E</v>
          </cell>
          <cell r="G283" t="str">
            <v>SUBCONTRATOS</v>
          </cell>
          <cell r="H283" t="str">
            <v>E - SUBCONTRATOS</v>
          </cell>
          <cell r="I283" t="str">
            <v>0Q02</v>
          </cell>
        </row>
        <row r="284">
          <cell r="A284" t="str">
            <v>31-1366-000A</v>
          </cell>
          <cell r="B284" t="str">
            <v xml:space="preserve">SUB CD - Estanque / Prueba Hidraulica (Estanqueidad) </v>
          </cell>
          <cell r="C284" t="str">
            <v>0X09</v>
          </cell>
          <cell r="D284" t="str">
            <v xml:space="preserve">Estanque </v>
          </cell>
          <cell r="E284" t="str">
            <v xml:space="preserve">0X09 - Estanque </v>
          </cell>
          <cell r="F284" t="str">
            <v>E</v>
          </cell>
          <cell r="G284" t="str">
            <v>SUBCONTRATOS</v>
          </cell>
          <cell r="H284" t="str">
            <v>E - SUBCONTRATOS</v>
          </cell>
          <cell r="I284" t="str">
            <v>0Q02</v>
          </cell>
        </row>
        <row r="285">
          <cell r="A285" t="str">
            <v>31-1366-000G</v>
          </cell>
          <cell r="B285" t="str">
            <v xml:space="preserve">SUB CD - Estanque / Prueba Hidraulica (Estanqueidad) </v>
          </cell>
          <cell r="C285" t="str">
            <v>0X09</v>
          </cell>
          <cell r="D285" t="str">
            <v xml:space="preserve">Estanque </v>
          </cell>
          <cell r="E285" t="str">
            <v xml:space="preserve">0X09 - Estanque </v>
          </cell>
          <cell r="F285" t="str">
            <v>E</v>
          </cell>
          <cell r="G285" t="str">
            <v>SUBCONTRATOS</v>
          </cell>
          <cell r="H285" t="str">
            <v>E - SUBCONTRATOS</v>
          </cell>
          <cell r="I285" t="str">
            <v>0Q02</v>
          </cell>
        </row>
        <row r="286">
          <cell r="A286" t="str">
            <v>31-1399-000A</v>
          </cell>
          <cell r="B286" t="str">
            <v xml:space="preserve">SUB CD - Estanque / Otros Subcontratos </v>
          </cell>
          <cell r="C286" t="str">
            <v>0X09</v>
          </cell>
          <cell r="D286" t="str">
            <v xml:space="preserve">Estanque </v>
          </cell>
          <cell r="E286" t="str">
            <v xml:space="preserve">0X09 - Estanque </v>
          </cell>
          <cell r="F286" t="str">
            <v>E</v>
          </cell>
          <cell r="G286" t="str">
            <v>SUBCONTRATOS</v>
          </cell>
          <cell r="H286" t="str">
            <v>E - SUBCONTRATOS</v>
          </cell>
          <cell r="I286" t="str">
            <v>0Q02</v>
          </cell>
        </row>
        <row r="287">
          <cell r="A287" t="str">
            <v>31-1399-000G</v>
          </cell>
          <cell r="B287" t="str">
            <v xml:space="preserve">SUB CD - Estanque / Otros Subcontratos </v>
          </cell>
          <cell r="C287" t="str">
            <v>0X09</v>
          </cell>
          <cell r="D287" t="str">
            <v xml:space="preserve">Estanque </v>
          </cell>
          <cell r="E287" t="str">
            <v xml:space="preserve">0X09 - Estanque </v>
          </cell>
          <cell r="F287" t="str">
            <v>E</v>
          </cell>
          <cell r="G287" t="str">
            <v>SUBCONTRATOS</v>
          </cell>
          <cell r="H287" t="str">
            <v>E - SUBCONTRATOS</v>
          </cell>
          <cell r="I287" t="str">
            <v>0Q02</v>
          </cell>
        </row>
        <row r="288">
          <cell r="A288" t="str">
            <v>31-1469-000A</v>
          </cell>
          <cell r="B288" t="str">
            <v xml:space="preserve">SUB CD - Ingeniería / Ingeniería </v>
          </cell>
          <cell r="C288" t="str">
            <v>0X10</v>
          </cell>
          <cell r="D288" t="str">
            <v xml:space="preserve">Ingeniería </v>
          </cell>
          <cell r="E288" t="str">
            <v xml:space="preserve">0X10 - Ingeniería </v>
          </cell>
          <cell r="F288" t="str">
            <v>E</v>
          </cell>
          <cell r="G288" t="str">
            <v>SUBCONTRATOS</v>
          </cell>
          <cell r="H288" t="str">
            <v>E - SUBCONTRATOS</v>
          </cell>
          <cell r="I288" t="str">
            <v>0Q02</v>
          </cell>
        </row>
        <row r="289">
          <cell r="A289" t="str">
            <v>31-1469-000G</v>
          </cell>
          <cell r="B289" t="str">
            <v xml:space="preserve">SUB CD - Ingeniería / Ingeniería </v>
          </cell>
          <cell r="C289" t="str">
            <v>0X10</v>
          </cell>
          <cell r="D289" t="str">
            <v xml:space="preserve">Ingeniería </v>
          </cell>
          <cell r="E289" t="str">
            <v xml:space="preserve">0X10 - Ingeniería </v>
          </cell>
          <cell r="F289" t="str">
            <v>E</v>
          </cell>
          <cell r="G289" t="str">
            <v>SUBCONTRATOS</v>
          </cell>
          <cell r="H289" t="str">
            <v>E - SUBCONTRATOS</v>
          </cell>
          <cell r="I289" t="str">
            <v>0Q02</v>
          </cell>
        </row>
        <row r="290">
          <cell r="A290" t="str">
            <v>31-1470-000A</v>
          </cell>
          <cell r="B290" t="str">
            <v xml:space="preserve">SUB CD - Ingeniería / Ingeniería P&amp;A </v>
          </cell>
          <cell r="C290" t="str">
            <v>0X10</v>
          </cell>
          <cell r="D290" t="str">
            <v xml:space="preserve">Ingeniería </v>
          </cell>
          <cell r="E290" t="str">
            <v xml:space="preserve">0X10 - Ingeniería </v>
          </cell>
          <cell r="F290" t="str">
            <v>E</v>
          </cell>
          <cell r="G290" t="str">
            <v>SUBCONTRATOS</v>
          </cell>
          <cell r="H290" t="str">
            <v>E - SUBCONTRATOS</v>
          </cell>
          <cell r="I290" t="str">
            <v>0Q02</v>
          </cell>
        </row>
        <row r="291">
          <cell r="A291" t="str">
            <v>31-1470-000G</v>
          </cell>
          <cell r="B291" t="str">
            <v xml:space="preserve">SUB CD - Ingeniería / Ingeniería P&amp;A </v>
          </cell>
          <cell r="C291" t="str">
            <v>0X10</v>
          </cell>
          <cell r="D291" t="str">
            <v xml:space="preserve">Ingeniería </v>
          </cell>
          <cell r="E291" t="str">
            <v xml:space="preserve">0X10 - Ingeniería </v>
          </cell>
          <cell r="F291" t="str">
            <v>E</v>
          </cell>
          <cell r="G291" t="str">
            <v>SUBCONTRATOS</v>
          </cell>
          <cell r="H291" t="str">
            <v>E - SUBCONTRATOS</v>
          </cell>
          <cell r="I291" t="str">
            <v>0Q02</v>
          </cell>
        </row>
        <row r="292">
          <cell r="A292" t="str">
            <v>31-9908-000A</v>
          </cell>
          <cell r="B292" t="str">
            <v xml:space="preserve">SUB CD - Otras especialidades / Montaje Transformador </v>
          </cell>
          <cell r="C292" t="str">
            <v>0X11</v>
          </cell>
          <cell r="D292" t="str">
            <v xml:space="preserve">Otras especialidades </v>
          </cell>
          <cell r="E292" t="str">
            <v xml:space="preserve">0X11 - Otras especialidades </v>
          </cell>
          <cell r="F292" t="str">
            <v>E</v>
          </cell>
          <cell r="G292" t="str">
            <v>SUBCONTRATOS</v>
          </cell>
          <cell r="H292" t="str">
            <v>E - SUBCONTRATOS</v>
          </cell>
          <cell r="I292" t="str">
            <v>0Q02</v>
          </cell>
        </row>
        <row r="293">
          <cell r="A293" t="str">
            <v>31-9908-000G</v>
          </cell>
          <cell r="B293" t="str">
            <v xml:space="preserve">SUB CD - Otras especialidades / Montaje Transformador </v>
          </cell>
          <cell r="C293" t="str">
            <v>0X11</v>
          </cell>
          <cell r="D293" t="str">
            <v xml:space="preserve">Otras especialidades </v>
          </cell>
          <cell r="E293" t="str">
            <v xml:space="preserve">0X11 - Otras especialidades </v>
          </cell>
          <cell r="F293" t="str">
            <v>E</v>
          </cell>
          <cell r="G293" t="str">
            <v>SUBCONTRATOS</v>
          </cell>
          <cell r="H293" t="str">
            <v>E - SUBCONTRATOS</v>
          </cell>
          <cell r="I293" t="str">
            <v>0Q02</v>
          </cell>
        </row>
        <row r="294">
          <cell r="A294" t="str">
            <v>31-9971-000A</v>
          </cell>
          <cell r="B294" t="str">
            <v xml:space="preserve">SUB CD - Otras especialidades / Touch-UP </v>
          </cell>
          <cell r="C294" t="str">
            <v>0X11</v>
          </cell>
          <cell r="D294" t="str">
            <v xml:space="preserve">Otras especialidades </v>
          </cell>
          <cell r="E294" t="str">
            <v xml:space="preserve">0X11 - Otras especialidades </v>
          </cell>
          <cell r="F294" t="str">
            <v>E</v>
          </cell>
          <cell r="G294" t="str">
            <v>SUBCONTRATOS</v>
          </cell>
          <cell r="H294" t="str">
            <v>E - SUBCONTRATOS</v>
          </cell>
          <cell r="I294" t="str">
            <v>0Q02</v>
          </cell>
        </row>
        <row r="295">
          <cell r="A295" t="str">
            <v>31-9971-000G</v>
          </cell>
          <cell r="B295" t="str">
            <v xml:space="preserve">SUB CD - Otras especialidades / Touch-UP </v>
          </cell>
          <cell r="C295" t="str">
            <v>0X11</v>
          </cell>
          <cell r="D295" t="str">
            <v xml:space="preserve">Otras especialidades </v>
          </cell>
          <cell r="E295" t="str">
            <v xml:space="preserve">0X11 - Otras especialidades </v>
          </cell>
          <cell r="F295" t="str">
            <v>E</v>
          </cell>
          <cell r="G295" t="str">
            <v>SUBCONTRATOS</v>
          </cell>
          <cell r="H295" t="str">
            <v>E - SUBCONTRATOS</v>
          </cell>
          <cell r="I295" t="str">
            <v>0Q02</v>
          </cell>
        </row>
        <row r="296">
          <cell r="A296" t="str">
            <v>31-9972-000A</v>
          </cell>
          <cell r="B296" t="str">
            <v xml:space="preserve">SUB CD - Otras especialidades / HVAC </v>
          </cell>
          <cell r="C296" t="str">
            <v>0X11</v>
          </cell>
          <cell r="D296" t="str">
            <v xml:space="preserve">Otras especialidades </v>
          </cell>
          <cell r="E296" t="str">
            <v xml:space="preserve">0X11 - Otras especialidades </v>
          </cell>
          <cell r="F296" t="str">
            <v>E</v>
          </cell>
          <cell r="G296" t="str">
            <v>SUBCONTRATOS</v>
          </cell>
          <cell r="H296" t="str">
            <v>E - SUBCONTRATOS</v>
          </cell>
          <cell r="I296" t="str">
            <v>0Q02</v>
          </cell>
        </row>
        <row r="297">
          <cell r="A297" t="str">
            <v>31-9972-000G</v>
          </cell>
          <cell r="B297" t="str">
            <v xml:space="preserve">SUB CD - Otras especialidades / HVAC </v>
          </cell>
          <cell r="C297" t="str">
            <v>0X11</v>
          </cell>
          <cell r="D297" t="str">
            <v xml:space="preserve">Otras especialidades </v>
          </cell>
          <cell r="E297" t="str">
            <v xml:space="preserve">0X11 - Otras especialidades </v>
          </cell>
          <cell r="F297" t="str">
            <v>E</v>
          </cell>
          <cell r="G297" t="str">
            <v>SUBCONTRATOS</v>
          </cell>
          <cell r="H297" t="str">
            <v>E - SUBCONTRATOS</v>
          </cell>
          <cell r="I297" t="str">
            <v>0Q02</v>
          </cell>
        </row>
        <row r="298">
          <cell r="A298" t="str">
            <v>31-9973-000A</v>
          </cell>
          <cell r="B298" t="str">
            <v xml:space="preserve">SUB CD - Otras especialidades / Equipo Mtje Megalift </v>
          </cell>
          <cell r="C298" t="str">
            <v>0X11</v>
          </cell>
          <cell r="D298" t="str">
            <v xml:space="preserve">Otras especialidades </v>
          </cell>
          <cell r="E298" t="str">
            <v xml:space="preserve">0X11 - Otras especialidades </v>
          </cell>
          <cell r="F298" t="str">
            <v>E</v>
          </cell>
          <cell r="G298" t="str">
            <v>SUBCONTRATOS</v>
          </cell>
          <cell r="H298" t="str">
            <v>E - SUBCONTRATOS</v>
          </cell>
          <cell r="I298" t="str">
            <v>0Q02</v>
          </cell>
        </row>
        <row r="299">
          <cell r="A299" t="str">
            <v>31-9973-000G</v>
          </cell>
          <cell r="B299" t="str">
            <v xml:space="preserve">SUB CD - Otras especialidades / Equipo Mtje Megalift </v>
          </cell>
          <cell r="C299" t="str">
            <v>0X11</v>
          </cell>
          <cell r="D299" t="str">
            <v xml:space="preserve">Otras especialidades </v>
          </cell>
          <cell r="E299" t="str">
            <v xml:space="preserve">0X11 - Otras especialidades </v>
          </cell>
          <cell r="F299" t="str">
            <v>E</v>
          </cell>
          <cell r="G299" t="str">
            <v>SUBCONTRATOS</v>
          </cell>
          <cell r="H299" t="str">
            <v>E - SUBCONTRATOS</v>
          </cell>
          <cell r="I299" t="str">
            <v>0Q02</v>
          </cell>
        </row>
        <row r="300">
          <cell r="A300" t="str">
            <v>31-9975-000A</v>
          </cell>
          <cell r="B300" t="str">
            <v xml:space="preserve">SUB CD - Otras especialidades / Gestión </v>
          </cell>
          <cell r="C300" t="str">
            <v>0X11</v>
          </cell>
          <cell r="D300" t="str">
            <v xml:space="preserve">Otras especialidades </v>
          </cell>
          <cell r="E300" t="str">
            <v xml:space="preserve">0X11 - Otras especialidades </v>
          </cell>
          <cell r="F300" t="str">
            <v>E</v>
          </cell>
          <cell r="G300" t="str">
            <v>SUBCONTRATOS</v>
          </cell>
          <cell r="H300" t="str">
            <v>E - SUBCONTRATOS</v>
          </cell>
          <cell r="I300" t="str">
            <v>0Q02</v>
          </cell>
        </row>
        <row r="301">
          <cell r="A301" t="str">
            <v>31-9975-000G</v>
          </cell>
          <cell r="B301" t="str">
            <v xml:space="preserve">SUB CD - Otras especialidades / Gestión </v>
          </cell>
          <cell r="C301" t="str">
            <v>0X11</v>
          </cell>
          <cell r="D301" t="str">
            <v xml:space="preserve">Otras especialidades </v>
          </cell>
          <cell r="E301" t="str">
            <v xml:space="preserve">0X11 - Otras especialidades </v>
          </cell>
          <cell r="F301" t="str">
            <v>E</v>
          </cell>
          <cell r="G301" t="str">
            <v>SUBCONTRATOS</v>
          </cell>
          <cell r="H301" t="str">
            <v>E - SUBCONTRATOS</v>
          </cell>
          <cell r="I301" t="str">
            <v>0Q02</v>
          </cell>
        </row>
        <row r="302">
          <cell r="A302" t="str">
            <v>31-9975-010A</v>
          </cell>
          <cell r="B302" t="str">
            <v>SUB CD - Otras especialidades / Reembolsable</v>
          </cell>
          <cell r="C302" t="str">
            <v>0X11</v>
          </cell>
          <cell r="D302" t="str">
            <v xml:space="preserve">Otras especialidades </v>
          </cell>
          <cell r="E302" t="str">
            <v xml:space="preserve">0X11 - Otras especialidades </v>
          </cell>
          <cell r="F302" t="str">
            <v>E</v>
          </cell>
          <cell r="G302" t="str">
            <v>SUBCONTRATOS</v>
          </cell>
          <cell r="H302" t="str">
            <v>E - SUBCONTRATOS</v>
          </cell>
          <cell r="I302" t="str">
            <v>0Q02</v>
          </cell>
        </row>
        <row r="303">
          <cell r="A303" t="str">
            <v>31-9975-010G</v>
          </cell>
          <cell r="B303" t="str">
            <v>SUB CD - Otras especialidades / Reembolsable</v>
          </cell>
          <cell r="C303" t="str">
            <v>0X11</v>
          </cell>
          <cell r="D303" t="str">
            <v xml:space="preserve">Otras especialidades </v>
          </cell>
          <cell r="E303" t="str">
            <v xml:space="preserve">0X11 - Otras especialidades </v>
          </cell>
          <cell r="F303" t="str">
            <v>E</v>
          </cell>
          <cell r="G303" t="str">
            <v>SUBCONTRATOS</v>
          </cell>
          <cell r="H303" t="str">
            <v>E - SUBCONTRATOS</v>
          </cell>
          <cell r="I303" t="str">
            <v>0Q02</v>
          </cell>
        </row>
        <row r="304">
          <cell r="A304" t="str">
            <v>31-9976-000A</v>
          </cell>
          <cell r="B304" t="str">
            <v xml:space="preserve">SUB CD - Otras especialidades / Admin. Financiera </v>
          </cell>
          <cell r="C304" t="str">
            <v>0X11</v>
          </cell>
          <cell r="D304" t="str">
            <v xml:space="preserve">Otras especialidades </v>
          </cell>
          <cell r="E304" t="str">
            <v xml:space="preserve">0X11 - Otras especialidades </v>
          </cell>
          <cell r="F304" t="str">
            <v>E</v>
          </cell>
          <cell r="G304" t="str">
            <v>SUBCONTRATOS</v>
          </cell>
          <cell r="H304" t="str">
            <v>E - SUBCONTRATOS</v>
          </cell>
          <cell r="I304" t="str">
            <v>0Q02</v>
          </cell>
        </row>
        <row r="305">
          <cell r="A305" t="str">
            <v>31-9976-000G</v>
          </cell>
          <cell r="B305" t="str">
            <v xml:space="preserve">SUB CD - Otras especialidades / Admin. Financiera </v>
          </cell>
          <cell r="C305" t="str">
            <v>0X11</v>
          </cell>
          <cell r="D305" t="str">
            <v xml:space="preserve">Otras especialidades </v>
          </cell>
          <cell r="E305" t="str">
            <v xml:space="preserve">0X11 - Otras especialidades </v>
          </cell>
          <cell r="F305" t="str">
            <v>E</v>
          </cell>
          <cell r="G305" t="str">
            <v>SUBCONTRATOS</v>
          </cell>
          <cell r="H305" t="str">
            <v>E - SUBCONTRATOS</v>
          </cell>
          <cell r="I305" t="str">
            <v>0Q02</v>
          </cell>
        </row>
        <row r="306">
          <cell r="A306" t="str">
            <v>41-1011-000A</v>
          </cell>
          <cell r="B306" t="str">
            <v xml:space="preserve">EQU CD - Mayor / Grúa / Propio </v>
          </cell>
          <cell r="C306" t="str">
            <v>0D01</v>
          </cell>
          <cell r="D306" t="str">
            <v>Equipos Mayores</v>
          </cell>
          <cell r="E306" t="str">
            <v>0D01 - Equipos Mayores</v>
          </cell>
          <cell r="F306" t="str">
            <v>D</v>
          </cell>
          <cell r="G306" t="str">
            <v>EQUIPOS Y COMBUSTIBLES</v>
          </cell>
          <cell r="H306" t="str">
            <v>D - EQUIPOS Y COMBUSTIBLES</v>
          </cell>
          <cell r="I306" t="str">
            <v>0Q01</v>
          </cell>
        </row>
        <row r="307">
          <cell r="A307" t="str">
            <v>41-1011-000G</v>
          </cell>
          <cell r="B307" t="str">
            <v xml:space="preserve">EQU CD - Mayor / Grúa / Propio </v>
          </cell>
          <cell r="C307" t="str">
            <v>0D01</v>
          </cell>
          <cell r="D307" t="str">
            <v>Equipos Mayores</v>
          </cell>
          <cell r="E307" t="str">
            <v>0D01 - Equipos Mayores</v>
          </cell>
          <cell r="F307" t="str">
            <v>D</v>
          </cell>
          <cell r="G307" t="str">
            <v>EQUIPOS Y COMBUSTIBLES</v>
          </cell>
          <cell r="H307" t="str">
            <v>D - EQUIPOS Y COMBUSTIBLES</v>
          </cell>
          <cell r="I307" t="str">
            <v>0Q01</v>
          </cell>
        </row>
        <row r="308">
          <cell r="A308" t="str">
            <v>41-1012-000A</v>
          </cell>
          <cell r="B308" t="str">
            <v xml:space="preserve">EQU CD - Mayor / Grúa / Arriendo </v>
          </cell>
          <cell r="C308" t="str">
            <v>0D01</v>
          </cell>
          <cell r="D308" t="str">
            <v>Equipos Mayores</v>
          </cell>
          <cell r="E308" t="str">
            <v>0D01 - Equipos Mayores</v>
          </cell>
          <cell r="F308" t="str">
            <v>D</v>
          </cell>
          <cell r="G308" t="str">
            <v>EQUIPOS Y COMBUSTIBLES</v>
          </cell>
          <cell r="H308" t="str">
            <v>D - EQUIPOS Y COMBUSTIBLES</v>
          </cell>
          <cell r="I308" t="str">
            <v>0Q01</v>
          </cell>
        </row>
        <row r="309">
          <cell r="A309" t="str">
            <v>41-1012-000G</v>
          </cell>
          <cell r="B309" t="str">
            <v xml:space="preserve">EQU CD - Mayor / Grúa / Arriendo </v>
          </cell>
          <cell r="C309" t="str">
            <v>0D01</v>
          </cell>
          <cell r="D309" t="str">
            <v>Equipos Mayores</v>
          </cell>
          <cell r="E309" t="str">
            <v>0D01 - Equipos Mayores</v>
          </cell>
          <cell r="F309" t="str">
            <v>D</v>
          </cell>
          <cell r="G309" t="str">
            <v>EQUIPOS Y COMBUSTIBLES</v>
          </cell>
          <cell r="H309" t="str">
            <v>D - EQUIPOS Y COMBUSTIBLES</v>
          </cell>
          <cell r="I309" t="str">
            <v>0Q01</v>
          </cell>
        </row>
        <row r="310">
          <cell r="A310" t="str">
            <v>41-1021-000A</v>
          </cell>
          <cell r="B310" t="str">
            <v xml:space="preserve">EQU CD - Mayor / Camión Pluma / Propio </v>
          </cell>
          <cell r="C310" t="str">
            <v>0D01</v>
          </cell>
          <cell r="D310" t="str">
            <v>Equipos Mayores</v>
          </cell>
          <cell r="E310" t="str">
            <v>0D01 - Equipos Mayores</v>
          </cell>
          <cell r="F310" t="str">
            <v>D</v>
          </cell>
          <cell r="G310" t="str">
            <v>EQUIPOS Y COMBUSTIBLES</v>
          </cell>
          <cell r="H310" t="str">
            <v>D - EQUIPOS Y COMBUSTIBLES</v>
          </cell>
          <cell r="I310" t="str">
            <v>0Q01</v>
          </cell>
        </row>
        <row r="311">
          <cell r="A311" t="str">
            <v>41-1021-000G</v>
          </cell>
          <cell r="B311" t="str">
            <v xml:space="preserve">EQU CD - Mayor / Camión Pluma / Propio </v>
          </cell>
          <cell r="C311" t="str">
            <v>0D01</v>
          </cell>
          <cell r="D311" t="str">
            <v>Equipos Mayores</v>
          </cell>
          <cell r="E311" t="str">
            <v>0D01 - Equipos Mayores</v>
          </cell>
          <cell r="F311" t="str">
            <v>D</v>
          </cell>
          <cell r="G311" t="str">
            <v>EQUIPOS Y COMBUSTIBLES</v>
          </cell>
          <cell r="H311" t="str">
            <v>D - EQUIPOS Y COMBUSTIBLES</v>
          </cell>
          <cell r="I311" t="str">
            <v>0Q01</v>
          </cell>
        </row>
        <row r="312">
          <cell r="A312" t="str">
            <v>41-1022-000A</v>
          </cell>
          <cell r="B312" t="str">
            <v xml:space="preserve">EQU CD - Mayor / Camión Pluma / Arriendo </v>
          </cell>
          <cell r="C312" t="str">
            <v>0D01</v>
          </cell>
          <cell r="D312" t="str">
            <v>Equipos Mayores</v>
          </cell>
          <cell r="E312" t="str">
            <v>0D01 - Equipos Mayores</v>
          </cell>
          <cell r="F312" t="str">
            <v>D</v>
          </cell>
          <cell r="G312" t="str">
            <v>EQUIPOS Y COMBUSTIBLES</v>
          </cell>
          <cell r="H312" t="str">
            <v>D - EQUIPOS Y COMBUSTIBLES</v>
          </cell>
          <cell r="I312" t="str">
            <v>0Q01</v>
          </cell>
        </row>
        <row r="313">
          <cell r="A313" t="str">
            <v>41-1022-000G</v>
          </cell>
          <cell r="B313" t="str">
            <v xml:space="preserve">EQU CD - Mayor / Camión Pluma / Arriendo </v>
          </cell>
          <cell r="C313" t="str">
            <v>0D01</v>
          </cell>
          <cell r="D313" t="str">
            <v>Equipos Mayores</v>
          </cell>
          <cell r="E313" t="str">
            <v>0D01 - Equipos Mayores</v>
          </cell>
          <cell r="F313" t="str">
            <v>D</v>
          </cell>
          <cell r="G313" t="str">
            <v>EQUIPOS Y COMBUSTIBLES</v>
          </cell>
          <cell r="H313" t="str">
            <v>D - EQUIPOS Y COMBUSTIBLES</v>
          </cell>
          <cell r="I313" t="str">
            <v>0Q01</v>
          </cell>
        </row>
        <row r="314">
          <cell r="A314" t="str">
            <v>41-1031-000A</v>
          </cell>
          <cell r="B314" t="str">
            <v xml:space="preserve">EQU CD - Mayor / Camión Rampla / Propio </v>
          </cell>
          <cell r="C314" t="str">
            <v>0D01</v>
          </cell>
          <cell r="D314" t="str">
            <v>Equipos Mayores</v>
          </cell>
          <cell r="E314" t="str">
            <v>0D01 - Equipos Mayores</v>
          </cell>
          <cell r="F314" t="str">
            <v>D</v>
          </cell>
          <cell r="G314" t="str">
            <v>EQUIPOS Y COMBUSTIBLES</v>
          </cell>
          <cell r="H314" t="str">
            <v>D - EQUIPOS Y COMBUSTIBLES</v>
          </cell>
          <cell r="I314" t="str">
            <v>0Q01</v>
          </cell>
        </row>
        <row r="315">
          <cell r="A315" t="str">
            <v>41-1031-000G</v>
          </cell>
          <cell r="B315" t="str">
            <v xml:space="preserve">EQU CD - Mayor / Camión Rampla / Propio </v>
          </cell>
          <cell r="C315" t="str">
            <v>0D01</v>
          </cell>
          <cell r="D315" t="str">
            <v>Equipos Mayores</v>
          </cell>
          <cell r="E315" t="str">
            <v>0D01 - Equipos Mayores</v>
          </cell>
          <cell r="F315" t="str">
            <v>D</v>
          </cell>
          <cell r="G315" t="str">
            <v>EQUIPOS Y COMBUSTIBLES</v>
          </cell>
          <cell r="H315" t="str">
            <v>D - EQUIPOS Y COMBUSTIBLES</v>
          </cell>
          <cell r="I315" t="str">
            <v>0Q01</v>
          </cell>
        </row>
        <row r="316">
          <cell r="A316" t="str">
            <v>41-1031-010A</v>
          </cell>
          <cell r="B316" t="str">
            <v>EQU CD - Mayor / Reembolsable</v>
          </cell>
          <cell r="C316" t="str">
            <v>0D01</v>
          </cell>
          <cell r="D316" t="str">
            <v>Equipos Mayores</v>
          </cell>
          <cell r="E316" t="str">
            <v>0D01 - Equipos Mayores</v>
          </cell>
          <cell r="F316" t="str">
            <v>D</v>
          </cell>
          <cell r="G316" t="str">
            <v>EQUIPOS Y COMBUSTIBLES</v>
          </cell>
          <cell r="H316" t="str">
            <v>D - EQUIPOS Y COMBUSTIBLES</v>
          </cell>
          <cell r="I316" t="str">
            <v>0Q01</v>
          </cell>
        </row>
        <row r="317">
          <cell r="A317" t="str">
            <v>41-1031-010G</v>
          </cell>
          <cell r="B317" t="str">
            <v>EQU CD - Mayor / Reembolsable</v>
          </cell>
          <cell r="C317" t="str">
            <v>0D01</v>
          </cell>
          <cell r="D317" t="str">
            <v>Equipos Mayores</v>
          </cell>
          <cell r="E317" t="str">
            <v>0D01 - Equipos Mayores</v>
          </cell>
          <cell r="F317" t="str">
            <v>D</v>
          </cell>
          <cell r="G317" t="str">
            <v>EQUIPOS Y COMBUSTIBLES</v>
          </cell>
          <cell r="H317" t="str">
            <v>D - EQUIPOS Y COMBUSTIBLES</v>
          </cell>
          <cell r="I317" t="str">
            <v>0Q01</v>
          </cell>
        </row>
        <row r="318">
          <cell r="A318" t="str">
            <v>41-1032-000A</v>
          </cell>
          <cell r="B318" t="str">
            <v xml:space="preserve">EQU CD - Mayor / Camión Rampla / Arriendo </v>
          </cell>
          <cell r="C318" t="str">
            <v>0D01</v>
          </cell>
          <cell r="D318" t="str">
            <v>Equipos Mayores</v>
          </cell>
          <cell r="E318" t="str">
            <v>0D01 - Equipos Mayores</v>
          </cell>
          <cell r="F318" t="str">
            <v>D</v>
          </cell>
          <cell r="G318" t="str">
            <v>EQUIPOS Y COMBUSTIBLES</v>
          </cell>
          <cell r="H318" t="str">
            <v>D - EQUIPOS Y COMBUSTIBLES</v>
          </cell>
          <cell r="I318" t="str">
            <v>0Q01</v>
          </cell>
        </row>
        <row r="319">
          <cell r="A319" t="str">
            <v>41-1032-000G</v>
          </cell>
          <cell r="B319" t="str">
            <v xml:space="preserve">EQU CD - Mayor / Camión Rampla / Arriendo </v>
          </cell>
          <cell r="C319" t="str">
            <v>0D01</v>
          </cell>
          <cell r="D319" t="str">
            <v>Equipos Mayores</v>
          </cell>
          <cell r="E319" t="str">
            <v>0D01 - Equipos Mayores</v>
          </cell>
          <cell r="F319" t="str">
            <v>D</v>
          </cell>
          <cell r="G319" t="str">
            <v>EQUIPOS Y COMBUSTIBLES</v>
          </cell>
          <cell r="H319" t="str">
            <v>D - EQUIPOS Y COMBUSTIBLES</v>
          </cell>
          <cell r="I319" t="str">
            <v>0Q01</v>
          </cell>
        </row>
        <row r="320">
          <cell r="A320" t="str">
            <v>41-1041-000A</v>
          </cell>
          <cell r="B320" t="str">
            <v xml:space="preserve">EQU CD - Mayor / Movimiento De Tierras / Propio </v>
          </cell>
          <cell r="C320" t="str">
            <v>0D03</v>
          </cell>
          <cell r="D320" t="str">
            <v>Movimiento de Tierra</v>
          </cell>
          <cell r="E320" t="str">
            <v>0D03 - Movimiento de Tierra</v>
          </cell>
          <cell r="F320" t="str">
            <v>D</v>
          </cell>
          <cell r="G320" t="str">
            <v>EQUIPOS Y COMBUSTIBLES</v>
          </cell>
          <cell r="H320" t="str">
            <v>D - EQUIPOS Y COMBUSTIBLES</v>
          </cell>
          <cell r="I320" t="str">
            <v>0Q01</v>
          </cell>
        </row>
        <row r="321">
          <cell r="A321" t="str">
            <v>41-1041-000G</v>
          </cell>
          <cell r="B321" t="str">
            <v xml:space="preserve">EQU CD - Mayor / Movimiento De Tierras / Propio </v>
          </cell>
          <cell r="C321" t="str">
            <v>0D03</v>
          </cell>
          <cell r="D321" t="str">
            <v>Movimiento de Tierra</v>
          </cell>
          <cell r="E321" t="str">
            <v>0D03 - Movimiento de Tierra</v>
          </cell>
          <cell r="F321" t="str">
            <v>D</v>
          </cell>
          <cell r="G321" t="str">
            <v>EQUIPOS Y COMBUSTIBLES</v>
          </cell>
          <cell r="H321" t="str">
            <v>D - EQUIPOS Y COMBUSTIBLES</v>
          </cell>
          <cell r="I321" t="str">
            <v>0Q01</v>
          </cell>
        </row>
        <row r="322">
          <cell r="A322" t="str">
            <v>41-1042-000A</v>
          </cell>
          <cell r="B322" t="str">
            <v xml:space="preserve">EQU CD - Mayor / Movimiento De Tierras / Arriendo </v>
          </cell>
          <cell r="C322" t="str">
            <v>0D03</v>
          </cell>
          <cell r="D322" t="str">
            <v>Movimiento de Tierra</v>
          </cell>
          <cell r="E322" t="str">
            <v>0D03 - Movimiento de Tierra</v>
          </cell>
          <cell r="F322" t="str">
            <v>D</v>
          </cell>
          <cell r="G322" t="str">
            <v>EQUIPOS Y COMBUSTIBLES</v>
          </cell>
          <cell r="H322" t="str">
            <v>D - EQUIPOS Y COMBUSTIBLES</v>
          </cell>
          <cell r="I322" t="str">
            <v>0Q01</v>
          </cell>
        </row>
        <row r="323">
          <cell r="A323" t="str">
            <v>41-1042-000G</v>
          </cell>
          <cell r="B323" t="str">
            <v xml:space="preserve">EQU CD - Mayor / Movimiento De Tierras / Arriendo </v>
          </cell>
          <cell r="C323" t="str">
            <v>0D03</v>
          </cell>
          <cell r="D323" t="str">
            <v>Movimiento de Tierra</v>
          </cell>
          <cell r="E323" t="str">
            <v>0D03 - Movimiento de Tierra</v>
          </cell>
          <cell r="F323" t="str">
            <v>D</v>
          </cell>
          <cell r="G323" t="str">
            <v>EQUIPOS Y COMBUSTIBLES</v>
          </cell>
          <cell r="H323" t="str">
            <v>D - EQUIPOS Y COMBUSTIBLES</v>
          </cell>
          <cell r="I323" t="str">
            <v>0Q01</v>
          </cell>
        </row>
        <row r="324">
          <cell r="A324" t="str">
            <v>41-1051-000A</v>
          </cell>
          <cell r="B324" t="str">
            <v xml:space="preserve">EQU CD - Mayor / Generador / Propio </v>
          </cell>
          <cell r="C324" t="str">
            <v>0D02</v>
          </cell>
          <cell r="D324" t="str">
            <v>Generador</v>
          </cell>
          <cell r="E324" t="str">
            <v>0D02 - Generador</v>
          </cell>
          <cell r="F324" t="str">
            <v>D</v>
          </cell>
          <cell r="G324" t="str">
            <v>EQUIPOS Y COMBUSTIBLES</v>
          </cell>
          <cell r="H324" t="str">
            <v>D - EQUIPOS Y COMBUSTIBLES</v>
          </cell>
          <cell r="I324" t="str">
            <v>0Q01</v>
          </cell>
        </row>
        <row r="325">
          <cell r="A325" t="str">
            <v>41-1051-000G</v>
          </cell>
          <cell r="B325" t="str">
            <v xml:space="preserve">EQU CD - Mayor / Generador / Propio </v>
          </cell>
          <cell r="C325" t="str">
            <v>0D02</v>
          </cell>
          <cell r="D325" t="str">
            <v>Generador</v>
          </cell>
          <cell r="E325" t="str">
            <v>0D02 - Generador</v>
          </cell>
          <cell r="F325" t="str">
            <v>D</v>
          </cell>
          <cell r="G325" t="str">
            <v>EQUIPOS Y COMBUSTIBLES</v>
          </cell>
          <cell r="H325" t="str">
            <v>D - EQUIPOS Y COMBUSTIBLES</v>
          </cell>
          <cell r="I325" t="str">
            <v>0Q01</v>
          </cell>
        </row>
        <row r="326">
          <cell r="A326" t="str">
            <v>41-1052-000A</v>
          </cell>
          <cell r="B326" t="str">
            <v xml:space="preserve">EQU CD - Mayor / Generador / Arriendo </v>
          </cell>
          <cell r="C326" t="str">
            <v>0D02</v>
          </cell>
          <cell r="D326" t="str">
            <v>Generador</v>
          </cell>
          <cell r="E326" t="str">
            <v>0D02 - Generador</v>
          </cell>
          <cell r="F326" t="str">
            <v>D</v>
          </cell>
          <cell r="G326" t="str">
            <v>EQUIPOS Y COMBUSTIBLES</v>
          </cell>
          <cell r="H326" t="str">
            <v>D - EQUIPOS Y COMBUSTIBLES</v>
          </cell>
          <cell r="I326" t="str">
            <v>0Q01</v>
          </cell>
        </row>
        <row r="327">
          <cell r="A327" t="str">
            <v>41-1052-000G</v>
          </cell>
          <cell r="B327" t="str">
            <v xml:space="preserve">EQU CD - Mayor / Generador / Arriendo </v>
          </cell>
          <cell r="C327" t="str">
            <v>0D02</v>
          </cell>
          <cell r="D327" t="str">
            <v>Generador</v>
          </cell>
          <cell r="E327" t="str">
            <v>0D02 - Generador</v>
          </cell>
          <cell r="F327" t="str">
            <v>D</v>
          </cell>
          <cell r="G327" t="str">
            <v>EQUIPOS Y COMBUSTIBLES</v>
          </cell>
          <cell r="H327" t="str">
            <v>D - EQUIPOS Y COMBUSTIBLES</v>
          </cell>
          <cell r="I327" t="str">
            <v>0Q01</v>
          </cell>
        </row>
        <row r="328">
          <cell r="A328" t="str">
            <v>41-1061-000A</v>
          </cell>
          <cell r="B328" t="str">
            <v xml:space="preserve">EQU CD - Mayor / Compresor / Propio </v>
          </cell>
          <cell r="C328" t="str">
            <v>0D01</v>
          </cell>
          <cell r="D328" t="str">
            <v>Equipos Mayores</v>
          </cell>
          <cell r="E328" t="str">
            <v>0D01 - Equipos Mayores</v>
          </cell>
          <cell r="F328" t="str">
            <v>D</v>
          </cell>
          <cell r="G328" t="str">
            <v>EQUIPOS Y COMBUSTIBLES</v>
          </cell>
          <cell r="H328" t="str">
            <v>D - EQUIPOS Y COMBUSTIBLES</v>
          </cell>
          <cell r="I328" t="str">
            <v>0Q01</v>
          </cell>
        </row>
        <row r="329">
          <cell r="A329" t="str">
            <v>41-1061-000G</v>
          </cell>
          <cell r="B329" t="str">
            <v xml:space="preserve">EQU CD - Mayor / Compresor / Propio </v>
          </cell>
          <cell r="C329" t="str">
            <v>0D01</v>
          </cell>
          <cell r="D329" t="str">
            <v>Equipos Mayores</v>
          </cell>
          <cell r="E329" t="str">
            <v>0D01 - Equipos Mayores</v>
          </cell>
          <cell r="F329" t="str">
            <v>D</v>
          </cell>
          <cell r="G329" t="str">
            <v>EQUIPOS Y COMBUSTIBLES</v>
          </cell>
          <cell r="H329" t="str">
            <v>D - EQUIPOS Y COMBUSTIBLES</v>
          </cell>
          <cell r="I329" t="str">
            <v>0Q01</v>
          </cell>
        </row>
        <row r="330">
          <cell r="A330" t="str">
            <v>41-1062-000A</v>
          </cell>
          <cell r="B330" t="str">
            <v xml:space="preserve">EQU CD - Mayor / Compresor / Arriendo </v>
          </cell>
          <cell r="C330" t="str">
            <v>0D01</v>
          </cell>
          <cell r="D330" t="str">
            <v>Equipos Mayores</v>
          </cell>
          <cell r="E330" t="str">
            <v>0D01 - Equipos Mayores</v>
          </cell>
          <cell r="F330" t="str">
            <v>D</v>
          </cell>
          <cell r="G330" t="str">
            <v>EQUIPOS Y COMBUSTIBLES</v>
          </cell>
          <cell r="H330" t="str">
            <v>D - EQUIPOS Y COMBUSTIBLES</v>
          </cell>
          <cell r="I330" t="str">
            <v>0Q01</v>
          </cell>
        </row>
        <row r="331">
          <cell r="A331" t="str">
            <v>41-1062-000G</v>
          </cell>
          <cell r="B331" t="str">
            <v xml:space="preserve">EQU CD - Mayor / Compresor / Arriendo </v>
          </cell>
          <cell r="C331" t="str">
            <v>0D01</v>
          </cell>
          <cell r="D331" t="str">
            <v>Equipos Mayores</v>
          </cell>
          <cell r="E331" t="str">
            <v>0D01 - Equipos Mayores</v>
          </cell>
          <cell r="F331" t="str">
            <v>D</v>
          </cell>
          <cell r="G331" t="str">
            <v>EQUIPOS Y COMBUSTIBLES</v>
          </cell>
          <cell r="H331" t="str">
            <v>D - EQUIPOS Y COMBUSTIBLES</v>
          </cell>
          <cell r="I331" t="str">
            <v>0Q01</v>
          </cell>
        </row>
        <row r="332">
          <cell r="A332" t="str">
            <v>41-1071-000A</v>
          </cell>
          <cell r="B332" t="str">
            <v xml:space="preserve">EQU CD - Mayor / Plataforma Elevadora / Propio </v>
          </cell>
          <cell r="C332" t="str">
            <v>0D01</v>
          </cell>
          <cell r="D332" t="str">
            <v>Equipos Mayores</v>
          </cell>
          <cell r="E332" t="str">
            <v>0D01 - Equipos Mayores</v>
          </cell>
          <cell r="F332" t="str">
            <v>D</v>
          </cell>
          <cell r="G332" t="str">
            <v>EQUIPOS Y COMBUSTIBLES</v>
          </cell>
          <cell r="H332" t="str">
            <v>D - EQUIPOS Y COMBUSTIBLES</v>
          </cell>
          <cell r="I332" t="str">
            <v>0Q01</v>
          </cell>
        </row>
        <row r="333">
          <cell r="A333" t="str">
            <v>41-1071-000G</v>
          </cell>
          <cell r="B333" t="str">
            <v xml:space="preserve">EQU CD - Mayor / Plataforma Elevadora / Propio </v>
          </cell>
          <cell r="C333" t="str">
            <v>0D01</v>
          </cell>
          <cell r="D333" t="str">
            <v>Equipos Mayores</v>
          </cell>
          <cell r="E333" t="str">
            <v>0D01 - Equipos Mayores</v>
          </cell>
          <cell r="F333" t="str">
            <v>D</v>
          </cell>
          <cell r="G333" t="str">
            <v>EQUIPOS Y COMBUSTIBLES</v>
          </cell>
          <cell r="H333" t="str">
            <v>D - EQUIPOS Y COMBUSTIBLES</v>
          </cell>
          <cell r="I333" t="str">
            <v>0Q01</v>
          </cell>
        </row>
        <row r="334">
          <cell r="A334" t="str">
            <v>41-1072-000A</v>
          </cell>
          <cell r="B334" t="str">
            <v xml:space="preserve">EQU CD - Mayor / Plataforma Elevadora / Arriendo </v>
          </cell>
          <cell r="C334" t="str">
            <v>0D01</v>
          </cell>
          <cell r="D334" t="str">
            <v>Equipos Mayores</v>
          </cell>
          <cell r="E334" t="str">
            <v>0D01 - Equipos Mayores</v>
          </cell>
          <cell r="F334" t="str">
            <v>D</v>
          </cell>
          <cell r="G334" t="str">
            <v>EQUIPOS Y COMBUSTIBLES</v>
          </cell>
          <cell r="H334" t="str">
            <v>D - EQUIPOS Y COMBUSTIBLES</v>
          </cell>
          <cell r="I334" t="str">
            <v>0Q01</v>
          </cell>
        </row>
        <row r="335">
          <cell r="A335" t="str">
            <v>41-1072-000G</v>
          </cell>
          <cell r="B335" t="str">
            <v xml:space="preserve">EQU CD - Mayor / Plataforma Elevadora / Arriendo </v>
          </cell>
          <cell r="C335" t="str">
            <v>0D01</v>
          </cell>
          <cell r="D335" t="str">
            <v>Equipos Mayores</v>
          </cell>
          <cell r="E335" t="str">
            <v>0D01 - Equipos Mayores</v>
          </cell>
          <cell r="F335" t="str">
            <v>D</v>
          </cell>
          <cell r="G335" t="str">
            <v>EQUIPOS Y COMBUSTIBLES</v>
          </cell>
          <cell r="H335" t="str">
            <v>D - EQUIPOS Y COMBUSTIBLES</v>
          </cell>
          <cell r="I335" t="str">
            <v>0Q01</v>
          </cell>
        </row>
        <row r="336">
          <cell r="A336" t="str">
            <v>41-1081-000A</v>
          </cell>
          <cell r="B336" t="str">
            <v xml:space="preserve">EQU CD - Mayor / Monta Cargas. / Propio </v>
          </cell>
          <cell r="C336" t="str">
            <v>0D01</v>
          </cell>
          <cell r="D336" t="str">
            <v>Equipos Mayores</v>
          </cell>
          <cell r="E336" t="str">
            <v>0D01 - Equipos Mayores</v>
          </cell>
          <cell r="F336" t="str">
            <v>D</v>
          </cell>
          <cell r="G336" t="str">
            <v>EQUIPOS Y COMBUSTIBLES</v>
          </cell>
          <cell r="H336" t="str">
            <v>D - EQUIPOS Y COMBUSTIBLES</v>
          </cell>
          <cell r="I336" t="str">
            <v>0Q01</v>
          </cell>
        </row>
        <row r="337">
          <cell r="A337" t="str">
            <v>41-1081-000G</v>
          </cell>
          <cell r="B337" t="str">
            <v xml:space="preserve">EQU CD - Mayor / Monta Cargas. / Propio </v>
          </cell>
          <cell r="C337" t="str">
            <v>0D01</v>
          </cell>
          <cell r="D337" t="str">
            <v>Equipos Mayores</v>
          </cell>
          <cell r="E337" t="str">
            <v>0D01 - Equipos Mayores</v>
          </cell>
          <cell r="F337" t="str">
            <v>D</v>
          </cell>
          <cell r="G337" t="str">
            <v>EQUIPOS Y COMBUSTIBLES</v>
          </cell>
          <cell r="H337" t="str">
            <v>D - EQUIPOS Y COMBUSTIBLES</v>
          </cell>
          <cell r="I337" t="str">
            <v>0Q01</v>
          </cell>
        </row>
        <row r="338">
          <cell r="A338" t="str">
            <v>41-1082-000A</v>
          </cell>
          <cell r="B338" t="str">
            <v xml:space="preserve">EQU CD - Mayor / Monta Cargas. / Arriendo </v>
          </cell>
          <cell r="C338" t="str">
            <v>0D01</v>
          </cell>
          <cell r="D338" t="str">
            <v>Equipos Mayores</v>
          </cell>
          <cell r="E338" t="str">
            <v>0D01 - Equipos Mayores</v>
          </cell>
          <cell r="F338" t="str">
            <v>D</v>
          </cell>
          <cell r="G338" t="str">
            <v>EQUIPOS Y COMBUSTIBLES</v>
          </cell>
          <cell r="H338" t="str">
            <v>D - EQUIPOS Y COMBUSTIBLES</v>
          </cell>
          <cell r="I338" t="str">
            <v>0Q01</v>
          </cell>
        </row>
        <row r="339">
          <cell r="A339" t="str">
            <v>41-1082-000G</v>
          </cell>
          <cell r="B339" t="str">
            <v xml:space="preserve">EQU CD - Mayor / Monta Cargas. / Arriendo </v>
          </cell>
          <cell r="C339" t="str">
            <v>0D01</v>
          </cell>
          <cell r="D339" t="str">
            <v>Equipos Mayores</v>
          </cell>
          <cell r="E339" t="str">
            <v>0D01 - Equipos Mayores</v>
          </cell>
          <cell r="F339" t="str">
            <v>D</v>
          </cell>
          <cell r="G339" t="str">
            <v>EQUIPOS Y COMBUSTIBLES</v>
          </cell>
          <cell r="H339" t="str">
            <v>D - EQUIPOS Y COMBUSTIBLES</v>
          </cell>
          <cell r="I339" t="str">
            <v>0Q01</v>
          </cell>
        </row>
        <row r="340">
          <cell r="A340" t="str">
            <v>41-1981-000A</v>
          </cell>
          <cell r="B340" t="str">
            <v>EQU CD - Mayor / Gastos de mantención / Propio (A)</v>
          </cell>
          <cell r="C340" t="str">
            <v>0D01</v>
          </cell>
          <cell r="D340" t="str">
            <v>Equipos Mayores</v>
          </cell>
          <cell r="E340" t="str">
            <v>0D01 - Equipos Mayores</v>
          </cell>
          <cell r="F340" t="str">
            <v>D</v>
          </cell>
          <cell r="G340" t="str">
            <v>EQUIPOS Y COMBUSTIBLES</v>
          </cell>
          <cell r="H340" t="str">
            <v>D - EQUIPOS Y COMBUSTIBLES</v>
          </cell>
          <cell r="I340" t="str">
            <v>0Q01</v>
          </cell>
        </row>
        <row r="341">
          <cell r="A341" t="str">
            <v>41-1981-000G</v>
          </cell>
          <cell r="B341" t="str">
            <v>EQU CD - Mayor / Gastos de mantención / Propio (G)</v>
          </cell>
          <cell r="C341" t="str">
            <v>0D01</v>
          </cell>
          <cell r="D341" t="str">
            <v>Equipos Mayores</v>
          </cell>
          <cell r="E341" t="str">
            <v>0D01 - Equipos Mayores</v>
          </cell>
          <cell r="F341" t="str">
            <v>D</v>
          </cell>
          <cell r="G341" t="str">
            <v>EQUIPOS Y COMBUSTIBLES</v>
          </cell>
          <cell r="H341" t="str">
            <v>D - EQUIPOS Y COMBUSTIBLES</v>
          </cell>
          <cell r="I341" t="str">
            <v>0Q01</v>
          </cell>
        </row>
        <row r="342">
          <cell r="A342" t="str">
            <v>41-1982-000A</v>
          </cell>
          <cell r="B342" t="str">
            <v>EQU CD - Mayor / Gastos de mantención / Arriendo (A)</v>
          </cell>
          <cell r="C342" t="str">
            <v>0D01</v>
          </cell>
          <cell r="D342" t="str">
            <v>Equipos Mayores</v>
          </cell>
          <cell r="E342" t="str">
            <v>0D01 - Equipos Mayores</v>
          </cell>
          <cell r="F342" t="str">
            <v>D</v>
          </cell>
          <cell r="G342" t="str">
            <v>EQUIPOS Y COMBUSTIBLES</v>
          </cell>
          <cell r="H342" t="str">
            <v>D - EQUIPOS Y COMBUSTIBLES</v>
          </cell>
          <cell r="I342" t="str">
            <v>0Q01</v>
          </cell>
        </row>
        <row r="343">
          <cell r="A343" t="str">
            <v>41-1982-000G</v>
          </cell>
          <cell r="B343" t="str">
            <v>EQU CD - Mayor / Gastos de mantención / Arriendo (G)</v>
          </cell>
          <cell r="C343" t="str">
            <v>0D01</v>
          </cell>
          <cell r="D343" t="str">
            <v>Equipos Mayores</v>
          </cell>
          <cell r="E343" t="str">
            <v>0D01 - Equipos Mayores</v>
          </cell>
          <cell r="F343" t="str">
            <v>D</v>
          </cell>
          <cell r="G343" t="str">
            <v>EQUIPOS Y COMBUSTIBLES</v>
          </cell>
          <cell r="H343" t="str">
            <v>D - EQUIPOS Y COMBUSTIBLES</v>
          </cell>
          <cell r="I343" t="str">
            <v>0Q01</v>
          </cell>
        </row>
        <row r="344">
          <cell r="A344" t="str">
            <v>41-1991-000A</v>
          </cell>
          <cell r="B344" t="str">
            <v xml:space="preserve">EQU CD - Mayor / Otros Equipos. / Propio </v>
          </cell>
          <cell r="C344" t="str">
            <v>0D01</v>
          </cell>
          <cell r="D344" t="str">
            <v>Equipos Mayores</v>
          </cell>
          <cell r="E344" t="str">
            <v>0D01 - Equipos Mayores</v>
          </cell>
          <cell r="F344" t="str">
            <v>D</v>
          </cell>
          <cell r="G344" t="str">
            <v>EQUIPOS Y COMBUSTIBLES</v>
          </cell>
          <cell r="H344" t="str">
            <v>D - EQUIPOS Y COMBUSTIBLES</v>
          </cell>
          <cell r="I344" t="str">
            <v>0Q01</v>
          </cell>
        </row>
        <row r="345">
          <cell r="A345" t="str">
            <v>41-1991-000G</v>
          </cell>
          <cell r="B345" t="str">
            <v xml:space="preserve">EQU CD - Mayor / Otros Equipos. / Propio </v>
          </cell>
          <cell r="C345" t="str">
            <v>0D01</v>
          </cell>
          <cell r="D345" t="str">
            <v>Equipos Mayores</v>
          </cell>
          <cell r="E345" t="str">
            <v>0D01 - Equipos Mayores</v>
          </cell>
          <cell r="F345" t="str">
            <v>D</v>
          </cell>
          <cell r="G345" t="str">
            <v>EQUIPOS Y COMBUSTIBLES</v>
          </cell>
          <cell r="H345" t="str">
            <v>D - EQUIPOS Y COMBUSTIBLES</v>
          </cell>
          <cell r="I345" t="str">
            <v>0Q01</v>
          </cell>
        </row>
        <row r="346">
          <cell r="A346" t="str">
            <v>41-1992-000A</v>
          </cell>
          <cell r="B346" t="str">
            <v xml:space="preserve">EQU CD - Mayor / Otros Equipos. / Arriendo </v>
          </cell>
          <cell r="C346" t="str">
            <v>0D01</v>
          </cell>
          <cell r="D346" t="str">
            <v>Equipos Mayores</v>
          </cell>
          <cell r="E346" t="str">
            <v>0D01 - Equipos Mayores</v>
          </cell>
          <cell r="F346" t="str">
            <v>D</v>
          </cell>
          <cell r="G346" t="str">
            <v>EQUIPOS Y COMBUSTIBLES</v>
          </cell>
          <cell r="H346" t="str">
            <v>D - EQUIPOS Y COMBUSTIBLES</v>
          </cell>
          <cell r="I346" t="str">
            <v>0Q01</v>
          </cell>
        </row>
        <row r="347">
          <cell r="A347" t="str">
            <v>41-1992-000G</v>
          </cell>
          <cell r="B347" t="str">
            <v xml:space="preserve">EQU CD - Mayor / Otros Equipos. / Arriendo </v>
          </cell>
          <cell r="C347" t="str">
            <v>0D01</v>
          </cell>
          <cell r="D347" t="str">
            <v>Equipos Mayores</v>
          </cell>
          <cell r="E347" t="str">
            <v>0D01 - Equipos Mayores</v>
          </cell>
          <cell r="F347" t="str">
            <v>D</v>
          </cell>
          <cell r="G347" t="str">
            <v>EQUIPOS Y COMBUSTIBLES</v>
          </cell>
          <cell r="H347" t="str">
            <v>D - EQUIPOS Y COMBUSTIBLES</v>
          </cell>
          <cell r="I347" t="str">
            <v>0Q01</v>
          </cell>
        </row>
        <row r="348">
          <cell r="A348" t="str">
            <v>41-2501-000A</v>
          </cell>
          <cell r="B348" t="str">
            <v xml:space="preserve">EQU CD - Menor / Maquinas Soldadoras / Propio </v>
          </cell>
          <cell r="C348" t="str">
            <v>0D09</v>
          </cell>
          <cell r="D348" t="str">
            <v>Equipos menores</v>
          </cell>
          <cell r="E348" t="str">
            <v>0D09 - Equipos menores</v>
          </cell>
          <cell r="F348" t="str">
            <v>D</v>
          </cell>
          <cell r="G348" t="str">
            <v>EQUIPOS Y COMBUSTIBLES</v>
          </cell>
          <cell r="H348" t="str">
            <v>D - EQUIPOS Y COMBUSTIBLES</v>
          </cell>
          <cell r="I348" t="str">
            <v>0Q01</v>
          </cell>
        </row>
        <row r="349">
          <cell r="A349" t="str">
            <v>41-2501-000G</v>
          </cell>
          <cell r="B349" t="str">
            <v xml:space="preserve">EQU CD - Menor / Maquinas Soldadoras / Propio </v>
          </cell>
          <cell r="C349" t="str">
            <v>0D09</v>
          </cell>
          <cell r="D349" t="str">
            <v>Equipos menores</v>
          </cell>
          <cell r="E349" t="str">
            <v>0D09 - Equipos menores</v>
          </cell>
          <cell r="F349" t="str">
            <v>D</v>
          </cell>
          <cell r="G349" t="str">
            <v>EQUIPOS Y COMBUSTIBLES</v>
          </cell>
          <cell r="H349" t="str">
            <v>D - EQUIPOS Y COMBUSTIBLES</v>
          </cell>
          <cell r="I349" t="str">
            <v>0Q01</v>
          </cell>
        </row>
        <row r="350">
          <cell r="A350" t="str">
            <v>41-2502-000A</v>
          </cell>
          <cell r="B350" t="str">
            <v xml:space="preserve">EQU CD - Menor / Maquinas Soldadoras / Arriendo </v>
          </cell>
          <cell r="C350" t="str">
            <v>0D09</v>
          </cell>
          <cell r="D350" t="str">
            <v>Equipos menores</v>
          </cell>
          <cell r="E350" t="str">
            <v>0D09 - Equipos menores</v>
          </cell>
          <cell r="F350" t="str">
            <v>D</v>
          </cell>
          <cell r="G350" t="str">
            <v>EQUIPOS Y COMBUSTIBLES</v>
          </cell>
          <cell r="H350" t="str">
            <v>D - EQUIPOS Y COMBUSTIBLES</v>
          </cell>
          <cell r="I350" t="str">
            <v>0Q01</v>
          </cell>
        </row>
        <row r="351">
          <cell r="A351" t="str">
            <v>41-2502-000G</v>
          </cell>
          <cell r="B351" t="str">
            <v xml:space="preserve">EQU CD - Menor / Maquinas Soldadoras / Arriendo </v>
          </cell>
          <cell r="C351" t="str">
            <v>0D09</v>
          </cell>
          <cell r="D351" t="str">
            <v>Equipos menores</v>
          </cell>
          <cell r="E351" t="str">
            <v>0D09 - Equipos menores</v>
          </cell>
          <cell r="F351" t="str">
            <v>D</v>
          </cell>
          <cell r="G351" t="str">
            <v>EQUIPOS Y COMBUSTIBLES</v>
          </cell>
          <cell r="H351" t="str">
            <v>D - EQUIPOS Y COMBUSTIBLES</v>
          </cell>
          <cell r="I351" t="str">
            <v>0Q01</v>
          </cell>
        </row>
        <row r="352">
          <cell r="A352" t="str">
            <v>41-2511-000A</v>
          </cell>
          <cell r="B352" t="str">
            <v xml:space="preserve">EQU CD - Menor / Elementos De Izaje / Propio </v>
          </cell>
          <cell r="C352" t="str">
            <v>0D09</v>
          </cell>
          <cell r="D352" t="str">
            <v>Equipos menores</v>
          </cell>
          <cell r="E352" t="str">
            <v>0D09 - Equipos menores</v>
          </cell>
          <cell r="F352" t="str">
            <v>D</v>
          </cell>
          <cell r="G352" t="str">
            <v>EQUIPOS Y COMBUSTIBLES</v>
          </cell>
          <cell r="H352" t="str">
            <v>D - EQUIPOS Y COMBUSTIBLES</v>
          </cell>
          <cell r="I352" t="str">
            <v>0Q01</v>
          </cell>
        </row>
        <row r="353">
          <cell r="A353" t="str">
            <v>41-2511-000G</v>
          </cell>
          <cell r="B353" t="str">
            <v xml:space="preserve">EQU CD - Menor / Elementos De Izaje / Propio </v>
          </cell>
          <cell r="C353" t="str">
            <v>0D09</v>
          </cell>
          <cell r="D353" t="str">
            <v>Equipos menores</v>
          </cell>
          <cell r="E353" t="str">
            <v>0D09 - Equipos menores</v>
          </cell>
          <cell r="F353" t="str">
            <v>D</v>
          </cell>
          <cell r="G353" t="str">
            <v>EQUIPOS Y COMBUSTIBLES</v>
          </cell>
          <cell r="H353" t="str">
            <v>D - EQUIPOS Y COMBUSTIBLES</v>
          </cell>
          <cell r="I353" t="str">
            <v>0Q01</v>
          </cell>
        </row>
        <row r="354">
          <cell r="A354" t="str">
            <v>41-2512-000A</v>
          </cell>
          <cell r="B354" t="str">
            <v xml:space="preserve">EQU CD - Menor / Elementos De Izaje / Arriendo </v>
          </cell>
          <cell r="C354" t="str">
            <v>0D09</v>
          </cell>
          <cell r="D354" t="str">
            <v>Equipos menores</v>
          </cell>
          <cell r="E354" t="str">
            <v>0D09 - Equipos menores</v>
          </cell>
          <cell r="F354" t="str">
            <v>D</v>
          </cell>
          <cell r="G354" t="str">
            <v>EQUIPOS Y COMBUSTIBLES</v>
          </cell>
          <cell r="H354" t="str">
            <v>D - EQUIPOS Y COMBUSTIBLES</v>
          </cell>
          <cell r="I354" t="str">
            <v>0Q01</v>
          </cell>
        </row>
        <row r="355">
          <cell r="A355" t="str">
            <v>41-2512-000G</v>
          </cell>
          <cell r="B355" t="str">
            <v xml:space="preserve">EQU CD - Menor / Elementos De Izaje / Arriendo </v>
          </cell>
          <cell r="C355" t="str">
            <v>0D09</v>
          </cell>
          <cell r="D355" t="str">
            <v>Equipos menores</v>
          </cell>
          <cell r="E355" t="str">
            <v>0D09 - Equipos menores</v>
          </cell>
          <cell r="F355" t="str">
            <v>D</v>
          </cell>
          <cell r="G355" t="str">
            <v>EQUIPOS Y COMBUSTIBLES</v>
          </cell>
          <cell r="H355" t="str">
            <v>D - EQUIPOS Y COMBUSTIBLES</v>
          </cell>
          <cell r="I355" t="str">
            <v>0Q01</v>
          </cell>
        </row>
        <row r="356">
          <cell r="A356" t="str">
            <v>41-2521-000A</v>
          </cell>
          <cell r="B356" t="str">
            <v xml:space="preserve">EQU CD - Menor / Andamios / Propio </v>
          </cell>
          <cell r="C356" t="str">
            <v>0D04</v>
          </cell>
          <cell r="D356" t="str">
            <v xml:space="preserve">Andamios </v>
          </cell>
          <cell r="E356" t="str">
            <v xml:space="preserve">0D04 - Andamios </v>
          </cell>
          <cell r="F356" t="str">
            <v>D</v>
          </cell>
          <cell r="G356" t="str">
            <v>EQUIPOS Y COMBUSTIBLES</v>
          </cell>
          <cell r="H356" t="str">
            <v>D - EQUIPOS Y COMBUSTIBLES</v>
          </cell>
          <cell r="I356" t="str">
            <v>0Q01</v>
          </cell>
        </row>
        <row r="357">
          <cell r="A357" t="str">
            <v>41-2521-000G</v>
          </cell>
          <cell r="B357" t="str">
            <v xml:space="preserve">EQU CD - Menor / Andamios / Propio </v>
          </cell>
          <cell r="C357" t="str">
            <v>0D04</v>
          </cell>
          <cell r="D357" t="str">
            <v xml:space="preserve">Andamios </v>
          </cell>
          <cell r="E357" t="str">
            <v xml:space="preserve">0D04 - Andamios </v>
          </cell>
          <cell r="F357" t="str">
            <v>D</v>
          </cell>
          <cell r="G357" t="str">
            <v>EQUIPOS Y COMBUSTIBLES</v>
          </cell>
          <cell r="H357" t="str">
            <v>D - EQUIPOS Y COMBUSTIBLES</v>
          </cell>
          <cell r="I357" t="str">
            <v>0Q01</v>
          </cell>
        </row>
        <row r="358">
          <cell r="A358" t="str">
            <v>41-2522-000A</v>
          </cell>
          <cell r="B358" t="str">
            <v xml:space="preserve">EQU CD - Menor / Andamios / Arriendo </v>
          </cell>
          <cell r="C358" t="str">
            <v>0D04</v>
          </cell>
          <cell r="D358" t="str">
            <v xml:space="preserve">Andamios </v>
          </cell>
          <cell r="E358" t="str">
            <v xml:space="preserve">0D04 - Andamios </v>
          </cell>
          <cell r="F358" t="str">
            <v>D</v>
          </cell>
          <cell r="G358" t="str">
            <v>EQUIPOS Y COMBUSTIBLES</v>
          </cell>
          <cell r="H358" t="str">
            <v>D - EQUIPOS Y COMBUSTIBLES</v>
          </cell>
          <cell r="I358" t="str">
            <v>0Q01</v>
          </cell>
        </row>
        <row r="359">
          <cell r="A359" t="str">
            <v>41-2522-000G</v>
          </cell>
          <cell r="B359" t="str">
            <v xml:space="preserve">EQU CD - Menor / Andamios / Arriendo </v>
          </cell>
          <cell r="C359" t="str">
            <v>0D04</v>
          </cell>
          <cell r="D359" t="str">
            <v xml:space="preserve">Andamios </v>
          </cell>
          <cell r="E359" t="str">
            <v xml:space="preserve">0D04 - Andamios </v>
          </cell>
          <cell r="F359" t="str">
            <v>D</v>
          </cell>
          <cell r="G359" t="str">
            <v>EQUIPOS Y COMBUSTIBLES</v>
          </cell>
          <cell r="H359" t="str">
            <v>D - EQUIPOS Y COMBUSTIBLES</v>
          </cell>
          <cell r="I359" t="str">
            <v>0Q01</v>
          </cell>
        </row>
        <row r="360">
          <cell r="A360" t="str">
            <v>41-2981-000A</v>
          </cell>
          <cell r="B360" t="str">
            <v>EQU CD - Menor / Gastos de mantención / Propio (A)</v>
          </cell>
          <cell r="C360" t="str">
            <v>0D09</v>
          </cell>
          <cell r="D360" t="str">
            <v>Equipos menores</v>
          </cell>
          <cell r="E360" t="str">
            <v>0D09 - Equipos menores</v>
          </cell>
          <cell r="F360" t="str">
            <v>D</v>
          </cell>
          <cell r="G360" t="str">
            <v>EQUIPOS Y COMBUSTIBLES</v>
          </cell>
          <cell r="H360" t="str">
            <v>D - EQUIPOS Y COMBUSTIBLES</v>
          </cell>
          <cell r="I360" t="str">
            <v>0Q01</v>
          </cell>
        </row>
        <row r="361">
          <cell r="A361" t="str">
            <v>41-2981-000G</v>
          </cell>
          <cell r="B361" t="str">
            <v>EQU CD - Menor / Gastos de mantención / Propio (G)</v>
          </cell>
          <cell r="C361" t="str">
            <v>0D09</v>
          </cell>
          <cell r="D361" t="str">
            <v>Equipos menores</v>
          </cell>
          <cell r="E361" t="str">
            <v>0D09 - Equipos menores</v>
          </cell>
          <cell r="F361" t="str">
            <v>D</v>
          </cell>
          <cell r="G361" t="str">
            <v>EQUIPOS Y COMBUSTIBLES</v>
          </cell>
          <cell r="H361" t="str">
            <v>D - EQUIPOS Y COMBUSTIBLES</v>
          </cell>
          <cell r="I361" t="str">
            <v>0Q01</v>
          </cell>
        </row>
        <row r="362">
          <cell r="A362" t="str">
            <v>41-2982-000A</v>
          </cell>
          <cell r="B362" t="str">
            <v>EQU CD - Menor / Gastos de mantención / Arriendo (A)</v>
          </cell>
          <cell r="C362" t="str">
            <v>0D09</v>
          </cell>
          <cell r="D362" t="str">
            <v>Equipos menores</v>
          </cell>
          <cell r="E362" t="str">
            <v>0D09 - Equipos menores</v>
          </cell>
          <cell r="F362" t="str">
            <v>D</v>
          </cell>
          <cell r="G362" t="str">
            <v>EQUIPOS Y COMBUSTIBLES</v>
          </cell>
          <cell r="H362" t="str">
            <v>D - EQUIPOS Y COMBUSTIBLES</v>
          </cell>
          <cell r="I362" t="str">
            <v>0Q01</v>
          </cell>
        </row>
        <row r="363">
          <cell r="A363" t="str">
            <v>41-2982-000G</v>
          </cell>
          <cell r="B363" t="str">
            <v>EQU CD - Menor / Gastos de mantención / Arriendo (G)</v>
          </cell>
          <cell r="C363" t="str">
            <v>0D09</v>
          </cell>
          <cell r="D363" t="str">
            <v>Equipos menores</v>
          </cell>
          <cell r="E363" t="str">
            <v>0D09 - Equipos menores</v>
          </cell>
          <cell r="F363" t="str">
            <v>D</v>
          </cell>
          <cell r="G363" t="str">
            <v>EQUIPOS Y COMBUSTIBLES</v>
          </cell>
          <cell r="H363" t="str">
            <v>D - EQUIPOS Y COMBUSTIBLES</v>
          </cell>
          <cell r="I363" t="str">
            <v>0Q01</v>
          </cell>
        </row>
        <row r="364">
          <cell r="A364" t="str">
            <v>41-2991-000A</v>
          </cell>
          <cell r="B364" t="str">
            <v xml:space="preserve">EQU CD - Menor / Otros Equipos  / Propio </v>
          </cell>
          <cell r="C364" t="str">
            <v>0D09</v>
          </cell>
          <cell r="D364" t="str">
            <v>Equipos menores</v>
          </cell>
          <cell r="E364" t="str">
            <v>0D09 - Equipos menores</v>
          </cell>
          <cell r="F364" t="str">
            <v>D</v>
          </cell>
          <cell r="G364" t="str">
            <v>EQUIPOS Y COMBUSTIBLES</v>
          </cell>
          <cell r="H364" t="str">
            <v>D - EQUIPOS Y COMBUSTIBLES</v>
          </cell>
          <cell r="I364" t="str">
            <v>0Q01</v>
          </cell>
        </row>
        <row r="365">
          <cell r="A365" t="str">
            <v>41-2991-000G</v>
          </cell>
          <cell r="B365" t="str">
            <v xml:space="preserve">EQU CD - Menor / Otros Equipos  / Propio </v>
          </cell>
          <cell r="C365" t="str">
            <v>0D09</v>
          </cell>
          <cell r="D365" t="str">
            <v>Equipos menores</v>
          </cell>
          <cell r="E365" t="str">
            <v>0D09 - Equipos menores</v>
          </cell>
          <cell r="F365" t="str">
            <v>D</v>
          </cell>
          <cell r="G365" t="str">
            <v>EQUIPOS Y COMBUSTIBLES</v>
          </cell>
          <cell r="H365" t="str">
            <v>D - EQUIPOS Y COMBUSTIBLES</v>
          </cell>
          <cell r="I365" t="str">
            <v>0Q01</v>
          </cell>
        </row>
        <row r="366">
          <cell r="A366" t="str">
            <v>41-2992-000A</v>
          </cell>
          <cell r="B366" t="str">
            <v xml:space="preserve">EQU CD - Menor / Otros Equipos  / Arriendo </v>
          </cell>
          <cell r="C366" t="str">
            <v>0D09</v>
          </cell>
          <cell r="D366" t="str">
            <v>Equipos menores</v>
          </cell>
          <cell r="E366" t="str">
            <v>0D09 - Equipos menores</v>
          </cell>
          <cell r="F366" t="str">
            <v>D</v>
          </cell>
          <cell r="G366" t="str">
            <v>EQUIPOS Y COMBUSTIBLES</v>
          </cell>
          <cell r="H366" t="str">
            <v>D - EQUIPOS Y COMBUSTIBLES</v>
          </cell>
          <cell r="I366" t="str">
            <v>0Q01</v>
          </cell>
        </row>
        <row r="367">
          <cell r="A367" t="str">
            <v>41-2992-000G</v>
          </cell>
          <cell r="B367" t="str">
            <v xml:space="preserve">EQU CD - Menor / Otros Equipos  / Arriendo </v>
          </cell>
          <cell r="C367" t="str">
            <v>0D09</v>
          </cell>
          <cell r="D367" t="str">
            <v>Equipos menores</v>
          </cell>
          <cell r="E367" t="str">
            <v>0D09 - Equipos menores</v>
          </cell>
          <cell r="F367" t="str">
            <v>D</v>
          </cell>
          <cell r="G367" t="str">
            <v>EQUIPOS Y COMBUSTIBLES</v>
          </cell>
          <cell r="H367" t="str">
            <v>D - EQUIPOS Y COMBUSTIBLES</v>
          </cell>
          <cell r="I367" t="str">
            <v>0Q01</v>
          </cell>
        </row>
        <row r="368">
          <cell r="A368" t="str">
            <v>41-3961-000A</v>
          </cell>
          <cell r="B368" t="str">
            <v xml:space="preserve">EQU CD - Combustibles / Bencina / Bencina </v>
          </cell>
          <cell r="C368" t="str">
            <v>0D05</v>
          </cell>
          <cell r="D368" t="str">
            <v xml:space="preserve">Combustibles </v>
          </cell>
          <cell r="E368" t="str">
            <v xml:space="preserve">0D05 - Combustibles </v>
          </cell>
          <cell r="F368" t="str">
            <v>D</v>
          </cell>
          <cell r="G368" t="str">
            <v>EQUIPOS Y COMBUSTIBLES</v>
          </cell>
          <cell r="H368" t="str">
            <v>D - EQUIPOS Y COMBUSTIBLES</v>
          </cell>
          <cell r="I368" t="str">
            <v>0Q01</v>
          </cell>
        </row>
        <row r="369">
          <cell r="A369" t="str">
            <v>41-3961-000G</v>
          </cell>
          <cell r="B369" t="str">
            <v xml:space="preserve">EQU CD - Combustibles / Bencina / Bencina </v>
          </cell>
          <cell r="C369" t="str">
            <v>0D05</v>
          </cell>
          <cell r="D369" t="str">
            <v xml:space="preserve">Combustibles </v>
          </cell>
          <cell r="E369" t="str">
            <v xml:space="preserve">0D05 - Combustibles </v>
          </cell>
          <cell r="F369" t="str">
            <v>D</v>
          </cell>
          <cell r="G369" t="str">
            <v>EQUIPOS Y COMBUSTIBLES</v>
          </cell>
          <cell r="H369" t="str">
            <v>D - EQUIPOS Y COMBUSTIBLES</v>
          </cell>
          <cell r="I369" t="str">
            <v>0Q01</v>
          </cell>
        </row>
        <row r="370">
          <cell r="A370" t="str">
            <v>41-3971-000A</v>
          </cell>
          <cell r="B370" t="str">
            <v xml:space="preserve">EQU CD - Combustibles / Petroleo / Petroleo </v>
          </cell>
          <cell r="C370" t="str">
            <v>0D05</v>
          </cell>
          <cell r="D370" t="str">
            <v xml:space="preserve">Combustibles </v>
          </cell>
          <cell r="E370" t="str">
            <v xml:space="preserve">0D05 - Combustibles </v>
          </cell>
          <cell r="F370" t="str">
            <v>D</v>
          </cell>
          <cell r="G370" t="str">
            <v>EQUIPOS Y COMBUSTIBLES</v>
          </cell>
          <cell r="H370" t="str">
            <v>D - EQUIPOS Y COMBUSTIBLES</v>
          </cell>
          <cell r="I370" t="str">
            <v>0Q01</v>
          </cell>
        </row>
        <row r="371">
          <cell r="A371" t="str">
            <v>41-3971-000G</v>
          </cell>
          <cell r="B371" t="str">
            <v xml:space="preserve">EQU CD - Combustibles / Petroleo / Petroleo </v>
          </cell>
          <cell r="C371" t="str">
            <v>0D05</v>
          </cell>
          <cell r="D371" t="str">
            <v xml:space="preserve">Combustibles </v>
          </cell>
          <cell r="E371" t="str">
            <v xml:space="preserve">0D05 - Combustibles </v>
          </cell>
          <cell r="F371" t="str">
            <v>D</v>
          </cell>
          <cell r="G371" t="str">
            <v>EQUIPOS Y COMBUSTIBLES</v>
          </cell>
          <cell r="H371" t="str">
            <v>D - EQUIPOS Y COMBUSTIBLES</v>
          </cell>
          <cell r="I371" t="str">
            <v>0Q01</v>
          </cell>
        </row>
        <row r="372">
          <cell r="A372" t="str">
            <v>41-3971-010A</v>
          </cell>
          <cell r="B372" t="str">
            <v>EQU CD - Combustibles / Reembolsable</v>
          </cell>
          <cell r="C372" t="str">
            <v>0D05</v>
          </cell>
          <cell r="D372" t="str">
            <v xml:space="preserve">Combustibles </v>
          </cell>
          <cell r="E372" t="str">
            <v xml:space="preserve">0D05 - Combustibles </v>
          </cell>
          <cell r="F372" t="str">
            <v>D</v>
          </cell>
          <cell r="G372" t="str">
            <v>EQUIPOS Y COMBUSTIBLES</v>
          </cell>
          <cell r="H372" t="str">
            <v>D - EQUIPOS Y COMBUSTIBLES</v>
          </cell>
          <cell r="I372" t="str">
            <v>0Q01</v>
          </cell>
        </row>
        <row r="373">
          <cell r="A373" t="str">
            <v>41-3971-010G</v>
          </cell>
          <cell r="B373" t="str">
            <v>EQU CD - Combustibles / Reembolsable</v>
          </cell>
          <cell r="C373" t="str">
            <v>0D05</v>
          </cell>
          <cell r="D373" t="str">
            <v xml:space="preserve">Combustibles </v>
          </cell>
          <cell r="E373" t="str">
            <v xml:space="preserve">0D05 - Combustibles </v>
          </cell>
          <cell r="F373" t="str">
            <v>D</v>
          </cell>
          <cell r="G373" t="str">
            <v>EQUIPOS Y COMBUSTIBLES</v>
          </cell>
          <cell r="H373" t="str">
            <v>D - EQUIPOS Y COMBUSTIBLES</v>
          </cell>
          <cell r="I373" t="str">
            <v>0Q01</v>
          </cell>
        </row>
        <row r="374">
          <cell r="A374" t="str">
            <v>41-4951-000A</v>
          </cell>
          <cell r="B374" t="str">
            <v xml:space="preserve">EQU CD - Fletes / Fletes / Fletes </v>
          </cell>
          <cell r="C374" t="str">
            <v>0D06</v>
          </cell>
          <cell r="D374" t="str">
            <v xml:space="preserve">Fletes </v>
          </cell>
          <cell r="E374" t="str">
            <v xml:space="preserve">0D06 - Fletes </v>
          </cell>
          <cell r="F374" t="str">
            <v>D</v>
          </cell>
          <cell r="G374" t="str">
            <v>EQUIPOS Y COMBUSTIBLES</v>
          </cell>
          <cell r="H374" t="str">
            <v>D - EQUIPOS Y COMBUSTIBLES</v>
          </cell>
          <cell r="I374" t="str">
            <v>0Q01</v>
          </cell>
        </row>
        <row r="375">
          <cell r="A375" t="str">
            <v>41-4951-000G</v>
          </cell>
          <cell r="B375" t="str">
            <v xml:space="preserve">EQU CD - Fletes / Fletes / Fletes </v>
          </cell>
          <cell r="C375" t="str">
            <v>0D06</v>
          </cell>
          <cell r="D375" t="str">
            <v xml:space="preserve">Fletes </v>
          </cell>
          <cell r="E375" t="str">
            <v xml:space="preserve">0D06 - Fletes </v>
          </cell>
          <cell r="F375" t="str">
            <v>D</v>
          </cell>
          <cell r="G375" t="str">
            <v>EQUIPOS Y COMBUSTIBLES</v>
          </cell>
          <cell r="H375" t="str">
            <v>D - EQUIPOS Y COMBUSTIBLES</v>
          </cell>
          <cell r="I375" t="str">
            <v>0Q01</v>
          </cell>
        </row>
        <row r="376">
          <cell r="A376" t="str">
            <v>41-5941-000A</v>
          </cell>
          <cell r="B376" t="str">
            <v>EQU CD - Certific. de Equipos / Certificación / Todos (A)</v>
          </cell>
          <cell r="C376" t="str">
            <v>0D10</v>
          </cell>
          <cell r="D376" t="str">
            <v>Cert. De Equipo</v>
          </cell>
          <cell r="E376" t="str">
            <v>0D10 - Cert. De Equipo</v>
          </cell>
          <cell r="F376" t="str">
            <v>D</v>
          </cell>
          <cell r="G376" t="str">
            <v>EQUIPOS Y COMBUSTIBLES</v>
          </cell>
          <cell r="H376" t="str">
            <v>D - EQUIPOS Y COMBUSTIBLES</v>
          </cell>
          <cell r="I376" t="str">
            <v>0Q01</v>
          </cell>
        </row>
        <row r="377">
          <cell r="A377" t="str">
            <v>41-5941-000G</v>
          </cell>
          <cell r="B377" t="str">
            <v>EQU CD - Certific. de Equipos / Certificación / Todos (G)</v>
          </cell>
          <cell r="C377" t="str">
            <v>0D10</v>
          </cell>
          <cell r="D377" t="str">
            <v>Cert. De Equipo</v>
          </cell>
          <cell r="E377" t="str">
            <v>0D10 - Cert. De Equipo</v>
          </cell>
          <cell r="F377" t="str">
            <v>D</v>
          </cell>
          <cell r="G377" t="str">
            <v>EQUIPOS Y COMBUSTIBLES</v>
          </cell>
          <cell r="H377" t="str">
            <v>D - EQUIPOS Y COMBUSTIBLES</v>
          </cell>
          <cell r="I377" t="str">
            <v>0Q01</v>
          </cell>
        </row>
        <row r="378">
          <cell r="A378" t="str">
            <v>41-6201-040G</v>
          </cell>
          <cell r="B378" t="str">
            <v>EQU CD - Depreciacion maquinaria en Leasing</v>
          </cell>
          <cell r="C378" t="str">
            <v>0D01</v>
          </cell>
          <cell r="D378" t="str">
            <v>Equipos Mayores</v>
          </cell>
          <cell r="E378" t="str">
            <v>0D01 - Equipos Mayores</v>
          </cell>
          <cell r="F378" t="str">
            <v>D</v>
          </cell>
          <cell r="G378" t="str">
            <v>EQUIPOS Y COMBUSTIBLES</v>
          </cell>
          <cell r="H378" t="str">
            <v>D - EQUIPOS Y COMBUSTIBLES</v>
          </cell>
          <cell r="I378" t="str">
            <v>0Q01</v>
          </cell>
        </row>
        <row r="379">
          <cell r="A379" t="str">
            <v>41-6201-050G</v>
          </cell>
          <cell r="B379" t="str">
            <v>EQU CD - Depreciacion maquinaria</v>
          </cell>
          <cell r="C379" t="str">
            <v>0D01</v>
          </cell>
          <cell r="D379" t="str">
            <v>Equipos Mayores</v>
          </cell>
          <cell r="E379" t="str">
            <v>0D01 - Equipos Mayores</v>
          </cell>
          <cell r="F379" t="str">
            <v>D</v>
          </cell>
          <cell r="G379" t="str">
            <v>EQUIPOS Y COMBUSTIBLES</v>
          </cell>
          <cell r="H379" t="str">
            <v>D - EQUIPOS Y COMBUSTIBLES</v>
          </cell>
          <cell r="I379" t="str">
            <v>0Q01</v>
          </cell>
        </row>
        <row r="380">
          <cell r="A380" t="str">
            <v>42-2531-000A</v>
          </cell>
          <cell r="B380" t="str">
            <v xml:space="preserve">EQU CI - Menor / Equipo topográfico / Propio </v>
          </cell>
          <cell r="C380" t="str">
            <v>1G03</v>
          </cell>
          <cell r="D380" t="str">
            <v xml:space="preserve">Equipo topográfico </v>
          </cell>
          <cell r="E380" t="str">
            <v xml:space="preserve">1G03 - Equipo topográfico </v>
          </cell>
          <cell r="F380" t="str">
            <v>G</v>
          </cell>
          <cell r="G380" t="str">
            <v>EQUIPOS INDIRECTOS</v>
          </cell>
          <cell r="H380" t="str">
            <v>G - EQUIPOS INDIRECTOS</v>
          </cell>
          <cell r="I380" t="str">
            <v>1Z01</v>
          </cell>
        </row>
        <row r="381">
          <cell r="A381" t="str">
            <v>42-2531-000G</v>
          </cell>
          <cell r="B381" t="str">
            <v xml:space="preserve">EQU CI - Menor / Equipo topográfico / Propio </v>
          </cell>
          <cell r="C381" t="str">
            <v>1G03</v>
          </cell>
          <cell r="D381" t="str">
            <v xml:space="preserve">Equipo topográfico </v>
          </cell>
          <cell r="E381" t="str">
            <v xml:space="preserve">1G03 - Equipo topográfico </v>
          </cell>
          <cell r="F381" t="str">
            <v>G</v>
          </cell>
          <cell r="G381" t="str">
            <v>EQUIPOS INDIRECTOS</v>
          </cell>
          <cell r="H381" t="str">
            <v>G - EQUIPOS INDIRECTOS</v>
          </cell>
          <cell r="I381" t="str">
            <v>1Z01</v>
          </cell>
        </row>
        <row r="382">
          <cell r="A382" t="str">
            <v>42-2532-000A</v>
          </cell>
          <cell r="B382" t="str">
            <v xml:space="preserve">EQU CI - Menor / Equipo topográfico / Arriendo </v>
          </cell>
          <cell r="C382" t="str">
            <v>1G03</v>
          </cell>
          <cell r="D382" t="str">
            <v xml:space="preserve">Equipo topográfico </v>
          </cell>
          <cell r="E382" t="str">
            <v xml:space="preserve">1G03 - Equipo topográfico </v>
          </cell>
          <cell r="F382" t="str">
            <v>G</v>
          </cell>
          <cell r="G382" t="str">
            <v>EQUIPOS INDIRECTOS</v>
          </cell>
          <cell r="H382" t="str">
            <v>G - EQUIPOS INDIRECTOS</v>
          </cell>
          <cell r="I382" t="str">
            <v>1Z01</v>
          </cell>
        </row>
        <row r="383">
          <cell r="A383" t="str">
            <v>42-2532-000G</v>
          </cell>
          <cell r="B383" t="str">
            <v xml:space="preserve">EQU CI - Menor / Equipo topográfico / Arriendo </v>
          </cell>
          <cell r="C383" t="str">
            <v>1G03</v>
          </cell>
          <cell r="D383" t="str">
            <v xml:space="preserve">Equipo topográfico </v>
          </cell>
          <cell r="E383" t="str">
            <v xml:space="preserve">1G03 - Equipo topográfico </v>
          </cell>
          <cell r="F383" t="str">
            <v>G</v>
          </cell>
          <cell r="G383" t="str">
            <v>EQUIPOS INDIRECTOS</v>
          </cell>
          <cell r="H383" t="str">
            <v>G - EQUIPOS INDIRECTOS</v>
          </cell>
          <cell r="I383" t="str">
            <v>1Z01</v>
          </cell>
        </row>
        <row r="384">
          <cell r="A384" t="str">
            <v>42-2541-000A</v>
          </cell>
          <cell r="B384" t="str">
            <v xml:space="preserve">EQU CI - Menor / Camioneta / Propio </v>
          </cell>
          <cell r="C384" t="str">
            <v>1G01</v>
          </cell>
          <cell r="D384" t="str">
            <v>Camionetas</v>
          </cell>
          <cell r="E384" t="str">
            <v>1G01 - Camionetas</v>
          </cell>
          <cell r="F384" t="str">
            <v>G</v>
          </cell>
          <cell r="G384" t="str">
            <v>EQUIPOS INDIRECTOS</v>
          </cell>
          <cell r="H384" t="str">
            <v>G - EQUIPOS INDIRECTOS</v>
          </cell>
          <cell r="I384" t="str">
            <v>1Z01</v>
          </cell>
        </row>
        <row r="385">
          <cell r="A385" t="str">
            <v>42-2541-000G</v>
          </cell>
          <cell r="B385" t="str">
            <v>EQU CI - Menor / Camioneta / Propio (MANTENCION)</v>
          </cell>
          <cell r="C385" t="str">
            <v>1G01</v>
          </cell>
          <cell r="D385" t="str">
            <v>Camionetas</v>
          </cell>
          <cell r="E385" t="str">
            <v>1G01 - Camionetas</v>
          </cell>
          <cell r="F385" t="str">
            <v>G</v>
          </cell>
          <cell r="G385" t="str">
            <v>EQUIPOS INDIRECTOS</v>
          </cell>
          <cell r="H385" t="str">
            <v>G - EQUIPOS INDIRECTOS</v>
          </cell>
          <cell r="I385" t="str">
            <v>1Z01</v>
          </cell>
        </row>
        <row r="386">
          <cell r="A386" t="str">
            <v>42-2541-020G</v>
          </cell>
          <cell r="B386" t="str">
            <v>EQU CI - Menor / Camioneta / Depreciacion</v>
          </cell>
          <cell r="C386" t="str">
            <v>1G01</v>
          </cell>
          <cell r="D386" t="str">
            <v>Camionetas</v>
          </cell>
          <cell r="E386" t="str">
            <v>1G01 - Camionetas</v>
          </cell>
          <cell r="F386" t="str">
            <v>G</v>
          </cell>
          <cell r="G386" t="str">
            <v>EQUIPOS INDIRECTOS</v>
          </cell>
          <cell r="H386" t="str">
            <v>G - EQUIPOS INDIRECTOS</v>
          </cell>
          <cell r="I386" t="str">
            <v>1Z01</v>
          </cell>
        </row>
        <row r="387">
          <cell r="A387" t="str">
            <v>42-2542-000A</v>
          </cell>
          <cell r="B387" t="str">
            <v xml:space="preserve">EQU CI - Menor / Camioneta / Arriendo </v>
          </cell>
          <cell r="C387" t="str">
            <v>1G01</v>
          </cell>
          <cell r="D387" t="str">
            <v>Camionetas</v>
          </cell>
          <cell r="E387" t="str">
            <v>1G01 - Camionetas</v>
          </cell>
          <cell r="F387" t="str">
            <v>G</v>
          </cell>
          <cell r="G387" t="str">
            <v>EQUIPOS INDIRECTOS</v>
          </cell>
          <cell r="H387" t="str">
            <v>G - EQUIPOS INDIRECTOS</v>
          </cell>
          <cell r="I387" t="str">
            <v>1Z01</v>
          </cell>
        </row>
        <row r="388">
          <cell r="A388" t="str">
            <v>42-2542-000G</v>
          </cell>
          <cell r="B388" t="str">
            <v xml:space="preserve">EQU CI - Menor / Camioneta / Arriendo </v>
          </cell>
          <cell r="C388" t="str">
            <v>1G01</v>
          </cell>
          <cell r="D388" t="str">
            <v>Camionetas</v>
          </cell>
          <cell r="E388" t="str">
            <v>1G01 - Camionetas</v>
          </cell>
          <cell r="F388" t="str">
            <v>G</v>
          </cell>
          <cell r="G388" t="str">
            <v>EQUIPOS INDIRECTOS</v>
          </cell>
          <cell r="H388" t="str">
            <v>G - EQUIPOS INDIRECTOS</v>
          </cell>
          <cell r="I388" t="str">
            <v>1Z01</v>
          </cell>
        </row>
        <row r="389">
          <cell r="A389" t="str">
            <v>42-2551-000A</v>
          </cell>
          <cell r="B389" t="str">
            <v xml:space="preserve">EQU CI - Menor / Buses y VAN / Propio </v>
          </cell>
          <cell r="C389" t="str">
            <v>1G02</v>
          </cell>
          <cell r="D389" t="str">
            <v>Buses, Mini buses, Van y Sprinter</v>
          </cell>
          <cell r="E389" t="str">
            <v>1G02 - Buses, Mini buses, Van y Sprinter</v>
          </cell>
          <cell r="F389" t="str">
            <v>G</v>
          </cell>
          <cell r="G389" t="str">
            <v>EQUIPOS INDIRECTOS</v>
          </cell>
          <cell r="H389" t="str">
            <v>G - EQUIPOS INDIRECTOS</v>
          </cell>
          <cell r="I389" t="str">
            <v>1Z01</v>
          </cell>
        </row>
        <row r="390">
          <cell r="A390" t="str">
            <v>42-2551-000G</v>
          </cell>
          <cell r="B390" t="str">
            <v xml:space="preserve">EQU CI - Menor / Buses y VAN / Propio </v>
          </cell>
          <cell r="C390" t="str">
            <v>1G02</v>
          </cell>
          <cell r="D390" t="str">
            <v>Buses, Mini buses, Van y Sprinter</v>
          </cell>
          <cell r="E390" t="str">
            <v>1G02 - Buses, Mini buses, Van y Sprinter</v>
          </cell>
          <cell r="F390" t="str">
            <v>G</v>
          </cell>
          <cell r="G390" t="str">
            <v>EQUIPOS INDIRECTOS</v>
          </cell>
          <cell r="H390" t="str">
            <v>G - EQUIPOS INDIRECTOS</v>
          </cell>
          <cell r="I390" t="str">
            <v>1Z01</v>
          </cell>
        </row>
        <row r="391">
          <cell r="A391" t="str">
            <v>42-2551-010G</v>
          </cell>
          <cell r="B391" t="str">
            <v>EQU CI - Menor / Buses y VAN / Propio (G) / DEP MAQ</v>
          </cell>
          <cell r="C391" t="str">
            <v>1G02</v>
          </cell>
          <cell r="D391" t="str">
            <v>Buses, Mini buses, Van y Sprinter</v>
          </cell>
          <cell r="E391" t="str">
            <v>1G02 - Buses, Mini buses, Van y Sprinter</v>
          </cell>
          <cell r="F391" t="str">
            <v>G</v>
          </cell>
          <cell r="G391" t="str">
            <v>EQUIPOS INDIRECTOS</v>
          </cell>
          <cell r="H391" t="str">
            <v>G - EQUIPOS INDIRECTOS</v>
          </cell>
          <cell r="I391" t="str">
            <v>1Z01</v>
          </cell>
        </row>
        <row r="392">
          <cell r="A392" t="str">
            <v>42-2551-020g</v>
          </cell>
          <cell r="B392" t="str">
            <v>EQU CI - Menor / Buses y VAN / Propio (G) / DEP MAQ LEASING</v>
          </cell>
          <cell r="C392" t="str">
            <v>1G02</v>
          </cell>
          <cell r="D392" t="str">
            <v>Buses, Mini buses, Van y Sprinter</v>
          </cell>
          <cell r="E392" t="str">
            <v>1G02 - Buses, Mini buses, Van y Sprinter</v>
          </cell>
          <cell r="F392" t="str">
            <v>G</v>
          </cell>
          <cell r="G392" t="str">
            <v>EQUIPOS INDIRECTOS</v>
          </cell>
          <cell r="H392" t="str">
            <v>G - EQUIPOS INDIRECTOS</v>
          </cell>
          <cell r="I392" t="str">
            <v>1Z01</v>
          </cell>
        </row>
        <row r="393">
          <cell r="A393" t="str">
            <v>42-2552-000A</v>
          </cell>
          <cell r="B393" t="str">
            <v xml:space="preserve">EQU CI - Menor / Buses y VAN / Arriendo </v>
          </cell>
          <cell r="C393" t="str">
            <v>1G02</v>
          </cell>
          <cell r="D393" t="str">
            <v>Buses, Mini buses, Van y Sprinter</v>
          </cell>
          <cell r="E393" t="str">
            <v>1G02 - Buses, Mini buses, Van y Sprinter</v>
          </cell>
          <cell r="F393" t="str">
            <v>G</v>
          </cell>
          <cell r="G393" t="str">
            <v>EQUIPOS INDIRECTOS</v>
          </cell>
          <cell r="H393" t="str">
            <v>G - EQUIPOS INDIRECTOS</v>
          </cell>
          <cell r="I393" t="str">
            <v>1Z01</v>
          </cell>
        </row>
        <row r="394">
          <cell r="A394" t="str">
            <v>42-2552-000G</v>
          </cell>
          <cell r="B394" t="str">
            <v xml:space="preserve">EQU CI - Menor / Buses y VAN / Arriendo </v>
          </cell>
          <cell r="C394" t="str">
            <v>1G02</v>
          </cell>
          <cell r="D394" t="str">
            <v>Buses, Mini buses, Van y Sprinter</v>
          </cell>
          <cell r="E394" t="str">
            <v>1G02 - Buses, Mini buses, Van y Sprinter</v>
          </cell>
          <cell r="F394" t="str">
            <v>G</v>
          </cell>
          <cell r="G394" t="str">
            <v>EQUIPOS INDIRECTOS</v>
          </cell>
          <cell r="H394" t="str">
            <v>G - EQUIPOS INDIRECTOS</v>
          </cell>
          <cell r="I394" t="str">
            <v>1Z01</v>
          </cell>
        </row>
        <row r="395">
          <cell r="A395" t="str">
            <v>42-2561-000A</v>
          </cell>
          <cell r="B395" t="str">
            <v xml:space="preserve">EQU CI - Menor / Ambulancia / Propio </v>
          </cell>
          <cell r="C395" t="str">
            <v>1G05</v>
          </cell>
          <cell r="D395" t="str">
            <v xml:space="preserve">Otros Equipos </v>
          </cell>
          <cell r="E395" t="str">
            <v xml:space="preserve">1G05 - Otros Equipos </v>
          </cell>
          <cell r="F395" t="str">
            <v>G</v>
          </cell>
          <cell r="G395" t="str">
            <v>EQUIPOS INDIRECTOS</v>
          </cell>
          <cell r="H395" t="str">
            <v>G - EQUIPOS INDIRECTOS</v>
          </cell>
          <cell r="I395" t="str">
            <v>1Z01</v>
          </cell>
        </row>
        <row r="396">
          <cell r="A396" t="str">
            <v>42-2561-000G</v>
          </cell>
          <cell r="B396" t="str">
            <v xml:space="preserve">EQU CI - Menor / Ambulancia / Propio </v>
          </cell>
          <cell r="C396" t="str">
            <v>1G05</v>
          </cell>
          <cell r="D396" t="str">
            <v xml:space="preserve">Otros Equipos </v>
          </cell>
          <cell r="E396" t="str">
            <v xml:space="preserve">1G05 - Otros Equipos </v>
          </cell>
          <cell r="F396" t="str">
            <v>G</v>
          </cell>
          <cell r="G396" t="str">
            <v>EQUIPOS INDIRECTOS</v>
          </cell>
          <cell r="H396" t="str">
            <v>G - EQUIPOS INDIRECTOS</v>
          </cell>
          <cell r="I396" t="str">
            <v>1Z01</v>
          </cell>
        </row>
        <row r="397">
          <cell r="A397" t="str">
            <v>42-2562-000A</v>
          </cell>
          <cell r="B397" t="str">
            <v xml:space="preserve">EQU CI - Menor / Ambulancia / Arriendo </v>
          </cell>
          <cell r="C397" t="str">
            <v>1G05</v>
          </cell>
          <cell r="D397" t="str">
            <v xml:space="preserve">Otros Equipos </v>
          </cell>
          <cell r="E397" t="str">
            <v xml:space="preserve">1G05 - Otros Equipos </v>
          </cell>
          <cell r="F397" t="str">
            <v>G</v>
          </cell>
          <cell r="G397" t="str">
            <v>EQUIPOS INDIRECTOS</v>
          </cell>
          <cell r="H397" t="str">
            <v>G - EQUIPOS INDIRECTOS</v>
          </cell>
          <cell r="I397" t="str">
            <v>1Z01</v>
          </cell>
        </row>
        <row r="398">
          <cell r="A398" t="str">
            <v>42-2562-000G</v>
          </cell>
          <cell r="B398" t="str">
            <v xml:space="preserve">EQU CI - Menor / Ambulancia / Arriendo </v>
          </cell>
          <cell r="C398" t="str">
            <v>1G05</v>
          </cell>
          <cell r="D398" t="str">
            <v xml:space="preserve">Otros Equipos </v>
          </cell>
          <cell r="E398" t="str">
            <v xml:space="preserve">1G05 - Otros Equipos </v>
          </cell>
          <cell r="F398" t="str">
            <v>G</v>
          </cell>
          <cell r="G398" t="str">
            <v>EQUIPOS INDIRECTOS</v>
          </cell>
          <cell r="H398" t="str">
            <v>G - EQUIPOS INDIRECTOS</v>
          </cell>
          <cell r="I398" t="str">
            <v>1Z01</v>
          </cell>
        </row>
        <row r="399">
          <cell r="A399" t="str">
            <v>42-2991-000A</v>
          </cell>
          <cell r="B399" t="str">
            <v xml:space="preserve">EQU CI - Menor / Otros Equipos / Propio </v>
          </cell>
          <cell r="C399" t="str">
            <v>1G05</v>
          </cell>
          <cell r="D399" t="str">
            <v xml:space="preserve">Otros Equipos </v>
          </cell>
          <cell r="E399" t="str">
            <v xml:space="preserve">1G05 - Otros Equipos </v>
          </cell>
          <cell r="F399" t="str">
            <v>G</v>
          </cell>
          <cell r="G399" t="str">
            <v>EQUIPOS INDIRECTOS</v>
          </cell>
          <cell r="H399" t="str">
            <v>G - EQUIPOS INDIRECTOS</v>
          </cell>
          <cell r="I399" t="str">
            <v>1Z01</v>
          </cell>
        </row>
        <row r="400">
          <cell r="A400" t="str">
            <v>42-2991-000G</v>
          </cell>
          <cell r="B400" t="str">
            <v xml:space="preserve">EQU CI - Menor / Otros Equipos / Propio </v>
          </cell>
          <cell r="C400" t="str">
            <v>1G05</v>
          </cell>
          <cell r="D400" t="str">
            <v xml:space="preserve">Otros Equipos </v>
          </cell>
          <cell r="E400" t="str">
            <v xml:space="preserve">1G05 - Otros Equipos </v>
          </cell>
          <cell r="F400" t="str">
            <v>G</v>
          </cell>
          <cell r="G400" t="str">
            <v>EQUIPOS INDIRECTOS</v>
          </cell>
          <cell r="H400" t="str">
            <v>G - EQUIPOS INDIRECTOS</v>
          </cell>
          <cell r="I400" t="str">
            <v>1Z01</v>
          </cell>
        </row>
        <row r="401">
          <cell r="A401" t="str">
            <v>42-2992-000A</v>
          </cell>
          <cell r="B401" t="str">
            <v xml:space="preserve">EQU CI - Menor / Otros Equipos / Arriendo </v>
          </cell>
          <cell r="C401" t="str">
            <v>1G05</v>
          </cell>
          <cell r="D401" t="str">
            <v xml:space="preserve">Otros Equipos </v>
          </cell>
          <cell r="E401" t="str">
            <v xml:space="preserve">1G05 - Otros Equipos </v>
          </cell>
          <cell r="F401" t="str">
            <v>G</v>
          </cell>
          <cell r="G401" t="str">
            <v>EQUIPOS INDIRECTOS</v>
          </cell>
          <cell r="H401" t="str">
            <v>G - EQUIPOS INDIRECTOS</v>
          </cell>
          <cell r="I401" t="str">
            <v>1Z01</v>
          </cell>
        </row>
        <row r="402">
          <cell r="A402" t="str">
            <v>42-2992-000G</v>
          </cell>
          <cell r="B402" t="str">
            <v xml:space="preserve">EQU CI - Menor / Otros Equipos / Arriendo </v>
          </cell>
          <cell r="C402" t="str">
            <v>1G05</v>
          </cell>
          <cell r="D402" t="str">
            <v xml:space="preserve">Otros Equipos </v>
          </cell>
          <cell r="E402" t="str">
            <v xml:space="preserve">1G05 - Otros Equipos </v>
          </cell>
          <cell r="F402" t="str">
            <v>G</v>
          </cell>
          <cell r="G402" t="str">
            <v>EQUIPOS INDIRECTOS</v>
          </cell>
          <cell r="H402" t="str">
            <v>G - EQUIPOS INDIRECTOS</v>
          </cell>
          <cell r="I402" t="str">
            <v>1Z01</v>
          </cell>
        </row>
        <row r="403">
          <cell r="A403" t="str">
            <v>42-2993-010A</v>
          </cell>
          <cell r="B403" t="str">
            <v>EQU CI - Menor / Otros Equipos / Reembolsable</v>
          </cell>
          <cell r="C403" t="str">
            <v>1G05</v>
          </cell>
          <cell r="D403" t="str">
            <v xml:space="preserve">Otros Equipos </v>
          </cell>
          <cell r="E403" t="str">
            <v xml:space="preserve">1G05 - Otros Equipos </v>
          </cell>
          <cell r="F403" t="str">
            <v>G</v>
          </cell>
          <cell r="G403" t="str">
            <v>EQUIPOS INDIRECTOS</v>
          </cell>
          <cell r="H403" t="str">
            <v>G - EQUIPOS INDIRECTOS</v>
          </cell>
          <cell r="I403" t="str">
            <v>1Z01</v>
          </cell>
        </row>
        <row r="404">
          <cell r="A404" t="str">
            <v>42-2993-010G</v>
          </cell>
          <cell r="B404" t="str">
            <v>EQU CI - Menor / Otros Equipos / Reembolsable</v>
          </cell>
          <cell r="C404" t="str">
            <v>1G05</v>
          </cell>
          <cell r="D404" t="str">
            <v xml:space="preserve">Otros Equipos </v>
          </cell>
          <cell r="E404" t="str">
            <v xml:space="preserve">1G05 - Otros Equipos </v>
          </cell>
          <cell r="F404" t="str">
            <v>G</v>
          </cell>
          <cell r="G404" t="str">
            <v>EQUIPOS INDIRECTOS</v>
          </cell>
          <cell r="H404" t="str">
            <v>G - EQUIPOS INDIRECTOS</v>
          </cell>
          <cell r="I404" t="str">
            <v>1Z01</v>
          </cell>
        </row>
        <row r="405">
          <cell r="A405" t="str">
            <v>42-3931-000A</v>
          </cell>
          <cell r="B405" t="str">
            <v xml:space="preserve">EQU CI - Combustibles / Gas / Gas </v>
          </cell>
          <cell r="C405" t="str">
            <v>1G04</v>
          </cell>
          <cell r="D405" t="str">
            <v xml:space="preserve">Combustibles </v>
          </cell>
          <cell r="E405" t="str">
            <v xml:space="preserve">1G04 - Combustibles </v>
          </cell>
          <cell r="F405" t="str">
            <v>G</v>
          </cell>
          <cell r="G405" t="str">
            <v>EQUIPOS INDIRECTOS</v>
          </cell>
          <cell r="H405" t="str">
            <v>G - EQUIPOS INDIRECTOS</v>
          </cell>
          <cell r="I405" t="str">
            <v>1Z01</v>
          </cell>
        </row>
        <row r="406">
          <cell r="A406" t="str">
            <v>42-3931-000G</v>
          </cell>
          <cell r="B406" t="str">
            <v xml:space="preserve">EQU CI - Combustibles / Gas / Gas </v>
          </cell>
          <cell r="C406" t="str">
            <v>1G04</v>
          </cell>
          <cell r="D406" t="str">
            <v xml:space="preserve">Combustibles </v>
          </cell>
          <cell r="E406" t="str">
            <v xml:space="preserve">1G04 - Combustibles </v>
          </cell>
          <cell r="F406" t="str">
            <v>G</v>
          </cell>
          <cell r="G406" t="str">
            <v>EQUIPOS INDIRECTOS</v>
          </cell>
          <cell r="H406" t="str">
            <v>G - EQUIPOS INDIRECTOS</v>
          </cell>
          <cell r="I406" t="str">
            <v>1Z01</v>
          </cell>
        </row>
        <row r="407">
          <cell r="A407" t="str">
            <v>42-3961-000A</v>
          </cell>
          <cell r="B407" t="str">
            <v xml:space="preserve">EQU CI - Combustibles / Bencina / Bencina </v>
          </cell>
          <cell r="C407" t="str">
            <v>1G04</v>
          </cell>
          <cell r="D407" t="str">
            <v xml:space="preserve">Combustibles </v>
          </cell>
          <cell r="E407" t="str">
            <v xml:space="preserve">1G04 - Combustibles </v>
          </cell>
          <cell r="F407" t="str">
            <v>G</v>
          </cell>
          <cell r="G407" t="str">
            <v>EQUIPOS INDIRECTOS</v>
          </cell>
          <cell r="H407" t="str">
            <v>G - EQUIPOS INDIRECTOS</v>
          </cell>
          <cell r="I407" t="str">
            <v>1Z01</v>
          </cell>
        </row>
        <row r="408">
          <cell r="A408" t="str">
            <v>42-3961-000G</v>
          </cell>
          <cell r="B408" t="str">
            <v xml:space="preserve">EQU CI - Combustibles / Bencina / Bencina </v>
          </cell>
          <cell r="C408" t="str">
            <v>1G04</v>
          </cell>
          <cell r="D408" t="str">
            <v xml:space="preserve">Combustibles </v>
          </cell>
          <cell r="E408" t="str">
            <v xml:space="preserve">1G04 - Combustibles </v>
          </cell>
          <cell r="F408" t="str">
            <v>G</v>
          </cell>
          <cell r="G408" t="str">
            <v>EQUIPOS INDIRECTOS</v>
          </cell>
          <cell r="H408" t="str">
            <v>G - EQUIPOS INDIRECTOS</v>
          </cell>
          <cell r="I408" t="str">
            <v>1Z01</v>
          </cell>
        </row>
        <row r="409">
          <cell r="A409" t="str">
            <v>42-3961-010A</v>
          </cell>
          <cell r="B409" t="str">
            <v>EQU CI - Combustibles / Bencina / Reembolsable</v>
          </cell>
          <cell r="C409" t="str">
            <v>1G04</v>
          </cell>
          <cell r="D409" t="str">
            <v xml:space="preserve">Combustibles </v>
          </cell>
          <cell r="E409" t="str">
            <v xml:space="preserve">1G04 - Combustibles </v>
          </cell>
          <cell r="F409" t="str">
            <v>G</v>
          </cell>
          <cell r="G409" t="str">
            <v>EQUIPOS INDIRECTOS</v>
          </cell>
          <cell r="H409" t="str">
            <v>G - EQUIPOS INDIRECTOS</v>
          </cell>
          <cell r="I409" t="str">
            <v>1Z01</v>
          </cell>
        </row>
        <row r="410">
          <cell r="A410" t="str">
            <v>42-3961-010G</v>
          </cell>
          <cell r="B410" t="str">
            <v>EQU CI - Combustibles / Bencina / Reembolsable</v>
          </cell>
          <cell r="C410" t="str">
            <v>1G04</v>
          </cell>
          <cell r="D410" t="str">
            <v xml:space="preserve">Combustibles </v>
          </cell>
          <cell r="E410" t="str">
            <v xml:space="preserve">1G04 - Combustibles </v>
          </cell>
          <cell r="F410" t="str">
            <v>G</v>
          </cell>
          <cell r="G410" t="str">
            <v>EQUIPOS INDIRECTOS</v>
          </cell>
          <cell r="H410" t="str">
            <v>G - EQUIPOS INDIRECTOS</v>
          </cell>
          <cell r="I410" t="str">
            <v>1Z01</v>
          </cell>
        </row>
        <row r="411">
          <cell r="A411" t="str">
            <v>42-3971-000A</v>
          </cell>
          <cell r="B411" t="str">
            <v xml:space="preserve">EQU CI - Combustibles / Petroleo / Petroleo </v>
          </cell>
          <cell r="C411" t="str">
            <v>1G04</v>
          </cell>
          <cell r="D411" t="str">
            <v xml:space="preserve">Combustibles </v>
          </cell>
          <cell r="E411" t="str">
            <v xml:space="preserve">1G04 - Combustibles </v>
          </cell>
          <cell r="F411" t="str">
            <v>G</v>
          </cell>
          <cell r="G411" t="str">
            <v>EQUIPOS INDIRECTOS</v>
          </cell>
          <cell r="H411" t="str">
            <v>G - EQUIPOS INDIRECTOS</v>
          </cell>
          <cell r="I411" t="str">
            <v>1Z01</v>
          </cell>
        </row>
        <row r="412">
          <cell r="A412" t="str">
            <v>42-3971-000G</v>
          </cell>
          <cell r="B412" t="str">
            <v xml:space="preserve">EQU CI - Combustibles / Petroleo / Petroleo </v>
          </cell>
          <cell r="C412" t="str">
            <v>1G04</v>
          </cell>
          <cell r="D412" t="str">
            <v xml:space="preserve">Combustibles </v>
          </cell>
          <cell r="E412" t="str">
            <v xml:space="preserve">1G04 - Combustibles </v>
          </cell>
          <cell r="F412" t="str">
            <v>G</v>
          </cell>
          <cell r="G412" t="str">
            <v>EQUIPOS INDIRECTOS</v>
          </cell>
          <cell r="H412" t="str">
            <v>G - EQUIPOS INDIRECTOS</v>
          </cell>
          <cell r="I412" t="str">
            <v>1Z01</v>
          </cell>
        </row>
        <row r="413">
          <cell r="A413" t="str">
            <v>51-0101-000A</v>
          </cell>
          <cell r="B413" t="str">
            <v xml:space="preserve">PHH CD - Seguridad / Seguridad </v>
          </cell>
          <cell r="C413" t="str">
            <v>0C01</v>
          </cell>
          <cell r="D413" t="str">
            <v xml:space="preserve">Seguridad </v>
          </cell>
          <cell r="E413" t="str">
            <v xml:space="preserve">0C01 - Seguridad </v>
          </cell>
          <cell r="F413" t="str">
            <v>C</v>
          </cell>
          <cell r="G413" t="str">
            <v>COSTO PROPORCIONAL HH</v>
          </cell>
          <cell r="H413" t="str">
            <v>C - COSTO PROPORCIONAL HH</v>
          </cell>
          <cell r="I413" t="str">
            <v>0P04</v>
          </cell>
        </row>
        <row r="414">
          <cell r="A414" t="str">
            <v>51-0101-000G</v>
          </cell>
          <cell r="B414" t="str">
            <v xml:space="preserve">PHH CD - Seguridad / Seguridad </v>
          </cell>
          <cell r="C414" t="str">
            <v>0C01</v>
          </cell>
          <cell r="D414" t="str">
            <v xml:space="preserve">Seguridad </v>
          </cell>
          <cell r="E414" t="str">
            <v xml:space="preserve">0C01 - Seguridad </v>
          </cell>
          <cell r="F414" t="str">
            <v>C</v>
          </cell>
          <cell r="G414" t="str">
            <v>COSTO PROPORCIONAL HH</v>
          </cell>
          <cell r="H414" t="str">
            <v>C - COSTO PROPORCIONAL HH</v>
          </cell>
          <cell r="I414" t="str">
            <v>0P04</v>
          </cell>
        </row>
        <row r="415">
          <cell r="A415" t="str">
            <v>51-0101-010A</v>
          </cell>
          <cell r="B415" t="str">
            <v>PHH CD - Seguridad /Reembolsable</v>
          </cell>
          <cell r="C415" t="str">
            <v>0C01</v>
          </cell>
          <cell r="D415" t="str">
            <v xml:space="preserve">Seguridad </v>
          </cell>
          <cell r="E415" t="str">
            <v xml:space="preserve">0C01 - Seguridad </v>
          </cell>
          <cell r="F415" t="str">
            <v>C</v>
          </cell>
          <cell r="G415" t="str">
            <v>COSTO PROPORCIONAL HH</v>
          </cell>
          <cell r="H415" t="str">
            <v>C - COSTO PROPORCIONAL HH</v>
          </cell>
          <cell r="I415" t="str">
            <v>0P04</v>
          </cell>
        </row>
        <row r="416">
          <cell r="A416" t="str">
            <v>51-0101-010G</v>
          </cell>
          <cell r="B416" t="str">
            <v>PHH CD - Seguridad /Reembolsable</v>
          </cell>
          <cell r="C416" t="str">
            <v>0C01</v>
          </cell>
          <cell r="D416" t="str">
            <v xml:space="preserve">Seguridad </v>
          </cell>
          <cell r="E416" t="str">
            <v xml:space="preserve">0C01 - Seguridad </v>
          </cell>
          <cell r="F416" t="str">
            <v>C</v>
          </cell>
          <cell r="G416" t="str">
            <v>COSTO PROPORCIONAL HH</v>
          </cell>
          <cell r="H416" t="str">
            <v>C - COSTO PROPORCIONAL HH</v>
          </cell>
          <cell r="I416" t="str">
            <v>0P04</v>
          </cell>
        </row>
        <row r="417">
          <cell r="A417" t="str">
            <v>51-0201-000A</v>
          </cell>
          <cell r="B417" t="str">
            <v xml:space="preserve">PHH CD - Materiales de Consumo / Materiales de Consumo </v>
          </cell>
          <cell r="C417" t="str">
            <v>0C02</v>
          </cell>
          <cell r="D417" t="str">
            <v xml:space="preserve">Materiales de Consumo </v>
          </cell>
          <cell r="E417" t="str">
            <v xml:space="preserve">0C02 - Materiales de Consumo </v>
          </cell>
          <cell r="F417" t="str">
            <v>C</v>
          </cell>
          <cell r="G417" t="str">
            <v>COSTO PROPORCIONAL HH</v>
          </cell>
          <cell r="H417" t="str">
            <v>C - COSTO PROPORCIONAL HH</v>
          </cell>
          <cell r="I417" t="str">
            <v>0P05</v>
          </cell>
        </row>
        <row r="418">
          <cell r="A418" t="str">
            <v>51-0201-000G</v>
          </cell>
          <cell r="B418" t="str">
            <v xml:space="preserve">PHH CD - Materiales de Consumo / Materiales de Consumo </v>
          </cell>
          <cell r="C418" t="str">
            <v>0C02</v>
          </cell>
          <cell r="D418" t="str">
            <v xml:space="preserve">Materiales de Consumo </v>
          </cell>
          <cell r="E418" t="str">
            <v xml:space="preserve">0C02 - Materiales de Consumo </v>
          </cell>
          <cell r="F418" t="str">
            <v>C</v>
          </cell>
          <cell r="G418" t="str">
            <v>COSTO PROPORCIONAL HH</v>
          </cell>
          <cell r="H418" t="str">
            <v>C - COSTO PROPORCIONAL HH</v>
          </cell>
          <cell r="I418" t="str">
            <v>0P05</v>
          </cell>
        </row>
        <row r="419">
          <cell r="A419" t="str">
            <v>51-0201-010A</v>
          </cell>
          <cell r="B419" t="str">
            <v>PHH CD - Materiales de Consumo / Reembolsable</v>
          </cell>
          <cell r="C419" t="str">
            <v>0C02</v>
          </cell>
          <cell r="D419" t="str">
            <v xml:space="preserve">Materiales de Consumo </v>
          </cell>
          <cell r="E419" t="str">
            <v xml:space="preserve">0C02 - Materiales de Consumo </v>
          </cell>
          <cell r="F419" t="str">
            <v>C</v>
          </cell>
          <cell r="G419" t="str">
            <v>COSTO PROPORCIONAL HH</v>
          </cell>
          <cell r="H419" t="str">
            <v>C - COSTO PROPORCIONAL HH</v>
          </cell>
          <cell r="I419" t="str">
            <v>0P05</v>
          </cell>
        </row>
        <row r="420">
          <cell r="A420" t="str">
            <v>51-0201-010G</v>
          </cell>
          <cell r="B420" t="str">
            <v>PHH CD - Materiales de Consumo / Reembolsable</v>
          </cell>
          <cell r="C420" t="str">
            <v>0C02</v>
          </cell>
          <cell r="D420" t="str">
            <v xml:space="preserve">Materiales de Consumo </v>
          </cell>
          <cell r="E420" t="str">
            <v xml:space="preserve">0C02 - Materiales de Consumo </v>
          </cell>
          <cell r="F420" t="str">
            <v>C</v>
          </cell>
          <cell r="G420" t="str">
            <v>COSTO PROPORCIONAL HH</v>
          </cell>
          <cell r="H420" t="str">
            <v>C - COSTO PROPORCIONAL HH</v>
          </cell>
          <cell r="I420" t="str">
            <v>0P05</v>
          </cell>
        </row>
        <row r="421">
          <cell r="A421" t="str">
            <v>51-0301-000A</v>
          </cell>
          <cell r="B421" t="str">
            <v xml:space="preserve">PHH CD - Herramienta Menor / Herramienta Menor </v>
          </cell>
          <cell r="C421" t="str">
            <v>0C03</v>
          </cell>
          <cell r="D421" t="str">
            <v>Herramientas Menores</v>
          </cell>
          <cell r="E421" t="str">
            <v>0C03 - Herramientas Menores</v>
          </cell>
          <cell r="F421" t="str">
            <v>C</v>
          </cell>
          <cell r="G421" t="str">
            <v>COSTO PROPORCIONAL HH</v>
          </cell>
          <cell r="H421" t="str">
            <v>C - COSTO PROPORCIONAL HH</v>
          </cell>
          <cell r="I421" t="str">
            <v>0P06</v>
          </cell>
        </row>
        <row r="422">
          <cell r="A422" t="str">
            <v>51-0301-000G</v>
          </cell>
          <cell r="B422" t="str">
            <v xml:space="preserve">PHH CD - Herramienta Menor / Herramienta Menor </v>
          </cell>
          <cell r="C422" t="str">
            <v>0C03</v>
          </cell>
          <cell r="D422" t="str">
            <v>Herramientas Menores</v>
          </cell>
          <cell r="E422" t="str">
            <v>0C03 - Herramientas Menores</v>
          </cell>
          <cell r="F422" t="str">
            <v>C</v>
          </cell>
          <cell r="G422" t="str">
            <v>COSTO PROPORCIONAL HH</v>
          </cell>
          <cell r="H422" t="str">
            <v>C - COSTO PROPORCIONAL HH</v>
          </cell>
          <cell r="I422" t="str">
            <v>0P06</v>
          </cell>
        </row>
        <row r="423">
          <cell r="A423" t="str">
            <v>51-0301-010A</v>
          </cell>
          <cell r="B423" t="str">
            <v>PHH CD - Herramienta Menor / Reembolsable</v>
          </cell>
          <cell r="C423" t="str">
            <v>0C03</v>
          </cell>
          <cell r="D423" t="str">
            <v>Herramientas Menores</v>
          </cell>
          <cell r="E423" t="str">
            <v>0C03 - Herramientas Menores</v>
          </cell>
          <cell r="F423" t="str">
            <v>C</v>
          </cell>
          <cell r="G423" t="str">
            <v>COSTO PROPORCIONAL HH</v>
          </cell>
          <cell r="H423" t="str">
            <v>C - COSTO PROPORCIONAL HH</v>
          </cell>
          <cell r="I423" t="str">
            <v>0P06</v>
          </cell>
        </row>
        <row r="424">
          <cell r="A424" t="str">
            <v>51-0301-010G</v>
          </cell>
          <cell r="B424" t="str">
            <v>PHH CD - Herramienta Menor / Reembolsable</v>
          </cell>
          <cell r="C424" t="str">
            <v>0C03</v>
          </cell>
          <cell r="D424" t="str">
            <v>Herramientas Menores</v>
          </cell>
          <cell r="E424" t="str">
            <v>0C03 - Herramientas Menores</v>
          </cell>
          <cell r="F424" t="str">
            <v>C</v>
          </cell>
          <cell r="G424" t="str">
            <v>COSTO PROPORCIONAL HH</v>
          </cell>
          <cell r="H424" t="str">
            <v>C - COSTO PROPORCIONAL HH</v>
          </cell>
          <cell r="I424" t="str">
            <v>0P06</v>
          </cell>
        </row>
        <row r="425">
          <cell r="A425" t="str">
            <v>51-0301-110A</v>
          </cell>
          <cell r="B425" t="str">
            <v xml:space="preserve">PHH CD - Herramienta Menor / Prestamo </v>
          </cell>
          <cell r="C425" t="str">
            <v>0C03</v>
          </cell>
          <cell r="D425" t="str">
            <v>Herramientas Menores</v>
          </cell>
          <cell r="E425" t="str">
            <v>0C03 - Herramientas Menores</v>
          </cell>
          <cell r="F425" t="str">
            <v>C</v>
          </cell>
          <cell r="G425" t="str">
            <v>COSTO PROPORCIONAL HH</v>
          </cell>
          <cell r="H425" t="str">
            <v>C - COSTO PROPORCIONAL HH</v>
          </cell>
          <cell r="I425" t="str">
            <v>0P06</v>
          </cell>
        </row>
        <row r="426">
          <cell r="A426" t="str">
            <v>51-0401-000A</v>
          </cell>
          <cell r="B426" t="str">
            <v xml:space="preserve">PHH CD - Movilización / Movilización </v>
          </cell>
          <cell r="C426" t="str">
            <v>0C04</v>
          </cell>
          <cell r="D426" t="str">
            <v xml:space="preserve">Movilización </v>
          </cell>
          <cell r="E426" t="str">
            <v xml:space="preserve">0C04 - Movilización </v>
          </cell>
          <cell r="F426" t="str">
            <v>C</v>
          </cell>
          <cell r="G426" t="str">
            <v>COSTO PROPORCIONAL HH</v>
          </cell>
          <cell r="H426" t="str">
            <v>C - COSTO PROPORCIONAL HH</v>
          </cell>
          <cell r="I426" t="str">
            <v>0P01</v>
          </cell>
        </row>
        <row r="427">
          <cell r="A427" t="str">
            <v>51-0401-000G</v>
          </cell>
          <cell r="B427" t="str">
            <v xml:space="preserve">PHH CD - Movilización / Movilización </v>
          </cell>
          <cell r="C427" t="str">
            <v>0C04</v>
          </cell>
          <cell r="D427" t="str">
            <v xml:space="preserve">Movilización </v>
          </cell>
          <cell r="E427" t="str">
            <v xml:space="preserve">0C04 - Movilización </v>
          </cell>
          <cell r="F427" t="str">
            <v>C</v>
          </cell>
          <cell r="G427" t="str">
            <v>COSTO PROPORCIONAL HH</v>
          </cell>
          <cell r="H427" t="str">
            <v>C - COSTO PROPORCIONAL HH</v>
          </cell>
          <cell r="I427" t="str">
            <v>0P01</v>
          </cell>
        </row>
        <row r="428">
          <cell r="A428" t="str">
            <v>51-0401-010A</v>
          </cell>
          <cell r="B428" t="str">
            <v>PHH CD - Movilización / Reembolsable</v>
          </cell>
          <cell r="C428" t="str">
            <v>0C04</v>
          </cell>
          <cell r="D428" t="str">
            <v xml:space="preserve">Movilización </v>
          </cell>
          <cell r="E428" t="str">
            <v xml:space="preserve">0C04 - Movilización </v>
          </cell>
          <cell r="F428" t="str">
            <v>C</v>
          </cell>
          <cell r="G428" t="str">
            <v>COSTO PROPORCIONAL HH</v>
          </cell>
          <cell r="H428" t="str">
            <v>C - COSTO PROPORCIONAL HH</v>
          </cell>
          <cell r="I428" t="str">
            <v>0P01</v>
          </cell>
        </row>
        <row r="429">
          <cell r="A429" t="str">
            <v>51-0401-010G</v>
          </cell>
          <cell r="B429" t="str">
            <v>PHH CD - Movilización / Reembolsable</v>
          </cell>
          <cell r="C429" t="str">
            <v>0C04</v>
          </cell>
          <cell r="D429" t="str">
            <v xml:space="preserve">Movilización </v>
          </cell>
          <cell r="E429" t="str">
            <v xml:space="preserve">0C04 - Movilización </v>
          </cell>
          <cell r="F429" t="str">
            <v>C</v>
          </cell>
          <cell r="G429" t="str">
            <v>COSTO PROPORCIONAL HH</v>
          </cell>
          <cell r="H429" t="str">
            <v>C - COSTO PROPORCIONAL HH</v>
          </cell>
          <cell r="I429" t="str">
            <v>0P01</v>
          </cell>
        </row>
        <row r="430">
          <cell r="A430" t="str">
            <v>51-0402-000A</v>
          </cell>
          <cell r="B430" t="str">
            <v xml:space="preserve">PHH CD - Movilización / Movilización Interna </v>
          </cell>
          <cell r="C430" t="str">
            <v>0C07</v>
          </cell>
          <cell r="D430" t="str">
            <v xml:space="preserve">Movilización Interna </v>
          </cell>
          <cell r="E430" t="str">
            <v xml:space="preserve">0C07 - Movilización Interna </v>
          </cell>
          <cell r="F430" t="str">
            <v>C</v>
          </cell>
          <cell r="G430" t="str">
            <v>COSTO PROPORCIONAL HH</v>
          </cell>
          <cell r="H430" t="str">
            <v>C - COSTO PROPORCIONAL HH</v>
          </cell>
          <cell r="I430" t="str">
            <v>0P08</v>
          </cell>
        </row>
        <row r="431">
          <cell r="A431" t="str">
            <v>51-0402-000G</v>
          </cell>
          <cell r="B431" t="str">
            <v xml:space="preserve">PHH CD - Movilización / Movilización Interna </v>
          </cell>
          <cell r="C431" t="str">
            <v>0C07</v>
          </cell>
          <cell r="D431" t="str">
            <v xml:space="preserve">Movilización Interna </v>
          </cell>
          <cell r="E431" t="str">
            <v xml:space="preserve">0C07 - Movilización Interna </v>
          </cell>
          <cell r="F431" t="str">
            <v>C</v>
          </cell>
          <cell r="G431" t="str">
            <v>COSTO PROPORCIONAL HH</v>
          </cell>
          <cell r="H431" t="str">
            <v>C - COSTO PROPORCIONAL HH</v>
          </cell>
          <cell r="I431" t="str">
            <v>0P08</v>
          </cell>
        </row>
        <row r="432">
          <cell r="A432" t="str">
            <v>51-0501-000A</v>
          </cell>
          <cell r="B432" t="str">
            <v xml:space="preserve">PHH CD - Alimentación / Alimentación </v>
          </cell>
          <cell r="C432" t="str">
            <v>0C05</v>
          </cell>
          <cell r="D432" t="str">
            <v>Alimentación</v>
          </cell>
          <cell r="E432" t="str">
            <v>0C05 - Alimentación</v>
          </cell>
          <cell r="F432" t="str">
            <v>C</v>
          </cell>
          <cell r="G432" t="str">
            <v>COSTO PROPORCIONAL HH</v>
          </cell>
          <cell r="H432" t="str">
            <v>C - COSTO PROPORCIONAL HH</v>
          </cell>
          <cell r="I432" t="str">
            <v>0P02</v>
          </cell>
        </row>
        <row r="433">
          <cell r="A433" t="str">
            <v>51-0501-000G</v>
          </cell>
          <cell r="B433" t="str">
            <v xml:space="preserve">PHH CD - Alimentación / Alimentación </v>
          </cell>
          <cell r="C433" t="str">
            <v>0C05</v>
          </cell>
          <cell r="D433" t="str">
            <v>Alimentación</v>
          </cell>
          <cell r="E433" t="str">
            <v>0C05 - Alimentación</v>
          </cell>
          <cell r="F433" t="str">
            <v>C</v>
          </cell>
          <cell r="G433" t="str">
            <v>COSTO PROPORCIONAL HH</v>
          </cell>
          <cell r="H433" t="str">
            <v>C - COSTO PROPORCIONAL HH</v>
          </cell>
          <cell r="I433" t="str">
            <v>0P02</v>
          </cell>
        </row>
        <row r="434">
          <cell r="A434" t="str">
            <v>51-0501-010A</v>
          </cell>
          <cell r="B434" t="str">
            <v>PHH CD - Alimentación / Reembolsable</v>
          </cell>
          <cell r="C434" t="str">
            <v>0C05</v>
          </cell>
          <cell r="D434" t="str">
            <v>Alimentación</v>
          </cell>
          <cell r="E434" t="str">
            <v>0C05 - Alimentación</v>
          </cell>
          <cell r="F434" t="str">
            <v>C</v>
          </cell>
          <cell r="G434" t="str">
            <v>COSTO PROPORCIONAL HH</v>
          </cell>
          <cell r="H434" t="str">
            <v>C - COSTO PROPORCIONAL HH</v>
          </cell>
          <cell r="I434" t="str">
            <v>0P02</v>
          </cell>
        </row>
        <row r="435">
          <cell r="A435" t="str">
            <v>51-0501-010G</v>
          </cell>
          <cell r="B435" t="str">
            <v>PHH CD - Alimentación / Reembolsable</v>
          </cell>
          <cell r="C435" t="str">
            <v>0C05</v>
          </cell>
          <cell r="D435" t="str">
            <v>Alimentación</v>
          </cell>
          <cell r="E435" t="str">
            <v>0C05 - Alimentación</v>
          </cell>
          <cell r="F435" t="str">
            <v>C</v>
          </cell>
          <cell r="G435" t="str">
            <v>COSTO PROPORCIONAL HH</v>
          </cell>
          <cell r="H435" t="str">
            <v>C - COSTO PROPORCIONAL HH</v>
          </cell>
          <cell r="I435" t="str">
            <v>0P02</v>
          </cell>
        </row>
        <row r="436">
          <cell r="A436" t="str">
            <v>51-0601-000A</v>
          </cell>
          <cell r="B436" t="str">
            <v xml:space="preserve">PHH CD - Art. Oficina / Art. Oficina </v>
          </cell>
          <cell r="C436" t="str">
            <v>0C02</v>
          </cell>
          <cell r="D436" t="str">
            <v xml:space="preserve">Materiales de Consumo </v>
          </cell>
          <cell r="E436" t="str">
            <v xml:space="preserve">0C02 - Materiales de Consumo </v>
          </cell>
          <cell r="F436" t="str">
            <v>C</v>
          </cell>
          <cell r="G436" t="str">
            <v>COSTO PROPORCIONAL HH</v>
          </cell>
          <cell r="H436" t="str">
            <v>C - COSTO PROPORCIONAL HH</v>
          </cell>
          <cell r="I436" t="str">
            <v>0P07</v>
          </cell>
        </row>
        <row r="437">
          <cell r="A437" t="str">
            <v>51-0601-000G</v>
          </cell>
          <cell r="B437" t="str">
            <v xml:space="preserve">PHH CD - Art. Oficina / Art. Oficina </v>
          </cell>
          <cell r="C437" t="str">
            <v>0C02</v>
          </cell>
          <cell r="D437" t="str">
            <v xml:space="preserve">Materiales de Consumo </v>
          </cell>
          <cell r="E437" t="str">
            <v xml:space="preserve">0C02 - Materiales de Consumo </v>
          </cell>
          <cell r="F437" t="str">
            <v>C</v>
          </cell>
          <cell r="G437" t="str">
            <v>COSTO PROPORCIONAL HH</v>
          </cell>
          <cell r="H437" t="str">
            <v>C - COSTO PROPORCIONAL HH</v>
          </cell>
          <cell r="I437" t="str">
            <v>0P07</v>
          </cell>
        </row>
        <row r="438">
          <cell r="A438" t="str">
            <v>51-0601-010A</v>
          </cell>
          <cell r="B438" t="str">
            <v>PHH CD - Art. Oficina / Reembolsable</v>
          </cell>
          <cell r="C438" t="str">
            <v>0C02</v>
          </cell>
          <cell r="D438" t="str">
            <v xml:space="preserve">Materiales de Consumo </v>
          </cell>
          <cell r="E438" t="str">
            <v xml:space="preserve">0C02 - Materiales de Consumo </v>
          </cell>
          <cell r="F438" t="str">
            <v>C</v>
          </cell>
          <cell r="G438" t="str">
            <v>COSTO PROPORCIONAL HH</v>
          </cell>
          <cell r="H438" t="str">
            <v>C - COSTO PROPORCIONAL HH</v>
          </cell>
          <cell r="I438" t="str">
            <v>0P07</v>
          </cell>
        </row>
        <row r="439">
          <cell r="A439" t="str">
            <v>51-0601-010G</v>
          </cell>
          <cell r="B439" t="str">
            <v>PHH CD - Art. Oficina / Reembolsable</v>
          </cell>
          <cell r="C439" t="str">
            <v>0C02</v>
          </cell>
          <cell r="D439" t="str">
            <v xml:space="preserve">Materiales de Consumo </v>
          </cell>
          <cell r="E439" t="str">
            <v xml:space="preserve">0C02 - Materiales de Consumo </v>
          </cell>
          <cell r="F439" t="str">
            <v>C</v>
          </cell>
          <cell r="G439" t="str">
            <v>COSTO PROPORCIONAL HH</v>
          </cell>
          <cell r="H439" t="str">
            <v>C - COSTO PROPORCIONAL HH</v>
          </cell>
          <cell r="I439" t="str">
            <v>0P07</v>
          </cell>
        </row>
        <row r="440">
          <cell r="A440" t="str">
            <v>51-0801-000A</v>
          </cell>
          <cell r="B440" t="str">
            <v xml:space="preserve">PHH CD - Pensión y Alojamiento / Pensión y Alojamiento </v>
          </cell>
          <cell r="C440" t="str">
            <v>0C06</v>
          </cell>
          <cell r="D440" t="str">
            <v>Hotelería</v>
          </cell>
          <cell r="E440" t="str">
            <v>0C06 - Hotelería</v>
          </cell>
          <cell r="F440" t="str">
            <v>C</v>
          </cell>
          <cell r="G440" t="str">
            <v>COSTO PROPORCIONAL HH</v>
          </cell>
          <cell r="H440" t="str">
            <v>C - COSTO PROPORCIONAL HH</v>
          </cell>
          <cell r="I440" t="str">
            <v>0P09</v>
          </cell>
        </row>
        <row r="441">
          <cell r="A441" t="str">
            <v>51-0801-000G</v>
          </cell>
          <cell r="B441" t="str">
            <v xml:space="preserve">PHH CD - Pensión y Alojamiento / Pensión y Alojamiento </v>
          </cell>
          <cell r="C441" t="str">
            <v>0C06</v>
          </cell>
          <cell r="D441" t="str">
            <v>Hotelería</v>
          </cell>
          <cell r="E441" t="str">
            <v>0C06 - Hotelería</v>
          </cell>
          <cell r="F441" t="str">
            <v>C</v>
          </cell>
          <cell r="G441" t="str">
            <v>COSTO PROPORCIONAL HH</v>
          </cell>
          <cell r="H441" t="str">
            <v>C - COSTO PROPORCIONAL HH</v>
          </cell>
          <cell r="I441" t="str">
            <v>0P09</v>
          </cell>
        </row>
        <row r="442">
          <cell r="A442" t="str">
            <v>51-1301-000A</v>
          </cell>
          <cell r="B442" t="str">
            <v>PHH CD -  / Hotelería y Movilización / Operadores y Riggers</v>
          </cell>
          <cell r="C442" t="str">
            <v>0C06</v>
          </cell>
          <cell r="D442" t="str">
            <v>Hotelería</v>
          </cell>
          <cell r="E442" t="str">
            <v>0C06 - Hotelería</v>
          </cell>
          <cell r="F442" t="str">
            <v>C</v>
          </cell>
          <cell r="G442" t="str">
            <v>COSTO PROPORCIONAL HH</v>
          </cell>
          <cell r="H442" t="str">
            <v>C - COSTO PROPORCIONAL HH</v>
          </cell>
          <cell r="I442" t="str">
            <v>0P09</v>
          </cell>
        </row>
        <row r="443">
          <cell r="A443" t="str">
            <v>51-1301-000G</v>
          </cell>
          <cell r="B443" t="str">
            <v>PHH CD-/Hotelería y Movilización / Operadores y Riggers (G)</v>
          </cell>
          <cell r="C443" t="str">
            <v>0C06</v>
          </cell>
          <cell r="D443" t="str">
            <v>Hotelería</v>
          </cell>
          <cell r="E443" t="str">
            <v>0C06 - Hotelería</v>
          </cell>
          <cell r="F443" t="str">
            <v>C</v>
          </cell>
          <cell r="G443" t="str">
            <v>COSTO PROPORCIONAL HH</v>
          </cell>
          <cell r="H443" t="str">
            <v>C - COSTO PROPORCIONAL HH</v>
          </cell>
          <cell r="I443" t="str">
            <v>0P09</v>
          </cell>
        </row>
        <row r="444">
          <cell r="A444" t="str">
            <v>62-0101-000G</v>
          </cell>
          <cell r="B444" t="str">
            <v xml:space="preserve">IFA CI - Mano De Obra / Todos </v>
          </cell>
          <cell r="C444" t="str">
            <v>1H01</v>
          </cell>
          <cell r="D444" t="str">
            <v>Mano De Obra</v>
          </cell>
          <cell r="E444" t="str">
            <v>1H01 - Mano De Obra</v>
          </cell>
          <cell r="F444" t="str">
            <v>H</v>
          </cell>
          <cell r="G444" t="str">
            <v>INSTALACIÓN DE FAENAS</v>
          </cell>
          <cell r="H444" t="str">
            <v>H - INSTALACIÓN DE FAENAS</v>
          </cell>
          <cell r="I444" t="str">
            <v>0Q03</v>
          </cell>
        </row>
        <row r="445">
          <cell r="A445" t="str">
            <v>62-0201-000A</v>
          </cell>
          <cell r="B445" t="str">
            <v xml:space="preserve">IFA CI - Permisos De Construcción / Todos </v>
          </cell>
          <cell r="C445" t="str">
            <v>1H10</v>
          </cell>
          <cell r="D445" t="str">
            <v xml:space="preserve">Permisos De Construcción </v>
          </cell>
          <cell r="E445" t="str">
            <v xml:space="preserve">1H10 - Permisos De Construcción </v>
          </cell>
          <cell r="F445" t="str">
            <v>H</v>
          </cell>
          <cell r="G445" t="str">
            <v>INSTALACIÓN DE FAENAS</v>
          </cell>
          <cell r="H445" t="str">
            <v>H - INSTALACIÓN DE FAENAS</v>
          </cell>
          <cell r="I445" t="str">
            <v>0Q03</v>
          </cell>
        </row>
        <row r="446">
          <cell r="A446" t="str">
            <v>62-0201-000G</v>
          </cell>
          <cell r="B446" t="str">
            <v>IFA CI - Permisos De Construcción / Todos (G)</v>
          </cell>
          <cell r="C446" t="str">
            <v>1H10</v>
          </cell>
          <cell r="D446" t="str">
            <v xml:space="preserve">Permisos De Construcción </v>
          </cell>
          <cell r="E446" t="str">
            <v xml:space="preserve">1H10 - Permisos De Construcción </v>
          </cell>
          <cell r="F446" t="str">
            <v>H</v>
          </cell>
          <cell r="G446" t="str">
            <v>INSTALACIÓN DE FAENAS</v>
          </cell>
          <cell r="H446" t="str">
            <v>H - INSTALACIÓN DE FAENAS</v>
          </cell>
          <cell r="I446" t="str">
            <v>0Q03</v>
          </cell>
        </row>
        <row r="447">
          <cell r="A447" t="str">
            <v>62-0301-000A</v>
          </cell>
          <cell r="B447" t="str">
            <v xml:space="preserve">IFA CI - Materiales / Todos </v>
          </cell>
          <cell r="C447" t="str">
            <v>1H03</v>
          </cell>
          <cell r="D447" t="str">
            <v xml:space="preserve">Materiales </v>
          </cell>
          <cell r="E447" t="str">
            <v xml:space="preserve">1H03 - Materiales </v>
          </cell>
          <cell r="F447" t="str">
            <v>H</v>
          </cell>
          <cell r="G447" t="str">
            <v>INSTALACIÓN DE FAENAS</v>
          </cell>
          <cell r="H447" t="str">
            <v>H - INSTALACIÓN DE FAENAS</v>
          </cell>
          <cell r="I447" t="str">
            <v>0Q03</v>
          </cell>
        </row>
        <row r="448">
          <cell r="A448" t="str">
            <v>62-0301-000G</v>
          </cell>
          <cell r="B448" t="str">
            <v xml:space="preserve">IFA CI - Materiales / Todos </v>
          </cell>
          <cell r="C448" t="str">
            <v>1H03</v>
          </cell>
          <cell r="D448" t="str">
            <v xml:space="preserve">Materiales </v>
          </cell>
          <cell r="E448" t="str">
            <v xml:space="preserve">1H03 - Materiales </v>
          </cell>
          <cell r="F448" t="str">
            <v>H</v>
          </cell>
          <cell r="G448" t="str">
            <v>INSTALACIÓN DE FAENAS</v>
          </cell>
          <cell r="H448" t="str">
            <v>H - INSTALACIÓN DE FAENAS</v>
          </cell>
          <cell r="I448" t="str">
            <v>0Q03</v>
          </cell>
        </row>
        <row r="449">
          <cell r="A449" t="str">
            <v>62-0401-000A</v>
          </cell>
          <cell r="B449" t="str">
            <v xml:space="preserve">IFA CI - Mobiliario / Todos </v>
          </cell>
          <cell r="C449" t="str">
            <v>1H05</v>
          </cell>
          <cell r="D449" t="str">
            <v xml:space="preserve">Mobiliario </v>
          </cell>
          <cell r="E449" t="str">
            <v xml:space="preserve">1H05 - Mobiliario </v>
          </cell>
          <cell r="F449" t="str">
            <v>H</v>
          </cell>
          <cell r="G449" t="str">
            <v>INSTALACIÓN DE FAENAS</v>
          </cell>
          <cell r="H449" t="str">
            <v>H - INSTALACIÓN DE FAENAS</v>
          </cell>
          <cell r="I449" t="str">
            <v>0Q03</v>
          </cell>
        </row>
        <row r="450">
          <cell r="A450" t="str">
            <v>62-0401-000G</v>
          </cell>
          <cell r="B450" t="str">
            <v xml:space="preserve">IFA CI - Mobiliario / Todos </v>
          </cell>
          <cell r="C450" t="str">
            <v>1H05</v>
          </cell>
          <cell r="D450" t="str">
            <v xml:space="preserve">Mobiliario </v>
          </cell>
          <cell r="E450" t="str">
            <v xml:space="preserve">1H05 - Mobiliario </v>
          </cell>
          <cell r="F450" t="str">
            <v>H</v>
          </cell>
          <cell r="G450" t="str">
            <v>INSTALACIÓN DE FAENAS</v>
          </cell>
          <cell r="H450" t="str">
            <v>H - INSTALACIÓN DE FAENAS</v>
          </cell>
          <cell r="I450" t="str">
            <v>0Q03</v>
          </cell>
        </row>
        <row r="451">
          <cell r="A451" t="str">
            <v>62-0501-000A</v>
          </cell>
          <cell r="B451" t="str">
            <v xml:space="preserve">IFA CI - Baños Químicos / Todos </v>
          </cell>
          <cell r="C451" t="str">
            <v>1H06</v>
          </cell>
          <cell r="D451" t="str">
            <v xml:space="preserve">Baños Químicos </v>
          </cell>
          <cell r="E451" t="str">
            <v xml:space="preserve">1H06 - Baños Químicos </v>
          </cell>
          <cell r="F451" t="str">
            <v>H</v>
          </cell>
          <cell r="G451" t="str">
            <v>INSTALACIÓN DE FAENAS</v>
          </cell>
          <cell r="H451" t="str">
            <v>H - INSTALACIÓN DE FAENAS</v>
          </cell>
          <cell r="I451" t="str">
            <v>0Q03</v>
          </cell>
        </row>
        <row r="452">
          <cell r="A452" t="str">
            <v>62-0501-000G</v>
          </cell>
          <cell r="B452" t="str">
            <v xml:space="preserve">IFA CI - Baños Químicos / Todos </v>
          </cell>
          <cell r="C452" t="str">
            <v>1H06</v>
          </cell>
          <cell r="D452" t="str">
            <v xml:space="preserve">Baños Químicos </v>
          </cell>
          <cell r="E452" t="str">
            <v xml:space="preserve">1H06 - Baños Químicos </v>
          </cell>
          <cell r="F452" t="str">
            <v>H</v>
          </cell>
          <cell r="G452" t="str">
            <v>INSTALACIÓN DE FAENAS</v>
          </cell>
          <cell r="H452" t="str">
            <v>H - INSTALACIÓN DE FAENAS</v>
          </cell>
          <cell r="I452" t="str">
            <v>0Q03</v>
          </cell>
        </row>
        <row r="453">
          <cell r="A453" t="str">
            <v>62-0601-000A</v>
          </cell>
          <cell r="B453" t="str">
            <v xml:space="preserve">IFA CI - Energía Eléctrica - Generadores / Todos </v>
          </cell>
          <cell r="C453" t="str">
            <v>1H04</v>
          </cell>
          <cell r="D453" t="str">
            <v xml:space="preserve">Energía Eléctrica </v>
          </cell>
          <cell r="E453" t="str">
            <v xml:space="preserve">1H04 - Energía Eléctrica </v>
          </cell>
          <cell r="F453" t="str">
            <v>H</v>
          </cell>
          <cell r="G453" t="str">
            <v>INSTALACIÓN DE FAENAS</v>
          </cell>
          <cell r="H453" t="str">
            <v>H - INSTALACIÓN DE FAENAS</v>
          </cell>
          <cell r="I453" t="str">
            <v>0Q03</v>
          </cell>
        </row>
        <row r="454">
          <cell r="A454" t="str">
            <v>62-0601-000G</v>
          </cell>
          <cell r="B454" t="str">
            <v xml:space="preserve">IFA CI - Energía Eléctrica - Generadores / Todos </v>
          </cell>
          <cell r="C454" t="str">
            <v>1H04</v>
          </cell>
          <cell r="D454" t="str">
            <v xml:space="preserve">Energía Eléctrica </v>
          </cell>
          <cell r="E454" t="str">
            <v xml:space="preserve">1H04 - Energía Eléctrica </v>
          </cell>
          <cell r="F454" t="str">
            <v>H</v>
          </cell>
          <cell r="G454" t="str">
            <v>INSTALACIÓN DE FAENAS</v>
          </cell>
          <cell r="H454" t="str">
            <v>H - INSTALACIÓN DE FAENAS</v>
          </cell>
          <cell r="I454" t="str">
            <v>0Q03</v>
          </cell>
        </row>
        <row r="455">
          <cell r="A455" t="str">
            <v>62-0701-000A</v>
          </cell>
          <cell r="B455" t="str">
            <v xml:space="preserve">IFA CI - Containers / Todos </v>
          </cell>
          <cell r="C455" t="str">
            <v>1H02</v>
          </cell>
          <cell r="D455" t="str">
            <v xml:space="preserve">Containers </v>
          </cell>
          <cell r="E455" t="str">
            <v xml:space="preserve">1H02 - Containers </v>
          </cell>
          <cell r="F455" t="str">
            <v>H</v>
          </cell>
          <cell r="G455" t="str">
            <v>INSTALACIÓN DE FAENAS</v>
          </cell>
          <cell r="H455" t="str">
            <v>H - INSTALACIÓN DE FAENAS</v>
          </cell>
          <cell r="I455" t="str">
            <v>0Q03</v>
          </cell>
        </row>
        <row r="456">
          <cell r="A456" t="str">
            <v>62-0701-000G</v>
          </cell>
          <cell r="B456" t="str">
            <v xml:space="preserve">IFA CI - Containers / Todos </v>
          </cell>
          <cell r="C456" t="str">
            <v>1H02</v>
          </cell>
          <cell r="D456" t="str">
            <v xml:space="preserve">Containers </v>
          </cell>
          <cell r="E456" t="str">
            <v xml:space="preserve">1H02 - Containers </v>
          </cell>
          <cell r="F456" t="str">
            <v>H</v>
          </cell>
          <cell r="G456" t="str">
            <v>INSTALACIÓN DE FAENAS</v>
          </cell>
          <cell r="H456" t="str">
            <v>H - INSTALACIÓN DE FAENAS</v>
          </cell>
          <cell r="I456" t="str">
            <v>0Q03</v>
          </cell>
        </row>
        <row r="457">
          <cell r="A457" t="str">
            <v>62-0801-000A</v>
          </cell>
          <cell r="B457" t="str">
            <v xml:space="preserve">IFA CI - Servicios / Servicios </v>
          </cell>
          <cell r="C457" t="str">
            <v>1H07</v>
          </cell>
          <cell r="D457" t="str">
            <v>Servicios Básicos (Luz, Agua, Gas)</v>
          </cell>
          <cell r="E457" t="str">
            <v>1H07 - Servicios Básicos (Luz, Agua, Gas)</v>
          </cell>
          <cell r="F457" t="str">
            <v>H</v>
          </cell>
          <cell r="G457" t="str">
            <v>INSTALACIÓN DE FAENAS</v>
          </cell>
          <cell r="H457" t="str">
            <v>H - INSTALACIÓN DE FAENAS</v>
          </cell>
          <cell r="I457" t="str">
            <v>0Q03</v>
          </cell>
        </row>
        <row r="458">
          <cell r="A458" t="str">
            <v>62-0801-000G</v>
          </cell>
          <cell r="B458" t="str">
            <v xml:space="preserve">IFA CI - Servicios / Servicios </v>
          </cell>
          <cell r="C458" t="str">
            <v>1H07</v>
          </cell>
          <cell r="D458" t="str">
            <v>Servicios Básicos (Luz, Agua, Gas)</v>
          </cell>
          <cell r="E458" t="str">
            <v>1H07 - Servicios Básicos (Luz, Agua, Gas)</v>
          </cell>
          <cell r="F458" t="str">
            <v>H</v>
          </cell>
          <cell r="G458" t="str">
            <v>INSTALACIÓN DE FAENAS</v>
          </cell>
          <cell r="H458" t="str">
            <v>H - INSTALACIÓN DE FAENAS</v>
          </cell>
          <cell r="I458" t="str">
            <v>0Q03</v>
          </cell>
        </row>
        <row r="459">
          <cell r="A459" t="str">
            <v>62-0802-000A</v>
          </cell>
          <cell r="B459" t="str">
            <v xml:space="preserve">IFA CI - Servicios / Suministro Agua Potable </v>
          </cell>
          <cell r="C459" t="str">
            <v>1H07</v>
          </cell>
          <cell r="D459" t="str">
            <v>Servicios Básicos (Luz, Agua, Gas)</v>
          </cell>
          <cell r="E459" t="str">
            <v>1H07 - Servicios Básicos (Luz, Agua, Gas)</v>
          </cell>
          <cell r="F459" t="str">
            <v>H</v>
          </cell>
          <cell r="G459" t="str">
            <v>INSTALACIÓN DE FAENAS</v>
          </cell>
          <cell r="H459" t="str">
            <v>H - INSTALACIÓN DE FAENAS</v>
          </cell>
          <cell r="I459" t="str">
            <v>0Q03</v>
          </cell>
        </row>
        <row r="460">
          <cell r="A460" t="str">
            <v>62-0802-000G</v>
          </cell>
          <cell r="B460" t="str">
            <v xml:space="preserve">IFA CI - Servicios / Suministro Agua Potable </v>
          </cell>
          <cell r="C460" t="str">
            <v>1H07</v>
          </cell>
          <cell r="D460" t="str">
            <v>Servicios Básicos (Luz, Agua, Gas)</v>
          </cell>
          <cell r="E460" t="str">
            <v>1H07 - Servicios Básicos (Luz, Agua, Gas)</v>
          </cell>
          <cell r="F460" t="str">
            <v>H</v>
          </cell>
          <cell r="G460" t="str">
            <v>INSTALACIÓN DE FAENAS</v>
          </cell>
          <cell r="H460" t="str">
            <v>H - INSTALACIÓN DE FAENAS</v>
          </cell>
          <cell r="I460" t="str">
            <v>0Q03</v>
          </cell>
        </row>
        <row r="461">
          <cell r="A461" t="str">
            <v>62-0901-000A</v>
          </cell>
          <cell r="B461" t="str">
            <v xml:space="preserve">IFA CI - Tableros Eléctricos / Todos </v>
          </cell>
          <cell r="C461" t="str">
            <v>1H04</v>
          </cell>
          <cell r="D461" t="str">
            <v xml:space="preserve">Energía Eléctrica </v>
          </cell>
          <cell r="E461" t="str">
            <v xml:space="preserve">1H04 - Energía Eléctrica </v>
          </cell>
          <cell r="F461" t="str">
            <v>H</v>
          </cell>
          <cell r="G461" t="str">
            <v>INSTALACIÓN DE FAENAS</v>
          </cell>
          <cell r="H461" t="str">
            <v>H - INSTALACIÓN DE FAENAS</v>
          </cell>
          <cell r="I461" t="str">
            <v>0Q03</v>
          </cell>
        </row>
        <row r="462">
          <cell r="A462" t="str">
            <v>62-0901-000G</v>
          </cell>
          <cell r="B462" t="str">
            <v xml:space="preserve">IFA CI - Tableros Eléctricos / Todos </v>
          </cell>
          <cell r="C462" t="str">
            <v>1H04</v>
          </cell>
          <cell r="D462" t="str">
            <v xml:space="preserve">Energía Eléctrica </v>
          </cell>
          <cell r="E462" t="str">
            <v xml:space="preserve">1H04 - Energía Eléctrica </v>
          </cell>
          <cell r="F462" t="str">
            <v>H</v>
          </cell>
          <cell r="G462" t="str">
            <v>INSTALACIÓN DE FAENAS</v>
          </cell>
          <cell r="H462" t="str">
            <v>H - INSTALACIÓN DE FAENAS</v>
          </cell>
          <cell r="I462" t="str">
            <v>0Q03</v>
          </cell>
        </row>
        <row r="463">
          <cell r="A463" t="str">
            <v>62-1001-000A</v>
          </cell>
          <cell r="B463" t="str">
            <v xml:space="preserve">IFA CI - Letreros y Señaléticas / Todos </v>
          </cell>
          <cell r="C463" t="str">
            <v>1H03</v>
          </cell>
          <cell r="D463" t="str">
            <v xml:space="preserve">Materiales </v>
          </cell>
          <cell r="E463" t="str">
            <v xml:space="preserve">1H03 - Materiales </v>
          </cell>
          <cell r="F463" t="str">
            <v>H</v>
          </cell>
          <cell r="G463" t="str">
            <v>INSTALACIÓN DE FAENAS</v>
          </cell>
          <cell r="H463" t="str">
            <v>H - INSTALACIÓN DE FAENAS</v>
          </cell>
          <cell r="I463" t="str">
            <v>0Q03</v>
          </cell>
        </row>
        <row r="464">
          <cell r="A464" t="str">
            <v>62-1001-000G</v>
          </cell>
          <cell r="B464" t="str">
            <v xml:space="preserve">IFA CI - Letreros y Señaléticas / Todos </v>
          </cell>
          <cell r="C464" t="str">
            <v>1H03</v>
          </cell>
          <cell r="D464" t="str">
            <v xml:space="preserve">Materiales </v>
          </cell>
          <cell r="E464" t="str">
            <v xml:space="preserve">1H03 - Materiales </v>
          </cell>
          <cell r="F464" t="str">
            <v>H</v>
          </cell>
          <cell r="G464" t="str">
            <v>INSTALACIÓN DE FAENAS</v>
          </cell>
          <cell r="H464" t="str">
            <v>H - INSTALACIÓN DE FAENAS</v>
          </cell>
          <cell r="I464" t="str">
            <v>0Q03</v>
          </cell>
        </row>
        <row r="465">
          <cell r="A465" t="str">
            <v>62-1101-000A</v>
          </cell>
          <cell r="B465" t="str">
            <v xml:space="preserve">IFA CI - Fletes / Todos </v>
          </cell>
          <cell r="C465" t="str">
            <v>1H08</v>
          </cell>
          <cell r="D465" t="str">
            <v xml:space="preserve">Fletes </v>
          </cell>
          <cell r="E465" t="str">
            <v xml:space="preserve">1H08 - Fletes </v>
          </cell>
          <cell r="F465" t="str">
            <v>H</v>
          </cell>
          <cell r="G465" t="str">
            <v>INSTALACIÓN DE FAENAS</v>
          </cell>
          <cell r="H465" t="str">
            <v>H - INSTALACIÓN DE FAENAS</v>
          </cell>
          <cell r="I465" t="str">
            <v>0Q03</v>
          </cell>
        </row>
        <row r="466">
          <cell r="A466" t="str">
            <v>62-1101-000G</v>
          </cell>
          <cell r="B466" t="str">
            <v xml:space="preserve">IFA CI - Fletes / Todos </v>
          </cell>
          <cell r="C466" t="str">
            <v>1H08</v>
          </cell>
          <cell r="D466" t="str">
            <v xml:space="preserve">Fletes </v>
          </cell>
          <cell r="E466" t="str">
            <v xml:space="preserve">1H08 - Fletes </v>
          </cell>
          <cell r="F466" t="str">
            <v>H</v>
          </cell>
          <cell r="G466" t="str">
            <v>INSTALACIÓN DE FAENAS</v>
          </cell>
          <cell r="H466" t="str">
            <v>H - INSTALACIÓN DE FAENAS</v>
          </cell>
          <cell r="I466" t="str">
            <v>0Q03</v>
          </cell>
        </row>
        <row r="467">
          <cell r="A467" t="str">
            <v>62-1201-000A</v>
          </cell>
          <cell r="B467" t="str">
            <v xml:space="preserve">IFA CI - Combustibles / Petroleo </v>
          </cell>
          <cell r="C467" t="str">
            <v>1H09</v>
          </cell>
          <cell r="D467" t="str">
            <v xml:space="preserve">Combustibles </v>
          </cell>
          <cell r="E467" t="str">
            <v xml:space="preserve">1H09 - Combustibles </v>
          </cell>
          <cell r="F467" t="str">
            <v>H</v>
          </cell>
          <cell r="G467" t="str">
            <v>INSTALACIÓN DE FAENAS</v>
          </cell>
          <cell r="H467" t="str">
            <v>H - INSTALACIÓN DE FAENAS</v>
          </cell>
          <cell r="I467" t="str">
            <v>0Q03</v>
          </cell>
        </row>
        <row r="468">
          <cell r="A468" t="str">
            <v>62-1201-000G</v>
          </cell>
          <cell r="B468" t="str">
            <v xml:space="preserve">IFA CI - Combustibles / Petroleo </v>
          </cell>
          <cell r="C468" t="str">
            <v>1H09</v>
          </cell>
          <cell r="D468" t="str">
            <v xml:space="preserve">Combustibles </v>
          </cell>
          <cell r="E468" t="str">
            <v xml:space="preserve">1H09 - Combustibles </v>
          </cell>
          <cell r="F468" t="str">
            <v>H</v>
          </cell>
          <cell r="G468" t="str">
            <v>INSTALACIÓN DE FAENAS</v>
          </cell>
          <cell r="H468" t="str">
            <v>H - INSTALACIÓN DE FAENAS</v>
          </cell>
          <cell r="I468" t="str">
            <v>0Q03</v>
          </cell>
        </row>
        <row r="469">
          <cell r="A469" t="str">
            <v>62-1202-000A</v>
          </cell>
          <cell r="B469" t="str">
            <v xml:space="preserve">IFA CI - Combustibles / Bencina </v>
          </cell>
          <cell r="C469" t="str">
            <v>1H09</v>
          </cell>
          <cell r="D469" t="str">
            <v xml:space="preserve">Combustibles </v>
          </cell>
          <cell r="E469" t="str">
            <v xml:space="preserve">1H09 - Combustibles </v>
          </cell>
          <cell r="F469" t="str">
            <v>H</v>
          </cell>
          <cell r="G469" t="str">
            <v>INSTALACIÓN DE FAENAS</v>
          </cell>
          <cell r="H469" t="str">
            <v>H - INSTALACIÓN DE FAENAS</v>
          </cell>
          <cell r="I469" t="str">
            <v>0Q03</v>
          </cell>
        </row>
        <row r="470">
          <cell r="A470" t="str">
            <v>62-1202-000G</v>
          </cell>
          <cell r="B470" t="str">
            <v xml:space="preserve">IFA CI - Combustibles / Bencina </v>
          </cell>
          <cell r="C470" t="str">
            <v>1H09</v>
          </cell>
          <cell r="D470" t="str">
            <v xml:space="preserve">Combustibles </v>
          </cell>
          <cell r="E470" t="str">
            <v xml:space="preserve">1H09 - Combustibles </v>
          </cell>
          <cell r="F470" t="str">
            <v>H</v>
          </cell>
          <cell r="G470" t="str">
            <v>INSTALACIÓN DE FAENAS</v>
          </cell>
          <cell r="H470" t="str">
            <v>H - INSTALACIÓN DE FAENAS</v>
          </cell>
          <cell r="I470" t="str">
            <v>0Q03</v>
          </cell>
        </row>
        <row r="471">
          <cell r="A471" t="str">
            <v>72-0101-010G</v>
          </cell>
          <cell r="B471" t="str">
            <v>GAS CI - Diferencia tipo de cambio</v>
          </cell>
          <cell r="C471" t="str">
            <v>1J03</v>
          </cell>
          <cell r="D471" t="str">
            <v>Gastos Financieros</v>
          </cell>
          <cell r="E471" t="str">
            <v>1J03 - Gastos Financieros</v>
          </cell>
          <cell r="F471" t="str">
            <v>J</v>
          </cell>
          <cell r="G471" t="str">
            <v>GASTOS FINANCIEROS - SEGUROS Y BOLETAS</v>
          </cell>
          <cell r="H471" t="str">
            <v>J - GASTOS FINANCIEROS - SEGUROS Y BOLETAS</v>
          </cell>
          <cell r="I471" t="str">
            <v>1Z03</v>
          </cell>
        </row>
        <row r="472">
          <cell r="A472" t="str">
            <v>72-0105-150G</v>
          </cell>
          <cell r="B472" t="str">
            <v xml:space="preserve">GAS CI - Recuperación de Gastos </v>
          </cell>
          <cell r="C472" t="str">
            <v>1J03</v>
          </cell>
          <cell r="D472" t="str">
            <v>Gastos Financieros</v>
          </cell>
          <cell r="E472" t="str">
            <v>1J03 - Gastos Financieros</v>
          </cell>
          <cell r="F472" t="str">
            <v>J</v>
          </cell>
          <cell r="G472" t="str">
            <v>GASTOS FINANCIEROS - SEGUROS Y BOLETAS</v>
          </cell>
          <cell r="H472" t="str">
            <v>J - GASTOS FINANCIEROS - SEGUROS Y BOLETAS</v>
          </cell>
          <cell r="I472" t="str">
            <v>1Z03</v>
          </cell>
        </row>
        <row r="473">
          <cell r="A473" t="str">
            <v>72-1010-100A</v>
          </cell>
          <cell r="B473" t="str">
            <v>GAS CI - De obra / Telecomunic. / Telefonía fija (A)</v>
          </cell>
          <cell r="C473" t="str">
            <v>1I05</v>
          </cell>
          <cell r="D473" t="str">
            <v>Telecomunicaciones</v>
          </cell>
          <cell r="E473" t="str">
            <v>1I05 - Telecomunicaciones</v>
          </cell>
          <cell r="F473" t="str">
            <v>I</v>
          </cell>
          <cell r="G473" t="str">
            <v>GASTOS GENERALES</v>
          </cell>
          <cell r="H473" t="str">
            <v>I - GASTOS GENERALES</v>
          </cell>
          <cell r="I473" t="str">
            <v>1Z02</v>
          </cell>
        </row>
        <row r="474">
          <cell r="A474" t="str">
            <v>72-1010-100G</v>
          </cell>
          <cell r="B474" t="str">
            <v>GAS CI - De obra / Telecomunic. / Telefonía fija (G)</v>
          </cell>
          <cell r="C474" t="str">
            <v>1I05</v>
          </cell>
          <cell r="D474" t="str">
            <v>Telecomunicaciones</v>
          </cell>
          <cell r="E474" t="str">
            <v>1I05 - Telecomunicaciones</v>
          </cell>
          <cell r="F474" t="str">
            <v>I</v>
          </cell>
          <cell r="G474" t="str">
            <v>GASTOS GENERALES</v>
          </cell>
          <cell r="H474" t="str">
            <v>I - GASTOS GENERALES</v>
          </cell>
          <cell r="I474" t="str">
            <v>1Z02</v>
          </cell>
        </row>
        <row r="475">
          <cell r="A475" t="str">
            <v>72-1010-200A</v>
          </cell>
          <cell r="B475" t="str">
            <v xml:space="preserve">GAS CI - De obra / Telecomunic. / Telefonía celular </v>
          </cell>
          <cell r="C475" t="str">
            <v>1I05</v>
          </cell>
          <cell r="D475" t="str">
            <v>Telecomunicaciones</v>
          </cell>
          <cell r="E475" t="str">
            <v>1I05 - Telecomunicaciones</v>
          </cell>
          <cell r="F475" t="str">
            <v>I</v>
          </cell>
          <cell r="G475" t="str">
            <v>GASTOS GENERALES</v>
          </cell>
          <cell r="H475" t="str">
            <v>I - GASTOS GENERALES</v>
          </cell>
          <cell r="I475" t="str">
            <v>1Z02</v>
          </cell>
        </row>
        <row r="476">
          <cell r="A476" t="str">
            <v>72-1010-200G</v>
          </cell>
          <cell r="B476" t="str">
            <v xml:space="preserve">GAS CI - De obra / Telecomunic. / Telefonía celular </v>
          </cell>
          <cell r="C476" t="str">
            <v>1I05</v>
          </cell>
          <cell r="D476" t="str">
            <v>Telecomunicaciones</v>
          </cell>
          <cell r="E476" t="str">
            <v>1I05 - Telecomunicaciones</v>
          </cell>
          <cell r="F476" t="str">
            <v>I</v>
          </cell>
          <cell r="G476" t="str">
            <v>GASTOS GENERALES</v>
          </cell>
          <cell r="H476" t="str">
            <v>I - GASTOS GENERALES</v>
          </cell>
          <cell r="I476" t="str">
            <v>1Z02</v>
          </cell>
        </row>
        <row r="477">
          <cell r="A477" t="str">
            <v>72-1010-300A</v>
          </cell>
          <cell r="B477" t="str">
            <v xml:space="preserve">GAS CI - De obra / Telecomunic. / Enlaces internet </v>
          </cell>
          <cell r="C477" t="str">
            <v>1I03</v>
          </cell>
          <cell r="D477" t="str">
            <v>Internet</v>
          </cell>
          <cell r="E477" t="str">
            <v>1I03 - Internet</v>
          </cell>
          <cell r="F477" t="str">
            <v>I</v>
          </cell>
          <cell r="G477" t="str">
            <v>GASTOS GENERALES</v>
          </cell>
          <cell r="H477" t="str">
            <v>I - GASTOS GENERALES</v>
          </cell>
          <cell r="I477" t="str">
            <v>1Z02</v>
          </cell>
        </row>
        <row r="478">
          <cell r="A478" t="str">
            <v>72-1010-300G</v>
          </cell>
          <cell r="B478" t="str">
            <v xml:space="preserve">GAS CI - De obra / Telecomunic. / Enlaces internet </v>
          </cell>
          <cell r="C478" t="str">
            <v>1I03</v>
          </cell>
          <cell r="D478" t="str">
            <v>Internet</v>
          </cell>
          <cell r="E478" t="str">
            <v>1I03 - Internet</v>
          </cell>
          <cell r="F478" t="str">
            <v>I</v>
          </cell>
          <cell r="G478" t="str">
            <v>GASTOS GENERALES</v>
          </cell>
          <cell r="H478" t="str">
            <v>I - GASTOS GENERALES</v>
          </cell>
          <cell r="I478" t="str">
            <v>1Z02</v>
          </cell>
        </row>
        <row r="479">
          <cell r="A479" t="str">
            <v>72-1010-400A</v>
          </cell>
          <cell r="B479" t="str">
            <v xml:space="preserve">GAS CI - De obra / Telecomunic. / Equipos de Radio </v>
          </cell>
          <cell r="C479" t="str">
            <v>1I05</v>
          </cell>
          <cell r="D479" t="str">
            <v>Telecomunicaciones</v>
          </cell>
          <cell r="E479" t="str">
            <v>1I05 - Telecomunicaciones</v>
          </cell>
          <cell r="F479" t="str">
            <v>I</v>
          </cell>
          <cell r="G479" t="str">
            <v>GASTOS GENERALES</v>
          </cell>
          <cell r="H479" t="str">
            <v>I - GASTOS GENERALES</v>
          </cell>
          <cell r="I479" t="str">
            <v>1Z02</v>
          </cell>
        </row>
        <row r="480">
          <cell r="A480" t="str">
            <v>72-1010-400G</v>
          </cell>
          <cell r="B480" t="str">
            <v xml:space="preserve">GAS CI - De obra / Telecomunic. / Equipos de Radio </v>
          </cell>
          <cell r="C480" t="str">
            <v>1I05</v>
          </cell>
          <cell r="D480" t="str">
            <v>Telecomunicaciones</v>
          </cell>
          <cell r="E480" t="str">
            <v>1I05 - Telecomunicaciones</v>
          </cell>
          <cell r="F480" t="str">
            <v>I</v>
          </cell>
          <cell r="G480" t="str">
            <v>GASTOS GENERALES</v>
          </cell>
          <cell r="H480" t="str">
            <v>I - GASTOS GENERALES</v>
          </cell>
          <cell r="I480" t="str">
            <v>1Z02</v>
          </cell>
        </row>
        <row r="481">
          <cell r="A481" t="str">
            <v>72-1020-100A</v>
          </cell>
          <cell r="B481" t="str">
            <v xml:space="preserve">GAS CI - De obra / Computación / Computadores </v>
          </cell>
          <cell r="C481" t="str">
            <v>1I06</v>
          </cell>
          <cell r="D481" t="str">
            <v>Computación y Software</v>
          </cell>
          <cell r="E481" t="str">
            <v>1I06 - Computación y Software</v>
          </cell>
          <cell r="F481" t="str">
            <v>I</v>
          </cell>
          <cell r="G481" t="str">
            <v>GASTOS GENERALES</v>
          </cell>
          <cell r="H481" t="str">
            <v>I - GASTOS GENERALES</v>
          </cell>
          <cell r="I481" t="str">
            <v>1Z02</v>
          </cell>
        </row>
        <row r="482">
          <cell r="A482" t="str">
            <v>72-1020-100G</v>
          </cell>
          <cell r="B482" t="str">
            <v xml:space="preserve">GAS CI - De obra / Computación / Computadores </v>
          </cell>
          <cell r="C482" t="str">
            <v>1I06</v>
          </cell>
          <cell r="D482" t="str">
            <v>Computación y Software</v>
          </cell>
          <cell r="E482" t="str">
            <v>1I06 - Computación y Software</v>
          </cell>
          <cell r="F482" t="str">
            <v>I</v>
          </cell>
          <cell r="G482" t="str">
            <v>GASTOS GENERALES</v>
          </cell>
          <cell r="H482" t="str">
            <v>I - GASTOS GENERALES</v>
          </cell>
          <cell r="I482" t="str">
            <v>1Z02</v>
          </cell>
        </row>
        <row r="483">
          <cell r="A483" t="str">
            <v>72-1020-200A</v>
          </cell>
          <cell r="B483" t="str">
            <v xml:space="preserve">GAS CI - De obra / Computación / Impresoras y plott </v>
          </cell>
          <cell r="C483" t="str">
            <v>1I06</v>
          </cell>
          <cell r="D483" t="str">
            <v>Computación y Software</v>
          </cell>
          <cell r="E483" t="str">
            <v>1I06 - Computación y Software</v>
          </cell>
          <cell r="F483" t="str">
            <v>I</v>
          </cell>
          <cell r="G483" t="str">
            <v>GASTOS GENERALES</v>
          </cell>
          <cell r="H483" t="str">
            <v>I - GASTOS GENERALES</v>
          </cell>
          <cell r="I483" t="str">
            <v>1Z02</v>
          </cell>
        </row>
        <row r="484">
          <cell r="A484" t="str">
            <v>72-1020-200G</v>
          </cell>
          <cell r="B484" t="str">
            <v xml:space="preserve">GAS CI - De obra / Computación / Impresoras y plott </v>
          </cell>
          <cell r="C484" t="str">
            <v>1I06</v>
          </cell>
          <cell r="D484" t="str">
            <v>Computación y Software</v>
          </cell>
          <cell r="E484" t="str">
            <v>1I06 - Computación y Software</v>
          </cell>
          <cell r="F484" t="str">
            <v>I</v>
          </cell>
          <cell r="G484" t="str">
            <v>GASTOS GENERALES</v>
          </cell>
          <cell r="H484" t="str">
            <v>I - GASTOS GENERALES</v>
          </cell>
          <cell r="I484" t="str">
            <v>1Z02</v>
          </cell>
        </row>
        <row r="485">
          <cell r="A485" t="str">
            <v>72-1020-300A</v>
          </cell>
          <cell r="B485" t="str">
            <v xml:space="preserve">GAS CI - De obra / Computación / Servidores y redes </v>
          </cell>
          <cell r="C485" t="str">
            <v>1I03</v>
          </cell>
          <cell r="D485" t="str">
            <v>Internet</v>
          </cell>
          <cell r="E485" t="str">
            <v>1I03 - Internet</v>
          </cell>
          <cell r="F485" t="str">
            <v>I</v>
          </cell>
          <cell r="G485" t="str">
            <v>GASTOS GENERALES</v>
          </cell>
          <cell r="H485" t="str">
            <v>I - GASTOS GENERALES</v>
          </cell>
          <cell r="I485" t="str">
            <v>1Z02</v>
          </cell>
        </row>
        <row r="486">
          <cell r="A486" t="str">
            <v>72-1020-300G</v>
          </cell>
          <cell r="B486" t="str">
            <v xml:space="preserve">GAS CI - De obra / Computación / Servidores y redes </v>
          </cell>
          <cell r="C486" t="str">
            <v>1I03</v>
          </cell>
          <cell r="D486" t="str">
            <v>Internet</v>
          </cell>
          <cell r="E486" t="str">
            <v>1I03 - Internet</v>
          </cell>
          <cell r="F486" t="str">
            <v>I</v>
          </cell>
          <cell r="G486" t="str">
            <v>GASTOS GENERALES</v>
          </cell>
          <cell r="H486" t="str">
            <v>I - GASTOS GENERALES</v>
          </cell>
          <cell r="I486" t="str">
            <v>1Z02</v>
          </cell>
        </row>
        <row r="487">
          <cell r="A487" t="str">
            <v>72-1020-400A</v>
          </cell>
          <cell r="B487" t="str">
            <v>GAS CI - De obra / Computación / Software estándar -Office (</v>
          </cell>
          <cell r="C487" t="str">
            <v>1I06</v>
          </cell>
          <cell r="D487" t="str">
            <v>Computación y Software</v>
          </cell>
          <cell r="E487" t="str">
            <v>1I06 - Computación y Software</v>
          </cell>
          <cell r="F487" t="str">
            <v>I</v>
          </cell>
          <cell r="G487" t="str">
            <v>GASTOS GENERALES</v>
          </cell>
          <cell r="H487" t="str">
            <v>I - GASTOS GENERALES</v>
          </cell>
          <cell r="I487" t="str">
            <v>1Z02</v>
          </cell>
        </row>
        <row r="488">
          <cell r="A488" t="str">
            <v>72-1020-400G</v>
          </cell>
          <cell r="B488" t="str">
            <v>GAS CI - De obra / Computación / Software estándar -Office (</v>
          </cell>
          <cell r="C488" t="str">
            <v>1I06</v>
          </cell>
          <cell r="D488" t="str">
            <v>Computación y Software</v>
          </cell>
          <cell r="E488" t="str">
            <v>1I06 - Computación y Software</v>
          </cell>
          <cell r="F488" t="str">
            <v>I</v>
          </cell>
          <cell r="G488" t="str">
            <v>GASTOS GENERALES</v>
          </cell>
          <cell r="H488" t="str">
            <v>I - GASTOS GENERALES</v>
          </cell>
          <cell r="I488" t="str">
            <v>1Z02</v>
          </cell>
        </row>
        <row r="489">
          <cell r="A489" t="str">
            <v>72-1020-500A</v>
          </cell>
          <cell r="B489" t="str">
            <v xml:space="preserve">GAS CI - De obra / Computación / Software técnico </v>
          </cell>
          <cell r="C489" t="str">
            <v>1I06</v>
          </cell>
          <cell r="D489" t="str">
            <v>Computación y Software</v>
          </cell>
          <cell r="E489" t="str">
            <v>1I06 - Computación y Software</v>
          </cell>
          <cell r="F489" t="str">
            <v>I</v>
          </cell>
          <cell r="G489" t="str">
            <v>GASTOS GENERALES</v>
          </cell>
          <cell r="H489" t="str">
            <v>I - GASTOS GENERALES</v>
          </cell>
          <cell r="I489" t="str">
            <v>1Z02</v>
          </cell>
        </row>
        <row r="490">
          <cell r="A490" t="str">
            <v>72-1020-500G</v>
          </cell>
          <cell r="B490" t="str">
            <v xml:space="preserve">GAS CI - De obra / Computación / Software técnico </v>
          </cell>
          <cell r="C490" t="str">
            <v>1I06</v>
          </cell>
          <cell r="D490" t="str">
            <v>Computación y Software</v>
          </cell>
          <cell r="E490" t="str">
            <v>1I06 - Computación y Software</v>
          </cell>
          <cell r="F490" t="str">
            <v>I</v>
          </cell>
          <cell r="G490" t="str">
            <v>GASTOS GENERALES</v>
          </cell>
          <cell r="H490" t="str">
            <v>I - GASTOS GENERALES</v>
          </cell>
          <cell r="I490" t="str">
            <v>1Z02</v>
          </cell>
        </row>
        <row r="491">
          <cell r="A491" t="str">
            <v>72-1030-100A</v>
          </cell>
          <cell r="B491" t="str">
            <v>GAS CI - De obra / Gastos Ofici. / Fotoc. Planos y Especifi.</v>
          </cell>
          <cell r="C491" t="str">
            <v>1I07</v>
          </cell>
          <cell r="D491" t="str">
            <v>Gastos Oficina</v>
          </cell>
          <cell r="E491" t="str">
            <v>1I07 - Gastos Oficina</v>
          </cell>
          <cell r="F491" t="str">
            <v>I</v>
          </cell>
          <cell r="G491" t="str">
            <v>GASTOS GENERALES</v>
          </cell>
          <cell r="H491" t="str">
            <v>I - GASTOS GENERALES</v>
          </cell>
          <cell r="I491" t="str">
            <v>1Z02</v>
          </cell>
        </row>
        <row r="492">
          <cell r="A492" t="str">
            <v>72-1030-100G</v>
          </cell>
          <cell r="B492" t="str">
            <v>GAS CI - De obra / Gastos Ofici. / Fotoc. Planos y Especifi.</v>
          </cell>
          <cell r="C492" t="str">
            <v>1I07</v>
          </cell>
          <cell r="D492" t="str">
            <v>Gastos Oficina</v>
          </cell>
          <cell r="E492" t="str">
            <v>1I07 - Gastos Oficina</v>
          </cell>
          <cell r="F492" t="str">
            <v>I</v>
          </cell>
          <cell r="G492" t="str">
            <v>GASTOS GENERALES</v>
          </cell>
          <cell r="H492" t="str">
            <v>I - GASTOS GENERALES</v>
          </cell>
          <cell r="I492" t="str">
            <v>1Z02</v>
          </cell>
        </row>
        <row r="493">
          <cell r="A493" t="str">
            <v>72-1030-200A</v>
          </cell>
          <cell r="B493" t="str">
            <v xml:space="preserve">GAS CI - De obra / Gastos Ofici. / Café. y Agua Potab. </v>
          </cell>
          <cell r="C493" t="str">
            <v>1I10</v>
          </cell>
          <cell r="D493" t="str">
            <v>Agua y café Oficina</v>
          </cell>
          <cell r="E493" t="str">
            <v>1I10 - Agua y café Oficina</v>
          </cell>
          <cell r="F493" t="str">
            <v>I</v>
          </cell>
          <cell r="G493" t="str">
            <v>GASTOS GENERALES</v>
          </cell>
          <cell r="H493" t="str">
            <v>I - GASTOS GENERALES</v>
          </cell>
          <cell r="I493" t="str">
            <v>1Z02</v>
          </cell>
        </row>
        <row r="494">
          <cell r="A494" t="str">
            <v>72-1030-200G</v>
          </cell>
          <cell r="B494" t="str">
            <v xml:space="preserve">GAS CI - De obra / Gastos Ofici. / Café. y Agua Potab. </v>
          </cell>
          <cell r="C494" t="str">
            <v>1I10</v>
          </cell>
          <cell r="D494" t="str">
            <v>Agua y café Oficina</v>
          </cell>
          <cell r="E494" t="str">
            <v>1I10 - Agua y café Oficina</v>
          </cell>
          <cell r="F494" t="str">
            <v>I</v>
          </cell>
          <cell r="G494" t="str">
            <v>GASTOS GENERALES</v>
          </cell>
          <cell r="H494" t="str">
            <v>I - GASTOS GENERALES</v>
          </cell>
          <cell r="I494" t="str">
            <v>1Z02</v>
          </cell>
        </row>
        <row r="495">
          <cell r="A495" t="str">
            <v>72-1030-300A</v>
          </cell>
          <cell r="B495" t="str">
            <v xml:space="preserve">GAS CI - De obra / Gastos Ofici. / Mant. y Aseo </v>
          </cell>
          <cell r="C495" t="str">
            <v>1I07</v>
          </cell>
          <cell r="D495" t="str">
            <v>Gastos Oficina</v>
          </cell>
          <cell r="E495" t="str">
            <v>1I07 - Gastos Oficina</v>
          </cell>
          <cell r="F495" t="str">
            <v>I</v>
          </cell>
          <cell r="G495" t="str">
            <v>GASTOS GENERALES</v>
          </cell>
          <cell r="H495" t="str">
            <v>I - GASTOS GENERALES</v>
          </cell>
          <cell r="I495" t="str">
            <v>1Z02</v>
          </cell>
        </row>
        <row r="496">
          <cell r="A496" t="str">
            <v>72-1030-300G</v>
          </cell>
          <cell r="B496" t="str">
            <v xml:space="preserve">GAS CI - De obra / Gastos Ofici. / Mant. y Aseo </v>
          </cell>
          <cell r="C496" t="str">
            <v>1I07</v>
          </cell>
          <cell r="D496" t="str">
            <v>Gastos Oficina</v>
          </cell>
          <cell r="E496" t="str">
            <v>1I07 - Gastos Oficina</v>
          </cell>
          <cell r="F496" t="str">
            <v>I</v>
          </cell>
          <cell r="G496" t="str">
            <v>GASTOS GENERALES</v>
          </cell>
          <cell r="H496" t="str">
            <v>I - GASTOS GENERALES</v>
          </cell>
          <cell r="I496" t="str">
            <v>1Z02</v>
          </cell>
        </row>
        <row r="497">
          <cell r="A497" t="str">
            <v>72-1039-900A</v>
          </cell>
          <cell r="B497" t="str">
            <v xml:space="preserve">GAS CI - De obra / Gastos Ofici. / Otros </v>
          </cell>
          <cell r="C497" t="str">
            <v>1I07</v>
          </cell>
          <cell r="D497" t="str">
            <v>Gastos Oficina</v>
          </cell>
          <cell r="E497" t="str">
            <v>1I07 - Gastos Oficina</v>
          </cell>
          <cell r="F497" t="str">
            <v>I</v>
          </cell>
          <cell r="G497" t="str">
            <v>GASTOS GENERALES</v>
          </cell>
          <cell r="H497" t="str">
            <v>I - GASTOS GENERALES</v>
          </cell>
          <cell r="I497" t="str">
            <v>1Z02</v>
          </cell>
        </row>
        <row r="498">
          <cell r="A498" t="str">
            <v>72-1039-900G</v>
          </cell>
          <cell r="B498" t="str">
            <v xml:space="preserve">GAS CI - De obra / Gastos Ofici. / Otros </v>
          </cell>
          <cell r="C498" t="str">
            <v>1I07</v>
          </cell>
          <cell r="D498" t="str">
            <v>Gastos Oficina</v>
          </cell>
          <cell r="E498" t="str">
            <v>1I07 - Gastos Oficina</v>
          </cell>
          <cell r="F498" t="str">
            <v>I</v>
          </cell>
          <cell r="G498" t="str">
            <v>GASTOS GENERALES</v>
          </cell>
          <cell r="H498" t="str">
            <v>I - GASTOS GENERALES</v>
          </cell>
          <cell r="I498" t="str">
            <v>1Z02</v>
          </cell>
        </row>
        <row r="499">
          <cell r="A499" t="str">
            <v>72-1040-100A</v>
          </cell>
          <cell r="B499" t="str">
            <v xml:space="preserve">GAS CI - De obra / Elemento seguridad Indirectos / Todos </v>
          </cell>
          <cell r="C499" t="str">
            <v>1I09</v>
          </cell>
          <cell r="D499" t="str">
            <v>Seguridad MOI</v>
          </cell>
          <cell r="E499" t="str">
            <v>1I09 - Seguridad MOI</v>
          </cell>
          <cell r="F499" t="str">
            <v>I</v>
          </cell>
          <cell r="G499" t="str">
            <v>GASTOS GENERALES</v>
          </cell>
          <cell r="H499" t="str">
            <v>I - GASTOS GENERALES</v>
          </cell>
          <cell r="I499" t="str">
            <v>1Y11</v>
          </cell>
        </row>
        <row r="500">
          <cell r="A500" t="str">
            <v>72-1040-100G</v>
          </cell>
          <cell r="B500" t="str">
            <v xml:space="preserve">GAS CI - De obra / Elemento seguridad Indirectos / Todos </v>
          </cell>
          <cell r="C500" t="str">
            <v>1I09</v>
          </cell>
          <cell r="D500" t="str">
            <v>Seguridad MOI</v>
          </cell>
          <cell r="E500" t="str">
            <v>1I09 - Seguridad MOI</v>
          </cell>
          <cell r="F500" t="str">
            <v>I</v>
          </cell>
          <cell r="G500" t="str">
            <v>GASTOS GENERALES</v>
          </cell>
          <cell r="H500" t="str">
            <v>I - GASTOS GENERALES</v>
          </cell>
          <cell r="I500" t="str">
            <v>1Y11</v>
          </cell>
        </row>
        <row r="501">
          <cell r="A501" t="str">
            <v>72-1050-100A</v>
          </cell>
          <cell r="B501" t="str">
            <v>GAS CI - De obra / Gastos contratación / Examenes</v>
          </cell>
          <cell r="C501" t="str">
            <v>1I01</v>
          </cell>
          <cell r="D501" t="str">
            <v xml:space="preserve">Gastos contratación </v>
          </cell>
          <cell r="E501" t="str">
            <v xml:space="preserve">1I01 - Gastos contratación </v>
          </cell>
          <cell r="F501" t="str">
            <v>I</v>
          </cell>
          <cell r="G501" t="str">
            <v>GASTOS GENERALES</v>
          </cell>
          <cell r="H501" t="str">
            <v>I - GASTOS GENERALES</v>
          </cell>
          <cell r="I501" t="str">
            <v>0P03</v>
          </cell>
        </row>
        <row r="502">
          <cell r="A502" t="str">
            <v>72-1050-100G</v>
          </cell>
          <cell r="B502" t="str">
            <v>GAS CI - De obra / Gastos contratación / Costo MO</v>
          </cell>
          <cell r="C502" t="str">
            <v>1I01</v>
          </cell>
          <cell r="D502" t="str">
            <v xml:space="preserve">Gastos contratación </v>
          </cell>
          <cell r="E502" t="str">
            <v xml:space="preserve">1I01 - Gastos contratación </v>
          </cell>
          <cell r="F502" t="str">
            <v>I</v>
          </cell>
          <cell r="G502" t="str">
            <v>GASTOS GENERALES</v>
          </cell>
          <cell r="H502" t="str">
            <v>I - GASTOS GENERALES</v>
          </cell>
          <cell r="I502" t="str">
            <v>1Z02</v>
          </cell>
        </row>
        <row r="503">
          <cell r="A503" t="str">
            <v>72-1056-000G</v>
          </cell>
          <cell r="B503" t="str">
            <v>CD / Gastos por Caja Chica (G)</v>
          </cell>
          <cell r="C503" t="str">
            <v>1I07</v>
          </cell>
          <cell r="D503" t="str">
            <v>Gastos Oficina</v>
          </cell>
          <cell r="E503" t="str">
            <v>1I07 - Gastos Oficina</v>
          </cell>
          <cell r="F503" t="str">
            <v>I</v>
          </cell>
          <cell r="G503" t="str">
            <v>GASTOS GENERALES</v>
          </cell>
          <cell r="H503" t="str">
            <v>I - GASTOS GENERALES</v>
          </cell>
          <cell r="I503" t="str">
            <v>1Z02</v>
          </cell>
        </row>
        <row r="504">
          <cell r="A504" t="str">
            <v>72-1060-100A</v>
          </cell>
          <cell r="B504" t="str">
            <v xml:space="preserve">GAS CI - De obra / Calific. Soldadores y Procs. / Todos </v>
          </cell>
          <cell r="C504" t="str">
            <v>1I08</v>
          </cell>
          <cell r="D504" t="str">
            <v>Calificaciones</v>
          </cell>
          <cell r="E504" t="str">
            <v>1I08 - Calificaciones</v>
          </cell>
          <cell r="F504" t="str">
            <v>I</v>
          </cell>
          <cell r="G504" t="str">
            <v>GASTOS GENERALES</v>
          </cell>
          <cell r="H504" t="str">
            <v>I - GASTOS GENERALES</v>
          </cell>
          <cell r="I504" t="str">
            <v>0P03</v>
          </cell>
        </row>
        <row r="505">
          <cell r="A505" t="str">
            <v>72-1070-100A</v>
          </cell>
          <cell r="B505" t="str">
            <v xml:space="preserve">GAS CI - De obra / Fletes generales de Obra / Todos </v>
          </cell>
          <cell r="C505" t="str">
            <v>1I04</v>
          </cell>
          <cell r="D505" t="str">
            <v xml:space="preserve">Fletes generales de Obra </v>
          </cell>
          <cell r="E505" t="str">
            <v xml:space="preserve">1I04 - Fletes generales de Obra </v>
          </cell>
          <cell r="F505" t="str">
            <v>I</v>
          </cell>
          <cell r="G505" t="str">
            <v>GASTOS GENERALES</v>
          </cell>
          <cell r="H505" t="str">
            <v>I - GASTOS GENERALES</v>
          </cell>
          <cell r="I505" t="str">
            <v>1Z02</v>
          </cell>
        </row>
        <row r="506">
          <cell r="A506" t="str">
            <v>72-1070-100G</v>
          </cell>
          <cell r="B506" t="str">
            <v xml:space="preserve">GAS CI - De obra / Fletes generales de Obra / Todos </v>
          </cell>
          <cell r="C506" t="str">
            <v>1I04</v>
          </cell>
          <cell r="D506" t="str">
            <v xml:space="preserve">Fletes generales de Obra </v>
          </cell>
          <cell r="E506" t="str">
            <v xml:space="preserve">1I04 - Fletes generales de Obra </v>
          </cell>
          <cell r="F506" t="str">
            <v>I</v>
          </cell>
          <cell r="G506" t="str">
            <v>GASTOS GENERALES</v>
          </cell>
          <cell r="H506" t="str">
            <v>I - GASTOS GENERALES</v>
          </cell>
          <cell r="I506" t="str">
            <v>1Z02</v>
          </cell>
        </row>
        <row r="507">
          <cell r="A507" t="str">
            <v>72-1080-100A</v>
          </cell>
          <cell r="B507" t="str">
            <v>GAS CI - De obra / Alimentación M. de Obra Indir. / Todos (A</v>
          </cell>
          <cell r="C507" t="str">
            <v>1F11</v>
          </cell>
          <cell r="D507" t="str">
            <v>Alojamiento y Alimentación</v>
          </cell>
          <cell r="E507" t="str">
            <v>1F11 - Alojamiento y Alimentación</v>
          </cell>
          <cell r="F507" t="str">
            <v>F</v>
          </cell>
          <cell r="G507" t="str">
            <v>MANO DE OBRA INDIRECTA</v>
          </cell>
          <cell r="H507" t="str">
            <v>F - MANO DE OBRA INDIRECTA</v>
          </cell>
          <cell r="I507" t="str">
            <v>1Y10</v>
          </cell>
        </row>
        <row r="508">
          <cell r="A508" t="str">
            <v>72-1080-100G</v>
          </cell>
          <cell r="B508" t="str">
            <v>GAS CI - De obra / Alimentación M. de Obra Indir. / Todos (G</v>
          </cell>
          <cell r="C508" t="str">
            <v>1F11</v>
          </cell>
          <cell r="D508" t="str">
            <v>Alojamiento y Alimentación</v>
          </cell>
          <cell r="E508" t="str">
            <v>1F11 - Alojamiento y Alimentación</v>
          </cell>
          <cell r="F508" t="str">
            <v>F</v>
          </cell>
          <cell r="G508" t="str">
            <v>MANO DE OBRA INDIRECTA</v>
          </cell>
          <cell r="H508" t="str">
            <v>F - MANO DE OBRA INDIRECTA</v>
          </cell>
          <cell r="I508" t="str">
            <v>1Y10</v>
          </cell>
        </row>
        <row r="509">
          <cell r="A509" t="str">
            <v>72-1090-100A</v>
          </cell>
          <cell r="B509" t="str">
            <v xml:space="preserve">GAS CI - De obra / Vigilancia / Todos </v>
          </cell>
          <cell r="C509" t="str">
            <v>1I02</v>
          </cell>
          <cell r="D509" t="str">
            <v>Otros Gastos Generales</v>
          </cell>
          <cell r="E509" t="str">
            <v>1I02 - Otros Gastos Generales</v>
          </cell>
          <cell r="F509" t="str">
            <v>I</v>
          </cell>
          <cell r="G509" t="str">
            <v>GASTOS GENERALES</v>
          </cell>
          <cell r="H509" t="str">
            <v>I - GASTOS GENERALES</v>
          </cell>
          <cell r="I509" t="str">
            <v>1Z02</v>
          </cell>
        </row>
        <row r="510">
          <cell r="A510" t="str">
            <v>72-1090-100G</v>
          </cell>
          <cell r="B510" t="str">
            <v xml:space="preserve">GAS CI - De obra / Vigilancia / Todos </v>
          </cell>
          <cell r="C510" t="str">
            <v>1I02</v>
          </cell>
          <cell r="D510" t="str">
            <v>Otros Gastos Generales</v>
          </cell>
          <cell r="E510" t="str">
            <v>1I02 - Otros Gastos Generales</v>
          </cell>
          <cell r="F510" t="str">
            <v>I</v>
          </cell>
          <cell r="G510" t="str">
            <v>GASTOS GENERALES</v>
          </cell>
          <cell r="H510" t="str">
            <v>I - GASTOS GENERALES</v>
          </cell>
          <cell r="I510" t="str">
            <v>1Z02</v>
          </cell>
        </row>
        <row r="511">
          <cell r="A511" t="str">
            <v>72-1100-100A</v>
          </cell>
          <cell r="B511" t="str">
            <v xml:space="preserve">GAS CI - De obra / Visitas / Todos </v>
          </cell>
          <cell r="C511" t="str">
            <v>1I02</v>
          </cell>
          <cell r="D511" t="str">
            <v>Otros Gastos Generales</v>
          </cell>
          <cell r="E511" t="str">
            <v>1I02 - Otros Gastos Generales</v>
          </cell>
          <cell r="F511" t="str">
            <v>I</v>
          </cell>
          <cell r="G511" t="str">
            <v>GASTOS GENERALES</v>
          </cell>
          <cell r="H511" t="str">
            <v>I - GASTOS GENERALES</v>
          </cell>
          <cell r="I511" t="str">
            <v>1Z02</v>
          </cell>
        </row>
        <row r="512">
          <cell r="A512" t="str">
            <v>72-1100-100G</v>
          </cell>
          <cell r="B512" t="str">
            <v xml:space="preserve">GAS CI - De obra / Visitas / Todos </v>
          </cell>
          <cell r="C512" t="str">
            <v>1I02</v>
          </cell>
          <cell r="D512" t="str">
            <v>Otros Gastos Generales</v>
          </cell>
          <cell r="E512" t="str">
            <v>1I02 - Otros Gastos Generales</v>
          </cell>
          <cell r="F512" t="str">
            <v>I</v>
          </cell>
          <cell r="G512" t="str">
            <v>GASTOS GENERALES</v>
          </cell>
          <cell r="H512" t="str">
            <v>I - GASTOS GENERALES</v>
          </cell>
          <cell r="I512" t="str">
            <v>1Z02</v>
          </cell>
        </row>
        <row r="513">
          <cell r="A513" t="str">
            <v>72-1110-100A</v>
          </cell>
          <cell r="B513" t="str">
            <v xml:space="preserve">GAS CI - De obra / Estacionamientos y peajes / Todos </v>
          </cell>
          <cell r="C513" t="str">
            <v>1I02</v>
          </cell>
          <cell r="D513" t="str">
            <v>Otros Gastos Generales</v>
          </cell>
          <cell r="E513" t="str">
            <v>1I02 - Otros Gastos Generales</v>
          </cell>
          <cell r="F513" t="str">
            <v>I</v>
          </cell>
          <cell r="G513" t="str">
            <v>GASTOS GENERALES</v>
          </cell>
          <cell r="H513" t="str">
            <v>I - GASTOS GENERALES</v>
          </cell>
          <cell r="I513" t="str">
            <v>1Z02</v>
          </cell>
        </row>
        <row r="514">
          <cell r="A514" t="str">
            <v>72-1110-100G</v>
          </cell>
          <cell r="B514" t="str">
            <v xml:space="preserve">GAS CI - De obra / Estacionamientos y peajes / Todos </v>
          </cell>
          <cell r="C514" t="str">
            <v>1I02</v>
          </cell>
          <cell r="D514" t="str">
            <v>Otros Gastos Generales</v>
          </cell>
          <cell r="E514" t="str">
            <v>1I02 - Otros Gastos Generales</v>
          </cell>
          <cell r="F514" t="str">
            <v>I</v>
          </cell>
          <cell r="G514" t="str">
            <v>GASTOS GENERALES</v>
          </cell>
          <cell r="H514" t="str">
            <v>I - GASTOS GENERALES</v>
          </cell>
          <cell r="I514" t="str">
            <v>1Z02</v>
          </cell>
        </row>
        <row r="515">
          <cell r="A515" t="str">
            <v>72-1120-100A</v>
          </cell>
          <cell r="B515" t="str">
            <v>GAS CI - De obra / De Representación / Todos (A)</v>
          </cell>
          <cell r="C515" t="str">
            <v>1I01</v>
          </cell>
          <cell r="D515" t="str">
            <v xml:space="preserve">Gastos contratación </v>
          </cell>
          <cell r="E515" t="str">
            <v xml:space="preserve">1I01 - Gastos contratación </v>
          </cell>
          <cell r="F515" t="str">
            <v>I</v>
          </cell>
          <cell r="G515" t="str">
            <v>GASTOS GENERALES</v>
          </cell>
          <cell r="H515" t="str">
            <v>I - GASTOS GENERALES</v>
          </cell>
          <cell r="I515" t="str">
            <v>1Z02</v>
          </cell>
        </row>
        <row r="516">
          <cell r="A516" t="str">
            <v>72-1120-100G</v>
          </cell>
          <cell r="B516" t="str">
            <v>GAS CI - De obra / De Representación / Todos (G)</v>
          </cell>
          <cell r="C516" t="str">
            <v>1I01</v>
          </cell>
          <cell r="D516" t="str">
            <v xml:space="preserve">Gastos contratación </v>
          </cell>
          <cell r="E516" t="str">
            <v xml:space="preserve">1I01 - Gastos contratación </v>
          </cell>
          <cell r="F516" t="str">
            <v>I</v>
          </cell>
          <cell r="G516" t="str">
            <v>GASTOS GENERALES</v>
          </cell>
          <cell r="H516" t="str">
            <v>I - GASTOS GENERALES</v>
          </cell>
          <cell r="I516" t="str">
            <v>1Z02</v>
          </cell>
        </row>
        <row r="517">
          <cell r="A517" t="str">
            <v>72-1990-100A</v>
          </cell>
          <cell r="B517" t="str">
            <v xml:space="preserve">GAS CI - De obra / Otros gastos generales / Todos </v>
          </cell>
          <cell r="C517" t="str">
            <v>1I02</v>
          </cell>
          <cell r="D517" t="str">
            <v>Otros Gastos Generales</v>
          </cell>
          <cell r="E517" t="str">
            <v>1I02 - Otros Gastos Generales</v>
          </cell>
          <cell r="F517" t="str">
            <v>I</v>
          </cell>
          <cell r="G517" t="str">
            <v>GASTOS GENERALES</v>
          </cell>
          <cell r="H517" t="str">
            <v>I - GASTOS GENERALES</v>
          </cell>
          <cell r="I517" t="str">
            <v>1Z02</v>
          </cell>
        </row>
        <row r="518">
          <cell r="A518" t="str">
            <v>72-1990-100G</v>
          </cell>
          <cell r="B518" t="str">
            <v xml:space="preserve">GAS CI - De obra / Otros gastos generales / Todos </v>
          </cell>
          <cell r="C518" t="str">
            <v>1I02</v>
          </cell>
          <cell r="D518" t="str">
            <v>Otros Gastos Generales</v>
          </cell>
          <cell r="E518" t="str">
            <v>1I02 - Otros Gastos Generales</v>
          </cell>
          <cell r="F518" t="str">
            <v>I</v>
          </cell>
          <cell r="G518" t="str">
            <v>GASTOS GENERALES</v>
          </cell>
          <cell r="H518" t="str">
            <v>I - GASTOS GENERALES</v>
          </cell>
          <cell r="I518" t="str">
            <v>1Z02</v>
          </cell>
        </row>
        <row r="519">
          <cell r="A519" t="str">
            <v>72-1990-120G</v>
          </cell>
          <cell r="B519" t="str">
            <v>GAS CI - De obra / Donaciones / Todos (G)</v>
          </cell>
          <cell r="C519" t="str">
            <v>1I02</v>
          </cell>
          <cell r="D519" t="str">
            <v>Otros Gastos Generales</v>
          </cell>
          <cell r="E519" t="str">
            <v>1I02 - Otros Gastos Generales</v>
          </cell>
          <cell r="F519" t="str">
            <v>I</v>
          </cell>
          <cell r="G519" t="str">
            <v>GASTOS GENERALES</v>
          </cell>
          <cell r="H519" t="str">
            <v>I - GASTOS GENERALES</v>
          </cell>
          <cell r="I519" t="str">
            <v>1Z02</v>
          </cell>
        </row>
        <row r="520">
          <cell r="A520" t="str">
            <v>72-2010-110A</v>
          </cell>
          <cell r="B520" t="str">
            <v>GAS CI - Gastos Generales Reembolsables (A)</v>
          </cell>
          <cell r="C520" t="str">
            <v>1I02</v>
          </cell>
          <cell r="D520" t="str">
            <v>Otros Gastos Generales</v>
          </cell>
          <cell r="E520" t="str">
            <v>1I02 - Otros Gastos Generales</v>
          </cell>
          <cell r="F520" t="str">
            <v>I</v>
          </cell>
          <cell r="G520" t="str">
            <v>GASTOS GENERALES</v>
          </cell>
          <cell r="H520" t="str">
            <v>I - GASTOS GENERALES</v>
          </cell>
          <cell r="I520" t="str">
            <v>1Z02</v>
          </cell>
        </row>
        <row r="521">
          <cell r="A521" t="str">
            <v>72-2030-100G</v>
          </cell>
          <cell r="B521" t="str">
            <v>GAS CI - Traspaso venta obra / Todos (G)</v>
          </cell>
          <cell r="C521" t="str">
            <v>1I02</v>
          </cell>
          <cell r="D521" t="str">
            <v>Otros Gastos Generales</v>
          </cell>
          <cell r="E521" t="str">
            <v>1I02 - Otros Gastos Generales</v>
          </cell>
          <cell r="F521" t="str">
            <v>I</v>
          </cell>
          <cell r="G521" t="str">
            <v>GASTOS GENERALES</v>
          </cell>
          <cell r="H521" t="str">
            <v>I - GASTOS GENERALES</v>
          </cell>
          <cell r="I521" t="str">
            <v>1Z02</v>
          </cell>
        </row>
        <row r="522">
          <cell r="A522" t="str">
            <v>72-4010-700G</v>
          </cell>
          <cell r="B522" t="str">
            <v>GAS CI / Resultado Forward (G)</v>
          </cell>
          <cell r="C522" t="str">
            <v>1K01</v>
          </cell>
          <cell r="D522" t="str">
            <v xml:space="preserve">Oficina Central </v>
          </cell>
          <cell r="E522" t="str">
            <v xml:space="preserve">1K01 - Oficina Central </v>
          </cell>
          <cell r="F522" t="str">
            <v>K</v>
          </cell>
          <cell r="G522" t="str">
            <v>OFICINA CENTRAL - IMPREVISTOS - UTILIDADES</v>
          </cell>
          <cell r="H522" t="str">
            <v>K - OFICINA CENTRAL - IMPREVISTOS - UTILIDADES</v>
          </cell>
          <cell r="I522" t="str">
            <v>1K01</v>
          </cell>
        </row>
        <row r="523">
          <cell r="A523" t="str">
            <v>72-5801-000A</v>
          </cell>
          <cell r="B523" t="str">
            <v xml:space="preserve">MAO CI - Moviliz. y Alojamiento / Movilizacion </v>
          </cell>
          <cell r="C523" t="str">
            <v>1F09</v>
          </cell>
          <cell r="D523" t="str">
            <v xml:space="preserve">Movilización </v>
          </cell>
          <cell r="E523" t="str">
            <v xml:space="preserve">1F09 - Movilización </v>
          </cell>
          <cell r="F523" t="str">
            <v>F</v>
          </cell>
          <cell r="G523" t="str">
            <v>MANO DE OBRA INDIRECTA</v>
          </cell>
          <cell r="H523" t="str">
            <v>F - MANO DE OBRA INDIRECTA</v>
          </cell>
          <cell r="I523" t="str">
            <v>1Y09</v>
          </cell>
        </row>
        <row r="524">
          <cell r="A524" t="str">
            <v>72-5801-000G</v>
          </cell>
          <cell r="B524" t="str">
            <v xml:space="preserve">MAO CI - Moviliz. y Alojamiento / Movilizacion </v>
          </cell>
          <cell r="C524" t="str">
            <v>1F09</v>
          </cell>
          <cell r="D524" t="str">
            <v xml:space="preserve">Movilización </v>
          </cell>
          <cell r="E524" t="str">
            <v xml:space="preserve">1F09 - Movilización </v>
          </cell>
          <cell r="F524" t="str">
            <v>F</v>
          </cell>
          <cell r="G524" t="str">
            <v>MANO DE OBRA INDIRECTA</v>
          </cell>
          <cell r="H524" t="str">
            <v>F - MANO DE OBRA INDIRECTA</v>
          </cell>
          <cell r="I524" t="str">
            <v>1Y09</v>
          </cell>
        </row>
        <row r="525">
          <cell r="A525" t="str">
            <v>72-5801-010A</v>
          </cell>
          <cell r="B525" t="str">
            <v>MAO CI - Movilización / Reembolsable</v>
          </cell>
          <cell r="C525" t="str">
            <v>1F09</v>
          </cell>
          <cell r="D525" t="str">
            <v xml:space="preserve">Movilización </v>
          </cell>
          <cell r="E525" t="str">
            <v xml:space="preserve">1F09 - Movilización </v>
          </cell>
          <cell r="F525" t="str">
            <v>F</v>
          </cell>
          <cell r="G525" t="str">
            <v>MANO DE OBRA INDIRECTA</v>
          </cell>
          <cell r="H525" t="str">
            <v>F - MANO DE OBRA INDIRECTA</v>
          </cell>
          <cell r="I525" t="str">
            <v>1Y09</v>
          </cell>
        </row>
        <row r="526">
          <cell r="A526" t="str">
            <v>72-5801-010G</v>
          </cell>
          <cell r="B526" t="str">
            <v>MAO CI - Movilización / Reembolsable</v>
          </cell>
          <cell r="C526" t="str">
            <v>1F09</v>
          </cell>
          <cell r="D526" t="str">
            <v xml:space="preserve">Movilización </v>
          </cell>
          <cell r="E526" t="str">
            <v xml:space="preserve">1F09 - Movilización </v>
          </cell>
          <cell r="F526" t="str">
            <v>F</v>
          </cell>
          <cell r="G526" t="str">
            <v>MANO DE OBRA INDIRECTA</v>
          </cell>
          <cell r="H526" t="str">
            <v>F - MANO DE OBRA INDIRECTA</v>
          </cell>
          <cell r="I526" t="str">
            <v>1Y09</v>
          </cell>
        </row>
        <row r="527">
          <cell r="A527" t="str">
            <v>72-5802-000A</v>
          </cell>
          <cell r="B527" t="str">
            <v>MAO CI - Moviliz. y Alojamiento / Alojamiento (A)</v>
          </cell>
          <cell r="C527" t="str">
            <v>1F10</v>
          </cell>
          <cell r="D527" t="str">
            <v>Hotelería</v>
          </cell>
          <cell r="E527" t="str">
            <v>1F10 - Hotelería</v>
          </cell>
          <cell r="F527" t="str">
            <v>F</v>
          </cell>
          <cell r="G527" t="str">
            <v>MANO DE OBRA INDIRECTA</v>
          </cell>
          <cell r="H527" t="str">
            <v>F - MANO DE OBRA INDIRECTA</v>
          </cell>
          <cell r="I527" t="str">
            <v>1Y10</v>
          </cell>
        </row>
        <row r="528">
          <cell r="A528" t="str">
            <v>72-5802-000G</v>
          </cell>
          <cell r="B528" t="str">
            <v>MAO CI - Moviliz. y Alojamiento / Alojamiento (G)</v>
          </cell>
          <cell r="C528" t="str">
            <v>1F10</v>
          </cell>
          <cell r="D528" t="str">
            <v>Hotelería</v>
          </cell>
          <cell r="E528" t="str">
            <v>1F10 - Hotelería</v>
          </cell>
          <cell r="F528" t="str">
            <v>F</v>
          </cell>
          <cell r="G528" t="str">
            <v>MANO DE OBRA INDIRECTA</v>
          </cell>
          <cell r="H528" t="str">
            <v>F - MANO DE OBRA INDIRECTA</v>
          </cell>
          <cell r="I528" t="str">
            <v>1Y10</v>
          </cell>
        </row>
        <row r="529">
          <cell r="A529" t="str">
            <v>72-5803-010A</v>
          </cell>
          <cell r="B529" t="str">
            <v>MAO CI - Alojamiento Viatico / Reembolsable</v>
          </cell>
          <cell r="C529" t="str">
            <v>1F10</v>
          </cell>
          <cell r="D529" t="str">
            <v>Hotelería</v>
          </cell>
          <cell r="E529" t="str">
            <v>1F10 - Hotelería</v>
          </cell>
          <cell r="F529" t="str">
            <v>F</v>
          </cell>
          <cell r="G529" t="str">
            <v>MANO DE OBRA INDIRECTA</v>
          </cell>
          <cell r="H529" t="str">
            <v>F - MANO DE OBRA INDIRECTA</v>
          </cell>
          <cell r="I529" t="str">
            <v>1Y10</v>
          </cell>
        </row>
        <row r="530">
          <cell r="A530" t="str">
            <v>72-5803-010G</v>
          </cell>
          <cell r="B530" t="str">
            <v>MAO CI - Alojamiento Viatico / Reembolsable</v>
          </cell>
          <cell r="C530" t="str">
            <v>1F10</v>
          </cell>
          <cell r="D530" t="str">
            <v>Hotelería</v>
          </cell>
          <cell r="E530" t="str">
            <v>1F10 - Hotelería</v>
          </cell>
          <cell r="F530" t="str">
            <v>F</v>
          </cell>
          <cell r="G530" t="str">
            <v>MANO DE OBRA INDIRECTA</v>
          </cell>
          <cell r="H530" t="str">
            <v>F - MANO DE OBRA INDIRECTA</v>
          </cell>
          <cell r="I530" t="str">
            <v>1Y10</v>
          </cell>
        </row>
        <row r="531">
          <cell r="A531" t="str">
            <v>72-5804-000A</v>
          </cell>
          <cell r="B531" t="str">
            <v xml:space="preserve">MAO CI - Moviliz. y Alojamiento / Pensión y Aliment. </v>
          </cell>
          <cell r="C531" t="str">
            <v>1F11</v>
          </cell>
          <cell r="D531" t="str">
            <v>Alojamiento y Alimentación</v>
          </cell>
          <cell r="E531" t="str">
            <v>1F11 - Alojamiento y Alimentación</v>
          </cell>
          <cell r="F531" t="str">
            <v>F</v>
          </cell>
          <cell r="G531" t="str">
            <v>MANO DE OBRA INDIRECTA</v>
          </cell>
          <cell r="H531" t="str">
            <v>F - MANO DE OBRA INDIRECTA</v>
          </cell>
          <cell r="I531" t="str">
            <v>1Y10</v>
          </cell>
        </row>
        <row r="532">
          <cell r="A532" t="str">
            <v>72-5804-000G</v>
          </cell>
          <cell r="B532" t="str">
            <v xml:space="preserve">MAO CI - Moviliz. y Alojamiento / Pensión y Aliment. </v>
          </cell>
          <cell r="C532" t="str">
            <v>1F11</v>
          </cell>
          <cell r="D532" t="str">
            <v>Alojamiento y Alimentación</v>
          </cell>
          <cell r="E532" t="str">
            <v>1F11 - Alojamiento y Alimentación</v>
          </cell>
          <cell r="F532" t="str">
            <v>F</v>
          </cell>
          <cell r="G532" t="str">
            <v>MANO DE OBRA INDIRECTA</v>
          </cell>
          <cell r="H532" t="str">
            <v>F - MANO DE OBRA INDIRECTA</v>
          </cell>
          <cell r="I532" t="str">
            <v>1Y10</v>
          </cell>
        </row>
        <row r="533">
          <cell r="A533" t="str">
            <v>72-6010-100G</v>
          </cell>
          <cell r="B533" t="str">
            <v xml:space="preserve">GAS CI - Diferencia de Cambio Dólar </v>
          </cell>
          <cell r="C533" t="str">
            <v>1J03</v>
          </cell>
          <cell r="D533" t="str">
            <v>Gastos Financieros</v>
          </cell>
          <cell r="E533" t="str">
            <v>1J03 - Gastos Financieros</v>
          </cell>
          <cell r="F533" t="str">
            <v>J</v>
          </cell>
          <cell r="G533" t="str">
            <v>GASTOS FINANCIEROS - SEGUROS Y BOLETAS</v>
          </cell>
          <cell r="H533" t="str">
            <v>J - GASTOS FINANCIEROS - SEGUROS Y BOLETAS</v>
          </cell>
          <cell r="I533" t="str">
            <v>1Z03</v>
          </cell>
        </row>
        <row r="534">
          <cell r="A534" t="str">
            <v>72-6010-111G</v>
          </cell>
          <cell r="B534" t="str">
            <v xml:space="preserve">GAS CI -Diferencia Tipo de Cambio otras monedas </v>
          </cell>
          <cell r="C534" t="str">
            <v>1J03</v>
          </cell>
          <cell r="D534" t="str">
            <v>Gastos Financieros</v>
          </cell>
          <cell r="E534" t="str">
            <v>1J03 - Gastos Financieros</v>
          </cell>
          <cell r="F534" t="str">
            <v>J</v>
          </cell>
          <cell r="G534" t="str">
            <v>GASTOS FINANCIEROS - SEGUROS Y BOLETAS</v>
          </cell>
          <cell r="H534" t="str">
            <v>J - GASTOS FINANCIEROS - SEGUROS Y BOLETAS</v>
          </cell>
          <cell r="I534" t="str">
            <v>1Z03</v>
          </cell>
        </row>
        <row r="535">
          <cell r="A535" t="str">
            <v>72-6070-700G</v>
          </cell>
          <cell r="B535" t="str">
            <v xml:space="preserve">Gastos - Proyectos / Comisiones Pagadas a bancos </v>
          </cell>
          <cell r="C535" t="str">
            <v>1J03</v>
          </cell>
          <cell r="D535" t="str">
            <v>Gastos Financieros</v>
          </cell>
          <cell r="E535" t="str">
            <v>1J03 - Gastos Financieros</v>
          </cell>
          <cell r="F535" t="str">
            <v>J</v>
          </cell>
          <cell r="G535" t="str">
            <v>GASTOS FINANCIEROS - SEGUROS Y BOLETAS</v>
          </cell>
          <cell r="H535" t="str">
            <v>J - GASTOS FINANCIEROS - SEGUROS Y BOLETAS</v>
          </cell>
          <cell r="I535" t="str">
            <v>1Z03</v>
          </cell>
        </row>
        <row r="536">
          <cell r="A536" t="str">
            <v>72-9013-800G</v>
          </cell>
          <cell r="B536" t="str">
            <v>GG Finanzas / Intereses Pagados por Operaciones Confirming</v>
          </cell>
          <cell r="C536" t="str">
            <v>1J03</v>
          </cell>
          <cell r="D536" t="str">
            <v>Gastos Financieros</v>
          </cell>
          <cell r="E536" t="str">
            <v>1J03 - Gastos Financieros</v>
          </cell>
          <cell r="F536" t="str">
            <v>J</v>
          </cell>
          <cell r="G536" t="str">
            <v>GASTOS FINANCIEROS - SEGUROS Y BOLETAS</v>
          </cell>
          <cell r="H536" t="str">
            <v>J - GASTOS FINANCIEROS - SEGUROS Y BOLETAS</v>
          </cell>
          <cell r="I536" t="str">
            <v>1Z03</v>
          </cell>
        </row>
        <row r="537">
          <cell r="A537" t="str">
            <v>72-9999-990G</v>
          </cell>
          <cell r="B537" t="str">
            <v>FACTURAS DIRECTO A GASTO</v>
          </cell>
          <cell r="C537" t="str">
            <v>1I07</v>
          </cell>
          <cell r="D537" t="str">
            <v>Gastos Oficina</v>
          </cell>
          <cell r="E537" t="str">
            <v>1I07 - Gastos Oficina</v>
          </cell>
          <cell r="F537" t="str">
            <v>I</v>
          </cell>
          <cell r="G537" t="str">
            <v>GASTOS GENERALES</v>
          </cell>
          <cell r="H537" t="str">
            <v>I - GASTOS GENERALES</v>
          </cell>
          <cell r="I537" t="str">
            <v>1Z02</v>
          </cell>
        </row>
        <row r="538">
          <cell r="A538" t="str">
            <v>72-A010-100G</v>
          </cell>
          <cell r="B538" t="str">
            <v xml:space="preserve">GAS CI - Of. Central / Gastos Financieros / Todos </v>
          </cell>
          <cell r="C538" t="str">
            <v>1J03</v>
          </cell>
          <cell r="D538" t="str">
            <v>Gastos Financieros</v>
          </cell>
          <cell r="E538" t="str">
            <v>1J03 - Gastos Financieros</v>
          </cell>
          <cell r="F538" t="str">
            <v>J</v>
          </cell>
          <cell r="G538" t="str">
            <v>GASTOS FINANCIEROS - SEGUROS Y BOLETAS</v>
          </cell>
          <cell r="H538" t="str">
            <v>J - GASTOS FINANCIEROS - SEGUROS Y BOLETAS</v>
          </cell>
          <cell r="I538" t="str">
            <v>1Z03</v>
          </cell>
        </row>
        <row r="539">
          <cell r="A539" t="str">
            <v>72-A011-100G</v>
          </cell>
          <cell r="B539" t="str">
            <v xml:space="preserve">GAS CI - Of. Central / Gastos Financieros / Factoring </v>
          </cell>
          <cell r="C539" t="str">
            <v>1J03</v>
          </cell>
          <cell r="D539" t="str">
            <v>Gastos Financieros</v>
          </cell>
          <cell r="E539" t="str">
            <v>1J03 - Gastos Financieros</v>
          </cell>
          <cell r="F539" t="str">
            <v>J</v>
          </cell>
          <cell r="G539" t="str">
            <v>GASTOS FINANCIEROS - SEGUROS Y BOLETAS</v>
          </cell>
          <cell r="H539" t="str">
            <v>J - GASTOS FINANCIEROS - SEGUROS Y BOLETAS</v>
          </cell>
          <cell r="I539" t="str">
            <v>1Z03</v>
          </cell>
        </row>
        <row r="540">
          <cell r="A540" t="str">
            <v>72-A020-100G</v>
          </cell>
          <cell r="B540" t="str">
            <v xml:space="preserve">GAS CI - Of. Central / Boleta Garantia / Todos </v>
          </cell>
          <cell r="C540" t="str">
            <v>1J01</v>
          </cell>
          <cell r="D540" t="str">
            <v>Boletas de Garantia</v>
          </cell>
          <cell r="E540" t="str">
            <v>1J01 - Boletas de Garantia</v>
          </cell>
          <cell r="F540" t="str">
            <v>J</v>
          </cell>
          <cell r="G540" t="str">
            <v>GASTOS FINANCIEROS - SEGUROS Y BOLETAS</v>
          </cell>
          <cell r="H540" t="str">
            <v>J - GASTOS FINANCIEROS - SEGUROS Y BOLETAS</v>
          </cell>
          <cell r="I540" t="str">
            <v>1Z04</v>
          </cell>
        </row>
        <row r="541">
          <cell r="A541" t="str">
            <v>72-A030-100A</v>
          </cell>
          <cell r="B541" t="str">
            <v xml:space="preserve">GAS CI - Of. Central / Gastos por Seguros / Todos </v>
          </cell>
          <cell r="C541" t="str">
            <v>1J02</v>
          </cell>
          <cell r="D541" t="str">
            <v>Seguros</v>
          </cell>
          <cell r="E541" t="str">
            <v>1J02 - Seguros</v>
          </cell>
          <cell r="F541" t="str">
            <v>J</v>
          </cell>
          <cell r="G541" t="str">
            <v>GASTOS FINANCIEROS - SEGUROS Y BOLETAS</v>
          </cell>
          <cell r="H541" t="str">
            <v>J - GASTOS FINANCIEROS - SEGUROS Y BOLETAS</v>
          </cell>
          <cell r="I541" t="str">
            <v>1Z04</v>
          </cell>
        </row>
        <row r="542">
          <cell r="A542" t="str">
            <v>72-A030-100G</v>
          </cell>
          <cell r="B542" t="str">
            <v xml:space="preserve">GAS CI - Of. Central / Gastos por Seguros / Todos </v>
          </cell>
          <cell r="C542" t="str">
            <v>1J02</v>
          </cell>
          <cell r="D542" t="str">
            <v>Seguros</v>
          </cell>
          <cell r="E542" t="str">
            <v>1J02 - Seguros</v>
          </cell>
          <cell r="F542" t="str">
            <v>J</v>
          </cell>
          <cell r="G542" t="str">
            <v>GASTOS FINANCIEROS - SEGUROS Y BOLETAS</v>
          </cell>
          <cell r="H542" t="str">
            <v>J - GASTOS FINANCIEROS - SEGUROS Y BOLETAS</v>
          </cell>
          <cell r="I542" t="str">
            <v>1Z04</v>
          </cell>
        </row>
        <row r="543">
          <cell r="A543" t="str">
            <v>72-A040-100A</v>
          </cell>
          <cell r="B543" t="str">
            <v xml:space="preserve">GAS CI - Of. Central / Oficina Central / Todos </v>
          </cell>
          <cell r="C543" t="str">
            <v>1K01</v>
          </cell>
          <cell r="D543" t="str">
            <v xml:space="preserve">Oficina Central </v>
          </cell>
          <cell r="E543" t="str">
            <v xml:space="preserve">1K01 - Oficina Central </v>
          </cell>
          <cell r="F543" t="str">
            <v>K</v>
          </cell>
          <cell r="G543" t="str">
            <v>OFICINA CENTRAL - IMPREVISTOS - UTILIDADES</v>
          </cell>
          <cell r="H543" t="str">
            <v>K - OFICINA CENTRAL - IMPREVISTOS - UTILIDADES</v>
          </cell>
          <cell r="I543" t="str">
            <v>1K01</v>
          </cell>
        </row>
        <row r="544">
          <cell r="A544" t="str">
            <v>72-A040-100G</v>
          </cell>
          <cell r="B544" t="str">
            <v xml:space="preserve">GAS CI - Of. Central / Oficina Central / Todos </v>
          </cell>
          <cell r="C544" t="str">
            <v>1K01</v>
          </cell>
          <cell r="D544" t="str">
            <v xml:space="preserve">Oficina Central </v>
          </cell>
          <cell r="E544" t="str">
            <v xml:space="preserve">1K01 - Oficina Central </v>
          </cell>
          <cell r="F544" t="str">
            <v>K</v>
          </cell>
          <cell r="G544" t="str">
            <v>OFICINA CENTRAL - IMPREVISTOS - UTILIDADES</v>
          </cell>
          <cell r="H544" t="str">
            <v>K - OFICINA CENTRAL - IMPREVISTOS - UTILIDADES</v>
          </cell>
          <cell r="I544" t="str">
            <v>1K01</v>
          </cell>
        </row>
        <row r="545">
          <cell r="A545" t="str">
            <v>72-A050-100A</v>
          </cell>
          <cell r="B545" t="str">
            <v xml:space="preserve">GAS CI - Of. Central / Imprevistos / Todos </v>
          </cell>
          <cell r="C545" t="str">
            <v>1K02</v>
          </cell>
          <cell r="D545" t="str">
            <v xml:space="preserve">Imprevistos </v>
          </cell>
          <cell r="E545" t="str">
            <v xml:space="preserve">1K02 - Imprevistos </v>
          </cell>
          <cell r="F545" t="str">
            <v>K</v>
          </cell>
          <cell r="G545" t="str">
            <v>OFICINA CENTRAL - IMPREVISTOS - UTILIDADES</v>
          </cell>
          <cell r="H545" t="str">
            <v>K - OFICINA CENTRAL - IMPREVISTOS - UTILIDADES</v>
          </cell>
          <cell r="I545" t="str">
            <v>1K02</v>
          </cell>
        </row>
        <row r="546">
          <cell r="A546" t="str">
            <v>72-A050-100G</v>
          </cell>
          <cell r="B546" t="str">
            <v xml:space="preserve">GAS CI - Of. Central / Imprevistos / Todos </v>
          </cell>
          <cell r="C546" t="str">
            <v>1K02</v>
          </cell>
          <cell r="D546" t="str">
            <v xml:space="preserve">Imprevistos </v>
          </cell>
          <cell r="E546" t="str">
            <v xml:space="preserve">1K02 - Imprevistos </v>
          </cell>
          <cell r="F546" t="str">
            <v>K</v>
          </cell>
          <cell r="G546" t="str">
            <v>OFICINA CENTRAL - IMPREVISTOS - UTILIDADES</v>
          </cell>
          <cell r="H546" t="str">
            <v>K - OFICINA CENTRAL - IMPREVISTOS - UTILIDADES</v>
          </cell>
          <cell r="I546" t="str">
            <v>1K02</v>
          </cell>
        </row>
        <row r="547">
          <cell r="A547" t="str">
            <v>72-A060-100A</v>
          </cell>
          <cell r="B547" t="str">
            <v xml:space="preserve">GAS CI - Of. Central / Utilidades / Todos </v>
          </cell>
          <cell r="C547" t="str">
            <v>1K03</v>
          </cell>
          <cell r="D547" t="str">
            <v xml:space="preserve">Utilidades </v>
          </cell>
          <cell r="E547" t="str">
            <v xml:space="preserve">1K03 - Utilidades </v>
          </cell>
          <cell r="F547" t="str">
            <v>K</v>
          </cell>
          <cell r="G547" t="str">
            <v>OFICINA CENTRAL - IMPREVISTOS - UTILIDADES</v>
          </cell>
          <cell r="H547" t="str">
            <v>K - OFICINA CENTRAL - IMPREVISTOS - UTILIDADES</v>
          </cell>
          <cell r="I547" t="str">
            <v>1K03</v>
          </cell>
        </row>
        <row r="548">
          <cell r="A548" t="str">
            <v>72-A060-100G</v>
          </cell>
          <cell r="B548" t="str">
            <v xml:space="preserve">GAS CI - Of. Central / Utilidades / Todos </v>
          </cell>
          <cell r="C548" t="str">
            <v>1K03</v>
          </cell>
          <cell r="D548" t="str">
            <v xml:space="preserve">Utilidades </v>
          </cell>
          <cell r="E548" t="str">
            <v xml:space="preserve">1K03 - Utilidades </v>
          </cell>
          <cell r="F548" t="str">
            <v>K</v>
          </cell>
          <cell r="G548" t="str">
            <v>OFICINA CENTRAL - IMPREVISTOS - UTILIDADES</v>
          </cell>
          <cell r="H548" t="str">
            <v>K - OFICINA CENTRAL - IMPREVISTOS - UTILIDADES</v>
          </cell>
          <cell r="I548" t="str">
            <v>1K03</v>
          </cell>
        </row>
        <row r="549">
          <cell r="A549" t="str">
            <v>72-A090-100G</v>
          </cell>
          <cell r="B549" t="str">
            <v>GAS CI - Of. Central / Asesorias Honorarios / Todos (G)</v>
          </cell>
          <cell r="C549" t="str">
            <v>1K01</v>
          </cell>
          <cell r="D549" t="str">
            <v xml:space="preserve">Oficina Central </v>
          </cell>
          <cell r="E549" t="str">
            <v xml:space="preserve">1K01 - Oficina Central </v>
          </cell>
          <cell r="F549" t="str">
            <v>K</v>
          </cell>
          <cell r="G549" t="str">
            <v>OFICINA CENTRAL - IMPREVISTOS - UTILIDADES</v>
          </cell>
          <cell r="H549" t="str">
            <v>K - OFICINA CENTRAL - IMPREVISTOS - UTILIDADES</v>
          </cell>
          <cell r="I549" t="str">
            <v>1K01</v>
          </cell>
        </row>
        <row r="550">
          <cell r="A550" t="str">
            <v>72-A090-200G</v>
          </cell>
          <cell r="B550" t="str">
            <v>GAS CI - Of. Central / GG Rechazados/ Todos (G)</v>
          </cell>
          <cell r="C550" t="str">
            <v>1K01</v>
          </cell>
          <cell r="D550" t="str">
            <v xml:space="preserve">Oficina Central </v>
          </cell>
          <cell r="E550" t="str">
            <v xml:space="preserve">1K01 - Oficina Central </v>
          </cell>
          <cell r="F550" t="str">
            <v>K</v>
          </cell>
          <cell r="G550" t="str">
            <v>OFICINA CENTRAL - IMPREVISTOS - UTILIDADES</v>
          </cell>
          <cell r="H550" t="str">
            <v>K - OFICINA CENTRAL - IMPREVISTOS - UTILIDADES</v>
          </cell>
          <cell r="I550" t="str">
            <v>1K01</v>
          </cell>
        </row>
        <row r="551">
          <cell r="A551" t="str">
            <v>72-A100-100G</v>
          </cell>
          <cell r="B551" t="str">
            <v xml:space="preserve">GAS CI - Of. Central / Ingresos por Reajuste / Todos </v>
          </cell>
          <cell r="C551" t="str">
            <v>1J03</v>
          </cell>
          <cell r="D551" t="str">
            <v>Gastos Financieros</v>
          </cell>
          <cell r="E551" t="str">
            <v>1J03 - Gastos Financieros</v>
          </cell>
          <cell r="F551" t="str">
            <v>J</v>
          </cell>
          <cell r="G551" t="str">
            <v>GASTOS FINANCIEROS - SEGUROS Y BOLETAS</v>
          </cell>
          <cell r="H551" t="str">
            <v>J - GASTOS FINANCIEROS - SEGUROS Y BOLETAS</v>
          </cell>
          <cell r="I551" t="str">
            <v>1Z05</v>
          </cell>
        </row>
        <row r="552">
          <cell r="A552" t="str">
            <v>72-B001-100A</v>
          </cell>
          <cell r="B552" t="str">
            <v>GAS CI - BO. Central / Almacenamiento / Consumo (A)</v>
          </cell>
          <cell r="C552" t="str">
            <v>1K01</v>
          </cell>
          <cell r="D552" t="str">
            <v xml:space="preserve">Oficina Central </v>
          </cell>
          <cell r="E552" t="str">
            <v xml:space="preserve">1K01 - Oficina Central </v>
          </cell>
          <cell r="F552" t="str">
            <v>K</v>
          </cell>
          <cell r="G552" t="str">
            <v>OFICINA CENTRAL - IMPREVISTOS - UTILIDADES</v>
          </cell>
          <cell r="H552" t="str">
            <v>K - OFICINA CENTRAL - IMPREVISTOS - UTILIDADES</v>
          </cell>
          <cell r="I552" t="str">
            <v>1K01</v>
          </cell>
        </row>
        <row r="553">
          <cell r="A553" t="str">
            <v>72-B001-100G</v>
          </cell>
          <cell r="B553" t="str">
            <v>GAS CI - BO. Central / Almacenamiento / Consumo (G)</v>
          </cell>
          <cell r="C553" t="str">
            <v>1K01</v>
          </cell>
          <cell r="D553" t="str">
            <v xml:space="preserve">Oficina Central </v>
          </cell>
          <cell r="E553" t="str">
            <v xml:space="preserve">1K01 - Oficina Central </v>
          </cell>
          <cell r="F553" t="str">
            <v>K</v>
          </cell>
          <cell r="G553" t="str">
            <v>OFICINA CENTRAL - IMPREVISTOS - UTILIDADES</v>
          </cell>
          <cell r="H553" t="str">
            <v>K - OFICINA CENTRAL - IMPREVISTOS - UTILIDADES</v>
          </cell>
          <cell r="I553" t="str">
            <v>1K01</v>
          </cell>
        </row>
        <row r="554">
          <cell r="A554" t="str">
            <v>72-B010-100G</v>
          </cell>
          <cell r="B554" t="str">
            <v>GAS CI - Bodega / Cobros de Bodega / Todos (G)</v>
          </cell>
          <cell r="C554" t="str">
            <v>1K01</v>
          </cell>
          <cell r="D554" t="str">
            <v xml:space="preserve">Oficina Central </v>
          </cell>
          <cell r="E554" t="str">
            <v xml:space="preserve">1K01 - Oficina Central </v>
          </cell>
          <cell r="F554" t="str">
            <v>K</v>
          </cell>
          <cell r="G554" t="str">
            <v>OFICINA CENTRAL - IMPREVISTOS - UTILIDADES</v>
          </cell>
          <cell r="H554" t="str">
            <v>K - OFICINA CENTRAL - IMPREVISTOS - UTILIDADES</v>
          </cell>
          <cell r="I554" t="str">
            <v>1K01</v>
          </cell>
        </row>
        <row r="555">
          <cell r="A555" t="str">
            <v>72-EERR-001G</v>
          </cell>
          <cell r="B555" t="str">
            <v xml:space="preserve">GAS CI - Intereses EERR / Pagadas o Devengadas </v>
          </cell>
          <cell r="C555" t="str">
            <v>1J03</v>
          </cell>
          <cell r="D555" t="str">
            <v>Gastos Financieros</v>
          </cell>
          <cell r="E555" t="str">
            <v>1J03 - Gastos Financieros</v>
          </cell>
          <cell r="F555" t="str">
            <v>J</v>
          </cell>
          <cell r="G555" t="str">
            <v>GASTOS FINANCIEROS - SEGUROS Y BOLETAS</v>
          </cell>
          <cell r="H555" t="str">
            <v>J - GASTOS FINANCIEROS - SEGUROS Y BOLETAS</v>
          </cell>
          <cell r="I555" t="str">
            <v>1Z03</v>
          </cell>
        </row>
        <row r="556">
          <cell r="A556" t="str">
            <v>72-EERR-002G</v>
          </cell>
          <cell r="B556" t="str">
            <v xml:space="preserve">GAS CI - VAR UF CTAS CTES EERR </v>
          </cell>
          <cell r="C556" t="str">
            <v>1J03</v>
          </cell>
          <cell r="D556" t="str">
            <v>Gastos Financieros</v>
          </cell>
          <cell r="E556" t="str">
            <v>1J03 - Gastos Financieros</v>
          </cell>
          <cell r="F556" t="str">
            <v>J</v>
          </cell>
          <cell r="G556" t="str">
            <v>GASTOS FINANCIEROS - SEGUROS Y BOLETAS</v>
          </cell>
          <cell r="H556" t="str">
            <v>J - GASTOS FINANCIEROS - SEGUROS Y BOLETAS</v>
          </cell>
          <cell r="I556" t="str">
            <v>1Z03</v>
          </cell>
        </row>
        <row r="557">
          <cell r="A557" t="str">
            <v>72-RBCO-001G</v>
          </cell>
          <cell r="B557" t="str">
            <v xml:space="preserve">GAS CI - Reajuste Banco </v>
          </cell>
          <cell r="C557" t="str">
            <v>1J03</v>
          </cell>
          <cell r="D557" t="str">
            <v>Gastos Financieros</v>
          </cell>
          <cell r="E557" t="str">
            <v>1J03 - Gastos Financieros</v>
          </cell>
          <cell r="F557" t="str">
            <v>J</v>
          </cell>
          <cell r="G557" t="str">
            <v>GASTOS FINANCIEROS - SEGUROS Y BOLETAS</v>
          </cell>
          <cell r="H557" t="str">
            <v>J - GASTOS FINANCIEROS - SEGUROS Y BOLETAS</v>
          </cell>
          <cell r="I557" t="str">
            <v>1Z05</v>
          </cell>
        </row>
        <row r="558">
          <cell r="A558" t="str">
            <v>72-REA0-010G</v>
          </cell>
          <cell r="B558" t="str">
            <v xml:space="preserve">GAS CI - Reajustes de Banco </v>
          </cell>
          <cell r="C558" t="str">
            <v>1J03</v>
          </cell>
          <cell r="D558" t="str">
            <v>Gastos Financieros</v>
          </cell>
          <cell r="E558" t="str">
            <v>1J03 - Gastos Financieros</v>
          </cell>
          <cell r="F558" t="str">
            <v>J</v>
          </cell>
          <cell r="G558" t="str">
            <v>GASTOS FINANCIEROS - SEGUROS Y BOLETAS</v>
          </cell>
          <cell r="H558" t="str">
            <v>J - GASTOS FINANCIEROS - SEGUROS Y BOLETAS</v>
          </cell>
          <cell r="I558" t="str">
            <v>1Z05</v>
          </cell>
        </row>
        <row r="559">
          <cell r="A559" t="str">
            <v>74-0231-106G</v>
          </cell>
          <cell r="B559" t="str">
            <v>Oficina / Otros Gastos / Perdida IVA</v>
          </cell>
          <cell r="C559" t="str">
            <v>1K01</v>
          </cell>
          <cell r="D559" t="str">
            <v xml:space="preserve">Oficina Central </v>
          </cell>
          <cell r="E559" t="str">
            <v xml:space="preserve">1K01 - Oficina Central </v>
          </cell>
          <cell r="F559" t="str">
            <v>K</v>
          </cell>
          <cell r="G559" t="str">
            <v>OFICINA CENTRAL - IMPREVISTOS - UTILIDADES</v>
          </cell>
          <cell r="H559" t="str">
            <v>K - OFICINA CENTRAL - IMPREVISTOS - UTILIDADES</v>
          </cell>
          <cell r="I559" t="str">
            <v>1K01</v>
          </cell>
        </row>
        <row r="560">
          <cell r="A560" t="str">
            <v>74-0237-105G</v>
          </cell>
          <cell r="B560" t="str">
            <v>Oficina / Otros Gastos / Cliente UF</v>
          </cell>
          <cell r="C560" t="str">
            <v>1K01</v>
          </cell>
          <cell r="D560" t="str">
            <v xml:space="preserve">Oficina Central </v>
          </cell>
          <cell r="E560" t="str">
            <v xml:space="preserve">1K01 - Oficina Central </v>
          </cell>
          <cell r="F560" t="str">
            <v>K</v>
          </cell>
          <cell r="G560" t="str">
            <v>OFICINA CENTRAL - IMPREVISTOS - UTILIDADES</v>
          </cell>
          <cell r="H560" t="str">
            <v>K - OFICINA CENTRAL - IMPREVISTOS - UTILIDADES</v>
          </cell>
          <cell r="I560" t="str">
            <v>1K01</v>
          </cell>
        </row>
        <row r="561">
          <cell r="A561" t="str">
            <v>74-0237-109G</v>
          </cell>
          <cell r="B561" t="str">
            <v>Oficina / Otros Gastos / Reajuste UF Derechos De Uso</v>
          </cell>
          <cell r="C561" t="str">
            <v>1K01</v>
          </cell>
          <cell r="D561" t="str">
            <v xml:space="preserve">Oficina Central </v>
          </cell>
          <cell r="E561" t="str">
            <v xml:space="preserve">1K01 - Oficina Central </v>
          </cell>
          <cell r="F561" t="str">
            <v>K</v>
          </cell>
          <cell r="G561" t="str">
            <v>OFICINA CENTRAL - IMPREVISTOS - UTILIDADES</v>
          </cell>
          <cell r="H561" t="str">
            <v>K - OFICINA CENTRAL - IMPREVISTOS - UTILIDADES</v>
          </cell>
          <cell r="I561" t="str">
            <v>1K01</v>
          </cell>
        </row>
        <row r="562">
          <cell r="A562" t="str">
            <v>74-1134-702G</v>
          </cell>
          <cell r="B562" t="str">
            <v>Oficina / Gastos Financieros / Otros Gastos Financieros</v>
          </cell>
          <cell r="C562" t="str">
            <v>1J03</v>
          </cell>
          <cell r="D562" t="str">
            <v>Gastos Financieros</v>
          </cell>
          <cell r="E562" t="str">
            <v>1J03 - Gastos Financieros</v>
          </cell>
          <cell r="F562" t="str">
            <v>J</v>
          </cell>
          <cell r="G562" t="str">
            <v>GASTOS FINANCIEROS - SEGUROS Y BOLETAS</v>
          </cell>
          <cell r="H562" t="str">
            <v>J - GASTOS FINANCIEROS - SEGUROS Y BOLETAS</v>
          </cell>
          <cell r="I562" t="str">
            <v>1Z03</v>
          </cell>
        </row>
        <row r="563">
          <cell r="A563" t="str">
            <v>91-0100-000C</v>
          </cell>
          <cell r="B563" t="str">
            <v>ING EDP - Partida-Ppt  (C)</v>
          </cell>
          <cell r="C563" t="str">
            <v>1K01</v>
          </cell>
          <cell r="D563" t="str">
            <v xml:space="preserve">Oficina Central </v>
          </cell>
          <cell r="E563" t="str">
            <v xml:space="preserve">1K01 - Oficina Central </v>
          </cell>
          <cell r="F563" t="str">
            <v>K</v>
          </cell>
          <cell r="G563" t="str">
            <v>OFICINA CENTRAL - IMPREVISTOS - UTILIDADES</v>
          </cell>
          <cell r="H563" t="str">
            <v>K - OFICINA CENTRAL - IMPREVISTOS - UTILIDADES</v>
          </cell>
          <cell r="I563" t="str">
            <v>1K01</v>
          </cell>
        </row>
        <row r="564">
          <cell r="A564" t="str">
            <v>91-0200-301C</v>
          </cell>
          <cell r="B564" t="str">
            <v>ING EDP - Partida-Retención  (C)</v>
          </cell>
          <cell r="C564" t="str">
            <v>1K01</v>
          </cell>
          <cell r="D564" t="str">
            <v xml:space="preserve">Oficina Central </v>
          </cell>
          <cell r="E564" t="str">
            <v xml:space="preserve">1K01 - Oficina Central </v>
          </cell>
          <cell r="F564" t="str">
            <v>K</v>
          </cell>
          <cell r="G564" t="str">
            <v>OFICINA CENTRAL - IMPREVISTOS - UTILIDADES</v>
          </cell>
          <cell r="H564" t="str">
            <v>K - OFICINA CENTRAL - IMPREVISTOS - UTILIDADES</v>
          </cell>
          <cell r="I564" t="str">
            <v>1K01</v>
          </cell>
        </row>
        <row r="565">
          <cell r="A565" t="str">
            <v>91-0200-311C</v>
          </cell>
          <cell r="B565" t="str">
            <v>ING EDP - Partida-Retención UF (C)</v>
          </cell>
          <cell r="C565" t="str">
            <v>1K01</v>
          </cell>
          <cell r="D565" t="str">
            <v xml:space="preserve">Oficina Central </v>
          </cell>
          <cell r="E565" t="str">
            <v xml:space="preserve">1K01 - Oficina Central </v>
          </cell>
          <cell r="F565" t="str">
            <v>K</v>
          </cell>
          <cell r="G565" t="str">
            <v>OFICINA CENTRAL - IMPREVISTOS - UTILIDADES</v>
          </cell>
          <cell r="H565" t="str">
            <v>K - OFICINA CENTRAL - IMPREVISTOS - UTILIDADES</v>
          </cell>
          <cell r="I565" t="str">
            <v>1K01</v>
          </cell>
        </row>
        <row r="566">
          <cell r="A566" t="str">
            <v>91-0200-321C</v>
          </cell>
          <cell r="B566" t="str">
            <v>ING EDP - Partida-Gastos Generales  (C)</v>
          </cell>
          <cell r="C566" t="str">
            <v>1K01</v>
          </cell>
          <cell r="D566" t="str">
            <v xml:space="preserve">Oficina Central </v>
          </cell>
          <cell r="E566" t="str">
            <v xml:space="preserve">1K01 - Oficina Central </v>
          </cell>
          <cell r="F566" t="str">
            <v>K</v>
          </cell>
          <cell r="G566" t="str">
            <v>OFICINA CENTRAL - IMPREVISTOS - UTILIDADES</v>
          </cell>
          <cell r="H566" t="str">
            <v>K - OFICINA CENTRAL - IMPREVISTOS - UTILIDADES</v>
          </cell>
          <cell r="I566" t="str">
            <v>1K01</v>
          </cell>
        </row>
        <row r="567">
          <cell r="A567" t="str">
            <v>91-0300-301C</v>
          </cell>
          <cell r="B567" t="str">
            <v>ING EDP - Partida-Anticipo - UF  (C)</v>
          </cell>
          <cell r="C567" t="str">
            <v>1K01</v>
          </cell>
          <cell r="D567" t="str">
            <v xml:space="preserve">Oficina Central </v>
          </cell>
          <cell r="E567" t="str">
            <v xml:space="preserve">1K01 - Oficina Central </v>
          </cell>
          <cell r="F567" t="str">
            <v>K</v>
          </cell>
          <cell r="G567" t="str">
            <v>OFICINA CENTRAL - IMPREVISTOS - UTILIDADES</v>
          </cell>
          <cell r="H567" t="str">
            <v>K - OFICINA CENTRAL - IMPREVISTOS - UTILIDADES</v>
          </cell>
          <cell r="I567" t="str">
            <v>1K01</v>
          </cell>
        </row>
        <row r="568">
          <cell r="A568" t="str">
            <v>91-0300-302C</v>
          </cell>
          <cell r="B568" t="str">
            <v>ING EDP - Partida-Utilidad  (C)</v>
          </cell>
          <cell r="C568" t="str">
            <v>1K01</v>
          </cell>
          <cell r="D568" t="str">
            <v xml:space="preserve">Oficina Central </v>
          </cell>
          <cell r="E568" t="str">
            <v xml:space="preserve">1K01 - Oficina Central </v>
          </cell>
          <cell r="F568" t="str">
            <v>K</v>
          </cell>
          <cell r="G568" t="str">
            <v>OFICINA CENTRAL - IMPREVISTOS - UTILIDADES</v>
          </cell>
          <cell r="H568" t="str">
            <v>K - OFICINA CENTRAL - IMPREVISTOS - UTILIDADES</v>
          </cell>
          <cell r="I568" t="str">
            <v>1K01</v>
          </cell>
        </row>
        <row r="569">
          <cell r="A569" t="str">
            <v>91-0300-303C</v>
          </cell>
          <cell r="B569" t="str">
            <v>ING EDP - Partida- Adicional  (C)</v>
          </cell>
          <cell r="C569" t="str">
            <v>1K01</v>
          </cell>
          <cell r="D569" t="str">
            <v xml:space="preserve">Oficina Central </v>
          </cell>
          <cell r="E569" t="str">
            <v xml:space="preserve">1K01 - Oficina Central </v>
          </cell>
          <cell r="F569" t="str">
            <v>K</v>
          </cell>
          <cell r="G569" t="str">
            <v>OFICINA CENTRAL - IMPREVISTOS - UTILIDADES</v>
          </cell>
          <cell r="H569" t="str">
            <v>K - OFICINA CENTRAL - IMPREVISTOS - UTILIDADES</v>
          </cell>
          <cell r="I569" t="str">
            <v>1K01</v>
          </cell>
        </row>
        <row r="570">
          <cell r="A570" t="str">
            <v>91-0300-304C</v>
          </cell>
          <cell r="B570" t="str">
            <v>ING EDP - Partida-Otros  (C)</v>
          </cell>
          <cell r="C570" t="str">
            <v>1K01</v>
          </cell>
          <cell r="D570" t="str">
            <v xml:space="preserve">Oficina Central </v>
          </cell>
          <cell r="E570" t="str">
            <v xml:space="preserve">1K01 - Oficina Central </v>
          </cell>
          <cell r="F570" t="str">
            <v>K</v>
          </cell>
          <cell r="G570" t="str">
            <v>OFICINA CENTRAL - IMPREVISTOS - UTILIDADES</v>
          </cell>
          <cell r="H570" t="str">
            <v>K - OFICINA CENTRAL - IMPREVISTOS - UTILIDADES</v>
          </cell>
          <cell r="I570" t="str">
            <v>1K01</v>
          </cell>
        </row>
        <row r="571">
          <cell r="A571" t="str">
            <v>92-0400-000C</v>
          </cell>
          <cell r="B571" t="str">
            <v>Otros Ingresos- Arriendo Equipos y Maquinarias ( C )</v>
          </cell>
          <cell r="C571" t="str">
            <v>1K01</v>
          </cell>
          <cell r="D571" t="str">
            <v xml:space="preserve">Oficina Central </v>
          </cell>
          <cell r="E571" t="str">
            <v xml:space="preserve">1K01 - Oficina Central </v>
          </cell>
          <cell r="F571" t="str">
            <v>K</v>
          </cell>
          <cell r="G571" t="str">
            <v>OFICINA CENTRAL - IMPREVISTOS - UTILIDADES</v>
          </cell>
          <cell r="H571" t="str">
            <v>K - OFICINA CENTRAL - IMPREVISTOS - UTILIDADES</v>
          </cell>
          <cell r="I571" t="str">
            <v>1K01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Figueroa L" refreshedDate="45124.687213078701" createdVersion="8" refreshedVersion="8" minRefreshableVersion="3" recordCount="33" xr:uid="{27AF95B6-C78F-4A9A-9976-EE8D3E46E4EA}">
  <cacheSource type="worksheet">
    <worksheetSource ref="B4:J37" sheet="Proyeccion"/>
  </cacheSource>
  <cacheFields count="9">
    <cacheField name="Categoria" numFmtId="0">
      <sharedItems containsBlank="1" count="14">
        <s v="21-010201A"/>
        <s v="21-019901A"/>
        <s v="21-010401A"/>
        <s v="72-107010A"/>
        <s v="31-013300A"/>
        <s v="72-101030A"/>
        <s v="51-040100A"/>
        <s v="51-050100A"/>
        <s v="11-120101G"/>
        <s v="21-039901A"/>
        <s v="62-030100A"/>
        <s v="62-010100G"/>
        <s v="72-102010A"/>
        <m u="1"/>
      </sharedItems>
    </cacheField>
    <cacheField name="Decripción" numFmtId="0">
      <sharedItems/>
    </cacheField>
    <cacheField name="Unidad" numFmtId="0">
      <sharedItems containsBlank="1"/>
    </cacheField>
    <cacheField name="Cantidad" numFmtId="0">
      <sharedItems containsString="0" containsBlank="1" containsNumber="1" minValue="1" maxValue="180002.73"/>
    </cacheField>
    <cacheField name="PU" numFmtId="0">
      <sharedItems containsString="0" containsBlank="1" containsNumber="1" minValue="60" maxValue="4613923.8095238069"/>
    </cacheField>
    <cacheField name="Total" numFmtId="0">
      <sharedItems containsString="0" containsBlank="1" containsNumber="1" minValue="7462020" maxValue="404662188.3078838"/>
    </cacheField>
    <cacheField name="PU Real" numFmtId="0">
      <sharedItems containsString="0" containsBlank="1" containsNumber="1" minValue="32.799999999999997" maxValue="60000000"/>
    </cacheField>
    <cacheField name="Total real" numFmtId="0">
      <sharedItems containsString="0" containsBlank="1" containsNumber="1" minValue="-214320736.12499997" maxValue="215659416.96428576"/>
    </cacheField>
    <cacheField name="Resultado" numFmtId="0">
      <sharedItems containsString="0" containsBlank="1" containsNumber="1" minValue="-214320736.12499997" maxValue="251275574.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MAT CD - Civil  / Hormigón / Hormigón (A)"/>
    <s v="m3"/>
    <m/>
    <m/>
    <m/>
    <m/>
    <m/>
    <m/>
  </r>
  <r>
    <x v="0"/>
    <s v="Hormigón G20(90)20-10"/>
    <s v="m3"/>
    <n v="117.642"/>
    <n v="107840"/>
    <n v="12686513.279999999"/>
    <n v="97996.432000000001"/>
    <n v="12104921.0660112"/>
    <n v="581592.2139887996"/>
  </r>
  <r>
    <x v="0"/>
    <s v="Hormigón G25(90)20-10"/>
    <s v="m3"/>
    <n v="748.58799999999997"/>
    <n v="118161"/>
    <n v="88453906.667999998"/>
    <n v="97996.432000000001"/>
    <n v="77026900.68991679"/>
    <n v="11427005.978083208"/>
  </r>
  <r>
    <x v="0"/>
    <s v="Hormigón G35(90)20-10"/>
    <s v="m3"/>
    <n v="416.85"/>
    <n v="128482"/>
    <n v="53557721.700000003"/>
    <n v="104481.48999999999"/>
    <n v="45730764.561825"/>
    <n v="7826957.1381750032"/>
  </r>
  <r>
    <x v="1"/>
    <s v="Material estructural (arena)"/>
    <s v="m3"/>
    <n v="17329.349999999999"/>
    <n v="14500"/>
    <n v="251275574.99999997"/>
    <m/>
    <m/>
    <n v="251275574.99999997"/>
  </r>
  <r>
    <x v="1"/>
    <s v="Material estructural (arena)"/>
    <s v="m3"/>
    <n v="4332.3374999999996"/>
    <m/>
    <m/>
    <n v="17950"/>
    <n v="-77765458.125"/>
    <n v="-77765458.125"/>
  </r>
  <r>
    <x v="1"/>
    <s v="Material estructural (arena)"/>
    <s v="m3"/>
    <n v="12997.012499999999"/>
    <m/>
    <m/>
    <n v="16490"/>
    <n v="-214320736.12499997"/>
    <n v="-214320736.12499997"/>
  </r>
  <r>
    <x v="2"/>
    <s v="MAT CD - Civil  / Enfierradura / Varios (A)"/>
    <s v="Kg"/>
    <n v="128098.01"/>
    <n v="818"/>
    <n v="104784172.17999999"/>
    <n v="754"/>
    <n v="98517617.5308"/>
    <n v="6266554.6491999924"/>
  </r>
  <r>
    <x v="3"/>
    <s v="SC Flete Enfierradura"/>
    <s v="gl"/>
    <n v="124367"/>
    <n v="60"/>
    <n v="7462020"/>
    <n v="32.799999999999997"/>
    <n v="4160822.3519999995"/>
    <n v="3301197.6480000005"/>
  </r>
  <r>
    <x v="4"/>
    <s v="SUB CD - Civil  / Laboratorio (Resist. hormigón densid.) (A) LERV"/>
    <s v="m3"/>
    <n v="3700"/>
    <n v="19800"/>
    <n v="73260000"/>
    <n v="60000000"/>
    <n v="60000000"/>
    <n v="13260000"/>
  </r>
  <r>
    <x v="5"/>
    <s v="GAS CI - De obra / Telecomunic. / Enlaces internet (A)"/>
    <s v="mes"/>
    <n v="7"/>
    <n v="4613923.8095238069"/>
    <n v="32297466.666666649"/>
    <n v="756590.1"/>
    <n v="5296130.7"/>
    <n v="27001335.96666665"/>
  </r>
  <r>
    <x v="6"/>
    <s v="PHH CD - Movilización / Movilización (A) VIATICO"/>
    <s v="hh"/>
    <n v="180002.73"/>
    <n v="2248.089172358018"/>
    <n v="404662188.3078838"/>
    <n v="1198.0897009966779"/>
    <n v="215659416.96428576"/>
    <n v="189002771.34359804"/>
  </r>
  <r>
    <x v="7"/>
    <s v="PHH CD - Alimentación / Alimentación (A)"/>
    <s v="hh"/>
    <n v="180002.73"/>
    <n v="826.6674031916682"/>
    <n v="148802389.37651101"/>
    <n v="916.36734693877554"/>
    <n v="164948624.13183674"/>
    <n v="-16146234.755325735"/>
  </r>
  <r>
    <x v="8"/>
    <s v="MAO CD - Equipos / Equipos / Operador (G)"/>
    <m/>
    <m/>
    <m/>
    <m/>
    <m/>
    <m/>
    <m/>
  </r>
  <r>
    <x v="8"/>
    <s v="Supervisor de equipos"/>
    <s v="mes"/>
    <n v="7.5"/>
    <m/>
    <m/>
    <n v="2530000"/>
    <n v="18975000"/>
    <n v="-18975000"/>
  </r>
  <r>
    <x v="8"/>
    <s v="Mecánico"/>
    <s v="mes"/>
    <n v="7"/>
    <m/>
    <m/>
    <n v="2106000"/>
    <n v="14742000"/>
    <n v="-14742000"/>
  </r>
  <r>
    <x v="8"/>
    <s v="Otros costos personal EQyM"/>
    <s v="mes"/>
    <n v="14.5"/>
    <m/>
    <m/>
    <n v="680543.06547619053"/>
    <n v="7925160.9388383422"/>
    <n v="-7925160.9388383422"/>
  </r>
  <r>
    <x v="9"/>
    <s v="MAT CD - Mecánica / Materiales varios / Todos (A)"/>
    <m/>
    <m/>
    <m/>
    <m/>
    <m/>
    <m/>
    <m/>
  </r>
  <r>
    <x v="9"/>
    <s v="Suministro de pernos de conexión estructuras puentes peatonales"/>
    <s v="gl"/>
    <n v="1"/>
    <m/>
    <m/>
    <n v="19569977"/>
    <n v="19569977"/>
    <n v="-19569977"/>
  </r>
  <r>
    <x v="10"/>
    <s v="IFA CI - Materiales / Todos (A)"/>
    <m/>
    <m/>
    <m/>
    <m/>
    <m/>
    <m/>
    <m/>
  </r>
  <r>
    <x v="10"/>
    <s v="Escritorios"/>
    <m/>
    <n v="61"/>
    <m/>
    <m/>
    <n v="60000"/>
    <n v="3660000"/>
    <n v="-3660000"/>
  </r>
  <r>
    <x v="10"/>
    <s v="Sillas"/>
    <m/>
    <n v="77"/>
    <m/>
    <m/>
    <n v="50000"/>
    <n v="3850000"/>
    <n v="-3850000"/>
  </r>
  <r>
    <x v="10"/>
    <s v="Bibliotecas"/>
    <m/>
    <n v="50"/>
    <m/>
    <m/>
    <n v="40000"/>
    <n v="2000000"/>
    <n v="-2000000"/>
  </r>
  <r>
    <x v="10"/>
    <s v="Cardex"/>
    <m/>
    <n v="6"/>
    <m/>
    <m/>
    <n v="40000"/>
    <n v="240000"/>
    <n v="-240000"/>
  </r>
  <r>
    <x v="10"/>
    <s v="Estanteria (bodega)"/>
    <m/>
    <n v="16"/>
    <m/>
    <m/>
    <n v="150000"/>
    <n v="2400000"/>
    <n v="-2400000"/>
  </r>
  <r>
    <x v="10"/>
    <s v="Mesas"/>
    <m/>
    <n v="4"/>
    <m/>
    <m/>
    <n v="150000"/>
    <n v="600000"/>
    <n v="-600000"/>
  </r>
  <r>
    <x v="11"/>
    <s v="IFA CI - Mano De Obra / Todos (G)"/>
    <s v="hh"/>
    <n v="1560"/>
    <n v="14002.728693812138"/>
    <n v="21844256.762346935"/>
    <n v="14002.728693812138"/>
    <n v="98299155.4305612"/>
    <n v="-76454898.668214262"/>
  </r>
  <r>
    <x v="12"/>
    <s v="GAS CI - De obra / Computación / Computadores (A)"/>
    <s v="c/u"/>
    <n v="266"/>
    <n v="50000"/>
    <n v="13300000"/>
    <m/>
    <m/>
    <n v="13300000"/>
  </r>
  <r>
    <x v="12"/>
    <s v="Equipo + Usuario TIC"/>
    <s v="c/u"/>
    <n v="322"/>
    <m/>
    <m/>
    <n v="79622.100999999995"/>
    <n v="25638316.522"/>
    <n v="-25638316.522"/>
  </r>
  <r>
    <x v="12"/>
    <s v="AX"/>
    <s v="mes"/>
    <n v="70"/>
    <m/>
    <m/>
    <n v="158883.921"/>
    <n v="11121874.470000001"/>
    <n v="-11121874.470000001"/>
  </r>
  <r>
    <x v="12"/>
    <s v="Licencias software (Dron, Project, Presto, CAD, Asistencia, etc)"/>
    <s v="gl"/>
    <n v="1"/>
    <m/>
    <m/>
    <n v="10000000"/>
    <n v="10000000"/>
    <n v="-10000000"/>
  </r>
  <r>
    <x v="12"/>
    <s v="Dron"/>
    <s v="c/u"/>
    <n v="1"/>
    <m/>
    <m/>
    <n v="2000000"/>
    <n v="2000000"/>
    <n v="-2000000"/>
  </r>
  <r>
    <x v="12"/>
    <s v="BIM"/>
    <s v="mes"/>
    <n v="7"/>
    <m/>
    <m/>
    <n v="2261904.7619047621"/>
    <n v="15833333.333333336"/>
    <n v="-15833333.3333333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F747B-6CCF-4CDD-BE48-E15536C2CB06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4:O18" firstHeaderRow="1" firstDataRow="1" firstDataCol="1"/>
  <pivotFields count="9">
    <pivotField axis="axisRow" showAll="0">
      <items count="15">
        <item x="8"/>
        <item x="0"/>
        <item x="2"/>
        <item x="1"/>
        <item x="9"/>
        <item x="4"/>
        <item x="6"/>
        <item x="7"/>
        <item x="11"/>
        <item x="10"/>
        <item x="5"/>
        <item x="12"/>
        <item x="3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Resultado" fld="8" baseField="0" baseItem="0" numFmtId="3"/>
  </dataFields>
  <formats count="4">
    <format dxfId="30">
      <pivotArea collapsedLevelsAreSubtotals="1" fieldPosition="0">
        <references count="1">
          <reference field="0" count="0"/>
        </references>
      </pivotArea>
    </format>
    <format dxfId="29">
      <pivotArea outline="0" fieldPosition="0">
        <references count="1">
          <reference field="4294967294" count="1">
            <x v="0"/>
          </reference>
        </references>
      </pivotArea>
    </format>
    <format dxfId="28">
      <pivotArea grandRow="1" outline="0" collapsedLevelsAreSubtotals="1" fieldPosition="0"/>
    </format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AS" displayName="CATEGORIAS" ref="A6:AG598" totalsRowShown="0" headerRowDxfId="66" dataDxfId="65" tableBorderDxfId="64" dataCellStyle="Millares 44">
  <autoFilter ref="A6:AG598" xr:uid="{00000000-000C-0000-FFFF-FFFF00000000}"/>
  <tableColumns count="33">
    <tableColumn id="13" xr3:uid="{00000000-0010-0000-0000-00000D000000}" name="FORMATO_x000a_ GENERAL" dataDxfId="63" dataCellStyle="Normal 75">
      <calculatedColumnFormula>+IFERROR(VLOOKUP(CATEGORIAS[[#This Row],[CATEGORIA2]],[1]HOMOLOGACION!$A$1:$I$571,9,FALSE),0)</calculatedColumnFormula>
    </tableColumn>
    <tableColumn id="1" xr3:uid="{00000000-0010-0000-0000-000001000000}" name="SUBGRUPO" dataDxfId="62" dataCellStyle="Normal 75">
      <calculatedColumnFormula>+IFERROR(VLOOKUP(CATEGORIAS[[#This Row],[CATEGORIA2]],[1]HOMOLOGACION!$A$1:$C$571,3,FALSE),0)</calculatedColumnFormula>
    </tableColumn>
    <tableColumn id="29" xr3:uid="{76AB2C25-C841-4392-BCBF-7A02BE4E7129}" name="NOMBRE SUBGRUPO" dataDxfId="61" dataCellStyle="Normal 75">
      <calculatedColumnFormula>+IFERROR(VLOOKUP(CATEGORIAS[[#This Row],[CATEGORIA2]],[1]HOMOLOGACION!$A$1:$D$571,4,FALSE),0)</calculatedColumnFormula>
    </tableColumn>
    <tableColumn id="2" xr3:uid="{00000000-0010-0000-0000-000002000000}" name="CATEGORIA2" dataDxfId="60" dataCellStyle="Normal 75"/>
    <tableColumn id="3" xr3:uid="{00000000-0010-0000-0000-000003000000}" name="NOMBRE CATEGORIA" dataDxfId="59" dataCellStyle="Normal 75"/>
    <tableColumn id="30" xr3:uid="{A10D26E2-FBA3-4593-9472-DC3B95E5017D}" name="INCLUIR" dataDxfId="58" dataCellStyle="Normal 75"/>
    <tableColumn id="4" xr3:uid="{00000000-0010-0000-0000-000004000000}" name="PRESUPUESTO_x000a_(ORIGINAL)" dataDxfId="57" dataCellStyle="Millares 44"/>
    <tableColumn id="22" xr3:uid="{00000000-0010-0000-0000-000016000000}" name="POM" dataDxfId="56" dataCellStyle="Millares 44"/>
    <tableColumn id="5" xr3:uid="{00000000-0010-0000-0000-000005000000}" name="ADICIONALES" dataDxfId="55" dataCellStyle="Millares 44"/>
    <tableColumn id="33" xr3:uid="{5EF9C5AE-36F3-4EC1-9FB9-144473D18484}" name="REAJUSTE _x000a_PAGADO" dataDxfId="54" dataCellStyle="Millares 44"/>
    <tableColumn id="32" xr3:uid="{987AD413-DD79-4F93-8066-5443D2F0D2D7}" name="REAJUSTE_x000a_PROYECTADO" dataDxfId="53" dataCellStyle="Millares 44"/>
    <tableColumn id="6" xr3:uid="{00000000-0010-0000-0000-000006000000}" name="PRESUPUESTO_x000a_FINAL_x000a_PROYECTADO" dataDxfId="52" dataCellStyle="Millares 44">
      <calculatedColumnFormula>CATEGORIAS[[#This Row],[ADICIONALES]]+CATEGORIAS[[#This Row],[POM]]</calculatedColumnFormula>
    </tableColumn>
    <tableColumn id="7" xr3:uid="{00000000-0010-0000-0000-000007000000}" name="PRODUCCION_x000a_PARTIDAS_x000a_ORIGINALES_x000a_ACTUAL" dataDxfId="51" dataCellStyle="Millares 44"/>
    <tableColumn id="8" xr3:uid="{00000000-0010-0000-0000-000008000000}" name="PRODUCCION_x000a_ADICIONALES_x000a_ACTUAL" dataDxfId="50" dataCellStyle="Millares 44"/>
    <tableColumn id="9" xr3:uid="{00000000-0010-0000-0000-000009000000}" name="TOTAL PRODUCCION_x000a_ACTUAL" dataDxfId="49" dataCellStyle="Millares 44">
      <calculatedColumnFormula>CATEGORIAS[[#This Row],[PRODUCCION
PARTIDAS
ORIGINALES
ACTUAL]]+CATEGORIAS[[#This Row],[PRODUCCION
ADICIONALES
ACTUAL]]</calculatedColumnFormula>
    </tableColumn>
    <tableColumn id="10" xr3:uid="{00000000-0010-0000-0000-00000A000000}" name="PRODUCCION_x000a_ANTERIOR" dataDxfId="48" dataCellStyle="Millares 44"/>
    <tableColumn id="11" xr3:uid="{00000000-0010-0000-0000-00000B000000}" name="PRODUCCION_x000a_ADICIONALES_x000a_ANTERIOR" dataDxfId="47" dataCellStyle="Millares 44"/>
    <tableColumn id="12" xr3:uid="{00000000-0010-0000-0000-00000C000000}" name="TOTAL PRODUCCION_x000a_ANTERIOR" dataDxfId="46" dataCellStyle="Millares 44">
      <calculatedColumnFormula>CATEGORIAS[[#This Row],[PRODUCCION
ANTERIOR]]+CATEGORIAS[[#This Row],[PRODUCCION
ADICIONALES
ANTERIOR]]</calculatedColumnFormula>
    </tableColumn>
    <tableColumn id="14" xr3:uid="{00000000-0010-0000-0000-00000E000000}" name="COSTO_x000a_ACUMULADO  AX" dataDxfId="45" dataCellStyle="Millares 44"/>
    <tableColumn id="15" xr3:uid="{00000000-0010-0000-0000-00000F000000}" name="CAMBIO DE_x000a_CATEGORIA" dataDxfId="44" dataCellStyle="Millares 44"/>
    <tableColumn id="16" xr3:uid="{00000000-0010-0000-0000-000010000000}" name="PROVISIONES" dataDxfId="43" dataCellStyle="Millares 44"/>
    <tableColumn id="17" xr3:uid="{00000000-0010-0000-0000-000011000000}" name="COSTO REAL" dataDxfId="42" dataCellStyle="Millares 44">
      <calculatedColumnFormula>SUM(CATEGORIAS[[#This Row],[COSTO
ACUMULADO  AX]:[PROVISIONES]])</calculatedColumnFormula>
    </tableColumn>
    <tableColumn id="18" xr3:uid="{00000000-0010-0000-0000-000012000000}" name="COSTO ACUMULADO_x000a_ANTERIOR" dataDxfId="41" dataCellStyle="Millares 44"/>
    <tableColumn id="19" xr3:uid="{00000000-0010-0000-0000-000013000000}" name="CAMBIO DE_x000a_CATEGORIA_x000a_ANTERIOR" dataDxfId="40" dataCellStyle="Millares 44"/>
    <tableColumn id="20" xr3:uid="{00000000-0010-0000-0000-000014000000}" name="PROVISIONES_x000a_ANTERIOR" dataDxfId="39" dataCellStyle="Millares 44"/>
    <tableColumn id="21" xr3:uid="{00000000-0010-0000-0000-000015000000}" name="COSTO REAL_x000a_ANTERIOR" dataDxfId="38" dataCellStyle="Millares 44">
      <calculatedColumnFormula>SUM(CATEGORIAS[[#This Row],[COSTO ACUMULADO
ANTERIOR]:[PROVISIONES
ANTERIOR]])</calculatedColumnFormula>
    </tableColumn>
    <tableColumn id="23" xr3:uid="{00000000-0010-0000-0000-000017000000}" name="PROYECCION_x000a_DE INGRESO_x000a_DEL SALDO" dataDxfId="37" dataCellStyle="Millares 44">
      <calculatedColumnFormula>CATEGORIAS[[#This Row],[PRESUPUESTO
FINAL
PROYECTADO]]-CATEGORIAS[[#This Row],[TOTAL PRODUCCION
ACTUAL]]</calculatedColumnFormula>
    </tableColumn>
    <tableColumn id="24" xr3:uid="{00000000-0010-0000-0000-000018000000}" name="INVENTARIO" dataDxfId="36" dataCellStyle="Millares 44"/>
    <tableColumn id="27" xr3:uid="{00000000-0010-0000-0000-00001B000000}" name="PEDIDOS DE COMPRA_x000a_NO RECIBIDOS" dataDxfId="35" dataCellStyle="Millares 44"/>
    <tableColumn id="25" xr3:uid="{00000000-0010-0000-0000-000019000000}" name="PROYECCION_x000a_DE COSTO_x000a_DEL SALDO" dataDxfId="34" dataCellStyle="Millares 44"/>
    <tableColumn id="26" xr3:uid="{00000000-0010-0000-0000-00001A000000}" name="PROYECCION_x000a_TOTAL DE COSTO" dataDxfId="33" dataCellStyle="Millares 44">
      <calculatedColumnFormula>SUM(CATEGORIAS[[#This Row],[INVENTARIO]:[PROYECCION
DE COSTO
DEL SALDO]])</calculatedColumnFormula>
    </tableColumn>
    <tableColumn id="28" xr3:uid="{21D949CB-01A5-4C2B-AF82-F838283B87CB}" name="ITEM" dataDxfId="32" dataCellStyle="Millares 44"/>
    <tableColumn id="31" xr3:uid="{B0318F93-FB87-460D-926C-9B539BF8D2BD}" name="Columna1" dataDxfId="31" dataCellStyle="Millares 44">
      <calculatedColumnFormula>+CATEGORIAS[[#This Row],[PRESUPUESTO
FINAL
PROYECTADO]]-CATEGORIAS[[#This Row],[COSTO REAL]]-CATEGORIAS[[#This Row],[PROYECCION
TOTAL DE COSTO]]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utar" displayName="Imputar" ref="A2:N573" totalsRowShown="0" headerRowDxfId="26">
  <autoFilter ref="A2:N573" xr:uid="{00000000-0009-0000-0100-000002000000}">
    <filterColumn colId="10">
      <filters>
        <filter val="FALSO"/>
      </filters>
    </filterColumn>
  </autoFilter>
  <sortState xmlns:xlrd2="http://schemas.microsoft.com/office/spreadsheetml/2017/richdata2" ref="A3:N512">
    <sortCondition ref="B2:B512"/>
  </sortState>
  <tableColumns count="14">
    <tableColumn id="1" xr3:uid="{00000000-0010-0000-0100-000001000000}" name="Proyecto">
      <calculatedColumnFormula>Indice!$I$11</calculatedColumnFormula>
    </tableColumn>
    <tableColumn id="2" xr3:uid="{00000000-0010-0000-0100-000002000000}" name="Categoría"/>
    <tableColumn id="3" xr3:uid="{00000000-0010-0000-0100-000003000000}" name="Fecha Avance" dataDxfId="25">
      <calculatedColumnFormula>Indice!$I$12</calculatedColumnFormula>
    </tableColumn>
    <tableColumn id="4" xr3:uid="{00000000-0010-0000-0100-000004000000}" name="Id. de revisión"/>
    <tableColumn id="5" xr3:uid="{00000000-0010-0000-0100-000005000000}" name="Produccion acumulada" dataDxfId="24">
      <calculatedColumnFormula>ROUND(SUMIFS(CATEGORIAS[[#All],[TOTAL PRODUCCION
ACTUAL]],CATEGORIAS[[#All],[CATEGORIA2]],Imputar[[#This Row],[Categoría]]),0)</calculatedColumnFormula>
    </tableColumn>
    <tableColumn id="6" xr3:uid="{00000000-0010-0000-0100-000006000000}" name="Reajuste Producción"/>
    <tableColumn id="7" xr3:uid="{00000000-0010-0000-0100-000007000000}" name="Proyección Produccion" dataDxfId="23">
      <calculatedColumnFormula>ROUND(SUMIFS(CATEGORIAS[[#All],[PROYECCION
DE INGRESO
DEL SALDO]],CATEGORIAS[[#All],[CATEGORIA2]],Imputar[[#This Row],[Categoría]]),0)</calculatedColumnFormula>
    </tableColumn>
    <tableColumn id="8" xr3:uid="{00000000-0010-0000-0100-000008000000}" name="Costos Cambio Categoría" dataDxfId="22">
      <calculatedColumnFormula>ROUND(SUMIFS(CATEGORIAS[[#All],[CAMBIO DE
CATEGORIA]],CATEGORIAS[[#All],[CATEGORIA2]],Imputar[[#This Row],[Categoría]]),0)</calculatedColumnFormula>
    </tableColumn>
    <tableColumn id="9" xr3:uid="{00000000-0010-0000-0100-000009000000}" name="Costo Provisiones" dataDxfId="21">
      <calculatedColumnFormula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calculatedColumnFormula>
    </tableColumn>
    <tableColumn id="10" xr3:uid="{00000000-0010-0000-0100-00000A000000}" name="Costos Proyección" dataDxfId="20">
      <calculatedColumnFormula>+ROUND(SUMIFS(CATEGORIAS[[#All],[PROYECCION
TOTAL DE COSTO]],CATEGORIAS[[#All],[CATEGORIA2]],Imputar[[#This Row],[Categoría]]),0)
-Imputar[[#This Row],[Inventario]]
-Imputar[[#This Row],[Pedidos no Rec]]</calculatedColumnFormula>
    </tableColumn>
    <tableColumn id="15" xr3:uid="{00000000-0010-0000-0100-00000F000000}" name="Suma" dataDxfId="19">
      <calculatedColumnFormula>AND(Imputar[[#This Row],[Produccion acumulada]]=0,Imputar[[#This Row],[Proyección Produccion]]=0,Imputar[[#This Row],[Costo Provisiones]]=0,Imputar[[#This Row],[Costos Proyección]]=0,Imputar[[#This Row],[Costos Cambio Categoría]]=0)</calculatedColumnFormula>
    </tableColumn>
    <tableColumn id="11" xr3:uid="{41030FC4-D6D0-43CA-939D-4C057843CD4C}" name="Costos AX" dataDxfId="18">
      <calculatedColumnFormula>_xlfn.IFNA(VLOOKUP(Imputar[[#This Row],[Categoría]],EIMI!C:T,8,0),0)</calculatedColumnFormula>
    </tableColumn>
    <tableColumn id="12" xr3:uid="{D5BD5CFA-C72D-4920-84C1-9D5FD06E0256}" name="Inventario" dataDxfId="17">
      <calculatedColumnFormula>_xlfn.IFNA(VLOOKUP(Imputar[[#This Row],[Categoría]],EIMI!C:T,9,0),0)</calculatedColumnFormula>
    </tableColumn>
    <tableColumn id="13" xr3:uid="{03D6CBCB-B506-4290-BD11-EB97E9884D33}" name="Pedidos no Rec" dataDxfId="16">
      <calculatedColumnFormula>_xlfn.IFNA(VLOOKUP(Imputar[[#This Row],[Categoría]],EIMI!C:T,10,0),0)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G&amp;rs%3AParameterLanguage=" TargetMode="External"/><Relationship Id="rId2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A&amp;rs%3AParameterLanguage=" TargetMode="External"/><Relationship Id="rId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30800G&amp;rs%3AParameterLanguage=" TargetMode="External"/><Relationship Id="rId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G&amp;rs%3AParameterLanguage=" TargetMode="External"/><Relationship Id="rId1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A&amp;rs%3AParameterLanguage=" TargetMode="External"/><Relationship Id="rId3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10A&amp;Dataset1_Reporte=3&amp;rs%3AParameterLanguage=" TargetMode="External"/><Relationship Id="rId3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1010G&amp;Dataset1_Reporte=3&amp;rs%3AParameterLanguage=" TargetMode="External"/><Relationship Id="rId1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20102G&amp;Dataset1_Reporte=3&amp;rs%3AParameterLanguage=" TargetMode="External"/><Relationship Id="rId2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70800G&amp;Dataset1_Reporte=3&amp;rs%3AParameterLanguage=" TargetMode="External"/><Relationship Id="rId2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200G&amp;Dataset1_Reporte=3&amp;rs%3AParameterLanguage=" TargetMode="External"/><Relationship Id="rId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201G&amp;Dataset1_Reporte=3&amp;rs%3AParameterLanguage=" TargetMode="External"/><Relationship Id="rId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1801A&amp;Dataset1_Reporte=3&amp;rs%3AParameterLanguage=" TargetMode="External"/><Relationship Id="rId1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5200A&amp;Dataset1_Reporte=3&amp;rs%3AParameterLanguage=" TargetMode="External"/><Relationship Id="rId3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50A&amp;rs%3AParameterLanguage=" TargetMode="External"/><Relationship Id="rId377" Type="http://schemas.openxmlformats.org/officeDocument/2006/relationships/printerSettings" Target="../printerSettings/printerSettings10.bin"/><Relationship Id="rId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10100G&amp;rs%3AParameterLanguage=" TargetMode="External"/><Relationship Id="rId1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G&amp;rs%3AParameterLanguage=" TargetMode="External"/><Relationship Id="rId2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20100G&amp;rs%3AParameterLanguage=" TargetMode="External"/><Relationship Id="rId2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A&amp;rs%3AParameterLanguage=" TargetMode="External"/><Relationship Id="rId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G&amp;rs%3AParameterLanguage=" TargetMode="External"/><Relationship Id="rId1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A&amp;rs%3AParameterLanguage=" TargetMode="External"/><Relationship Id="rId2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100100G&amp;Dataset1_Reporte=3&amp;rs%3AParameterLanguage=" TargetMode="External"/><Relationship Id="rId3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10A&amp;Dataset1_Reporte=3&amp;rs%3AParameterLanguage=" TargetMode="External"/><Relationship Id="rId3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40A&amp;Dataset1_Reporte=3&amp;rs%3AParameterLanguage=" TargetMode="External"/><Relationship Id="rId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A&amp;rs%3AParameterLanguage=" TargetMode="External"/><Relationship Id="rId1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0200G&amp;Dataset1_Reporte=3&amp;rs%3AParameterLanguage=" TargetMode="External"/><Relationship Id="rId1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4600A&amp;Dataset1_Reporte=3&amp;rs%3AParameterLanguage=" TargetMode="External"/><Relationship Id="rId2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400G&amp;Dataset1_Reporte=3&amp;rs%3AParameterLanguage=" TargetMode="External"/><Relationship Id="rId2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70100G&amp;Dataset1_Reporte=3&amp;rs%3AParameterLanguage=" TargetMode="External"/><Relationship Id="rId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100G&amp;Dataset1_Reporte=3&amp;rs%3AParameterLanguage=" TargetMode="External"/><Relationship Id="rId1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30100G&amp;Dataset1_Reporte=3&amp;rs%3AParameterLanguage=" TargetMode="External"/><Relationship Id="rId3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A&amp;rs%3AParameterLanguage=" TargetMode="External"/><Relationship Id="rId3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G&amp;rs%3AParameterLanguage=" TargetMode="External"/><Relationship Id="rId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1401A&amp;Dataset1_Reporte=3&amp;rs%3AParameterLanguage=" TargetMode="External"/><Relationship Id="rId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010G&amp;Dataset1_Reporte=3&amp;rs%3AParameterLanguage=" TargetMode="External"/><Relationship Id="rId1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G&amp;rs%3AParameterLanguage=" TargetMode="External"/><Relationship Id="rId2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G&amp;rs%3AParameterLanguage=" TargetMode="External"/><Relationship Id="rId2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G&amp;rs%3AParameterLanguage=" TargetMode="External"/><Relationship Id="rId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40800G&amp;rs%3AParameterLanguage=" TargetMode="External"/><Relationship Id="rId1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A&amp;rs%3AParameterLanguage=" TargetMode="External"/><Relationship Id="rId2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100G&amp;Dataset1_Reporte=3&amp;rs%3AParameterLanguage=" TargetMode="External"/><Relationship Id="rId3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10G&amp;Dataset1_Reporte=3&amp;rs%3AParameterLanguage=" TargetMode="External"/><Relationship Id="rId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A&amp;rs%3AParameterLanguage=" TargetMode="External"/><Relationship Id="rId1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5200G&amp;Dataset1_Reporte=3&amp;rs%3AParameterLanguage=" TargetMode="External"/><Relationship Id="rId3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1110G&amp;Dataset1_Reporte=3&amp;rs%3AParameterLanguage=" TargetMode="External"/><Relationship Id="rId1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13300A&amp;Dataset1_Reporte=3&amp;rs%3AParameterLanguage=" TargetMode="External"/><Relationship Id="rId2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84600A&amp;Dataset1_Reporte=3&amp;rs%3AParameterLanguage=" TargetMode="External"/><Relationship Id="rId2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G&amp;rs%3AParameterLanguage=" TargetMode="External"/><Relationship Id="rId3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A&amp;rs%3AParameterLanguage=" TargetMode="External"/><Relationship Id="rId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301A&amp;Dataset1_Reporte=3&amp;rs%3AParameterLanguage=" TargetMode="External"/><Relationship Id="rId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1801G&amp;Dataset1_Reporte=3&amp;rs%3AParameterLanguage=" TargetMode="External"/><Relationship Id="rId1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G&amp;rs%3AParameterLanguage=" TargetMode="External"/><Relationship Id="rId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600G&amp;rs%3AParameterLanguage=" TargetMode="External"/><Relationship Id="rId1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A&amp;rs%3AParameterLanguage=" TargetMode="External"/><Relationship Id="rId2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30100G&amp;rs%3AParameterLanguage=" TargetMode="External"/><Relationship Id="rId2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999999G&amp;Dataset1_Reporte=3&amp;rs%3AParameterLanguage=" TargetMode="External"/><Relationship Id="rId2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10100A&amp;Dataset1_Reporte=3&amp;rs%3AParameterLanguage=" TargetMode="External"/><Relationship Id="rId3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10G&amp;Dataset1_Reporte=3&amp;rs%3AParameterLanguage=" TargetMode="External"/><Relationship Id="rId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A&amp;rs%3AParameterLanguage=" TargetMode="External"/><Relationship Id="rId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G&amp;rs%3AParameterLanguage=" TargetMode="External"/><Relationship Id="rId1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1200A&amp;Dataset1_Reporte=3&amp;rs%3AParameterLanguage=" TargetMode="External"/><Relationship Id="rId3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40G&amp;Dataset1_Reporte=3&amp;rs%3AParameterLanguage=" TargetMode="External"/><Relationship Id="rId1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99200A&amp;Dataset1_Reporte=3&amp;rs%3AParameterLanguage=" TargetMode="External"/><Relationship Id="rId1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4600G&amp;Dataset1_Reporte=3&amp;rs%3AParameterLanguage=" TargetMode="External"/><Relationship Id="rId2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500A&amp;Dataset1_Reporte=3&amp;rs%3AParameterLanguage=" TargetMode="External"/><Relationship Id="rId2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A&amp;rs%3AParameterLanguage=" TargetMode="External"/><Relationship Id="rId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200G&amp;Dataset1_Reporte=3&amp;rs%3AParameterLanguage=" TargetMode="External"/><Relationship Id="rId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1401G&amp;Dataset1_Reporte=3&amp;rs%3AParameterLanguage=" TargetMode="External"/><Relationship Id="rId3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G&amp;rs%3AParameterLanguage=" TargetMode="External"/><Relationship Id="rId3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2010G&amp;rs%3AParameterLanguage=" TargetMode="External"/><Relationship Id="rId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10100A&amp;Dataset1_Reporte=3&amp;rs%3AParameterLanguage=" TargetMode="External"/><Relationship Id="rId1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G&amp;rs%3AParameterLanguage=" TargetMode="External"/><Relationship Id="rId1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A&amp;rs%3AParameterLanguage=" TargetMode="External"/><Relationship Id="rId2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A&amp;rs%3AParameterLanguage=" TargetMode="External"/><Relationship Id="rId3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4010G&amp;Dataset1_Reporte=3&amp;rs%3AParameterLanguage=" TargetMode="External"/><Relationship Id="rId2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84600G&amp;Dataset1_Reporte=3&amp;rs%3AParameterLanguage=" TargetMode="External"/><Relationship Id="rId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50800G&amp;rs%3AParameterLanguage=" TargetMode="External"/><Relationship Id="rId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G&amp;rs%3AParameterLanguage=" TargetMode="External"/><Relationship Id="rId2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70100A&amp;Dataset1_Reporte=3&amp;rs%3AParameterLanguage=" TargetMode="External"/><Relationship Id="rId3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20A&amp;Dataset1_Reporte=3&amp;rs%3AParameterLanguage=" TargetMode="External"/><Relationship Id="rId1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6200A&amp;Dataset1_Reporte=3&amp;rs%3AParameterLanguage=" TargetMode="External"/><Relationship Id="rId1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13300G&amp;Dataset1_Reporte=3&amp;rs%3AParameterLanguage=" TargetMode="External"/><Relationship Id="rId2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40100G&amp;rs%3AParameterLanguage=" TargetMode="External"/><Relationship Id="rId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301G&amp;Dataset1_Reporte=3&amp;rs%3AParameterLanguage=" TargetMode="External"/><Relationship Id="rId2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A&amp;rs%3AParameterLanguage=" TargetMode="External"/><Relationship Id="rId3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G&amp;rs%3AParameterLanguage=" TargetMode="External"/><Relationship Id="rId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2101A&amp;Dataset1_Reporte=3&amp;rs%3AParameterLanguage=" TargetMode="External"/><Relationship Id="rId1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A&amp;rs%3AParameterLanguage=" TargetMode="External"/><Relationship Id="rId1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A&amp;rs%3AParameterLanguage=" TargetMode="External"/><Relationship Id="rId1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G&amp;rs%3AParameterLanguage=" TargetMode="External"/><Relationship Id="rId3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9010A&amp;Dataset1_Reporte=3&amp;rs%3AParameterLanguage=" TargetMode="External"/><Relationship Id="rId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AA-799999G&amp;rs%3AParameterLanguage=" TargetMode="External"/><Relationship Id="rId2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500G&amp;Dataset1_Reporte=3&amp;rs%3AParameterLanguage=" TargetMode="External"/><Relationship Id="rId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50800G&amp;Dataset1_Reporte=3&amp;rs%3AParameterLanguage=" TargetMode="External"/><Relationship Id="rId2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10100G&amp;rs%3AParameterLanguage=" TargetMode="External"/><Relationship Id="rId2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90200G&amp;Dataset1_Reporte=3&amp;rs%3AParameterLanguage=" TargetMode="External"/><Relationship Id="rId2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G&amp;rs%3AParameterLanguage=" TargetMode="External"/><Relationship Id="rId2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10100G&amp;Dataset1_Reporte=3&amp;rs%3AParameterLanguage=" TargetMode="External"/><Relationship Id="rId3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20A&amp;Dataset1_Reporte=3&amp;rs%3AParameterLanguage=" TargetMode="External"/><Relationship Id="rId3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G&amp;rs%3AParameterLanguage=" TargetMode="External"/><Relationship Id="rId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G&amp;rs%3AParameterLanguage=" TargetMode="External"/><Relationship Id="rId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2001G&amp;Dataset1_Reporte=3&amp;rs%3AParameterLanguage=" TargetMode="External"/><Relationship Id="rId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A&amp;rs%3AParameterLanguage=" TargetMode="External"/><Relationship Id="rId1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1200G&amp;Dataset1_Reporte=3&amp;rs%3AParameterLanguage=" TargetMode="External"/><Relationship Id="rId1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G&amp;rs%3AParameterLanguage=" TargetMode="External"/><Relationship Id="rId1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99200G&amp;Dataset1_Reporte=3&amp;rs%3AParameterLanguage=" TargetMode="External"/><Relationship Id="rId1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A&amp;rs%3AParameterLanguage=" TargetMode="External"/><Relationship Id="rId3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20G&amp;Dataset1_Reporte=3&amp;rs%3AParameterLanguage=" TargetMode="External"/><Relationship Id="rId3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A&amp;rs%3AParameterLanguage=" TargetMode="External"/><Relationship Id="rId1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5100A&amp;Dataset1_Reporte=3&amp;rs%3AParameterLanguage=" TargetMode="External"/><Relationship Id="rId2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300A&amp;Dataset1_Reporte=3&amp;rs%3AParameterLanguage=" TargetMode="External"/><Relationship Id="rId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300G&amp;Dataset1_Reporte=3&amp;rs%3AParameterLanguage=" TargetMode="External"/><Relationship Id="rId2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G&amp;rs%3AParameterLanguage=" TargetMode="External"/><Relationship Id="rId2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40100G&amp;Dataset1_Reporte=3&amp;rs%3AParameterLanguage=" TargetMode="External"/><Relationship Id="rId2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G&amp;rs%3AParameterLanguage=" TargetMode="External"/><Relationship Id="rId2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90100A&amp;Dataset1_Reporte=3&amp;rs%3AParameterLanguage=" TargetMode="External"/><Relationship Id="rId3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A&amp;rs%3AParameterLanguage=" TargetMode="External"/><Relationship Id="rId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A&amp;rs%3AParameterLanguage=" TargetMode="External"/><Relationship Id="rId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9901A&amp;Dataset1_Reporte=3&amp;rs%3AParameterLanguage=" TargetMode="External"/><Relationship Id="rId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G&amp;rs%3AParameterLanguage=" TargetMode="External"/><Relationship Id="rId1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20100A&amp;Dataset1_Reporte=3&amp;rs%3AParameterLanguage=" TargetMode="External"/><Relationship Id="rId1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A&amp;rs%3AParameterLanguage=" TargetMode="External"/><Relationship Id="rId1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200A&amp;Dataset1_Reporte=3&amp;rs%3AParameterLanguage=" TargetMode="External"/><Relationship Id="rId3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20G&amp;Dataset1_Reporte=3&amp;rs%3AParameterLanguage=" TargetMode="External"/><Relationship Id="rId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50100A&amp;Dataset1_Reporte=3&amp;rs%3AParameterLanguage=" TargetMode="External"/><Relationship Id="rId1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G&amp;rs%3AParameterLanguage=" TargetMode="External"/><Relationship Id="rId1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300G&amp;Dataset1_Reporte=3&amp;rs%3AParameterLanguage=" TargetMode="External"/><Relationship Id="rId3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G&amp;rs%3AParameterLanguage=" TargetMode="External"/><Relationship Id="rId3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5010G&amp;Dataset1_Reporte=3&amp;rs%3AParameterLanguage=" TargetMode="External"/><Relationship Id="rId2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A&amp;rs%3AParameterLanguage=" TargetMode="External"/><Relationship Id="rId2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10100G&amp;Dataset1_Reporte=3&amp;rs%3AParameterLanguage=" TargetMode="External"/><Relationship Id="rId2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A&amp;rs%3AParameterLanguage=" TargetMode="External"/><Relationship Id="rId2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70100G&amp;Dataset1_Reporte=3&amp;rs%3AParameterLanguage=" TargetMode="External"/><Relationship Id="rId2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A&amp;rs%3AParameterLanguage=" TargetMode="External"/><Relationship Id="rId3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G&amp;rs%3AParameterLanguage=" TargetMode="External"/><Relationship Id="rId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500G&amp;rs%3AParameterLanguage=" TargetMode="External"/><Relationship Id="rId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1101G&amp;Dataset1_Reporte=3&amp;rs%3AParameterLanguage=" TargetMode="External"/><Relationship Id="rId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A&amp;rs%3AParameterLanguage=" TargetMode="External"/><Relationship Id="rId1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100A&amp;rs%3AParameterLanguage=" TargetMode="External"/><Relationship Id="rId1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6200G&amp;Dataset1_Reporte=3&amp;rs%3AParameterLanguage=" TargetMode="External"/><Relationship Id="rId3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99010A&amp;Dataset1_Reporte=3&amp;rs%3AParameterLanguage=" TargetMode="External"/><Relationship Id="rId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2101G&amp;Dataset1_Reporte=3&amp;rs%3AParameterLanguage=" TargetMode="External"/><Relationship Id="rId1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A&amp;rs%3AParameterLanguage=" TargetMode="External"/><Relationship Id="rId1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3900A&amp;Dataset1_Reporte=3&amp;rs%3AParameterLanguage=" TargetMode="External"/><Relationship Id="rId1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G&amp;rs%3AParameterLanguage=" TargetMode="External"/><Relationship Id="rId3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A&amp;rs%3AParameterLanguage=" TargetMode="External"/><Relationship Id="rId3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3010A&amp;Dataset1_Reporte=3&amp;rs%3AParameterLanguage=" TargetMode="External"/><Relationship Id="rId2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G&amp;rs%3AParameterLanguage=" TargetMode="External"/><Relationship Id="rId2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800G&amp;Dataset1_Reporte=3&amp;rs%3AParameterLanguage=" TargetMode="External"/><Relationship Id="rId2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50100G&amp;rs%3AParameterLanguage=" TargetMode="External"/><Relationship Id="rId2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100G&amp;Dataset1_Reporte=3&amp;rs%3AParameterLanguage=" TargetMode="External"/><Relationship Id="rId2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G&amp;rs%3AParameterLanguage=" TargetMode="External"/><Relationship Id="rId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400G&amp;rs%3AParameterLanguage=" TargetMode="External"/><Relationship Id="rId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401A&amp;Dataset1_Reporte=3&amp;rs%3AParameterLanguage=" TargetMode="External"/><Relationship Id="rId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G&amp;rs%3AParameterLanguage=" TargetMode="External"/><Relationship Id="rId1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G&amp;rs%3AParameterLanguage=" TargetMode="External"/><Relationship Id="rId1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4200A&amp;Dataset1_Reporte=3&amp;rs%3AParameterLanguage=" TargetMode="External"/><Relationship Id="rId3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20G&amp;Dataset1_Reporte=3&amp;rs%3AParameterLanguage=" TargetMode="External"/><Relationship Id="rId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9901A&amp;Dataset1_Reporte=3&amp;rs%3AParameterLanguage=" TargetMode="External"/><Relationship Id="rId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G&amp;rs%3AParameterLanguage=" TargetMode="External"/><Relationship Id="rId1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G&amp;rs%3AParameterLanguage=" TargetMode="External"/><Relationship Id="rId1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495100G&amp;Dataset1_Reporte=3&amp;rs%3AParameterLanguage=" TargetMode="External"/><Relationship Id="rId1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A&amp;rs%3AParameterLanguage=" TargetMode="External"/><Relationship Id="rId3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A&amp;rs%3AParameterLanguage=" TargetMode="External"/><Relationship Id="rId3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9010G&amp;Dataset1_Reporte=3&amp;rs%3AParameterLanguage=" TargetMode="External"/><Relationship Id="rId3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6010G&amp;rs%3AParameterLanguage=" TargetMode="External"/><Relationship Id="rId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TargetMode="External"/><Relationship Id="rId2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9900A&amp;Dataset1_Reporte=3&amp;rs%3AParameterLanguage=" TargetMode="External"/><Relationship Id="rId2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100G&amp;rs%3AParameterLanguage=" TargetMode="External"/><Relationship Id="rId2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100A&amp;Dataset1_Reporte=3&amp;rs%3AParameterLanguage=" TargetMode="External"/><Relationship Id="rId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500G&amp;Dataset1_Reporte=3&amp;rs%3AParameterLanguage=" TargetMode="External"/><Relationship Id="rId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A&amp;rs%3AParameterLanguage=" TargetMode="External"/><Relationship Id="rId1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100A&amp;Dataset1_Reporte=3&amp;rs%3AParameterLanguage=" TargetMode="External"/><Relationship Id="rId2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A&amp;rs%3AParameterLanguage=" TargetMode="External"/><Relationship Id="rId2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20100A&amp;Dataset1_Reporte=3&amp;rs%3AParameterLanguage=" TargetMode="External"/><Relationship Id="rId3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7010A&amp;Dataset1_Reporte=3&amp;rs%3AParameterLanguage=" TargetMode="External"/><Relationship Id="rId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9901G&amp;Dataset1_Reporte=3&amp;rs%3AParameterLanguage=" TargetMode="External"/><Relationship Id="rId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A&amp;rs%3AParameterLanguage=" TargetMode="External"/><Relationship Id="rId1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A&amp;rs%3AParameterLanguage=" TargetMode="External"/><Relationship Id="rId1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2200A&amp;Dataset1_Reporte=3&amp;rs%3AParameterLanguage=" TargetMode="External"/><Relationship Id="rId1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G&amp;rs%3AParameterLanguage=" TargetMode="External"/><Relationship Id="rId1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5100G&amp;Dataset1_Reporte=3&amp;rs%3AParameterLanguage=" TargetMode="External"/><Relationship Id="rId3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G&amp;rs%3AParameterLanguage=" TargetMode="External"/><Relationship Id="rId3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30A&amp;Dataset1_Reporte=3&amp;rs%3AParameterLanguage=" TargetMode="External"/><Relationship Id="rId3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G&amp;rs%3AParameterLanguage=" TargetMode="External"/><Relationship Id="rId2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300G&amp;Dataset1_Reporte=3&amp;rs%3AParameterLanguage=" TargetMode="External"/><Relationship Id="rId2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A&amp;rs%3AParameterLanguage=" TargetMode="External"/><Relationship Id="rId2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50100G&amp;Dataset1_Reporte=3&amp;rs%3AParameterLanguage=" TargetMode="External"/><Relationship Id="rId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400G&amp;Dataset1_Reporte=3&amp;rs%3AParameterLanguage=" TargetMode="External"/><Relationship Id="rId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G&amp;rs%3AParameterLanguage=" TargetMode="External"/><Relationship Id="rId2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A&amp;rs%3AParameterLanguage=" TargetMode="External"/><Relationship Id="rId2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90100G&amp;Dataset1_Reporte=3&amp;rs%3AParameterLanguage=" TargetMode="External"/><Relationship Id="rId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9901A&amp;Dataset1_Reporte=3&amp;rs%3AParameterLanguage=" TargetMode="External"/><Relationship Id="rId1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20100G&amp;Dataset1_Reporte=3&amp;rs%3AParameterLanguage=" TargetMode="External"/><Relationship Id="rId1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G&amp;rs%3AParameterLanguage=" TargetMode="External"/><Relationship Id="rId1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200G&amp;Dataset1_Reporte=3&amp;rs%3AParameterLanguage=" TargetMode="External"/><Relationship Id="rId1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1G&amp;rs%3AParameterLanguage=" TargetMode="External"/><Relationship Id="rId1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9900A&amp;Dataset1_Reporte=3&amp;rs%3AParameterLanguage=" TargetMode="External"/><Relationship Id="rId3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A&amp;rs%3AParameterLanguage=" TargetMode="External"/><Relationship Id="rId3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40A&amp;Dataset1_Reporte=3&amp;rs%3AParameterLanguage=" TargetMode="External"/><Relationship Id="rId3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607070A&amp;rs%3AParameterLanguage=" TargetMode="External"/><Relationship Id="rId3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6010G&amp;Dataset1_Reporte=3&amp;rs%3AParameterLanguage=" TargetMode="External"/><Relationship Id="rId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G&amp;rs%3AParameterLanguage=" TargetMode="External"/><Relationship Id="rId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50100G&amp;Dataset1_Reporte=3&amp;rs%3AParameterLanguage=" TargetMode="External"/><Relationship Id="rId2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G&amp;rs%3AParameterLanguage=" TargetMode="External"/><Relationship Id="rId2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600100G&amp;Dataset1_Reporte=3&amp;rs%3AParameterLanguage=" TargetMode="External"/><Relationship Id="rId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&amp;Dataset1_Reporte=3&amp;rs%3AParameterLanguage=" TargetMode="External"/><Relationship Id="rId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A&amp;rs%3AParameterLanguage=" TargetMode="External"/><Relationship Id="rId2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A&amp;rs%3AParameterLanguage=" TargetMode="External"/><Relationship Id="rId2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30100A&amp;Dataset1_Reporte=3&amp;rs%3AParameterLanguage=" TargetMode="External"/><Relationship Id="rId2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G&amp;rs%3AParameterLanguage=" TargetMode="External"/><Relationship Id="rId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401G&amp;Dataset1_Reporte=3&amp;rs%3AParameterLanguage=" TargetMode="External"/><Relationship Id="rId1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A&amp;rs%3AParameterLanguage=" TargetMode="External"/><Relationship Id="rId1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7200A&amp;Dataset1_Reporte=3&amp;rs%3AParameterLanguage=" TargetMode="External"/><Relationship Id="rId1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G&amp;rs%3AParameterLanguage=" TargetMode="External"/><Relationship Id="rId1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3900G&amp;Dataset1_Reporte=3&amp;rs%3AParameterLanguage=" TargetMode="External"/><Relationship Id="rId3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G&amp;rs%3AParameterLanguage=" TargetMode="External"/><Relationship Id="rId3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99010G&amp;Dataset1_Reporte=3&amp;rs%3AParameterLanguage=" TargetMode="External"/><Relationship Id="rId3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G&amp;rs%3AParameterLanguage=" TargetMode="External"/><Relationship Id="rId3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3010G&amp;Dataset1_Reporte=3&amp;rs%3AParameterLanguage=" TargetMode="External"/><Relationship Id="rId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A&amp;rs%3AParameterLanguage=" TargetMode="External"/><Relationship Id="rId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9901A&amp;Dataset1_Reporte=3&amp;rs%3AParameterLanguage=" TargetMode="External"/><Relationship Id="rId1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A&amp;rs%3AParameterLanguage=" TargetMode="External"/><Relationship Id="rId2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A&amp;rs%3AParameterLanguage=" TargetMode="External"/><Relationship Id="rId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9900G&amp;rs%3AParameterLanguage=" TargetMode="External"/><Relationship Id="rId2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70800A&amp;Dataset1_Reporte=3&amp;rs%3AParameterLanguage=" TargetMode="External"/><Relationship Id="rId2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60100G&amp;rs%3AParameterLanguage=" TargetMode="External"/><Relationship Id="rId2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200A&amp;Dataset1_Reporte=3&amp;rs%3AParameterLanguage=" TargetMode="External"/><Relationship Id="rId2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A&amp;rs%3AParameterLanguage=" TargetMode="External"/><Relationship Id="rId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201A&amp;Dataset1_Reporte=3&amp;rs%3AParameterLanguage=" TargetMode="External"/><Relationship Id="rId1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A&amp;rs%3AParameterLanguage=" TargetMode="External"/><Relationship Id="rId1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4200G&amp;Dataset1_Reporte=3&amp;rs%3AParameterLanguage=" TargetMode="External"/><Relationship Id="rId1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A&amp;rs%3AParameterLanguage=" TargetMode="External"/><Relationship Id="rId1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20101G&amp;Dataset1_Reporte=3&amp;rs%3AParameterLanguage=" TargetMode="External"/><Relationship Id="rId3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30A&amp;Dataset1_Reporte=3&amp;rs%3AParameterLanguage=" TargetMode="External"/><Relationship Id="rId3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G&amp;rs%3AParameterLanguage=" TargetMode="External"/><Relationship Id="rId3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607070A&amp;Dataset1_Reporte=3&amp;rs%3AParameterLanguage=" TargetMode="External"/><Relationship Id="rId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G&amp;rs%3AParameterLanguage=" TargetMode="External"/><Relationship Id="rId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9901G&amp;Dataset1_Reporte=3&amp;rs%3AParameterLanguage=" TargetMode="External"/><Relationship Id="rId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A&amp;rs%3AParameterLanguage=" TargetMode="External"/><Relationship Id="rId1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G&amp;rs%3AParameterLanguage=" TargetMode="External"/><Relationship Id="rId3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TargetMode="External"/><Relationship Id="rId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0&amp;rs%3AParameterLanguage=" TargetMode="External"/><Relationship Id="rId2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9900G&amp;Dataset1_Reporte=3&amp;rs%3AParameterLanguage=" TargetMode="External"/><Relationship Id="rId2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200G&amp;rs%3AParameterLanguage=" TargetMode="External"/><Relationship Id="rId2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400A&amp;Dataset1_Reporte=3&amp;rs%3AParameterLanguage=" TargetMode="External"/><Relationship Id="rId2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G&amp;rs%3AParameterLanguage=" TargetMode="External"/><Relationship Id="rId2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20100G&amp;Dataset1_Reporte=3&amp;rs%3AParameterLanguage=" TargetMode="External"/><Relationship Id="rId1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200A&amp;Dataset1_Reporte=3&amp;rs%3AParameterLanguage=" TargetMode="External"/><Relationship Id="rId1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G&amp;rs%3AParameterLanguage=" TargetMode="External"/><Relationship Id="rId1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2200G&amp;Dataset1_Reporte=3&amp;rs%3AParameterLanguage=" TargetMode="External"/><Relationship Id="rId3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7010G&amp;Dataset1_Reporte=3&amp;rs%3AParameterLanguage=" TargetMode="External"/><Relationship Id="rId3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A&amp;rs%3AParameterLanguage=" TargetMode="External"/><Relationship Id="rId3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30G&amp;Dataset1_Reporte=3&amp;rs%3AParameterLanguage=" TargetMode="External"/><Relationship Id="rId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9900G&amp;Dataset1_Reporte=3&amp;rs%3AParameterLanguage=" TargetMode="External"/><Relationship Id="rId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A&amp;rs%3AParameterLanguage=" TargetMode="External"/><Relationship Id="rId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1401A&amp;Dataset1_Reporte=3&amp;rs%3AParameterLanguage=" TargetMode="External"/><Relationship Id="rId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G&amp;rs%3AParameterLanguage=" TargetMode="External"/><Relationship Id="rId1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A&amp;rs%3AParameterLanguage=" TargetMode="External"/><Relationship Id="rId3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010G&amp;rs%3AParameterLanguage=" TargetMode="External"/><Relationship Id="rId1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9900G&amp;Dataset1_Reporte=3&amp;rs%3AParameterLanguage=" TargetMode="External"/><Relationship Id="rId2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400A&amp;Dataset1_Reporte=3&amp;rs%3AParameterLanguage=" TargetMode="External"/><Relationship Id="rId2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G&amp;rs%3AParameterLanguage=" TargetMode="External"/><Relationship Id="rId2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60100G&amp;Dataset1_Reporte=3&amp;rs%3AParameterLanguage=" TargetMode="External"/><Relationship Id="rId2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G&amp;rs%3AParameterLanguage=" TargetMode="External"/><Relationship Id="rId2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100100A&amp;Dataset1_Reporte=3&amp;rs%3AParameterLanguage=" TargetMode="External"/><Relationship Id="rId1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30100A&amp;Dataset1_Reporte=3&amp;rs%3AParameterLanguage=" TargetMode="External"/><Relationship Id="rId1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A&amp;rs%3AParameterLanguage=" TargetMode="External"/><Relationship Id="rId3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G&amp;rs%3AParameterLanguage=" TargetMode="External"/><Relationship Id="rId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AA-799999G&amp;Dataset1_Reporte=3&amp;rs%3AParameterLanguage=" TargetMode="External"/><Relationship Id="rId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G&amp;rs%3AParameterLanguage=" TargetMode="External"/><Relationship Id="rId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9901G&amp;Dataset1_Reporte=3&amp;rs%3AParameterLanguage=" TargetMode="External"/><Relationship Id="rId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A&amp;rs%3AParameterLanguage=" TargetMode="External"/><Relationship Id="rId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010A&amp;Dataset1_Reporte=3&amp;rs%3AParameterLanguage=" TargetMode="External"/><Relationship Id="rId1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0200A&amp;Dataset1_Reporte=3&amp;rs%3AParameterLanguage=" TargetMode="External"/><Relationship Id="rId1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2G&amp;rs%3AParameterLanguage=" TargetMode="External"/><Relationship Id="rId3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40G&amp;Dataset1_Reporte=3&amp;rs%3AParameterLanguage=" TargetMode="External"/><Relationship Id="rId3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200A&amp;rs%3AParameterLanguage=" TargetMode="External"/><Relationship Id="rId3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Reporte=3&amp;Dataset1_Categoria=&amp;rs%3AParameterLanguage=" TargetMode="External"/><Relationship Id="rId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0&amp;Dataset1_Reporte=3&amp;rs%3AParameterLanguage=" TargetMode="External"/><Relationship Id="rId1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000A&amp;Dataset1_Reporte=3&amp;rs%3AParameterLanguage=" TargetMode="External"/><Relationship Id="rId2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A&amp;rs%3AParameterLanguage=" TargetMode="External"/><Relationship Id="rId2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600200G&amp;Dataset1_Reporte=3&amp;rs%3AParameterLanguage=" TargetMode="External"/><Relationship Id="rId2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A&amp;rs%3AParameterLanguage=" TargetMode="External"/><Relationship Id="rId2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30100G&amp;Dataset1_Reporte=3&amp;rs%3AParameterLanguage=" TargetMode="External"/><Relationship Id="rId3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A&amp;rs%3AParameterLanguage=" TargetMode="External"/><Relationship Id="rId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501A&amp;Dataset1_Reporte=3&amp;rs%3AParameterLanguage=" TargetMode="External"/><Relationship Id="rId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9901G&amp;Dataset1_Reporte=3&amp;rs%3AParameterLanguage=" TargetMode="External"/><Relationship Id="rId1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7200G&amp;Dataset1_Reporte=3&amp;rs%3AParameterLanguage=" TargetMode="External"/><Relationship Id="rId3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A&amp;rs%3AParameterLanguage=" TargetMode="External"/><Relationship Id="rId1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A&amp;rs%3AParameterLanguage=" TargetMode="External"/><Relationship Id="rId2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G&amp;rs%3AParameterLanguage=" TargetMode="External"/><Relationship Id="rId2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70100G&amp;rs%3AParameterLanguage=" TargetMode="External"/><Relationship Id="rId1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G&amp;rs%3AParameterLanguage=" TargetMode="External"/><Relationship Id="rId2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G&amp;rs%3AParameterLanguage=" TargetMode="External"/><Relationship Id="rId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100G&amp;rs%3AParameterLanguage=" TargetMode="External"/><Relationship Id="rId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A&amp;rs%3AParameterLanguage=" TargetMode="External"/><Relationship Id="rId1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G&amp;rs%3AParameterLanguage=" TargetMode="External"/><Relationship Id="rId3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30G&amp;Dataset1_Reporte=3&amp;rs%3AParameterLanguage=" TargetMode="External"/><Relationship Id="rId3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200A&amp;Dataset1_Reporte=3&amp;rs%3AParameterLanguage=" TargetMode="External"/><Relationship Id="rId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G&amp;rs%3AParameterLanguage=" TargetMode="External"/><Relationship Id="rId1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397100A&amp;Dataset1_Reporte=3&amp;rs%3AParameterLanguage=" TargetMode="External"/><Relationship Id="rId2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700A&amp;Dataset1_Reporte=3&amp;rs%3AParameterLanguage=" TargetMode="External"/><Relationship Id="rId2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3200A&amp;Dataset1_Reporte=3&amp;rs%3AParameterLanguage=" TargetMode="External"/><Relationship Id="rId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30800G&amp;Dataset1_Reporte=3&amp;rs%3AParameterLanguage=" TargetMode="External"/><Relationship Id="rId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1401G&amp;Dataset1_Reporte=3&amp;rs%3AParameterLanguage=" TargetMode="External"/><Relationship Id="rId1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200G&amp;Dataset1_Reporte=3&amp;rs%3AParameterLanguage=" TargetMode="External"/><Relationship Id="rId3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G&amp;rs%3AParameterLanguage=" TargetMode="External"/><Relationship Id="rId3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110G&amp;rs%3AParameterLanguage=" TargetMode="External"/><Relationship Id="rId1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A&amp;rs%3AParameterLanguage=" TargetMode="External"/><Relationship Id="rId2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A&amp;rs%3AParameterLanguage=" TargetMode="External"/><Relationship Id="rId2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G&amp;rs%3AParameterLanguage=" TargetMode="External"/><Relationship Id="rId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A&amp;rs%3AParameterLanguage=" TargetMode="External"/><Relationship Id="rId1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G&amp;rs%3AParameterLanguage=" TargetMode="External"/><Relationship Id="rId2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40100A&amp;Dataset1_Reporte=3&amp;rs%3AParameterLanguage=" TargetMode="External"/><Relationship Id="rId3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50A&amp;Dataset1_Reporte=3&amp;rs%3AParameterLanguage=" TargetMode="External"/><Relationship Id="rId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G&amp;rs%3AParameterLanguage=" TargetMode="External"/><Relationship Id="rId1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100A&amp;Dataset1_Reporte=3&amp;rs%3AParameterLanguage=" TargetMode="External"/><Relationship Id="rId1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000G&amp;Dataset1_Reporte=3&amp;rs%3AParameterLanguage=" TargetMode="External"/><Relationship Id="rId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10100G&amp;Dataset1_Reporte=3&amp;rs%3AParameterLanguage=" TargetMode="External"/><Relationship Id="rId2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20100G&amp;Dataset1_Reporte=3&amp;rs%3AParameterLanguage=" TargetMode="External"/><Relationship Id="rId2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A&amp;rs%3AParameterLanguage=" TargetMode="External"/><Relationship Id="rId3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G&amp;rs%3AParameterLanguage=" TargetMode="External"/><Relationship Id="rId3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G&amp;rs%3AParameterLanguage=" TargetMode="External"/><Relationship Id="rId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501G&amp;Dataset1_Reporte=3&amp;rs%3AParameterLanguage=" TargetMode="External"/><Relationship Id="rId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40100A&amp;Dataset1_Reporte=3&amp;rs%3AParameterLanguage=" TargetMode="External"/><Relationship Id="rId1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A&amp;rs%3AParameterLanguage=" TargetMode="External"/><Relationship Id="rId1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G&amp;rs%3AParameterLanguage=" TargetMode="External"/><Relationship Id="rId2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A&amp;rs%3AParameterLanguage=" TargetMode="External"/><Relationship Id="rId2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999999G&amp;rs%3AParameterLanguage=" TargetMode="External"/><Relationship Id="rId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200G&amp;rs%3AParameterLanguage=" TargetMode="External"/><Relationship Id="rId1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A&amp;rs%3AParameterLanguage=" TargetMode="External"/><Relationship Id="rId2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3200G&amp;Dataset1_Reporte=3&amp;rs%3AParameterLanguage=" TargetMode="External"/><Relationship Id="rId3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990A&amp;Dataset1_Reporte=3&amp;rs%3AParameterLanguage=" TargetMode="External"/><Relationship Id="rId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G&amp;rs%3AParameterLanguage=" TargetMode="External"/><Relationship Id="rId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A&amp;rs%3AParameterLanguage=" TargetMode="External"/><Relationship Id="rId1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3200A&amp;Dataset1_Reporte=3&amp;rs%3AParameterLanguage=" TargetMode="External"/><Relationship Id="rId3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400G&amp;Dataset1_Reporte=3&amp;rs%3AParameterLanguage=" TargetMode="External"/><Relationship Id="rId1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397100G&amp;Dataset1_Reporte=3&amp;rs%3AParameterLanguage=" TargetMode="External"/><Relationship Id="rId2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700G&amp;Dataset1_Reporte=3&amp;rs%3AParameterLanguage=" TargetMode="External"/><Relationship Id="rId2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A&amp;rs%3AParameterLanguage=" TargetMode="External"/><Relationship Id="rId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40800G&amp;Dataset1_Reporte=3&amp;rs%3AParameterLanguage=" TargetMode="External"/><Relationship Id="rId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2001A&amp;Dataset1_Reporte=3&amp;rs%3AParameterLanguage=" TargetMode="External"/><Relationship Id="rId1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A&amp;rs%3AParameterLanguage=" TargetMode="External"/><Relationship Id="rId3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A&amp;rs%3AParameterLanguage=" TargetMode="External"/><Relationship Id="rId3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4010G&amp;rs%3AParameterLanguage=" TargetMode="External"/><Relationship Id="rId1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G&amp;rs%3AParameterLanguage=" TargetMode="External"/><Relationship Id="rId2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G&amp;rs%3AParameterLanguage=" TargetMode="External"/><Relationship Id="rId2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30100G&amp;Dataset1_Reporte=3&amp;rs%3AParameterLanguage=" TargetMode="External"/><Relationship Id="rId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G&amp;rs%3AParameterLanguage=" TargetMode="External"/><Relationship Id="rId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A&amp;rs%3AParameterLanguage=" TargetMode="External"/><Relationship Id="rId1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10100G&amp;Dataset1_Reporte=3&amp;rs%3AParameterLanguage=" TargetMode="External"/><Relationship Id="rId2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40100G&amp;Dataset1_Reporte=3&amp;rs%3AParameterLanguage=" TargetMode="External"/><Relationship Id="rId3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20A&amp;Dataset1_Reporte=3&amp;rs%3AParameterLanguage=" TargetMode="External"/><Relationship Id="rId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600G&amp;Dataset1_Reporte=3&amp;rs%3AParameterLanguage=" TargetMode="External"/><Relationship Id="rId1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100G&amp;Dataset1_Reporte=3&amp;rs%3AParameterLanguage=" TargetMode="External"/><Relationship Id="rId1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300A&amp;Dataset1_Reporte=3&amp;rs%3AParameterLanguage=" TargetMode="External"/><Relationship Id="rId2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90200G&amp;rs%3AParameterLanguage=" TargetMode="External"/><Relationship Id="rId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1101A&amp;Dataset1_Reporte=3&amp;rs%3AParameterLanguage=" TargetMode="External"/><Relationship Id="rId2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G&amp;rs%3AParameterLanguage=" TargetMode="External"/><Relationship Id="rId3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A&amp;rs%3AParameterLanguage=" TargetMode="External"/><Relationship Id="rId3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A&amp;rs%3AParameterLanguage=" TargetMode="External"/><Relationship Id="rId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40100G&amp;Dataset1_Reporte=3&amp;rs%3AParameterLanguage=" TargetMode="External"/><Relationship Id="rId1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G&amp;rs%3AParameterLanguage=" TargetMode="External"/><Relationship Id="rId1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G&amp;rs%3AParameterLanguage=" TargetMode="External"/><Relationship Id="rId1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A&amp;rs%3AParameterLanguage=" TargetMode="External"/><Relationship Id="rId2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G&amp;rs%3AParameterLanguage=" TargetMode="External"/><Relationship Id="rId3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2010G&amp;Dataset1_Reporte=3&amp;rs%3AParameterLanguage=" TargetMode="External"/><Relationship Id="rId2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800A&amp;Dataset1_Reporte=3&amp;rs%3AParameterLanguage=" TargetMode="External"/><Relationship Id="rId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300G&amp;rs%3AParameterLanguage=" TargetMode="External"/><Relationship Id="rId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A&amp;rs%3AParameterLanguage=" TargetMode="External"/><Relationship Id="rId2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100A&amp;Dataset1_Reporte=3&amp;rs%3AParameterLanguage=" TargetMode="External"/><Relationship Id="rId3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990G&amp;Dataset1_Reporte=3&amp;rs%3AParameterLanguage=" TargetMode="External"/><Relationship Id="rId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G&amp;rs%3AParameterLanguage=" TargetMode="External"/><Relationship Id="rId1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3200G&amp;Dataset1_Reporte=3&amp;rs%3AParameterLanguage=" TargetMode="External"/><Relationship Id="rId1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495100A&amp;Dataset1_Reporte=3&amp;rs%3AParameterLanguage=" TargetMode="External"/><Relationship Id="rId3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5010G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K26"/>
  <sheetViews>
    <sheetView workbookViewId="0">
      <selection activeCell="I13" sqref="I13"/>
    </sheetView>
  </sheetViews>
  <sheetFormatPr baseColWidth="10" defaultColWidth="11.42578125" defaultRowHeight="15" x14ac:dyDescent="0.25"/>
  <cols>
    <col min="3" max="3" width="20.7109375" bestFit="1" customWidth="1"/>
    <col min="7" max="7" width="29.28515625" customWidth="1"/>
    <col min="8" max="8" width="15.7109375" customWidth="1"/>
    <col min="9" max="9" width="29.42578125" customWidth="1"/>
    <col min="10" max="10" width="9.42578125" customWidth="1"/>
  </cols>
  <sheetData>
    <row r="1" spans="1:11" x14ac:dyDescent="0.25">
      <c r="A1" s="45"/>
      <c r="B1" s="46"/>
      <c r="C1" s="47"/>
      <c r="D1" s="47"/>
      <c r="E1" s="47"/>
      <c r="F1" s="47"/>
      <c r="G1" s="47"/>
      <c r="H1" s="47"/>
      <c r="I1" s="47"/>
      <c r="J1" s="48"/>
      <c r="K1" s="45"/>
    </row>
    <row r="2" spans="1:11" ht="70.5" customHeight="1" x14ac:dyDescent="0.25">
      <c r="A2" s="45"/>
      <c r="B2" s="49"/>
      <c r="C2" s="45"/>
      <c r="D2" s="390" t="s">
        <v>0</v>
      </c>
      <c r="E2" s="390"/>
      <c r="F2" s="390"/>
      <c r="G2" s="390"/>
      <c r="H2" s="391" t="s">
        <v>2388</v>
      </c>
      <c r="I2" s="391"/>
      <c r="J2" s="392"/>
      <c r="K2" s="45"/>
    </row>
    <row r="3" spans="1:11" ht="16.5" customHeight="1" x14ac:dyDescent="0.25">
      <c r="A3" s="45"/>
      <c r="B3" s="49"/>
      <c r="C3" s="45"/>
      <c r="D3" s="45"/>
      <c r="E3" s="45"/>
      <c r="F3" s="45"/>
      <c r="G3" s="45"/>
      <c r="H3" s="45"/>
      <c r="I3" s="45"/>
      <c r="J3" s="50"/>
      <c r="K3" s="45"/>
    </row>
    <row r="4" spans="1:11" ht="15" customHeight="1" x14ac:dyDescent="0.25">
      <c r="A4" s="45"/>
      <c r="B4" s="49"/>
      <c r="C4" s="388" t="s">
        <v>2395</v>
      </c>
      <c r="D4" s="63"/>
      <c r="E4" s="63"/>
      <c r="F4" s="63"/>
      <c r="G4" s="63"/>
      <c r="H4" s="63"/>
      <c r="I4" s="63"/>
      <c r="J4" s="51"/>
      <c r="K4" s="45"/>
    </row>
    <row r="5" spans="1:11" ht="15.75" customHeight="1" x14ac:dyDescent="0.25">
      <c r="A5" s="45"/>
      <c r="B5" s="49"/>
      <c r="C5" s="388"/>
      <c r="D5" s="389"/>
      <c r="E5" s="389"/>
      <c r="F5" s="389"/>
      <c r="G5" s="389"/>
      <c r="H5" s="52"/>
      <c r="I5" s="52"/>
      <c r="J5" s="50"/>
      <c r="K5" s="45"/>
    </row>
    <row r="6" spans="1:11" x14ac:dyDescent="0.25">
      <c r="A6" s="45"/>
      <c r="B6" s="49"/>
      <c r="C6" s="45"/>
      <c r="D6" s="389"/>
      <c r="E6" s="389"/>
      <c r="F6" s="389"/>
      <c r="G6" s="389"/>
      <c r="H6" s="52"/>
      <c r="I6" s="52"/>
      <c r="J6" s="50"/>
      <c r="K6" s="45"/>
    </row>
    <row r="7" spans="1:11" x14ac:dyDescent="0.25">
      <c r="A7" s="45"/>
      <c r="B7" s="49"/>
      <c r="C7" s="45"/>
      <c r="D7" s="389"/>
      <c r="E7" s="389"/>
      <c r="F7" s="389"/>
      <c r="G7" s="389"/>
      <c r="H7" s="52"/>
      <c r="I7" s="52"/>
      <c r="J7" s="50"/>
      <c r="K7" s="45"/>
    </row>
    <row r="8" spans="1:11" ht="15" customHeight="1" x14ac:dyDescent="0.25">
      <c r="A8" s="45"/>
      <c r="B8" s="49"/>
      <c r="C8" s="45"/>
      <c r="D8" s="389"/>
      <c r="E8" s="389"/>
      <c r="F8" s="389"/>
      <c r="G8" s="389"/>
      <c r="H8" s="52"/>
      <c r="I8" s="52"/>
      <c r="J8" s="53"/>
      <c r="K8" s="54"/>
    </row>
    <row r="9" spans="1:11" ht="25.5" x14ac:dyDescent="0.25">
      <c r="A9" s="45"/>
      <c r="B9" s="49"/>
      <c r="C9" s="45"/>
      <c r="D9" s="45"/>
      <c r="E9" s="55"/>
      <c r="F9" s="45"/>
      <c r="G9" s="219" t="s">
        <v>2391</v>
      </c>
      <c r="H9" s="218" t="s">
        <v>2389</v>
      </c>
      <c r="I9" s="218"/>
      <c r="J9" s="53"/>
      <c r="K9" s="45"/>
    </row>
    <row r="10" spans="1:11" ht="26.25" x14ac:dyDescent="0.25">
      <c r="A10" s="45"/>
      <c r="B10" s="49"/>
      <c r="C10" s="45"/>
      <c r="D10" s="45"/>
      <c r="E10" s="45"/>
      <c r="F10" s="45"/>
      <c r="G10" s="55" t="s">
        <v>2392</v>
      </c>
      <c r="H10" s="136" t="s">
        <v>2390</v>
      </c>
      <c r="I10" s="195"/>
      <c r="J10" s="53"/>
      <c r="K10" s="45"/>
    </row>
    <row r="11" spans="1:11" x14ac:dyDescent="0.25">
      <c r="A11" s="45"/>
      <c r="B11" s="49"/>
      <c r="C11" s="45"/>
      <c r="D11" s="45"/>
      <c r="E11" s="45"/>
      <c r="F11" s="45"/>
      <c r="G11" s="56" t="s">
        <v>2393</v>
      </c>
      <c r="H11" s="56" t="s">
        <v>2394</v>
      </c>
      <c r="I11" s="217"/>
      <c r="J11" s="53"/>
      <c r="K11" s="45"/>
    </row>
    <row r="12" spans="1:11" x14ac:dyDescent="0.25">
      <c r="A12" s="45"/>
      <c r="B12" s="49"/>
      <c r="C12" s="45"/>
      <c r="D12" s="45"/>
      <c r="E12" s="45"/>
      <c r="F12" s="45"/>
      <c r="G12" s="66" t="s">
        <v>3</v>
      </c>
      <c r="H12" s="66" t="s">
        <v>2</v>
      </c>
      <c r="I12" s="146">
        <v>45992</v>
      </c>
      <c r="J12" s="50"/>
      <c r="K12" s="45"/>
    </row>
    <row r="13" spans="1:11" ht="15.75" x14ac:dyDescent="0.25">
      <c r="A13" s="45"/>
      <c r="B13" s="49"/>
      <c r="C13" s="57"/>
      <c r="D13" s="45"/>
      <c r="E13" s="45"/>
      <c r="F13" s="56"/>
      <c r="G13" s="45"/>
      <c r="H13" s="45"/>
      <c r="I13" s="45"/>
      <c r="J13" s="53"/>
      <c r="K13" s="45"/>
    </row>
    <row r="14" spans="1:11" x14ac:dyDescent="0.25">
      <c r="A14" s="45"/>
      <c r="B14" s="49"/>
      <c r="C14" s="56"/>
      <c r="D14" s="45"/>
      <c r="E14" s="45"/>
      <c r="F14" s="45"/>
      <c r="G14" s="45"/>
      <c r="H14" s="45"/>
      <c r="I14" s="45"/>
      <c r="J14" s="53"/>
      <c r="K14" s="45"/>
    </row>
    <row r="15" spans="1:11" x14ac:dyDescent="0.25">
      <c r="A15" s="45"/>
      <c r="B15" s="49"/>
      <c r="C15" s="45"/>
      <c r="D15" s="45"/>
      <c r="E15" s="45"/>
      <c r="F15" s="45"/>
      <c r="G15" s="45"/>
      <c r="H15" s="45"/>
      <c r="I15" s="45"/>
      <c r="J15" s="53"/>
      <c r="K15" s="45"/>
    </row>
    <row r="16" spans="1:11" x14ac:dyDescent="0.25">
      <c r="A16" s="45"/>
      <c r="B16" s="49"/>
      <c r="C16" s="94" t="s">
        <v>4</v>
      </c>
      <c r="D16" s="45"/>
      <c r="E16" s="45"/>
      <c r="F16" s="45"/>
      <c r="G16" s="45"/>
      <c r="H16" s="45"/>
      <c r="I16" s="45"/>
      <c r="J16" s="53"/>
      <c r="K16" s="45"/>
    </row>
    <row r="17" spans="1:11" x14ac:dyDescent="0.25">
      <c r="A17" s="45"/>
      <c r="B17" s="49"/>
      <c r="C17" s="94" t="s">
        <v>5</v>
      </c>
      <c r="D17" s="45"/>
      <c r="E17" s="45"/>
      <c r="F17" s="45"/>
      <c r="G17" s="45"/>
      <c r="H17" s="45"/>
      <c r="I17" s="45"/>
      <c r="J17" s="53"/>
      <c r="K17" s="45"/>
    </row>
    <row r="18" spans="1:11" x14ac:dyDescent="0.25">
      <c r="A18" s="45"/>
      <c r="B18" s="49"/>
      <c r="C18" s="94" t="s">
        <v>6</v>
      </c>
      <c r="D18" s="45"/>
      <c r="E18" s="45"/>
      <c r="F18" s="45"/>
      <c r="G18" s="45"/>
      <c r="H18" s="45"/>
      <c r="I18" s="45"/>
      <c r="J18" s="50"/>
      <c r="K18" s="45"/>
    </row>
    <row r="19" spans="1:11" x14ac:dyDescent="0.25">
      <c r="A19" s="45"/>
      <c r="B19" s="49"/>
      <c r="C19" s="94" t="s">
        <v>7</v>
      </c>
      <c r="D19" s="45"/>
      <c r="E19" s="45"/>
      <c r="F19" s="45"/>
      <c r="G19" s="45"/>
      <c r="H19" s="45"/>
      <c r="I19" s="45"/>
      <c r="J19" s="50"/>
      <c r="K19" s="45"/>
    </row>
    <row r="20" spans="1:11" x14ac:dyDescent="0.25">
      <c r="A20" s="45"/>
      <c r="B20" s="49"/>
      <c r="C20" s="58"/>
      <c r="D20" s="45"/>
      <c r="E20" s="45"/>
      <c r="F20" s="45"/>
      <c r="G20" s="45"/>
      <c r="H20" s="45"/>
      <c r="I20" s="45"/>
      <c r="J20" s="50"/>
      <c r="K20" s="45"/>
    </row>
    <row r="21" spans="1:11" ht="15" customHeight="1" x14ac:dyDescent="0.25">
      <c r="A21" s="45"/>
      <c r="B21" s="49"/>
      <c r="C21" s="45"/>
      <c r="D21" s="45"/>
      <c r="E21" s="45"/>
      <c r="F21" s="45"/>
      <c r="G21" s="45"/>
      <c r="H21" s="45"/>
      <c r="I21" s="45"/>
      <c r="J21" s="50"/>
      <c r="K21" s="45"/>
    </row>
    <row r="22" spans="1:11" ht="123.75" customHeight="1" x14ac:dyDescent="0.25">
      <c r="A22" s="45"/>
      <c r="B22" s="49"/>
      <c r="C22" s="45"/>
      <c r="D22" s="45"/>
      <c r="E22" s="45"/>
      <c r="F22" s="45"/>
      <c r="G22" s="45"/>
      <c r="H22" s="45"/>
      <c r="I22" s="45"/>
      <c r="J22" s="50"/>
      <c r="K22" s="45"/>
    </row>
    <row r="23" spans="1:11" ht="15" customHeight="1" x14ac:dyDescent="0.25">
      <c r="A23" s="45"/>
      <c r="B23" s="49"/>
      <c r="C23" s="45"/>
      <c r="D23" s="45"/>
      <c r="E23" s="45"/>
      <c r="F23" s="45"/>
      <c r="G23" s="45"/>
      <c r="H23" s="45"/>
      <c r="I23" s="45"/>
      <c r="J23" s="50"/>
      <c r="K23" s="45"/>
    </row>
    <row r="24" spans="1:11" ht="15.75" customHeight="1" thickBot="1" x14ac:dyDescent="0.3">
      <c r="A24" s="45"/>
      <c r="B24" s="59"/>
      <c r="C24" s="60"/>
      <c r="D24" s="60"/>
      <c r="E24" s="60"/>
      <c r="F24" s="60"/>
      <c r="G24" s="60"/>
      <c r="H24" s="60"/>
      <c r="I24" s="60"/>
      <c r="J24" s="61"/>
      <c r="K24" s="45"/>
    </row>
    <row r="25" spans="1:11" ht="1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spans="1:11" ht="15" customHeight="1" x14ac:dyDescent="0.25">
      <c r="A26" s="45"/>
      <c r="B26" s="62"/>
      <c r="C26" s="45"/>
      <c r="D26" s="45"/>
      <c r="E26" s="45"/>
      <c r="F26" s="45"/>
      <c r="G26" s="45"/>
      <c r="H26" s="45"/>
      <c r="I26" s="45"/>
      <c r="J26" s="45"/>
      <c r="K26" s="45"/>
    </row>
  </sheetData>
  <sheetProtection selectLockedCells="1" autoFilter="0"/>
  <mergeCells count="7">
    <mergeCell ref="C4:C5"/>
    <mergeCell ref="D8:G8"/>
    <mergeCell ref="D2:G2"/>
    <mergeCell ref="H2:J2"/>
    <mergeCell ref="D5:G5"/>
    <mergeCell ref="D6:G6"/>
    <mergeCell ref="D7:G7"/>
  </mergeCells>
  <hyperlinks>
    <hyperlink ref="C16" location="'Matriz de Produccion'!A1" display="Matriz de Producción" xr:uid="{00000000-0004-0000-0000-000000000000}"/>
    <hyperlink ref="C17" location="'Matriz de Costos'!A1" display="Matriz de Costos" xr:uid="{00000000-0004-0000-0000-000001000000}"/>
    <hyperlink ref="C18" location="'Matriz de Resultados'!A1" display="Matriz de Resultado" xr:uid="{00000000-0004-0000-0000-000002000000}"/>
    <hyperlink ref="C19" location="'Matriz de Proyecciones'!A1" display="Matriz de Proyecciones" xr:uid="{00000000-0004-0000-0000-000003000000}"/>
  </hyperlinks>
  <pageMargins left="0.25" right="0.25" top="0.75" bottom="0.75" header="0.3" footer="0.3"/>
  <pageSetup scale="7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D104"/>
  <sheetViews>
    <sheetView view="pageBreakPreview" zoomScale="90" zoomScaleNormal="90" zoomScaleSheetLayoutView="90" workbookViewId="0">
      <pane xSplit="3" ySplit="5" topLeftCell="D74" activePane="bottomRight" state="frozen"/>
      <selection activeCell="R21" sqref="R21"/>
      <selection pane="topRight" activeCell="R21" sqref="R21"/>
      <selection pane="bottomLeft" activeCell="R21" sqref="R21"/>
      <selection pane="bottomRight" activeCell="K103" sqref="K103"/>
    </sheetView>
  </sheetViews>
  <sheetFormatPr baseColWidth="10" defaultColWidth="11.42578125" defaultRowHeight="15" outlineLevelRow="1" x14ac:dyDescent="0.25"/>
  <cols>
    <col min="1" max="1" width="9.42578125" style="76" bestFit="1" customWidth="1"/>
    <col min="2" max="2" width="8.5703125" style="73" customWidth="1"/>
    <col min="3" max="3" width="65.140625" customWidth="1"/>
    <col min="4" max="4" width="1.7109375" customWidth="1"/>
    <col min="5" max="5" width="20.140625" customWidth="1"/>
    <col min="6" max="7" width="20.140625" hidden="1" customWidth="1"/>
    <col min="8" max="8" width="20.140625" customWidth="1"/>
    <col min="9" max="10" width="20.140625" hidden="1" customWidth="1"/>
    <col min="11" max="11" width="20.140625" customWidth="1"/>
    <col min="12" max="13" width="20.140625" hidden="1" customWidth="1"/>
    <col min="14" max="14" width="1.7109375" customWidth="1"/>
    <col min="15" max="15" width="20.140625" customWidth="1"/>
    <col min="16" max="17" width="20.140625" hidden="1" customWidth="1"/>
    <col min="18" max="18" width="20.140625" customWidth="1"/>
    <col min="19" max="20" width="20.140625" hidden="1" customWidth="1"/>
    <col min="21" max="21" width="20.140625" customWidth="1"/>
    <col min="22" max="23" width="20.140625" hidden="1" customWidth="1"/>
    <col min="24" max="24" width="20.140625" customWidth="1"/>
    <col min="25" max="26" width="20.140625" hidden="1" customWidth="1"/>
    <col min="27" max="27" width="1.7109375" customWidth="1"/>
    <col min="28" max="28" width="20.140625" customWidth="1"/>
    <col min="29" max="29" width="14" hidden="1" customWidth="1"/>
    <col min="30" max="30" width="0" hidden="1" customWidth="1"/>
  </cols>
  <sheetData>
    <row r="1" spans="1:30" ht="30.75" customHeight="1" x14ac:dyDescent="0.25">
      <c r="A1" s="70"/>
      <c r="B1" s="396" t="s">
        <v>8</v>
      </c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</row>
    <row r="2" spans="1:30" ht="18" customHeight="1" x14ac:dyDescent="0.25">
      <c r="A2" s="74"/>
      <c r="B2" s="394" t="str">
        <f>MID(Indice!H2,1,100)</f>
        <v>CC: EIMI00412 
MONTAJE ELECTROMECÁNICO " PROYECTO NUEVAS PRENSAS DE LODOS"</v>
      </c>
      <c r="C2" s="394"/>
      <c r="D2" s="394"/>
      <c r="E2" s="394"/>
      <c r="F2" s="394"/>
      <c r="G2" s="394"/>
      <c r="H2" s="394"/>
      <c r="I2" s="394"/>
      <c r="J2" s="394"/>
      <c r="K2" s="394"/>
      <c r="L2" s="346"/>
      <c r="M2" s="346"/>
      <c r="N2" s="95"/>
      <c r="O2" s="95"/>
      <c r="P2" s="95"/>
      <c r="Q2" s="95"/>
      <c r="R2" s="95"/>
      <c r="S2" s="95"/>
      <c r="T2" s="95"/>
      <c r="U2" s="96"/>
      <c r="V2" s="96"/>
      <c r="W2" s="96"/>
      <c r="X2" s="395" t="str">
        <f>"Periodo : " &amp; TEXT(Indice!I12,"Mmmm yyyy")</f>
        <v>Periodo : diciembre 2025</v>
      </c>
      <c r="Y2" s="395"/>
      <c r="Z2" s="395"/>
      <c r="AA2" s="395"/>
      <c r="AB2" s="395"/>
    </row>
    <row r="3" spans="1:30" ht="9" customHeight="1" x14ac:dyDescent="0.25">
      <c r="A3" s="67"/>
      <c r="B3" s="67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spans="1:30" ht="26.25" x14ac:dyDescent="0.25">
      <c r="A4" s="75" t="s">
        <v>9</v>
      </c>
      <c r="B4" s="68" t="s">
        <v>10</v>
      </c>
      <c r="C4" s="41" t="s">
        <v>11</v>
      </c>
      <c r="D4" s="17"/>
      <c r="E4" s="40" t="s">
        <v>12</v>
      </c>
      <c r="F4" s="40" t="s">
        <v>2442</v>
      </c>
      <c r="G4" s="40" t="s">
        <v>2443</v>
      </c>
      <c r="H4" s="40" t="s">
        <v>13</v>
      </c>
      <c r="I4" s="40" t="s">
        <v>2442</v>
      </c>
      <c r="J4" s="40" t="s">
        <v>2443</v>
      </c>
      <c r="K4" s="40" t="s">
        <v>14</v>
      </c>
      <c r="L4" s="347" t="s">
        <v>2442</v>
      </c>
      <c r="M4" s="347" t="s">
        <v>2443</v>
      </c>
      <c r="N4" s="17"/>
      <c r="O4" s="40" t="s">
        <v>15</v>
      </c>
      <c r="P4" s="40" t="s">
        <v>2442</v>
      </c>
      <c r="Q4" s="40" t="s">
        <v>2443</v>
      </c>
      <c r="R4" s="40" t="s">
        <v>16</v>
      </c>
      <c r="S4" s="40" t="s">
        <v>2442</v>
      </c>
      <c r="T4" s="40" t="s">
        <v>2443</v>
      </c>
      <c r="U4" s="40" t="s">
        <v>17</v>
      </c>
      <c r="V4" s="40" t="s">
        <v>2442</v>
      </c>
      <c r="W4" s="40" t="s">
        <v>2443</v>
      </c>
      <c r="X4" s="40" t="s">
        <v>18</v>
      </c>
      <c r="Y4" s="347" t="s">
        <v>2442</v>
      </c>
      <c r="Z4" s="347" t="s">
        <v>2443</v>
      </c>
      <c r="AA4" s="17"/>
      <c r="AB4" s="40" t="s">
        <v>19</v>
      </c>
      <c r="AC4" s="347" t="s">
        <v>2442</v>
      </c>
      <c r="AD4" s="347" t="s">
        <v>2443</v>
      </c>
    </row>
    <row r="5" spans="1:30" ht="13.5" customHeight="1" x14ac:dyDescent="0.25">
      <c r="A5" s="70"/>
      <c r="B5" s="69" t="s">
        <v>20</v>
      </c>
      <c r="C5" s="78" t="s">
        <v>21</v>
      </c>
      <c r="D5" s="16"/>
      <c r="E5" s="77"/>
      <c r="F5" s="77"/>
      <c r="G5" s="77"/>
      <c r="H5" s="77"/>
      <c r="I5" s="77"/>
      <c r="J5" s="77"/>
      <c r="K5" s="77"/>
      <c r="L5" s="348"/>
      <c r="M5" s="348"/>
      <c r="N5" s="31"/>
      <c r="O5" s="77"/>
      <c r="P5" s="77"/>
      <c r="Q5" s="77"/>
      <c r="R5" s="77"/>
      <c r="S5" s="77"/>
      <c r="T5" s="77"/>
      <c r="U5" s="77"/>
      <c r="V5" s="77"/>
      <c r="W5" s="77"/>
      <c r="X5" s="77"/>
      <c r="Y5" s="348"/>
      <c r="Z5" s="348"/>
      <c r="AA5" s="31"/>
      <c r="AB5" s="77"/>
    </row>
    <row r="6" spans="1:30" ht="13.5" customHeight="1" x14ac:dyDescent="0.25">
      <c r="A6" s="70"/>
      <c r="B6" s="69" t="s">
        <v>22</v>
      </c>
      <c r="C6" s="21" t="s">
        <v>23</v>
      </c>
      <c r="D6" s="18"/>
      <c r="E6" s="22" t="str">
        <f>IF(ISBLANK(A6),"",     SUMIF(CATEGORIAS[[#All],[FORMATO
 GENERAL]],     A6,     CATEGORIAS[[#All],[PRESUPUESTO
(ORIGINAL)]]))</f>
        <v/>
      </c>
      <c r="F6" s="22"/>
      <c r="G6" s="22"/>
      <c r="H6" s="22" t="str">
        <f>IF(ISBLANK(A6),"",K6-E6)</f>
        <v/>
      </c>
      <c r="I6" s="22"/>
      <c r="J6" s="22"/>
      <c r="K6" s="22" t="str">
        <f>IF(ISBLANK(A6),"",SUMIF(CATEGORIAS[[#All],[FORMATO
 GENERAL]],     A6,       CATEGORIAS[[#All],[PRESUPUESTO
FINAL
PROYECTADO]]))</f>
        <v/>
      </c>
      <c r="L6" s="30"/>
      <c r="M6" s="30"/>
      <c r="N6" s="23"/>
      <c r="O6" s="22" t="str">
        <f>IF(ISBLANK(A6),"",R6-SUMIF(CATEGORIAS[[#All],[FORMATO
 GENERAL]],     A6,     CATEGORIAS[[#All],[COSTO REAL
ANTERIOR]]))</f>
        <v/>
      </c>
      <c r="P6" s="22"/>
      <c r="Q6" s="22"/>
      <c r="R6" s="22" t="str">
        <f>IF(ISBLANK(A6),"",SUMIF(CATEGORIAS[[#All],[FORMATO
 GENERAL]],     A6,     CATEGORIAS[[#All],[COSTO REAL]]))</f>
        <v/>
      </c>
      <c r="S6" s="22"/>
      <c r="T6" s="22"/>
      <c r="U6" s="22" t="str">
        <f>IF(ISBLANK(A6),"",SUMIF(CATEGORIAS[[#All],[FORMATO
 GENERAL]],     A6,     CATEGORIAS[[#All],[TOTAL PRODUCCION
ACTUAL]]))</f>
        <v/>
      </c>
      <c r="V6" s="22"/>
      <c r="W6" s="22"/>
      <c r="X6" s="22" t="str">
        <f>IF(ISBLANK(A6),"",SUMIF(CATEGORIAS[[#All],[FORMATO
 GENERAL]],     A6,     CATEGORIAS[[#All],[PROYECCION
TOTAL DE COSTO]]))</f>
        <v/>
      </c>
      <c r="Y6" s="30"/>
      <c r="Z6" s="30"/>
      <c r="AA6" s="23"/>
      <c r="AB6" s="22" t="str">
        <f>IF(ISBLANK(A6),"",TRUNC(K6-R6-X6,2))</f>
        <v/>
      </c>
    </row>
    <row r="7" spans="1:30" ht="13.5" customHeight="1" x14ac:dyDescent="0.25">
      <c r="A7" s="70" t="s">
        <v>24</v>
      </c>
      <c r="B7" s="69"/>
      <c r="C7" s="25" t="s">
        <v>25</v>
      </c>
      <c r="D7" s="18"/>
      <c r="E7" s="22">
        <f>IF(ISBLANK(A7),"",     SUMIF(CATEGORIAS[[#All],[FORMATO
 GENERAL]],     A7,     CATEGORIAS[[#All],[PRESUPUESTO
(ORIGINAL)]]))</f>
        <v>145972510.11940765</v>
      </c>
      <c r="F7" s="22">
        <v>145972510</v>
      </c>
      <c r="G7" s="22">
        <f>+E7-F7</f>
        <v>0.11940765380859375</v>
      </c>
      <c r="H7" s="22">
        <f>IF(ISBLANK(A7),"",K7-E7)</f>
        <v>14606631.888053447</v>
      </c>
      <c r="I7" s="22">
        <v>14606632</v>
      </c>
      <c r="J7" s="22">
        <f>+H7-I7</f>
        <v>-0.11194655299186707</v>
      </c>
      <c r="K7" s="22">
        <f>IF(ISBLANK(A7),"",SUMIF(CATEGORIAS[[#All],[FORMATO
 GENERAL]],     A7,       CATEGORIAS[[#All],[PRESUPUESTO
FINAL
PROYECTADO]]))</f>
        <v>160579142.0074611</v>
      </c>
      <c r="L7" s="30">
        <v>160579142</v>
      </c>
      <c r="M7" s="30">
        <f>+K7-L7</f>
        <v>7.4611008167266846E-3</v>
      </c>
      <c r="N7" s="23"/>
      <c r="O7" s="22">
        <f>IF(ISBLANK(A7),"",R7-SUMIF(CATEGORIAS[[#All],[FORMATO
 GENERAL]],     A7,     CATEGORIAS[[#All],[COSTO REAL
ANTERIOR]]))</f>
        <v>48030488.087633081</v>
      </c>
      <c r="P7" s="22">
        <v>48030488</v>
      </c>
      <c r="Q7" s="22">
        <f>+O7-P7</f>
        <v>8.7633080780506134E-2</v>
      </c>
      <c r="R7" s="22">
        <f>IF(ISBLANK(A7),"",SUMIF(CATEGORIAS[[#All],[FORMATO
 GENERAL]],     A7,     CATEGORIAS[[#All],[COSTO REAL]]))</f>
        <v>107831577.92547092</v>
      </c>
      <c r="S7" s="22">
        <v>107831578</v>
      </c>
      <c r="T7" s="22">
        <f>+R7-S7</f>
        <v>-7.4529081583023071E-2</v>
      </c>
      <c r="U7" s="22">
        <f>IF(ISBLANK(A7),"",SUMIF(CATEGORIAS[[#All],[FORMATO
 GENERAL]],     A7,     CATEGORIAS[[#All],[TOTAL PRODUCCION
ACTUAL]]))</f>
        <v>116629607.26106611</v>
      </c>
      <c r="V7" s="22">
        <v>116629607</v>
      </c>
      <c r="W7" s="22">
        <f>+U7-V7</f>
        <v>0.26106610894203186</v>
      </c>
      <c r="X7" s="22">
        <f>IF(ISBLANK(A7),"",SUMIF(CATEGORIAS[[#All],[FORMATO
 GENERAL]],     A7,     CATEGORIAS[[#All],[PROYECCION
TOTAL DE COSTO]]))</f>
        <v>52747564.081990182</v>
      </c>
      <c r="Y7" s="30">
        <v>52747564</v>
      </c>
      <c r="Z7" s="30">
        <f>+X7-Y7</f>
        <v>8.1990182399749756E-2</v>
      </c>
      <c r="AA7" s="23"/>
      <c r="AB7" s="22">
        <f t="shared" ref="AB7:AB55" si="0">IF(ISBLANK(A7),"",TRUNC(K7-R7-X7,2))</f>
        <v>0</v>
      </c>
      <c r="AD7" s="244">
        <f>+AB7-AC7</f>
        <v>0</v>
      </c>
    </row>
    <row r="8" spans="1:30" ht="13.5" customHeight="1" x14ac:dyDescent="0.25">
      <c r="A8" s="70" t="s">
        <v>26</v>
      </c>
      <c r="B8" s="69"/>
      <c r="C8" s="25" t="s">
        <v>27</v>
      </c>
      <c r="D8" s="18"/>
      <c r="E8" s="22">
        <f>IF(ISBLANK(A8),"",     SUMIF(CATEGORIAS[[#All],[FORMATO
 GENERAL]],     A8,     CATEGORIAS[[#All],[PRESUPUESTO
(ORIGINAL)]]))</f>
        <v>64602231.871699996</v>
      </c>
      <c r="F8" s="22">
        <v>64602232</v>
      </c>
      <c r="G8" s="22">
        <f t="shared" ref="G8:G71" si="1">+E8-F8</f>
        <v>-0.12830000370740891</v>
      </c>
      <c r="H8" s="22">
        <f t="shared" ref="H8:H55" si="2">IF(ISBLANK(A8),"",K8-E8)</f>
        <v>15412760.050430097</v>
      </c>
      <c r="I8" s="22">
        <v>15412760</v>
      </c>
      <c r="J8" s="22">
        <f t="shared" ref="J8:J71" si="3">+H8-I8</f>
        <v>5.0430096685886383E-2</v>
      </c>
      <c r="K8" s="22">
        <f>IF(ISBLANK(A8),"",SUMIF(CATEGORIAS[[#All],[FORMATO
 GENERAL]],     A8,       CATEGORIAS[[#All],[PRESUPUESTO
FINAL
PROYECTADO]]))</f>
        <v>80014991.922130093</v>
      </c>
      <c r="L8" s="30">
        <v>80014992</v>
      </c>
      <c r="M8" s="30">
        <f t="shared" ref="M8:M71" si="4">+K8-L8</f>
        <v>-7.7869907021522522E-2</v>
      </c>
      <c r="N8" s="23"/>
      <c r="O8" s="22">
        <f>IF(ISBLANK(A8),"",R8-SUMIF(CATEGORIAS[[#All],[FORMATO
 GENERAL]],     A8,     CATEGORIAS[[#All],[COSTO REAL
ANTERIOR]]))</f>
        <v>6141908</v>
      </c>
      <c r="P8" s="22">
        <v>6141908</v>
      </c>
      <c r="Q8" s="22">
        <f t="shared" ref="Q8:Q71" si="5">+O8-P8</f>
        <v>0</v>
      </c>
      <c r="R8" s="22">
        <f>IF(ISBLANK(A8),"",SUMIF(CATEGORIAS[[#All],[FORMATO
 GENERAL]],     A8,     CATEGORIAS[[#All],[COSTO REAL]]))</f>
        <v>21679270</v>
      </c>
      <c r="S8" s="22">
        <v>21679270</v>
      </c>
      <c r="T8" s="22">
        <f t="shared" ref="T8:T71" si="6">+R8-S8</f>
        <v>0</v>
      </c>
      <c r="U8" s="22">
        <f>IF(ISBLANK(A8),"",SUMIF(CATEGORIAS[[#All],[FORMATO
 GENERAL]],     A8,     CATEGORIAS[[#All],[TOTAL PRODUCCION
ACTUAL]]))</f>
        <v>26331435.449200004</v>
      </c>
      <c r="V8" s="22">
        <v>26331435</v>
      </c>
      <c r="W8" s="22">
        <f t="shared" ref="W8:W71" si="7">+U8-V8</f>
        <v>0.44920000433921814</v>
      </c>
      <c r="X8" s="22">
        <f>IF(ISBLANK(A8),"",SUMIF(CATEGORIAS[[#All],[FORMATO
 GENERAL]],     A8,     CATEGORIAS[[#All],[PROYECCION
TOTAL DE COSTO]]))</f>
        <v>58335714.922130093</v>
      </c>
      <c r="Y8" s="30">
        <v>58335715</v>
      </c>
      <c r="Z8" s="30">
        <f t="shared" ref="Z8:Z71" si="8">+X8-Y8</f>
        <v>-7.7869907021522522E-2</v>
      </c>
      <c r="AA8" s="23"/>
      <c r="AB8" s="22">
        <f t="shared" si="0"/>
        <v>7</v>
      </c>
      <c r="AD8" s="244">
        <f t="shared" ref="AD8:AD71" si="9">+AB8-AC8</f>
        <v>7</v>
      </c>
    </row>
    <row r="9" spans="1:30" ht="13.5" customHeight="1" x14ac:dyDescent="0.25">
      <c r="A9" s="70"/>
      <c r="B9" s="69" t="s">
        <v>28</v>
      </c>
      <c r="C9" s="21" t="s">
        <v>29</v>
      </c>
      <c r="D9" s="18"/>
      <c r="E9" s="22" t="str">
        <f>IF(ISBLANK(A9),"",     SUMIF(CATEGORIAS[[#All],[FORMATO
 GENERAL]],     A9,     CATEGORIAS[[#All],[PRESUPUESTO
(ORIGINAL)]]))</f>
        <v/>
      </c>
      <c r="F9" s="22"/>
      <c r="G9" s="22" t="e">
        <f t="shared" si="1"/>
        <v>#VALUE!</v>
      </c>
      <c r="H9" s="22" t="str">
        <f t="shared" si="2"/>
        <v/>
      </c>
      <c r="I9" s="22"/>
      <c r="J9" s="22" t="e">
        <f t="shared" si="3"/>
        <v>#VALUE!</v>
      </c>
      <c r="K9" s="22" t="str">
        <f>IF(ISBLANK(A9),"",SUMIF(CATEGORIAS[[#All],[FORMATO
 GENERAL]],     A9,       CATEGORIAS[[#All],[PRESUPUESTO
FINAL
PROYECTADO]]))</f>
        <v/>
      </c>
      <c r="L9" s="30"/>
      <c r="M9" s="30" t="e">
        <f t="shared" si="4"/>
        <v>#VALUE!</v>
      </c>
      <c r="N9" s="23"/>
      <c r="O9" s="22" t="str">
        <f>IF(ISBLANK(A9),"",R9-SUMIF(CATEGORIAS[[#All],[FORMATO
 GENERAL]],     A9,     CATEGORIAS[[#All],[COSTO REAL
ANTERIOR]]))</f>
        <v/>
      </c>
      <c r="P9" s="22"/>
      <c r="Q9" s="22" t="e">
        <f t="shared" si="5"/>
        <v>#VALUE!</v>
      </c>
      <c r="R9" s="22" t="str">
        <f>IF(ISBLANK(A9),"",SUMIF(CATEGORIAS[[#All],[FORMATO
 GENERAL]],     A9,     CATEGORIAS[[#All],[COSTO REAL]]))</f>
        <v/>
      </c>
      <c r="S9" s="22"/>
      <c r="T9" s="22" t="e">
        <f t="shared" si="6"/>
        <v>#VALUE!</v>
      </c>
      <c r="U9" s="22" t="str">
        <f>IF(ISBLANK(A9),"",SUMIF(CATEGORIAS[[#All],[FORMATO
 GENERAL]],     A9,     CATEGORIAS[[#All],[TOTAL PRODUCCION
ACTUAL]]))</f>
        <v/>
      </c>
      <c r="V9" s="22"/>
      <c r="W9" s="22" t="e">
        <f t="shared" si="7"/>
        <v>#VALUE!</v>
      </c>
      <c r="X9" s="22" t="str">
        <f>IF(ISBLANK(A9),"",SUMIF(CATEGORIAS[[#All],[FORMATO
 GENERAL]],     A9,     CATEGORIAS[[#All],[PROYECCION
TOTAL DE COSTO]]))</f>
        <v/>
      </c>
      <c r="Y9" s="30"/>
      <c r="Z9" s="30" t="e">
        <f t="shared" si="8"/>
        <v>#VALUE!</v>
      </c>
      <c r="AA9" s="23"/>
      <c r="AB9" s="22" t="str">
        <f t="shared" si="0"/>
        <v/>
      </c>
      <c r="AD9" s="244" t="e">
        <f t="shared" si="9"/>
        <v>#VALUE!</v>
      </c>
    </row>
    <row r="10" spans="1:30" ht="13.5" customHeight="1" x14ac:dyDescent="0.25">
      <c r="A10" s="70" t="s">
        <v>30</v>
      </c>
      <c r="B10" s="69"/>
      <c r="C10" s="25" t="s">
        <v>25</v>
      </c>
      <c r="D10" s="18"/>
      <c r="E10" s="22">
        <f>IF(ISBLANK(A10),"",     SUMIF(CATEGORIAS[[#All],[FORMATO
 GENERAL]],     A10,     CATEGORIAS[[#All],[PRESUPUESTO
(ORIGINAL)]]))</f>
        <v>179875614.88135654</v>
      </c>
      <c r="F10" s="22">
        <v>179875615</v>
      </c>
      <c r="G10" s="22">
        <f t="shared" si="1"/>
        <v>-0.11864346265792847</v>
      </c>
      <c r="H10" s="22">
        <f t="shared" si="2"/>
        <v>612034.09809681773</v>
      </c>
      <c r="I10" s="22">
        <v>612034</v>
      </c>
      <c r="J10" s="22">
        <f t="shared" si="3"/>
        <v>9.80968177318573E-2</v>
      </c>
      <c r="K10" s="22">
        <f>IF(ISBLANK(A10),"",SUMIF(CATEGORIAS[[#All],[FORMATO
 GENERAL]],     A10,       CATEGORIAS[[#All],[PRESUPUESTO
FINAL
PROYECTADO]]))</f>
        <v>180487648.97945336</v>
      </c>
      <c r="L10" s="30">
        <v>180487649</v>
      </c>
      <c r="M10" s="30">
        <f t="shared" si="4"/>
        <v>-2.0546644926071167E-2</v>
      </c>
      <c r="N10" s="23"/>
      <c r="O10" s="22">
        <f>IF(ISBLANK(A10),"",R10-SUMIF(CATEGORIAS[[#All],[FORMATO
 GENERAL]],     A10,     CATEGORIAS[[#All],[COSTO REAL
ANTERIOR]]))</f>
        <v>61673899.136773124</v>
      </c>
      <c r="P10" s="22">
        <v>61673899</v>
      </c>
      <c r="Q10" s="22">
        <f t="shared" si="5"/>
        <v>0.13677312433719635</v>
      </c>
      <c r="R10" s="22">
        <f>IF(ISBLANK(A10),"",SUMIF(CATEGORIAS[[#All],[FORMATO
 GENERAL]],     A10,     CATEGORIAS[[#All],[COSTO REAL]]))</f>
        <v>151358428.37592137</v>
      </c>
      <c r="S10" s="22">
        <v>151358428</v>
      </c>
      <c r="T10" s="22">
        <f t="shared" si="6"/>
        <v>0.37592136859893799</v>
      </c>
      <c r="U10" s="22">
        <f>IF(ISBLANK(A10),"",SUMIF(CATEGORIAS[[#All],[FORMATO
 GENERAL]],     A10,     CATEGORIAS[[#All],[TOTAL PRODUCCION
ACTUAL]]))</f>
        <v>70290747.356451824</v>
      </c>
      <c r="V10" s="22">
        <v>70290747</v>
      </c>
      <c r="W10" s="22">
        <f t="shared" si="7"/>
        <v>0.35645182430744171</v>
      </c>
      <c r="X10" s="22">
        <f>IF(ISBLANK(A10),"",SUMIF(CATEGORIAS[[#All],[FORMATO
 GENERAL]],     A10,     CATEGORIAS[[#All],[PROYECCION
TOTAL DE COSTO]]))</f>
        <v>29129220.603531986</v>
      </c>
      <c r="Y10" s="30">
        <v>29129221</v>
      </c>
      <c r="Z10" s="30">
        <f t="shared" si="8"/>
        <v>-0.39646801352500916</v>
      </c>
      <c r="AA10" s="23"/>
      <c r="AB10" s="22">
        <f t="shared" si="0"/>
        <v>0</v>
      </c>
      <c r="AD10" s="244">
        <f t="shared" si="9"/>
        <v>0</v>
      </c>
    </row>
    <row r="11" spans="1:30" ht="13.5" customHeight="1" x14ac:dyDescent="0.25">
      <c r="A11" s="70" t="s">
        <v>31</v>
      </c>
      <c r="B11" s="69"/>
      <c r="C11" s="25" t="s">
        <v>32</v>
      </c>
      <c r="D11" s="18"/>
      <c r="E11" s="22">
        <f>IF(ISBLANK(A11),"",     SUMIF(CATEGORIAS[[#All],[FORMATO
 GENERAL]],     A11,     CATEGORIAS[[#All],[PRESUPUESTO
(ORIGINAL)]]))</f>
        <v>53940890.952500001</v>
      </c>
      <c r="F11" s="22">
        <v>53940891</v>
      </c>
      <c r="G11" s="22">
        <f t="shared" si="1"/>
        <v>-4.7499999403953552E-2</v>
      </c>
      <c r="H11" s="22">
        <f t="shared" si="2"/>
        <v>31204.185521632433</v>
      </c>
      <c r="I11" s="22">
        <v>31204</v>
      </c>
      <c r="J11" s="22">
        <f t="shared" si="3"/>
        <v>0.18552163243293762</v>
      </c>
      <c r="K11" s="22">
        <f>IF(ISBLANK(A11),"",SUMIF(CATEGORIAS[[#All],[FORMATO
 GENERAL]],     A11,       CATEGORIAS[[#All],[PRESUPUESTO
FINAL
PROYECTADO]]))</f>
        <v>53972095.138021633</v>
      </c>
      <c r="L11" s="30">
        <v>53972095</v>
      </c>
      <c r="M11" s="30">
        <f t="shared" si="4"/>
        <v>0.13802163302898407</v>
      </c>
      <c r="N11" s="23"/>
      <c r="O11" s="22">
        <f>IF(ISBLANK(A11),"",R11-SUMIF(CATEGORIAS[[#All],[FORMATO
 GENERAL]],     A11,     CATEGORIAS[[#All],[COSTO REAL
ANTERIOR]]))</f>
        <v>1917454</v>
      </c>
      <c r="P11" s="22">
        <v>1917454</v>
      </c>
      <c r="Q11" s="22">
        <f t="shared" si="5"/>
        <v>0</v>
      </c>
      <c r="R11" s="22">
        <f>IF(ISBLANK(A11),"",SUMIF(CATEGORIAS[[#All],[FORMATO
 GENERAL]],     A11,     CATEGORIAS[[#All],[COSTO REAL]]))</f>
        <v>2601319</v>
      </c>
      <c r="S11" s="22">
        <v>2601319</v>
      </c>
      <c r="T11" s="22">
        <f t="shared" si="6"/>
        <v>0</v>
      </c>
      <c r="U11" s="22">
        <f>IF(ISBLANK(A11),"",SUMIF(CATEGORIAS[[#All],[FORMATO
 GENERAL]],     A11,     CATEGORIAS[[#All],[TOTAL PRODUCCION
ACTUAL]]))</f>
        <v>23564052.820621632</v>
      </c>
      <c r="V11" s="22">
        <v>23564053</v>
      </c>
      <c r="W11" s="22">
        <f t="shared" si="7"/>
        <v>-0.17937836796045303</v>
      </c>
      <c r="X11" s="22">
        <f>IF(ISBLANK(A11),"",SUMIF(CATEGORIAS[[#All],[FORMATO
 GENERAL]],     A11,     CATEGORIAS[[#All],[PROYECCION
TOTAL DE COSTO]]))</f>
        <v>51370776.138021633</v>
      </c>
      <c r="Y11" s="30">
        <v>51370776</v>
      </c>
      <c r="Z11" s="30">
        <f t="shared" si="8"/>
        <v>0.13802163302898407</v>
      </c>
      <c r="AA11" s="23"/>
      <c r="AB11" s="22">
        <f t="shared" si="0"/>
        <v>0</v>
      </c>
      <c r="AD11" s="244">
        <f t="shared" si="9"/>
        <v>0</v>
      </c>
    </row>
    <row r="12" spans="1:30" ht="13.5" customHeight="1" x14ac:dyDescent="0.25">
      <c r="A12" s="70"/>
      <c r="B12" s="69" t="s">
        <v>33</v>
      </c>
      <c r="C12" s="21" t="s">
        <v>34</v>
      </c>
      <c r="D12" s="18"/>
      <c r="E12" s="22" t="str">
        <f>IF(ISBLANK(A12),"",     SUMIF(CATEGORIAS[[#All],[FORMATO
 GENERAL]],     A12,     CATEGORIAS[[#All],[PRESUPUESTO
(ORIGINAL)]]))</f>
        <v/>
      </c>
      <c r="F12" s="22"/>
      <c r="G12" s="22" t="e">
        <f t="shared" si="1"/>
        <v>#VALUE!</v>
      </c>
      <c r="H12" s="22" t="str">
        <f t="shared" si="2"/>
        <v/>
      </c>
      <c r="I12" s="22"/>
      <c r="J12" s="22" t="e">
        <f t="shared" si="3"/>
        <v>#VALUE!</v>
      </c>
      <c r="K12" s="22" t="str">
        <f>IF(ISBLANK(A12),"",SUMIF(CATEGORIAS[[#All],[FORMATO
 GENERAL]],     A12,       CATEGORIAS[[#All],[PRESUPUESTO
FINAL
PROYECTADO]]))</f>
        <v/>
      </c>
      <c r="L12" s="30"/>
      <c r="M12" s="30" t="e">
        <f t="shared" si="4"/>
        <v>#VALUE!</v>
      </c>
      <c r="N12" s="23"/>
      <c r="O12" s="22" t="str">
        <f>IF(ISBLANK(A12),"",R12-SUMIF(CATEGORIAS[[#All],[FORMATO
 GENERAL]],     A12,     CATEGORIAS[[#All],[COSTO REAL
ANTERIOR]]))</f>
        <v/>
      </c>
      <c r="P12" s="22"/>
      <c r="Q12" s="22" t="e">
        <f t="shared" si="5"/>
        <v>#VALUE!</v>
      </c>
      <c r="R12" s="22" t="str">
        <f>IF(ISBLANK(A12),"",SUMIF(CATEGORIAS[[#All],[FORMATO
 GENERAL]],     A12,     CATEGORIAS[[#All],[COSTO REAL]]))</f>
        <v/>
      </c>
      <c r="S12" s="22"/>
      <c r="T12" s="22" t="e">
        <f t="shared" si="6"/>
        <v>#VALUE!</v>
      </c>
      <c r="U12" s="22" t="str">
        <f>IF(ISBLANK(A12),"",SUMIF(CATEGORIAS[[#All],[FORMATO
 GENERAL]],     A12,     CATEGORIAS[[#All],[TOTAL PRODUCCION
ACTUAL]]))</f>
        <v/>
      </c>
      <c r="V12" s="22"/>
      <c r="W12" s="22" t="e">
        <f t="shared" si="7"/>
        <v>#VALUE!</v>
      </c>
      <c r="X12" s="22" t="str">
        <f>IF(ISBLANK(A12),"",SUMIF(CATEGORIAS[[#All],[FORMATO
 GENERAL]],     A12,     CATEGORIAS[[#All],[PROYECCION
TOTAL DE COSTO]]))</f>
        <v/>
      </c>
      <c r="Y12" s="30"/>
      <c r="Z12" s="30" t="e">
        <f t="shared" si="8"/>
        <v>#VALUE!</v>
      </c>
      <c r="AA12" s="23"/>
      <c r="AB12" s="22" t="str">
        <f t="shared" si="0"/>
        <v/>
      </c>
      <c r="AD12" s="244" t="e">
        <f t="shared" si="9"/>
        <v>#VALUE!</v>
      </c>
    </row>
    <row r="13" spans="1:30" ht="13.5" customHeight="1" x14ac:dyDescent="0.25">
      <c r="A13" s="70" t="s">
        <v>35</v>
      </c>
      <c r="B13" s="69"/>
      <c r="C13" s="25" t="s">
        <v>25</v>
      </c>
      <c r="D13" s="18"/>
      <c r="E13" s="22">
        <f>IF(ISBLANK(A13),"",     SUMIF(CATEGORIAS[[#All],[FORMATO
 GENERAL]],     A13,     CATEGORIAS[[#All],[PRESUPUESTO
(ORIGINAL)]]))</f>
        <v>133250804.19788337</v>
      </c>
      <c r="F13" s="22">
        <v>133250804</v>
      </c>
      <c r="G13" s="22">
        <f t="shared" si="1"/>
        <v>0.19788336753845215</v>
      </c>
      <c r="H13" s="22">
        <f t="shared" si="2"/>
        <v>8661404.9342609644</v>
      </c>
      <c r="I13" s="22">
        <v>8661405</v>
      </c>
      <c r="J13" s="22">
        <f t="shared" si="3"/>
        <v>-6.5739035606384277E-2</v>
      </c>
      <c r="K13" s="22">
        <f>IF(ISBLANK(A13),"",SUMIF(CATEGORIAS[[#All],[FORMATO
 GENERAL]],     A13,       CATEGORIAS[[#All],[PRESUPUESTO
FINAL
PROYECTADO]]))</f>
        <v>141912209.13214433</v>
      </c>
      <c r="L13" s="30">
        <v>141912209</v>
      </c>
      <c r="M13" s="30">
        <f t="shared" si="4"/>
        <v>0.13214433193206787</v>
      </c>
      <c r="N13" s="23"/>
      <c r="O13" s="22">
        <f>IF(ISBLANK(A13),"",R13-SUMIF(CATEGORIAS[[#All],[FORMATO
 GENERAL]],     A13,     CATEGORIAS[[#All],[COSTO REAL
ANTERIOR]]))</f>
        <v>47992217.746928751</v>
      </c>
      <c r="P13" s="22">
        <v>47992218</v>
      </c>
      <c r="Q13" s="22">
        <f t="shared" si="5"/>
        <v>-0.25307124853134155</v>
      </c>
      <c r="R13" s="22">
        <f>IF(ISBLANK(A13),"",SUMIF(CATEGORIAS[[#All],[FORMATO
 GENERAL]],     A13,     CATEGORIAS[[#All],[COSTO REAL]]))</f>
        <v>148436878.86732188</v>
      </c>
      <c r="S13" s="22">
        <v>148436879</v>
      </c>
      <c r="T13" s="22">
        <f t="shared" si="6"/>
        <v>-0.13267812132835388</v>
      </c>
      <c r="U13" s="22">
        <f>IF(ISBLANK(A13),"",SUMIF(CATEGORIAS[[#All],[FORMATO
 GENERAL]],     A13,     CATEGORIAS[[#All],[TOTAL PRODUCCION
ACTUAL]]))</f>
        <v>57846586.577987425</v>
      </c>
      <c r="V13" s="22">
        <v>57846587</v>
      </c>
      <c r="W13" s="22">
        <f t="shared" si="7"/>
        <v>-0.4220125749707222</v>
      </c>
      <c r="X13" s="22">
        <f>IF(ISBLANK(A13),"",SUMIF(CATEGORIAS[[#All],[FORMATO
 GENERAL]],     A13,     CATEGORIAS[[#All],[PROYECCION
TOTAL DE COSTO]]))</f>
        <v>-6524669.7351775467</v>
      </c>
      <c r="Y13" s="30">
        <v>-6524670</v>
      </c>
      <c r="Z13" s="30">
        <f t="shared" si="8"/>
        <v>0.26482245326042175</v>
      </c>
      <c r="AA13" s="23"/>
      <c r="AB13" s="22">
        <f t="shared" si="0"/>
        <v>0</v>
      </c>
      <c r="AD13" s="244">
        <f t="shared" si="9"/>
        <v>0</v>
      </c>
    </row>
    <row r="14" spans="1:30" ht="13.5" customHeight="1" x14ac:dyDescent="0.25">
      <c r="A14" s="70" t="s">
        <v>36</v>
      </c>
      <c r="B14" s="69"/>
      <c r="C14" s="25" t="s">
        <v>37</v>
      </c>
      <c r="D14" s="18"/>
      <c r="E14" s="22">
        <f>IF(ISBLANK(A14),"",     SUMIF(CATEGORIAS[[#All],[FORMATO
 GENERAL]],     A14,     CATEGORIAS[[#All],[PRESUPUESTO
(ORIGINAL)]]))</f>
        <v>65364960.930500001</v>
      </c>
      <c r="F14" s="22">
        <v>65364961</v>
      </c>
      <c r="G14" s="22">
        <f t="shared" si="1"/>
        <v>-6.9499999284744263E-2</v>
      </c>
      <c r="H14" s="22">
        <f t="shared" si="2"/>
        <v>2398036.9303763509</v>
      </c>
      <c r="I14" s="22">
        <v>2398037</v>
      </c>
      <c r="J14" s="22">
        <f t="shared" si="3"/>
        <v>-6.9623649120330811E-2</v>
      </c>
      <c r="K14" s="22">
        <f>IF(ISBLANK(A14),"",SUMIF(CATEGORIAS[[#All],[FORMATO
 GENERAL]],     A14,       CATEGORIAS[[#All],[PRESUPUESTO
FINAL
PROYECTADO]]))</f>
        <v>67762997.860876352</v>
      </c>
      <c r="L14" s="30">
        <v>67762998</v>
      </c>
      <c r="M14" s="30">
        <f t="shared" si="4"/>
        <v>-0.13912364840507507</v>
      </c>
      <c r="N14" s="23"/>
      <c r="O14" s="22">
        <f>IF(ISBLANK(A14),"",R14-SUMIF(CATEGORIAS[[#All],[FORMATO
 GENERAL]],     A14,     CATEGORIAS[[#All],[COSTO REAL
ANTERIOR]]))</f>
        <v>6395578</v>
      </c>
      <c r="P14" s="22">
        <v>6395578</v>
      </c>
      <c r="Q14" s="22">
        <f t="shared" si="5"/>
        <v>0</v>
      </c>
      <c r="R14" s="22">
        <f>IF(ISBLANK(A14),"",SUMIF(CATEGORIAS[[#All],[FORMATO
 GENERAL]],     A14,     CATEGORIAS[[#All],[COSTO REAL]]))</f>
        <v>15218949</v>
      </c>
      <c r="S14" s="22">
        <v>15218949</v>
      </c>
      <c r="T14" s="22">
        <f t="shared" si="6"/>
        <v>0</v>
      </c>
      <c r="U14" s="22">
        <f>IF(ISBLANK(A14),"",SUMIF(CATEGORIAS[[#All],[FORMATO
 GENERAL]],     A14,     CATEGORIAS[[#All],[TOTAL PRODUCCION
ACTUAL]]))</f>
        <v>21505782.406726345</v>
      </c>
      <c r="V14" s="22">
        <v>21505782</v>
      </c>
      <c r="W14" s="22">
        <f t="shared" si="7"/>
        <v>0.40672634541988373</v>
      </c>
      <c r="X14" s="22">
        <f>IF(ISBLANK(A14),"",SUMIF(CATEGORIAS[[#All],[FORMATO
 GENERAL]],     A14,     CATEGORIAS[[#All],[PROYECCION
TOTAL DE COSTO]]))</f>
        <v>52544048.860876352</v>
      </c>
      <c r="Y14" s="30">
        <v>52544049</v>
      </c>
      <c r="Z14" s="30">
        <f t="shared" si="8"/>
        <v>-0.13912364840507507</v>
      </c>
      <c r="AA14" s="23"/>
      <c r="AB14" s="22">
        <f t="shared" si="0"/>
        <v>0</v>
      </c>
      <c r="AD14" s="244">
        <f t="shared" si="9"/>
        <v>0</v>
      </c>
    </row>
    <row r="15" spans="1:30" ht="13.5" customHeight="1" x14ac:dyDescent="0.25">
      <c r="A15" s="70"/>
      <c r="B15" s="69" t="s">
        <v>38</v>
      </c>
      <c r="C15" s="21" t="s">
        <v>39</v>
      </c>
      <c r="D15" s="18"/>
      <c r="E15" s="22" t="str">
        <f>IF(ISBLANK(A15),"",     SUMIF(CATEGORIAS[[#All],[FORMATO
 GENERAL]],     A15,     CATEGORIAS[[#All],[PRESUPUESTO
(ORIGINAL)]]))</f>
        <v/>
      </c>
      <c r="F15" s="22"/>
      <c r="G15" s="22" t="e">
        <f t="shared" si="1"/>
        <v>#VALUE!</v>
      </c>
      <c r="H15" s="22" t="str">
        <f t="shared" si="2"/>
        <v/>
      </c>
      <c r="I15" s="22"/>
      <c r="J15" s="22" t="e">
        <f t="shared" si="3"/>
        <v>#VALUE!</v>
      </c>
      <c r="K15" s="22" t="str">
        <f>IF(ISBLANK(A15),"",SUMIF(CATEGORIAS[[#All],[FORMATO
 GENERAL]],     A15,       CATEGORIAS[[#All],[PRESUPUESTO
FINAL
PROYECTADO]]))</f>
        <v/>
      </c>
      <c r="L15" s="30"/>
      <c r="M15" s="30" t="e">
        <f t="shared" si="4"/>
        <v>#VALUE!</v>
      </c>
      <c r="N15" s="23"/>
      <c r="O15" s="22" t="str">
        <f>IF(ISBLANK(A15),"",R15-SUMIF(CATEGORIAS[[#All],[FORMATO
 GENERAL]],     A15,     CATEGORIAS[[#All],[COSTO REAL
ANTERIOR]]))</f>
        <v/>
      </c>
      <c r="P15" s="22"/>
      <c r="Q15" s="22" t="e">
        <f t="shared" si="5"/>
        <v>#VALUE!</v>
      </c>
      <c r="R15" s="22" t="str">
        <f>IF(ISBLANK(A15),"",SUMIF(CATEGORIAS[[#All],[FORMATO
 GENERAL]],     A15,     CATEGORIAS[[#All],[COSTO REAL]]))</f>
        <v/>
      </c>
      <c r="S15" s="22"/>
      <c r="T15" s="22" t="e">
        <f t="shared" si="6"/>
        <v>#VALUE!</v>
      </c>
      <c r="U15" s="22" t="str">
        <f>IF(ISBLANK(A15),"",SUMIF(CATEGORIAS[[#All],[FORMATO
 GENERAL]],     A15,     CATEGORIAS[[#All],[TOTAL PRODUCCION
ACTUAL]]))</f>
        <v/>
      </c>
      <c r="V15" s="22"/>
      <c r="W15" s="22" t="e">
        <f t="shared" si="7"/>
        <v>#VALUE!</v>
      </c>
      <c r="X15" s="22" t="str">
        <f>IF(ISBLANK(A15),"",SUMIF(CATEGORIAS[[#All],[FORMATO
 GENERAL]],     A15,     CATEGORIAS[[#All],[PROYECCION
TOTAL DE COSTO]]))</f>
        <v/>
      </c>
      <c r="Y15" s="30"/>
      <c r="Z15" s="30" t="e">
        <f t="shared" si="8"/>
        <v>#VALUE!</v>
      </c>
      <c r="AA15" s="23"/>
      <c r="AB15" s="22" t="str">
        <f t="shared" si="0"/>
        <v/>
      </c>
      <c r="AD15" s="244" t="e">
        <f t="shared" si="9"/>
        <v>#VALUE!</v>
      </c>
    </row>
    <row r="16" spans="1:30" ht="13.5" customHeight="1" x14ac:dyDescent="0.25">
      <c r="A16" s="70" t="s">
        <v>40</v>
      </c>
      <c r="B16" s="69"/>
      <c r="C16" s="25" t="s">
        <v>25</v>
      </c>
      <c r="D16" s="18"/>
      <c r="E16" s="22">
        <f>IF(ISBLANK(A16),"",     SUMIF(CATEGORIAS[[#All],[FORMATO
 GENERAL]],     A16,     CATEGORIAS[[#All],[PRESUPUESTO
(ORIGINAL)]]))</f>
        <v>473970382.63622206</v>
      </c>
      <c r="F16" s="22">
        <v>473970383</v>
      </c>
      <c r="G16" s="22">
        <f t="shared" si="1"/>
        <v>-0.36377793550491333</v>
      </c>
      <c r="H16" s="22">
        <f t="shared" si="2"/>
        <v>17687642.159257472</v>
      </c>
      <c r="I16" s="22">
        <v>17687642</v>
      </c>
      <c r="J16" s="22">
        <f t="shared" si="3"/>
        <v>0.15925747156143188</v>
      </c>
      <c r="K16" s="22">
        <f>IF(ISBLANK(A16),"",SUMIF(CATEGORIAS[[#All],[FORMATO
 GENERAL]],     A16,       CATEGORIAS[[#All],[PRESUPUESTO
FINAL
PROYECTADO]]))</f>
        <v>491658024.79547954</v>
      </c>
      <c r="L16" s="30">
        <v>491658025</v>
      </c>
      <c r="M16" s="30">
        <f t="shared" si="4"/>
        <v>-0.20452046394348145</v>
      </c>
      <c r="N16" s="23"/>
      <c r="O16" s="22">
        <f>IF(ISBLANK(A16),"",R16-SUMIF(CATEGORIAS[[#All],[FORMATO
 GENERAL]],     A16,     CATEGORIAS[[#All],[COSTO REAL
ANTERIOR]]))</f>
        <v>97545747.199836195</v>
      </c>
      <c r="P16" s="22">
        <v>97545748</v>
      </c>
      <c r="Q16" s="22">
        <f t="shared" si="5"/>
        <v>-0.80016380548477173</v>
      </c>
      <c r="R16" s="22">
        <f>IF(ISBLANK(A16),"",SUMIF(CATEGORIAS[[#All],[FORMATO
 GENERAL]],     A16,     CATEGORIAS[[#All],[COSTO REAL]]))</f>
        <v>244105285.60933661</v>
      </c>
      <c r="S16" s="22">
        <v>244105286</v>
      </c>
      <c r="T16" s="22">
        <f t="shared" si="6"/>
        <v>-0.39066338539123535</v>
      </c>
      <c r="U16" s="22">
        <f>IF(ISBLANK(A16),"",SUMIF(CATEGORIAS[[#All],[FORMATO
 GENERAL]],     A16,     CATEGORIAS[[#All],[TOTAL PRODUCCION
ACTUAL]]))</f>
        <v>200894249.97315761</v>
      </c>
      <c r="V16" s="22">
        <v>200894250</v>
      </c>
      <c r="W16" s="22">
        <f t="shared" si="7"/>
        <v>-2.6842385530471802E-2</v>
      </c>
      <c r="X16" s="22">
        <f>IF(ISBLANK(A16),"",SUMIF(CATEGORIAS[[#All],[FORMATO
 GENERAL]],     A16,     CATEGORIAS[[#All],[PROYECCION
TOTAL DE COSTO]]))</f>
        <v>247552739.18614292</v>
      </c>
      <c r="Y16" s="30">
        <v>247552739</v>
      </c>
      <c r="Z16" s="30">
        <f t="shared" si="8"/>
        <v>0.18614292144775391</v>
      </c>
      <c r="AA16" s="23"/>
      <c r="AB16" s="22">
        <f t="shared" si="0"/>
        <v>0</v>
      </c>
      <c r="AD16" s="244">
        <f t="shared" si="9"/>
        <v>0</v>
      </c>
    </row>
    <row r="17" spans="1:30" ht="13.5" customHeight="1" x14ac:dyDescent="0.25">
      <c r="A17" s="70" t="s">
        <v>41</v>
      </c>
      <c r="B17" s="69"/>
      <c r="C17" s="25" t="s">
        <v>42</v>
      </c>
      <c r="D17" s="18"/>
      <c r="E17" s="22">
        <f>IF(ISBLANK(A17),"",     SUMIF(CATEGORIAS[[#All],[FORMATO
 GENERAL]],     A17,     CATEGORIAS[[#All],[PRESUPUESTO
(ORIGINAL)]]))</f>
        <v>137998078.26400003</v>
      </c>
      <c r="F17" s="22">
        <v>137998078</v>
      </c>
      <c r="G17" s="22">
        <f t="shared" si="1"/>
        <v>0.26400002837181091</v>
      </c>
      <c r="H17" s="22">
        <f t="shared" si="2"/>
        <v>3121699.7472316027</v>
      </c>
      <c r="I17" s="22">
        <v>3121700</v>
      </c>
      <c r="J17" s="22">
        <f t="shared" si="3"/>
        <v>-0.25276839733123779</v>
      </c>
      <c r="K17" s="22">
        <f>IF(ISBLANK(A17),"",SUMIF(CATEGORIAS[[#All],[FORMATO
 GENERAL]],     A17,       CATEGORIAS[[#All],[PRESUPUESTO
FINAL
PROYECTADO]]))</f>
        <v>141119778.01123163</v>
      </c>
      <c r="L17" s="30">
        <v>141119778</v>
      </c>
      <c r="M17" s="30">
        <f t="shared" si="4"/>
        <v>1.123163104057312E-2</v>
      </c>
      <c r="N17" s="23"/>
      <c r="O17" s="22">
        <f>IF(ISBLANK(A17),"",R17-SUMIF(CATEGORIAS[[#All],[FORMATO
 GENERAL]],     A17,     CATEGORIAS[[#All],[COSTO REAL
ANTERIOR]]))</f>
        <v>21866710</v>
      </c>
      <c r="P17" s="22">
        <v>21866710</v>
      </c>
      <c r="Q17" s="22">
        <f t="shared" si="5"/>
        <v>0</v>
      </c>
      <c r="R17" s="22">
        <f>IF(ISBLANK(A17),"",SUMIF(CATEGORIAS[[#All],[FORMATO
 GENERAL]],     A17,     CATEGORIAS[[#All],[COSTO REAL]]))</f>
        <v>120804123</v>
      </c>
      <c r="S17" s="22">
        <v>120804123</v>
      </c>
      <c r="T17" s="22">
        <f t="shared" si="6"/>
        <v>0</v>
      </c>
      <c r="U17" s="22">
        <f>IF(ISBLANK(A17),"",SUMIF(CATEGORIAS[[#All],[FORMATO
 GENERAL]],     A17,     CATEGORIAS[[#All],[TOTAL PRODUCCION
ACTUAL]]))</f>
        <v>66472511.529203176</v>
      </c>
      <c r="V17" s="22">
        <v>66472512</v>
      </c>
      <c r="W17" s="22">
        <f t="shared" si="7"/>
        <v>-0.47079682350158691</v>
      </c>
      <c r="X17" s="22">
        <f>IF(ISBLANK(A17),"",SUMIF(CATEGORIAS[[#All],[FORMATO
 GENERAL]],     A17,     CATEGORIAS[[#All],[PROYECCION
TOTAL DE COSTO]]))</f>
        <v>20315655.011231627</v>
      </c>
      <c r="Y17" s="30">
        <v>20315655</v>
      </c>
      <c r="Z17" s="30">
        <f t="shared" si="8"/>
        <v>1.1231627315282822E-2</v>
      </c>
      <c r="AA17" s="23"/>
      <c r="AB17" s="22">
        <f t="shared" si="0"/>
        <v>0</v>
      </c>
      <c r="AD17" s="244">
        <f t="shared" si="9"/>
        <v>0</v>
      </c>
    </row>
    <row r="18" spans="1:30" ht="13.5" customHeight="1" x14ac:dyDescent="0.25">
      <c r="A18" s="70"/>
      <c r="B18" s="69" t="s">
        <v>43</v>
      </c>
      <c r="C18" s="21" t="s">
        <v>44</v>
      </c>
      <c r="D18" s="18"/>
      <c r="E18" s="22" t="str">
        <f>IF(ISBLANK(A18),"",     SUMIF(CATEGORIAS[[#All],[FORMATO
 GENERAL]],     A18,     CATEGORIAS[[#All],[PRESUPUESTO
(ORIGINAL)]]))</f>
        <v/>
      </c>
      <c r="F18" s="22"/>
      <c r="G18" s="22" t="e">
        <f t="shared" si="1"/>
        <v>#VALUE!</v>
      </c>
      <c r="H18" s="22" t="str">
        <f t="shared" si="2"/>
        <v/>
      </c>
      <c r="I18" s="22"/>
      <c r="J18" s="22" t="e">
        <f t="shared" si="3"/>
        <v>#VALUE!</v>
      </c>
      <c r="K18" s="22" t="str">
        <f>IF(ISBLANK(A18),"",SUMIF(CATEGORIAS[[#All],[FORMATO
 GENERAL]],     A18,       CATEGORIAS[[#All],[PRESUPUESTO
FINAL
PROYECTADO]]))</f>
        <v/>
      </c>
      <c r="L18" s="30"/>
      <c r="M18" s="30" t="e">
        <f t="shared" si="4"/>
        <v>#VALUE!</v>
      </c>
      <c r="N18" s="23"/>
      <c r="O18" s="22" t="str">
        <f>IF(ISBLANK(A18),"",R18-SUMIF(CATEGORIAS[[#All],[FORMATO
 GENERAL]],     A18,     CATEGORIAS[[#All],[COSTO REAL
ANTERIOR]]))</f>
        <v/>
      </c>
      <c r="P18" s="22"/>
      <c r="Q18" s="22" t="e">
        <f t="shared" si="5"/>
        <v>#VALUE!</v>
      </c>
      <c r="R18" s="22" t="str">
        <f>IF(ISBLANK(A18),"",SUMIF(CATEGORIAS[[#All],[FORMATO
 GENERAL]],     A18,     CATEGORIAS[[#All],[COSTO REAL]]))</f>
        <v/>
      </c>
      <c r="S18" s="22"/>
      <c r="T18" s="22" t="e">
        <f t="shared" si="6"/>
        <v>#VALUE!</v>
      </c>
      <c r="U18" s="22" t="str">
        <f>IF(ISBLANK(A18),"",SUMIF(CATEGORIAS[[#All],[FORMATO
 GENERAL]],     A18,     CATEGORIAS[[#All],[TOTAL PRODUCCION
ACTUAL]]))</f>
        <v/>
      </c>
      <c r="V18" s="22"/>
      <c r="W18" s="22" t="e">
        <f t="shared" si="7"/>
        <v>#VALUE!</v>
      </c>
      <c r="X18" s="22" t="str">
        <f>IF(ISBLANK(A18),"",SUMIF(CATEGORIAS[[#All],[FORMATO
 GENERAL]],     A18,     CATEGORIAS[[#All],[PROYECCION
TOTAL DE COSTO]]))</f>
        <v/>
      </c>
      <c r="Y18" s="30"/>
      <c r="Z18" s="30" t="e">
        <f t="shared" si="8"/>
        <v>#VALUE!</v>
      </c>
      <c r="AA18" s="23"/>
      <c r="AB18" s="22" t="str">
        <f t="shared" si="0"/>
        <v/>
      </c>
      <c r="AD18" s="244" t="e">
        <f t="shared" si="9"/>
        <v>#VALUE!</v>
      </c>
    </row>
    <row r="19" spans="1:30" ht="13.5" customHeight="1" x14ac:dyDescent="0.25">
      <c r="A19" s="70" t="s">
        <v>45</v>
      </c>
      <c r="B19" s="69"/>
      <c r="C19" s="25" t="s">
        <v>25</v>
      </c>
      <c r="D19" s="18"/>
      <c r="E19" s="22">
        <f>IF(ISBLANK(A19),"",     SUMIF(CATEGORIAS[[#All],[FORMATO
 GENERAL]],     A19,     CATEGORIAS[[#All],[PRESUPUESTO
(ORIGINAL)]]))</f>
        <v>387994980.99048454</v>
      </c>
      <c r="F19" s="22">
        <v>387994981</v>
      </c>
      <c r="G19" s="22">
        <f t="shared" si="1"/>
        <v>-9.5154643058776855E-3</v>
      </c>
      <c r="H19" s="22">
        <f>IF(ISBLANK(A19),"",K19-E19)</f>
        <v>11735815.318481922</v>
      </c>
      <c r="I19" s="22">
        <v>11735815</v>
      </c>
      <c r="J19" s="22">
        <f t="shared" si="3"/>
        <v>0.3184819221496582</v>
      </c>
      <c r="K19" s="22">
        <f>IF(ISBLANK(A19),"",SUMIF(CATEGORIAS[[#All],[FORMATO
 GENERAL]],     A19,       CATEGORIAS[[#All],[PRESUPUESTO
FINAL
PROYECTADO]]))</f>
        <v>399730796.30896646</v>
      </c>
      <c r="L19" s="30">
        <v>399730796</v>
      </c>
      <c r="M19" s="30">
        <f t="shared" si="4"/>
        <v>0.30896645784378052</v>
      </c>
      <c r="N19" s="23"/>
      <c r="O19" s="22">
        <f>IF(ISBLANK(A19),"",R19-SUMIF(CATEGORIAS[[#All],[FORMATO
 GENERAL]],     A19,     CATEGORIAS[[#All],[COSTO REAL
ANTERIOR]]))</f>
        <v>48101003.419328414</v>
      </c>
      <c r="P19" s="22">
        <v>48101003</v>
      </c>
      <c r="Q19" s="22">
        <f t="shared" si="5"/>
        <v>0.41932841390371323</v>
      </c>
      <c r="R19" s="22">
        <f>IF(ISBLANK(A19),"",SUMIF(CATEGORIAS[[#All],[FORMATO
 GENERAL]],     A19,     CATEGORIAS[[#All],[COSTO REAL]]))</f>
        <v>94638932.375102371</v>
      </c>
      <c r="S19" s="22">
        <v>94638932</v>
      </c>
      <c r="T19" s="22">
        <f t="shared" si="6"/>
        <v>0.37510237097740173</v>
      </c>
      <c r="U19" s="22">
        <f>IF(ISBLANK(A19),"",SUMIF(CATEGORIAS[[#All],[FORMATO
 GENERAL]],     A19,     CATEGORIAS[[#All],[TOTAL PRODUCCION
ACTUAL]]))</f>
        <v>50124937.705190338</v>
      </c>
      <c r="V19" s="22">
        <v>50124938</v>
      </c>
      <c r="W19" s="22">
        <f t="shared" si="7"/>
        <v>-0.29480966180562973</v>
      </c>
      <c r="X19" s="22">
        <f>IF(ISBLANK(A19),"",SUMIF(CATEGORIAS[[#All],[FORMATO
 GENERAL]],     A19,     CATEGORIAS[[#All],[PROYECCION
TOTAL DE COSTO]]))</f>
        <v>305091863.93386412</v>
      </c>
      <c r="Y19" s="30">
        <v>305091864</v>
      </c>
      <c r="Z19" s="30">
        <f t="shared" si="8"/>
        <v>-6.6135883331298828E-2</v>
      </c>
      <c r="AA19" s="23"/>
      <c r="AB19" s="22">
        <f>IF(ISBLANK(A19),"",TRUNC(K19-R19-X19,2))</f>
        <v>0</v>
      </c>
      <c r="AD19" s="244">
        <f t="shared" si="9"/>
        <v>0</v>
      </c>
    </row>
    <row r="20" spans="1:30" ht="13.5" customHeight="1" x14ac:dyDescent="0.25">
      <c r="A20" s="70" t="s">
        <v>46</v>
      </c>
      <c r="B20" s="69"/>
      <c r="C20" s="25" t="s">
        <v>47</v>
      </c>
      <c r="D20" s="18"/>
      <c r="E20" s="22">
        <f>IF(ISBLANK(A20),"",     SUMIF(CATEGORIAS[[#All],[FORMATO
 GENERAL]],     A20,     CATEGORIAS[[#All],[PRESUPUESTO
(ORIGINAL)]]))</f>
        <v>115244666.9825</v>
      </c>
      <c r="F20" s="22">
        <v>115244667</v>
      </c>
      <c r="G20" s="22">
        <f t="shared" si="1"/>
        <v>-1.7499998211860657E-2</v>
      </c>
      <c r="H20" s="22">
        <f t="shared" si="2"/>
        <v>7814199.6023507565</v>
      </c>
      <c r="I20" s="22">
        <v>7814200</v>
      </c>
      <c r="J20" s="22">
        <f t="shared" si="3"/>
        <v>-0.39764924347400665</v>
      </c>
      <c r="K20" s="22">
        <f>IF(ISBLANK(A20),"",SUMIF(CATEGORIAS[[#All],[FORMATO
 GENERAL]],     A20,       CATEGORIAS[[#All],[PRESUPUESTO
FINAL
PROYECTADO]]))</f>
        <v>123058866.58485076</v>
      </c>
      <c r="L20" s="30">
        <v>123058867</v>
      </c>
      <c r="M20" s="30">
        <f t="shared" si="4"/>
        <v>-0.41514924168586731</v>
      </c>
      <c r="N20" s="23"/>
      <c r="O20" s="22">
        <f>IF(ISBLANK(A20),"",R20-SUMIF(CATEGORIAS[[#All],[FORMATO
 GENERAL]],     A20,     CATEGORIAS[[#All],[COSTO REAL
ANTERIOR]]))</f>
        <v>20231798</v>
      </c>
      <c r="P20" s="22">
        <v>20231798</v>
      </c>
      <c r="Q20" s="22">
        <f t="shared" si="5"/>
        <v>0</v>
      </c>
      <c r="R20" s="22">
        <f>IF(ISBLANK(A20),"",SUMIF(CATEGORIAS[[#All],[FORMATO
 GENERAL]],     A20,     CATEGORIAS[[#All],[COSTO REAL]]))</f>
        <v>41128877</v>
      </c>
      <c r="S20" s="22">
        <v>41128877</v>
      </c>
      <c r="T20" s="22">
        <f t="shared" si="6"/>
        <v>0</v>
      </c>
      <c r="U20" s="22">
        <f>IF(ISBLANK(A20),"",SUMIF(CATEGORIAS[[#All],[FORMATO
 GENERAL]],     A20,     CATEGORIAS[[#All],[TOTAL PRODUCCION
ACTUAL]]))</f>
        <v>25860927.068724085</v>
      </c>
      <c r="V20" s="22">
        <v>25860927</v>
      </c>
      <c r="W20" s="22">
        <f t="shared" si="7"/>
        <v>6.872408464550972E-2</v>
      </c>
      <c r="X20" s="22">
        <f>IF(ISBLANK(A20),"",SUMIF(CATEGORIAS[[#All],[FORMATO
 GENERAL]],     A20,     CATEGORIAS[[#All],[PROYECCION
TOTAL DE COSTO]]))</f>
        <v>81929989.584850758</v>
      </c>
      <c r="Y20" s="30">
        <v>81929990</v>
      </c>
      <c r="Z20" s="30">
        <f t="shared" si="8"/>
        <v>-0.41514924168586731</v>
      </c>
      <c r="AA20" s="23"/>
      <c r="AB20" s="22">
        <f t="shared" si="0"/>
        <v>0</v>
      </c>
      <c r="AD20" s="244">
        <f t="shared" si="9"/>
        <v>0</v>
      </c>
    </row>
    <row r="21" spans="1:30" ht="13.5" customHeight="1" x14ac:dyDescent="0.25">
      <c r="A21" s="70"/>
      <c r="B21" s="69" t="s">
        <v>48</v>
      </c>
      <c r="C21" s="26" t="s">
        <v>49</v>
      </c>
      <c r="D21" s="18"/>
      <c r="E21" s="22" t="str">
        <f>IF(ISBLANK(A21),"",     SUMIF(CATEGORIAS[[#All],[FORMATO
 GENERAL]],     A21,     CATEGORIAS[[#All],[PRESUPUESTO
(ORIGINAL)]]))</f>
        <v/>
      </c>
      <c r="F21" s="22"/>
      <c r="G21" s="22" t="e">
        <f t="shared" si="1"/>
        <v>#VALUE!</v>
      </c>
      <c r="H21" s="22" t="str">
        <f t="shared" si="2"/>
        <v/>
      </c>
      <c r="I21" s="22"/>
      <c r="J21" s="22" t="e">
        <f t="shared" si="3"/>
        <v>#VALUE!</v>
      </c>
      <c r="K21" s="22" t="str">
        <f>IF(ISBLANK(A21),"",SUMIF(CATEGORIAS[[#All],[FORMATO
 GENERAL]],     A21,       CATEGORIAS[[#All],[PRESUPUESTO
FINAL
PROYECTADO]]))</f>
        <v/>
      </c>
      <c r="L21" s="30"/>
      <c r="M21" s="30" t="e">
        <f t="shared" si="4"/>
        <v>#VALUE!</v>
      </c>
      <c r="N21" s="23"/>
      <c r="O21" s="22" t="str">
        <f>IF(ISBLANK(A21),"",R21-SUMIF(CATEGORIAS[[#All],[FORMATO
 GENERAL]],     A21,     CATEGORIAS[[#All],[COSTO REAL
ANTERIOR]]))</f>
        <v/>
      </c>
      <c r="P21" s="22"/>
      <c r="Q21" s="22" t="e">
        <f t="shared" si="5"/>
        <v>#VALUE!</v>
      </c>
      <c r="R21" s="22" t="str">
        <f>IF(ISBLANK(A21),"",SUMIF(CATEGORIAS[[#All],[FORMATO
 GENERAL]],     A21,     CATEGORIAS[[#All],[COSTO REAL]]))</f>
        <v/>
      </c>
      <c r="S21" s="22"/>
      <c r="T21" s="22" t="e">
        <f t="shared" si="6"/>
        <v>#VALUE!</v>
      </c>
      <c r="U21" s="22" t="str">
        <f>IF(ISBLANK(A21),"",SUMIF(CATEGORIAS[[#All],[FORMATO
 GENERAL]],     A21,     CATEGORIAS[[#All],[TOTAL PRODUCCION
ACTUAL]]))</f>
        <v/>
      </c>
      <c r="V21" s="22"/>
      <c r="W21" s="22" t="e">
        <f t="shared" si="7"/>
        <v>#VALUE!</v>
      </c>
      <c r="X21" s="22" t="str">
        <f>IF(ISBLANK(A21),"",SUMIF(CATEGORIAS[[#All],[FORMATO
 GENERAL]],     A21,     CATEGORIAS[[#All],[PROYECCION
TOTAL DE COSTO]]))</f>
        <v/>
      </c>
      <c r="Y21" s="30"/>
      <c r="Z21" s="30" t="e">
        <f t="shared" si="8"/>
        <v>#VALUE!</v>
      </c>
      <c r="AA21" s="23"/>
      <c r="AB21" s="22" t="str">
        <f t="shared" si="0"/>
        <v/>
      </c>
      <c r="AD21" s="244" t="e">
        <f t="shared" si="9"/>
        <v>#VALUE!</v>
      </c>
    </row>
    <row r="22" spans="1:30" ht="13.5" customHeight="1" x14ac:dyDescent="0.25">
      <c r="A22" s="70" t="s">
        <v>68</v>
      </c>
      <c r="B22" s="69"/>
      <c r="C22" s="25" t="s">
        <v>2363</v>
      </c>
      <c r="D22" s="18"/>
      <c r="E22" s="22">
        <f>IF(ISBLANK(A22),"",     SUMIF(CATEGORIAS[[#All],[FORMATO
 GENERAL]],     A22,     CATEGORIAS[[#All],[PRESUPUESTO
(ORIGINAL)]]))</f>
        <v>79797652.817636073</v>
      </c>
      <c r="F22" s="22">
        <v>79797653</v>
      </c>
      <c r="G22" s="22">
        <f t="shared" si="1"/>
        <v>-0.18236392736434937</v>
      </c>
      <c r="H22" s="22">
        <f t="shared" si="2"/>
        <v>2031426.5088537037</v>
      </c>
      <c r="I22" s="22">
        <v>2031427</v>
      </c>
      <c r="J22" s="22">
        <f t="shared" si="3"/>
        <v>-0.49114629626274109</v>
      </c>
      <c r="K22" s="22">
        <f>IF(ISBLANK(A22),"",SUMIF(CATEGORIAS[[#All],[FORMATO
 GENERAL]],     A22,       CATEGORIAS[[#All],[PRESUPUESTO
FINAL
PROYECTADO]]))</f>
        <v>81829079.326489776</v>
      </c>
      <c r="L22" s="30">
        <v>81829079</v>
      </c>
      <c r="M22" s="30">
        <f t="shared" si="4"/>
        <v>0.32648977637290955</v>
      </c>
      <c r="N22" s="23"/>
      <c r="O22" s="22">
        <f>IF(ISBLANK(A22),"",R22-SUMIF(CATEGORIAS[[#All],[FORMATO
 GENERAL]],     A22,     CATEGORIAS[[#All],[COSTO REAL
ANTERIOR]]))</f>
        <v>43427320.627354629</v>
      </c>
      <c r="P22" s="22">
        <v>43427321</v>
      </c>
      <c r="Q22" s="22">
        <f t="shared" si="5"/>
        <v>-0.37264537066221237</v>
      </c>
      <c r="R22" s="22">
        <f>IF(ISBLANK(A22),"",SUMIF(CATEGORIAS[[#All],[FORMATO
 GENERAL]],     A22,     CATEGORIAS[[#All],[COSTO REAL]]))</f>
        <v>88410801.121212125</v>
      </c>
      <c r="S22" s="22">
        <v>88410801</v>
      </c>
      <c r="T22" s="22">
        <f t="shared" si="6"/>
        <v>0.12121212482452393</v>
      </c>
      <c r="U22" s="22">
        <f>IF(ISBLANK(A22),"",SUMIF(CATEGORIAS[[#All],[FORMATO
 GENERAL]],     A22,     CATEGORIAS[[#All],[TOTAL PRODUCCION
ACTUAL]]))</f>
        <v>32123965.780275058</v>
      </c>
      <c r="V22" s="22">
        <v>32123966</v>
      </c>
      <c r="W22" s="22">
        <f t="shared" si="7"/>
        <v>-0.21972494199872017</v>
      </c>
      <c r="X22" s="22">
        <f>IF(ISBLANK(A22),"",SUMIF(CATEGORIAS[[#All],[FORMATO
 GENERAL]],     A22,     CATEGORIAS[[#All],[PROYECCION
TOTAL DE COSTO]]))</f>
        <v>-6581721.7947223485</v>
      </c>
      <c r="Y22" s="30">
        <v>-6581722</v>
      </c>
      <c r="Z22" s="30">
        <f t="shared" si="8"/>
        <v>0.20527765154838562</v>
      </c>
      <c r="AA22" s="23"/>
      <c r="AB22" s="22">
        <f t="shared" si="0"/>
        <v>0</v>
      </c>
      <c r="AD22" s="244">
        <f t="shared" si="9"/>
        <v>0</v>
      </c>
    </row>
    <row r="23" spans="1:30" ht="13.5" customHeight="1" x14ac:dyDescent="0.25">
      <c r="A23" s="70"/>
      <c r="B23" s="69" t="s">
        <v>51</v>
      </c>
      <c r="C23" s="26" t="s">
        <v>52</v>
      </c>
      <c r="D23" s="18"/>
      <c r="E23" s="22" t="str">
        <f>IF(ISBLANK(A23),"",     SUMIF(CATEGORIAS[[#All],[FORMATO
 GENERAL]],     A23,     CATEGORIAS[[#All],[PRESUPUESTO
(ORIGINAL)]]))</f>
        <v/>
      </c>
      <c r="F23" s="22"/>
      <c r="G23" s="22" t="e">
        <f t="shared" si="1"/>
        <v>#VALUE!</v>
      </c>
      <c r="H23" s="22" t="str">
        <f t="shared" si="2"/>
        <v/>
      </c>
      <c r="I23" s="22"/>
      <c r="J23" s="22" t="e">
        <f t="shared" si="3"/>
        <v>#VALUE!</v>
      </c>
      <c r="K23" s="22" t="str">
        <f>IF(ISBLANK(A23),"",SUMIF(CATEGORIAS[[#All],[FORMATO
 GENERAL]],     A23,       CATEGORIAS[[#All],[PRESUPUESTO
FINAL
PROYECTADO]]))</f>
        <v/>
      </c>
      <c r="L23" s="30"/>
      <c r="M23" s="30" t="e">
        <f t="shared" si="4"/>
        <v>#VALUE!</v>
      </c>
      <c r="N23" s="23"/>
      <c r="O23" s="22" t="str">
        <f>IF(ISBLANK(A23),"",R23-SUMIF(CATEGORIAS[[#All],[FORMATO
 GENERAL]],     A23,     CATEGORIAS[[#All],[COSTO REAL
ANTERIOR]]))</f>
        <v/>
      </c>
      <c r="P23" s="22"/>
      <c r="Q23" s="22" t="e">
        <f t="shared" si="5"/>
        <v>#VALUE!</v>
      </c>
      <c r="R23" s="22" t="str">
        <f>IF(ISBLANK(A23),"",SUMIF(CATEGORIAS[[#All],[FORMATO
 GENERAL]],     A23,     CATEGORIAS[[#All],[COSTO REAL]]))</f>
        <v/>
      </c>
      <c r="S23" s="22"/>
      <c r="T23" s="22" t="e">
        <f t="shared" si="6"/>
        <v>#VALUE!</v>
      </c>
      <c r="U23" s="22" t="str">
        <f>IF(ISBLANK(A23),"",SUMIF(CATEGORIAS[[#All],[FORMATO
 GENERAL]],     A23,     CATEGORIAS[[#All],[TOTAL PRODUCCION
ACTUAL]]))</f>
        <v/>
      </c>
      <c r="V23" s="22"/>
      <c r="W23" s="22" t="e">
        <f t="shared" si="7"/>
        <v>#VALUE!</v>
      </c>
      <c r="X23" s="22" t="str">
        <f>IF(ISBLANK(A23),"",SUMIF(CATEGORIAS[[#All],[FORMATO
 GENERAL]],     A23,     CATEGORIAS[[#All],[PROYECCION
TOTAL DE COSTO]]))</f>
        <v/>
      </c>
      <c r="Y23" s="30"/>
      <c r="Z23" s="30" t="e">
        <f t="shared" si="8"/>
        <v>#VALUE!</v>
      </c>
      <c r="AA23" s="23"/>
      <c r="AB23" s="22" t="str">
        <f t="shared" si="0"/>
        <v/>
      </c>
      <c r="AD23" s="244" t="e">
        <f t="shared" si="9"/>
        <v>#VALUE!</v>
      </c>
    </row>
    <row r="24" spans="1:30" ht="13.5" customHeight="1" x14ac:dyDescent="0.25">
      <c r="A24" s="70" t="s">
        <v>53</v>
      </c>
      <c r="B24" s="69"/>
      <c r="C24" s="25" t="s">
        <v>2363</v>
      </c>
      <c r="D24" s="18"/>
      <c r="E24" s="22">
        <f>IF(ISBLANK(A24),"",     SUMIF(CATEGORIAS[[#All],[FORMATO
 GENERAL]],     A24,     CATEGORIAS[[#All],[PRESUPUESTO
(ORIGINAL)]]))</f>
        <v>25004642.625492588</v>
      </c>
      <c r="F24" s="22">
        <v>25004643</v>
      </c>
      <c r="G24" s="22">
        <f t="shared" si="1"/>
        <v>-0.37450741231441498</v>
      </c>
      <c r="H24" s="22">
        <f t="shared" si="2"/>
        <v>0</v>
      </c>
      <c r="I24" s="22"/>
      <c r="J24" s="22">
        <f t="shared" si="3"/>
        <v>0</v>
      </c>
      <c r="K24" s="22">
        <f>IF(ISBLANK(A24),"",SUMIF(CATEGORIAS[[#All],[FORMATO
 GENERAL]],     A24,       CATEGORIAS[[#All],[PRESUPUESTO
FINAL
PROYECTADO]]))</f>
        <v>25004642.625492588</v>
      </c>
      <c r="L24" s="30">
        <v>25004643</v>
      </c>
      <c r="M24" s="30">
        <f t="shared" si="4"/>
        <v>-0.37450741231441498</v>
      </c>
      <c r="N24" s="23"/>
      <c r="O24" s="22">
        <f>IF(ISBLANK(A24),"",R24-SUMIF(CATEGORIAS[[#All],[FORMATO
 GENERAL]],     A24,     CATEGORIAS[[#All],[COSTO REAL
ANTERIOR]]))</f>
        <v>0</v>
      </c>
      <c r="P24" s="22"/>
      <c r="Q24" s="22">
        <f t="shared" si="5"/>
        <v>0</v>
      </c>
      <c r="R24" s="22">
        <f>IF(ISBLANK(A24),"",SUMIF(CATEGORIAS[[#All],[FORMATO
 GENERAL]],     A24,     CATEGORIAS[[#All],[COSTO REAL]]))</f>
        <v>0</v>
      </c>
      <c r="S24" s="22"/>
      <c r="T24" s="22">
        <f t="shared" si="6"/>
        <v>0</v>
      </c>
      <c r="U24" s="22">
        <f>IF(ISBLANK(A24),"",SUMIF(CATEGORIAS[[#All],[FORMATO
 GENERAL]],     A24,     CATEGORIAS[[#All],[TOTAL PRODUCCION
ACTUAL]]))</f>
        <v>0</v>
      </c>
      <c r="V24" s="22"/>
      <c r="W24" s="22">
        <f t="shared" si="7"/>
        <v>0</v>
      </c>
      <c r="X24" s="22">
        <f>IF(ISBLANK(A24),"",SUMIF(CATEGORIAS[[#All],[FORMATO
 GENERAL]],     A24,     CATEGORIAS[[#All],[PROYECCION
TOTAL DE COSTO]]))</f>
        <v>25004642.625492588</v>
      </c>
      <c r="Y24" s="30">
        <v>25004643</v>
      </c>
      <c r="Z24" s="30">
        <f t="shared" si="8"/>
        <v>-0.37450741231441498</v>
      </c>
      <c r="AA24" s="23"/>
      <c r="AB24" s="22">
        <f t="shared" si="0"/>
        <v>0</v>
      </c>
      <c r="AD24" s="244">
        <f t="shared" si="9"/>
        <v>0</v>
      </c>
    </row>
    <row r="25" spans="1:30" ht="13.5" customHeight="1" x14ac:dyDescent="0.25">
      <c r="A25" s="70" t="s">
        <v>54</v>
      </c>
      <c r="B25" s="69"/>
      <c r="C25" s="25" t="s">
        <v>55</v>
      </c>
      <c r="D25" s="18"/>
      <c r="E25" s="22">
        <f>IF(ISBLANK(A25),"",     SUMIF(CATEGORIAS[[#All],[FORMATO
 GENERAL]],     A25,     CATEGORIAS[[#All],[PRESUPUESTO
(ORIGINAL)]]))</f>
        <v>18524724.390000001</v>
      </c>
      <c r="F25" s="22">
        <v>18524724</v>
      </c>
      <c r="G25" s="22">
        <f t="shared" si="1"/>
        <v>0.39000000059604645</v>
      </c>
      <c r="H25" s="22">
        <f t="shared" si="2"/>
        <v>0</v>
      </c>
      <c r="I25" s="22"/>
      <c r="J25" s="22">
        <f t="shared" si="3"/>
        <v>0</v>
      </c>
      <c r="K25" s="22">
        <f>IF(ISBLANK(A25),"",SUMIF(CATEGORIAS[[#All],[FORMATO
 GENERAL]],     A25,       CATEGORIAS[[#All],[PRESUPUESTO
FINAL
PROYECTADO]]))</f>
        <v>18524724.390000001</v>
      </c>
      <c r="L25" s="30">
        <v>18524724</v>
      </c>
      <c r="M25" s="30">
        <f t="shared" si="4"/>
        <v>0.39000000059604645</v>
      </c>
      <c r="N25" s="23"/>
      <c r="O25" s="22">
        <f>IF(ISBLANK(A25),"",R25-SUMIF(CATEGORIAS[[#All],[FORMATO
 GENERAL]],     A25,     CATEGORIAS[[#All],[COSTO REAL
ANTERIOR]]))</f>
        <v>0</v>
      </c>
      <c r="P25" s="22"/>
      <c r="Q25" s="22">
        <f t="shared" si="5"/>
        <v>0</v>
      </c>
      <c r="R25" s="22">
        <f>IF(ISBLANK(A25),"",SUMIF(CATEGORIAS[[#All],[FORMATO
 GENERAL]],     A25,     CATEGORIAS[[#All],[COSTO REAL]]))</f>
        <v>0</v>
      </c>
      <c r="S25" s="22"/>
      <c r="T25" s="22">
        <f t="shared" si="6"/>
        <v>0</v>
      </c>
      <c r="U25" s="22">
        <f>IF(ISBLANK(A25),"",SUMIF(CATEGORIAS[[#All],[FORMATO
 GENERAL]],     A25,     CATEGORIAS[[#All],[TOTAL PRODUCCION
ACTUAL]]))</f>
        <v>15433050</v>
      </c>
      <c r="V25" s="22">
        <v>15433050</v>
      </c>
      <c r="W25" s="22">
        <f t="shared" si="7"/>
        <v>0</v>
      </c>
      <c r="X25" s="22">
        <f>IF(ISBLANK(A25),"",SUMIF(CATEGORIAS[[#All],[FORMATO
 GENERAL]],     A25,     CATEGORIAS[[#All],[PROYECCION
TOTAL DE COSTO]]))</f>
        <v>18524724.390000001</v>
      </c>
      <c r="Y25" s="30">
        <v>18524724</v>
      </c>
      <c r="Z25" s="30">
        <f t="shared" si="8"/>
        <v>0.39000000059604645</v>
      </c>
      <c r="AA25" s="23"/>
      <c r="AB25" s="22">
        <f t="shared" si="0"/>
        <v>0</v>
      </c>
      <c r="AD25" s="244">
        <f t="shared" si="9"/>
        <v>0</v>
      </c>
    </row>
    <row r="26" spans="1:30" ht="13.5" customHeight="1" x14ac:dyDescent="0.25">
      <c r="A26" s="70"/>
      <c r="B26" s="69" t="s">
        <v>56</v>
      </c>
      <c r="C26" s="26" t="s">
        <v>57</v>
      </c>
      <c r="D26" s="18"/>
      <c r="E26" s="22" t="str">
        <f>IF(ISBLANK(A26),"",     SUMIF(CATEGORIAS[[#All],[FORMATO
 GENERAL]],     A26,     CATEGORIAS[[#All],[PRESUPUESTO
(ORIGINAL)]]))</f>
        <v/>
      </c>
      <c r="F26" s="22"/>
      <c r="G26" s="22" t="e">
        <f t="shared" si="1"/>
        <v>#VALUE!</v>
      </c>
      <c r="H26" s="22" t="str">
        <f>IF(ISBLANK(A26),"",K26-E26)</f>
        <v/>
      </c>
      <c r="I26" s="22"/>
      <c r="J26" s="22" t="e">
        <f t="shared" si="3"/>
        <v>#VALUE!</v>
      </c>
      <c r="K26" s="22" t="str">
        <f>IF(ISBLANK(A26),"",SUMIF(CATEGORIAS[[#All],[FORMATO
 GENERAL]],     A26,       CATEGORIAS[[#All],[PRESUPUESTO
FINAL
PROYECTADO]]))</f>
        <v/>
      </c>
      <c r="L26" s="30"/>
      <c r="M26" s="30" t="e">
        <f t="shared" si="4"/>
        <v>#VALUE!</v>
      </c>
      <c r="N26" s="23"/>
      <c r="O26" s="22" t="str">
        <f>IF(ISBLANK(A26),"",R26-SUMIF(CATEGORIAS[[#All],[FORMATO
 GENERAL]],     A26,     CATEGORIAS[[#All],[COSTO REAL
ANTERIOR]]))</f>
        <v/>
      </c>
      <c r="P26" s="22"/>
      <c r="Q26" s="22" t="e">
        <f t="shared" si="5"/>
        <v>#VALUE!</v>
      </c>
      <c r="R26" s="22" t="str">
        <f>IF(ISBLANK(A26),"",SUMIF(CATEGORIAS[[#All],[FORMATO
 GENERAL]],     A26,     CATEGORIAS[[#All],[COSTO REAL]]))</f>
        <v/>
      </c>
      <c r="S26" s="22"/>
      <c r="T26" s="22" t="e">
        <f t="shared" si="6"/>
        <v>#VALUE!</v>
      </c>
      <c r="U26" s="22" t="str">
        <f>IF(ISBLANK(A26),"",SUMIF(CATEGORIAS[[#All],[FORMATO
 GENERAL]],     A26,     CATEGORIAS[[#All],[TOTAL PRODUCCION
ACTUAL]]))</f>
        <v/>
      </c>
      <c r="V26" s="22"/>
      <c r="W26" s="22" t="e">
        <f t="shared" si="7"/>
        <v>#VALUE!</v>
      </c>
      <c r="X26" s="22" t="str">
        <f>IF(ISBLANK(A26),"",SUMIF(CATEGORIAS[[#All],[FORMATO
 GENERAL]],     A26,     CATEGORIAS[[#All],[PROYECCION
TOTAL DE COSTO]]))</f>
        <v/>
      </c>
      <c r="Y26" s="30"/>
      <c r="Z26" s="30" t="e">
        <f t="shared" si="8"/>
        <v>#VALUE!</v>
      </c>
      <c r="AA26" s="23"/>
      <c r="AB26" s="22" t="str">
        <f>IF(ISBLANK(A26),"",TRUNC(K26-R26-X26,2))</f>
        <v/>
      </c>
      <c r="AD26" s="244" t="e">
        <f t="shared" si="9"/>
        <v>#VALUE!</v>
      </c>
    </row>
    <row r="27" spans="1:30" ht="13.5" customHeight="1" x14ac:dyDescent="0.25">
      <c r="A27" s="70" t="s">
        <v>58</v>
      </c>
      <c r="B27" s="69"/>
      <c r="C27" s="25" t="s">
        <v>25</v>
      </c>
      <c r="D27" s="18"/>
      <c r="E27" s="22">
        <f>IF(ISBLANK(A27),"",     SUMIF(CATEGORIAS[[#All],[FORMATO
 GENERAL]],     A27,     CATEGORIAS[[#All],[PRESUPUESTO
(ORIGINAL)]]))</f>
        <v>0</v>
      </c>
      <c r="F27" s="22"/>
      <c r="G27" s="22">
        <f t="shared" si="1"/>
        <v>0</v>
      </c>
      <c r="H27" s="22">
        <f>IF(ISBLANK(A27),"",K27-E27)</f>
        <v>0</v>
      </c>
      <c r="I27" s="22"/>
      <c r="J27" s="22">
        <f t="shared" si="3"/>
        <v>0</v>
      </c>
      <c r="K27" s="22">
        <f>IF(ISBLANK(A27),"",SUMIF(CATEGORIAS[[#All],[FORMATO
 GENERAL]],     A27,       CATEGORIAS[[#All],[PRESUPUESTO
FINAL
PROYECTADO]]))</f>
        <v>0</v>
      </c>
      <c r="L27" s="30"/>
      <c r="M27" s="30">
        <f t="shared" si="4"/>
        <v>0</v>
      </c>
      <c r="N27" s="23"/>
      <c r="O27" s="22">
        <f>IF(ISBLANK(A27),"",R27-SUMIF(CATEGORIAS[[#All],[FORMATO
 GENERAL]],     A27,     CATEGORIAS[[#All],[COSTO REAL
ANTERIOR]]))</f>
        <v>0</v>
      </c>
      <c r="P27" s="22"/>
      <c r="Q27" s="22">
        <f t="shared" si="5"/>
        <v>0</v>
      </c>
      <c r="R27" s="22">
        <f>IF(ISBLANK(A27),"",SUMIF(CATEGORIAS[[#All],[FORMATO
 GENERAL]],     A27,     CATEGORIAS[[#All],[COSTO REAL]]))</f>
        <v>0</v>
      </c>
      <c r="S27" s="22"/>
      <c r="T27" s="22">
        <f t="shared" si="6"/>
        <v>0</v>
      </c>
      <c r="U27" s="22">
        <f>IF(ISBLANK(A27),"",SUMIF(CATEGORIAS[[#All],[FORMATO
 GENERAL]],     A27,     CATEGORIAS[[#All],[TOTAL PRODUCCION
ACTUAL]]))</f>
        <v>0</v>
      </c>
      <c r="V27" s="22"/>
      <c r="W27" s="22">
        <f t="shared" si="7"/>
        <v>0</v>
      </c>
      <c r="X27" s="22">
        <f>IF(ISBLANK(A27),"",SUMIF(CATEGORIAS[[#All],[FORMATO
 GENERAL]],     A27,     CATEGORIAS[[#All],[PROYECCION
TOTAL DE COSTO]]))</f>
        <v>0</v>
      </c>
      <c r="Y27" s="30"/>
      <c r="Z27" s="30">
        <f t="shared" si="8"/>
        <v>0</v>
      </c>
      <c r="AA27" s="23"/>
      <c r="AB27" s="22">
        <f>IF(ISBLANK(A27),"",TRUNC(K27-R27-X27,2))</f>
        <v>0</v>
      </c>
      <c r="AD27" s="244">
        <f t="shared" si="9"/>
        <v>0</v>
      </c>
    </row>
    <row r="28" spans="1:30" ht="13.5" customHeight="1" x14ac:dyDescent="0.25">
      <c r="A28" s="70" t="s">
        <v>59</v>
      </c>
      <c r="B28" s="69"/>
      <c r="C28" s="25" t="s">
        <v>60</v>
      </c>
      <c r="D28" s="18"/>
      <c r="E28" s="22">
        <f>IF(ISBLANK(A28),"",     SUMIF(CATEGORIAS[[#All],[FORMATO
 GENERAL]],     A28,     CATEGORIAS[[#All],[PRESUPUESTO
(ORIGINAL)]]))</f>
        <v>0</v>
      </c>
      <c r="F28" s="22"/>
      <c r="G28" s="22">
        <f t="shared" si="1"/>
        <v>0</v>
      </c>
      <c r="H28" s="22">
        <f>IF(ISBLANK(A28),"",K28-E28)</f>
        <v>0</v>
      </c>
      <c r="I28" s="22"/>
      <c r="J28" s="22">
        <f t="shared" si="3"/>
        <v>0</v>
      </c>
      <c r="K28" s="22">
        <f>IF(ISBLANK(A28),"",SUMIF(CATEGORIAS[[#All],[FORMATO
 GENERAL]],     A28,       CATEGORIAS[[#All],[PRESUPUESTO
FINAL
PROYECTADO]]))</f>
        <v>0</v>
      </c>
      <c r="L28" s="30"/>
      <c r="M28" s="30">
        <f t="shared" si="4"/>
        <v>0</v>
      </c>
      <c r="N28" s="23"/>
      <c r="O28" s="22">
        <f>IF(ISBLANK(A28),"",R28-SUMIF(CATEGORIAS[[#All],[FORMATO
 GENERAL]],     A28,     CATEGORIAS[[#All],[COSTO REAL
ANTERIOR]]))</f>
        <v>0</v>
      </c>
      <c r="P28" s="22"/>
      <c r="Q28" s="22">
        <f t="shared" si="5"/>
        <v>0</v>
      </c>
      <c r="R28" s="22">
        <f>IF(ISBLANK(A28),"",SUMIF(CATEGORIAS[[#All],[FORMATO
 GENERAL]],     A28,     CATEGORIAS[[#All],[COSTO REAL]]))</f>
        <v>0</v>
      </c>
      <c r="S28" s="22"/>
      <c r="T28" s="22">
        <f t="shared" si="6"/>
        <v>0</v>
      </c>
      <c r="U28" s="22">
        <f>IF(ISBLANK(A28),"",SUMIF(CATEGORIAS[[#All],[FORMATO
 GENERAL]],     A28,     CATEGORIAS[[#All],[TOTAL PRODUCCION
ACTUAL]]))</f>
        <v>0</v>
      </c>
      <c r="V28" s="22"/>
      <c r="W28" s="22">
        <f t="shared" si="7"/>
        <v>0</v>
      </c>
      <c r="X28" s="22">
        <f>IF(ISBLANK(A28),"",SUMIF(CATEGORIAS[[#All],[FORMATO
 GENERAL]],     A28,     CATEGORIAS[[#All],[PROYECCION
TOTAL DE COSTO]]))</f>
        <v>0</v>
      </c>
      <c r="Y28" s="30"/>
      <c r="Z28" s="30">
        <f t="shared" si="8"/>
        <v>0</v>
      </c>
      <c r="AA28" s="23"/>
      <c r="AB28" s="22">
        <f>IF(ISBLANK(A28),"",TRUNC(K28-R28-X28,2))</f>
        <v>0</v>
      </c>
      <c r="AD28" s="244">
        <f t="shared" si="9"/>
        <v>0</v>
      </c>
    </row>
    <row r="29" spans="1:30" ht="13.5" customHeight="1" x14ac:dyDescent="0.25">
      <c r="A29" s="70"/>
      <c r="B29" s="69" t="s">
        <v>61</v>
      </c>
      <c r="C29" s="26" t="s">
        <v>62</v>
      </c>
      <c r="D29" s="18"/>
      <c r="E29" s="22" t="str">
        <f>IF(ISBLANK(A29),"",     SUMIF(CATEGORIAS[[#All],[FORMATO
 GENERAL]],     A29,     CATEGORIAS[[#All],[PRESUPUESTO
(ORIGINAL)]]))</f>
        <v/>
      </c>
      <c r="F29" s="22"/>
      <c r="G29" s="22" t="e">
        <f t="shared" si="1"/>
        <v>#VALUE!</v>
      </c>
      <c r="H29" s="22" t="str">
        <f t="shared" si="2"/>
        <v/>
      </c>
      <c r="I29" s="22"/>
      <c r="J29" s="22" t="e">
        <f t="shared" si="3"/>
        <v>#VALUE!</v>
      </c>
      <c r="K29" s="22" t="str">
        <f>IF(ISBLANK(A29),"",SUMIF(CATEGORIAS[[#All],[FORMATO
 GENERAL]],     A29,       CATEGORIAS[[#All],[PRESUPUESTO
FINAL
PROYECTADO]]))</f>
        <v/>
      </c>
      <c r="L29" s="30"/>
      <c r="M29" s="30" t="e">
        <f t="shared" si="4"/>
        <v>#VALUE!</v>
      </c>
      <c r="N29" s="23"/>
      <c r="O29" s="22" t="str">
        <f>IF(ISBLANK(A29),"",R29-SUMIF(CATEGORIAS[[#All],[FORMATO
 GENERAL]],     A29,     CATEGORIAS[[#All],[COSTO REAL
ANTERIOR]]))</f>
        <v/>
      </c>
      <c r="P29" s="22"/>
      <c r="Q29" s="22" t="e">
        <f t="shared" si="5"/>
        <v>#VALUE!</v>
      </c>
      <c r="R29" s="22" t="str">
        <f>IF(ISBLANK(A29),"",SUMIF(CATEGORIAS[[#All],[FORMATO
 GENERAL]],     A29,     CATEGORIAS[[#All],[COSTO REAL]]))</f>
        <v/>
      </c>
      <c r="S29" s="22"/>
      <c r="T29" s="22" t="e">
        <f t="shared" si="6"/>
        <v>#VALUE!</v>
      </c>
      <c r="U29" s="22" t="str">
        <f>IF(ISBLANK(A29),"",SUMIF(CATEGORIAS[[#All],[FORMATO
 GENERAL]],     A29,     CATEGORIAS[[#All],[TOTAL PRODUCCION
ACTUAL]]))</f>
        <v/>
      </c>
      <c r="V29" s="22"/>
      <c r="W29" s="22" t="e">
        <f t="shared" si="7"/>
        <v>#VALUE!</v>
      </c>
      <c r="X29" s="22" t="str">
        <f>IF(ISBLANK(A29),"",SUMIF(CATEGORIAS[[#All],[FORMATO
 GENERAL]],     A29,     CATEGORIAS[[#All],[PROYECCION
TOTAL DE COSTO]]))</f>
        <v/>
      </c>
      <c r="Y29" s="30"/>
      <c r="Z29" s="30" t="e">
        <f t="shared" si="8"/>
        <v>#VALUE!</v>
      </c>
      <c r="AA29" s="23"/>
      <c r="AB29" s="22" t="str">
        <f t="shared" si="0"/>
        <v/>
      </c>
      <c r="AD29" s="244" t="e">
        <f t="shared" si="9"/>
        <v>#VALUE!</v>
      </c>
    </row>
    <row r="30" spans="1:30" ht="13.5" customHeight="1" x14ac:dyDescent="0.25">
      <c r="A30" s="70" t="s">
        <v>63</v>
      </c>
      <c r="B30" s="69"/>
      <c r="C30" s="25" t="s">
        <v>25</v>
      </c>
      <c r="D30" s="18"/>
      <c r="E30" s="22">
        <f>IF(ISBLANK(A30),"",     SUMIF(CATEGORIAS[[#All],[FORMATO
 GENERAL]],     A30,     CATEGORIAS[[#All],[PRESUPUESTO
(ORIGINAL)]]))</f>
        <v>0</v>
      </c>
      <c r="F30" s="22"/>
      <c r="G30" s="22">
        <f t="shared" si="1"/>
        <v>0</v>
      </c>
      <c r="H30" s="22">
        <f t="shared" si="2"/>
        <v>0</v>
      </c>
      <c r="I30" s="22"/>
      <c r="J30" s="22">
        <f t="shared" si="3"/>
        <v>0</v>
      </c>
      <c r="K30" s="22">
        <f>IF(ISBLANK(A30),"",SUMIF(CATEGORIAS[[#All],[FORMATO
 GENERAL]],     A30,       CATEGORIAS[[#All],[PRESUPUESTO
FINAL
PROYECTADO]]))</f>
        <v>0</v>
      </c>
      <c r="L30" s="30"/>
      <c r="M30" s="30">
        <f t="shared" si="4"/>
        <v>0</v>
      </c>
      <c r="N30" s="23"/>
      <c r="O30" s="22">
        <f>IF(ISBLANK(A30),"",R30-SUMIF(CATEGORIAS[[#All],[FORMATO
 GENERAL]],     A30,     CATEGORIAS[[#All],[COSTO REAL
ANTERIOR]]))</f>
        <v>0</v>
      </c>
      <c r="P30" s="22"/>
      <c r="Q30" s="22">
        <f t="shared" si="5"/>
        <v>0</v>
      </c>
      <c r="R30" s="22">
        <f>IF(ISBLANK(A30),"",SUMIF(CATEGORIAS[[#All],[FORMATO
 GENERAL]],     A30,     CATEGORIAS[[#All],[COSTO REAL]]))</f>
        <v>0</v>
      </c>
      <c r="S30" s="22"/>
      <c r="T30" s="22">
        <f t="shared" si="6"/>
        <v>0</v>
      </c>
      <c r="U30" s="22">
        <f>IF(ISBLANK(A30),"",SUMIF(CATEGORIAS[[#All],[FORMATO
 GENERAL]],     A30,     CATEGORIAS[[#All],[TOTAL PRODUCCION
ACTUAL]]))</f>
        <v>0</v>
      </c>
      <c r="V30" s="22"/>
      <c r="W30" s="22">
        <f t="shared" si="7"/>
        <v>0</v>
      </c>
      <c r="X30" s="22">
        <f>IF(ISBLANK(A30),"",SUMIF(CATEGORIAS[[#All],[FORMATO
 GENERAL]],     A30,     CATEGORIAS[[#All],[PROYECCION
TOTAL DE COSTO]]))</f>
        <v>0</v>
      </c>
      <c r="Y30" s="30"/>
      <c r="Z30" s="30">
        <f t="shared" si="8"/>
        <v>0</v>
      </c>
      <c r="AA30" s="23"/>
      <c r="AB30" s="22">
        <f t="shared" si="0"/>
        <v>0</v>
      </c>
      <c r="AD30" s="244">
        <f t="shared" si="9"/>
        <v>0</v>
      </c>
    </row>
    <row r="31" spans="1:30" ht="13.5" customHeight="1" x14ac:dyDescent="0.25">
      <c r="A31" s="70" t="s">
        <v>64</v>
      </c>
      <c r="B31" s="69"/>
      <c r="C31" s="25" t="s">
        <v>65</v>
      </c>
      <c r="D31" s="18"/>
      <c r="E31" s="22">
        <f>IF(ISBLANK(A31),"",     SUMIF(CATEGORIAS[[#All],[FORMATO
 GENERAL]],     A31,     CATEGORIAS[[#All],[PRESUPUESTO
(ORIGINAL)]]))</f>
        <v>0</v>
      </c>
      <c r="F31" s="22"/>
      <c r="G31" s="22">
        <f t="shared" si="1"/>
        <v>0</v>
      </c>
      <c r="H31" s="22">
        <f t="shared" si="2"/>
        <v>0</v>
      </c>
      <c r="I31" s="22"/>
      <c r="J31" s="22">
        <f t="shared" si="3"/>
        <v>0</v>
      </c>
      <c r="K31" s="22">
        <f>IF(ISBLANK(A31),"",SUMIF(CATEGORIAS[[#All],[FORMATO
 GENERAL]],     A31,       CATEGORIAS[[#All],[PRESUPUESTO
FINAL
PROYECTADO]]))</f>
        <v>0</v>
      </c>
      <c r="L31" s="30"/>
      <c r="M31" s="30">
        <f t="shared" si="4"/>
        <v>0</v>
      </c>
      <c r="N31" s="23"/>
      <c r="O31" s="22">
        <f>IF(ISBLANK(A31),"",R31-SUMIF(CATEGORIAS[[#All],[FORMATO
 GENERAL]],     A31,     CATEGORIAS[[#All],[COSTO REAL
ANTERIOR]]))</f>
        <v>0</v>
      </c>
      <c r="P31" s="22"/>
      <c r="Q31" s="22">
        <f t="shared" si="5"/>
        <v>0</v>
      </c>
      <c r="R31" s="22">
        <f>IF(ISBLANK(A31),"",SUMIF(CATEGORIAS[[#All],[FORMATO
 GENERAL]],     A31,     CATEGORIAS[[#All],[COSTO REAL]]))</f>
        <v>0</v>
      </c>
      <c r="S31" s="22"/>
      <c r="T31" s="22">
        <f t="shared" si="6"/>
        <v>0</v>
      </c>
      <c r="U31" s="22">
        <f>IF(ISBLANK(A31),"",SUMIF(CATEGORIAS[[#All],[FORMATO
 GENERAL]],     A31,     CATEGORIAS[[#All],[TOTAL PRODUCCION
ACTUAL]]))</f>
        <v>0</v>
      </c>
      <c r="V31" s="22"/>
      <c r="W31" s="22">
        <f t="shared" si="7"/>
        <v>0</v>
      </c>
      <c r="X31" s="22">
        <f>IF(ISBLANK(A31),"",SUMIF(CATEGORIAS[[#All],[FORMATO
 GENERAL]],     A31,     CATEGORIAS[[#All],[PROYECCION
TOTAL DE COSTO]]))</f>
        <v>0</v>
      </c>
      <c r="Y31" s="30"/>
      <c r="Z31" s="30">
        <f t="shared" si="8"/>
        <v>0</v>
      </c>
      <c r="AA31" s="23"/>
      <c r="AB31" s="22">
        <f t="shared" si="0"/>
        <v>0</v>
      </c>
      <c r="AD31" s="244">
        <f t="shared" si="9"/>
        <v>0</v>
      </c>
    </row>
    <row r="32" spans="1:30" ht="13.5" customHeight="1" x14ac:dyDescent="0.25">
      <c r="A32" s="70"/>
      <c r="B32" s="69" t="s">
        <v>66</v>
      </c>
      <c r="C32" s="26" t="s">
        <v>67</v>
      </c>
      <c r="D32" s="18"/>
      <c r="E32" s="22" t="str">
        <f>IF(ISBLANK(A32),"",     SUMIF(CATEGORIAS[[#All],[FORMATO
 GENERAL]],     A32,     CATEGORIAS[[#All],[PRESUPUESTO
(ORIGINAL)]]))</f>
        <v/>
      </c>
      <c r="F32" s="22"/>
      <c r="G32" s="22" t="e">
        <f t="shared" si="1"/>
        <v>#VALUE!</v>
      </c>
      <c r="H32" s="22" t="str">
        <f t="shared" si="2"/>
        <v/>
      </c>
      <c r="I32" s="22"/>
      <c r="J32" s="22" t="e">
        <f t="shared" si="3"/>
        <v>#VALUE!</v>
      </c>
      <c r="K32" s="22" t="str">
        <f>IF(ISBLANK(A32),"",SUMIF(CATEGORIAS[[#All],[FORMATO
 GENERAL]],     A32,       CATEGORIAS[[#All],[PRESUPUESTO
FINAL
PROYECTADO]]))</f>
        <v/>
      </c>
      <c r="L32" s="30"/>
      <c r="M32" s="30" t="e">
        <f t="shared" si="4"/>
        <v>#VALUE!</v>
      </c>
      <c r="N32" s="23"/>
      <c r="O32" s="22" t="str">
        <f>IF(ISBLANK(A32),"",R32-SUMIF(CATEGORIAS[[#All],[FORMATO
 GENERAL]],     A32,     CATEGORIAS[[#All],[COSTO REAL
ANTERIOR]]))</f>
        <v/>
      </c>
      <c r="P32" s="22"/>
      <c r="Q32" s="22" t="e">
        <f t="shared" si="5"/>
        <v>#VALUE!</v>
      </c>
      <c r="R32" s="22" t="str">
        <f>IF(ISBLANK(A32),"",SUMIF(CATEGORIAS[[#All],[FORMATO
 GENERAL]],     A32,     CATEGORIAS[[#All],[COSTO REAL]]))</f>
        <v/>
      </c>
      <c r="S32" s="22"/>
      <c r="T32" s="22" t="e">
        <f t="shared" si="6"/>
        <v>#VALUE!</v>
      </c>
      <c r="U32" s="22" t="str">
        <f>IF(ISBLANK(A32),"",SUMIF(CATEGORIAS[[#All],[FORMATO
 GENERAL]],     A32,     CATEGORIAS[[#All],[TOTAL PRODUCCION
ACTUAL]]))</f>
        <v/>
      </c>
      <c r="V32" s="22"/>
      <c r="W32" s="22" t="e">
        <f t="shared" si="7"/>
        <v>#VALUE!</v>
      </c>
      <c r="X32" s="22" t="str">
        <f>IF(ISBLANK(A32),"",SUMIF(CATEGORIAS[[#All],[FORMATO
 GENERAL]],     A32,     CATEGORIAS[[#All],[PROYECCION
TOTAL DE COSTO]]))</f>
        <v/>
      </c>
      <c r="Y32" s="30"/>
      <c r="Z32" s="30" t="e">
        <f t="shared" si="8"/>
        <v>#VALUE!</v>
      </c>
      <c r="AA32" s="23"/>
      <c r="AB32" s="22" t="str">
        <f t="shared" si="0"/>
        <v/>
      </c>
      <c r="AD32" s="244" t="e">
        <f t="shared" si="9"/>
        <v>#VALUE!</v>
      </c>
    </row>
    <row r="33" spans="1:30" ht="13.5" customHeight="1" x14ac:dyDescent="0.25">
      <c r="A33" s="70" t="s">
        <v>2415</v>
      </c>
      <c r="B33" s="69"/>
      <c r="C33" s="25" t="s">
        <v>25</v>
      </c>
      <c r="D33" s="18"/>
      <c r="E33" s="22">
        <f>IF(ISBLANK(A33),"",     SUMIF(CATEGORIAS[[#All],[FORMATO
 GENERAL]],     A33,     CATEGORIAS[[#All],[PRESUPUESTO
(ORIGINAL)]]))</f>
        <v>0</v>
      </c>
      <c r="F33" s="22"/>
      <c r="G33" s="22">
        <f t="shared" si="1"/>
        <v>0</v>
      </c>
      <c r="H33" s="22">
        <f t="shared" si="2"/>
        <v>0</v>
      </c>
      <c r="I33" s="22"/>
      <c r="J33" s="22">
        <f t="shared" si="3"/>
        <v>0</v>
      </c>
      <c r="K33" s="22">
        <f>IF(ISBLANK(A33),"",SUMIF(CATEGORIAS[[#All],[FORMATO
 GENERAL]],     A33,       CATEGORIAS[[#All],[PRESUPUESTO
FINAL
PROYECTADO]]))</f>
        <v>0</v>
      </c>
      <c r="L33" s="30"/>
      <c r="M33" s="30">
        <f t="shared" si="4"/>
        <v>0</v>
      </c>
      <c r="N33" s="23"/>
      <c r="O33" s="22">
        <f>IF(ISBLANK(A33),"",R33-SUMIF(CATEGORIAS[[#All],[FORMATO
 GENERAL]],     A33,     CATEGORIAS[[#All],[COSTO REAL
ANTERIOR]]))</f>
        <v>0</v>
      </c>
      <c r="P33" s="22"/>
      <c r="Q33" s="22">
        <f t="shared" si="5"/>
        <v>0</v>
      </c>
      <c r="R33" s="22">
        <f>IF(ISBLANK(A33),"",SUMIF(CATEGORIAS[[#All],[FORMATO
 GENERAL]],     A33,     CATEGORIAS[[#All],[COSTO REAL]]))</f>
        <v>0</v>
      </c>
      <c r="S33" s="22"/>
      <c r="T33" s="22">
        <f t="shared" si="6"/>
        <v>0</v>
      </c>
      <c r="U33" s="22">
        <f>IF(ISBLANK(A33),"",SUMIF(CATEGORIAS[[#All],[FORMATO
 GENERAL]],     A33,     CATEGORIAS[[#All],[TOTAL PRODUCCION
ACTUAL]]))</f>
        <v>0</v>
      </c>
      <c r="V33" s="22"/>
      <c r="W33" s="22">
        <f t="shared" si="7"/>
        <v>0</v>
      </c>
      <c r="X33" s="22">
        <f>IF(ISBLANK(A33),"",SUMIF(CATEGORIAS[[#All],[FORMATO
 GENERAL]],     A33,     CATEGORIAS[[#All],[PROYECCION
TOTAL DE COSTO]]))</f>
        <v>0</v>
      </c>
      <c r="Y33" s="30"/>
      <c r="Z33" s="30">
        <f t="shared" si="8"/>
        <v>0</v>
      </c>
      <c r="AA33" s="23"/>
      <c r="AB33" s="22">
        <f t="shared" si="0"/>
        <v>0</v>
      </c>
      <c r="AD33" s="244">
        <f t="shared" si="9"/>
        <v>0</v>
      </c>
    </row>
    <row r="34" spans="1:30" ht="13.5" customHeight="1" x14ac:dyDescent="0.25">
      <c r="A34" s="70"/>
      <c r="B34" s="69" t="s">
        <v>69</v>
      </c>
      <c r="C34" s="26" t="s">
        <v>70</v>
      </c>
      <c r="D34" s="18"/>
      <c r="E34" s="22" t="str">
        <f>IF(ISBLANK(A34),"",     SUMIF(CATEGORIAS[[#All],[FORMATO
 GENERAL]],     A34,     CATEGORIAS[[#All],[PRESUPUESTO
(ORIGINAL)]]))</f>
        <v/>
      </c>
      <c r="F34" s="22"/>
      <c r="G34" s="22" t="e">
        <f t="shared" si="1"/>
        <v>#VALUE!</v>
      </c>
      <c r="H34" s="22" t="str">
        <f t="shared" ref="H34:H39" si="10">IF(ISBLANK(A34),"",K34-E34)</f>
        <v/>
      </c>
      <c r="I34" s="22"/>
      <c r="J34" s="22" t="e">
        <f t="shared" si="3"/>
        <v>#VALUE!</v>
      </c>
      <c r="K34" s="22" t="str">
        <f>IF(ISBLANK(A34),"",SUMIF(CATEGORIAS[[#All],[FORMATO
 GENERAL]],     A34,       CATEGORIAS[[#All],[PRESUPUESTO
FINAL
PROYECTADO]]))</f>
        <v/>
      </c>
      <c r="L34" s="30"/>
      <c r="M34" s="30" t="e">
        <f t="shared" si="4"/>
        <v>#VALUE!</v>
      </c>
      <c r="N34" s="23"/>
      <c r="O34" s="22" t="str">
        <f>IF(ISBLANK(A34),"",R34-SUMIF(CATEGORIAS[[#All],[FORMATO
 GENERAL]],     A34,     CATEGORIAS[[#All],[COSTO REAL
ANTERIOR]]))</f>
        <v/>
      </c>
      <c r="P34" s="22"/>
      <c r="Q34" s="22" t="e">
        <f t="shared" si="5"/>
        <v>#VALUE!</v>
      </c>
      <c r="R34" s="22" t="str">
        <f>IF(ISBLANK(A34),"",SUMIF(CATEGORIAS[[#All],[FORMATO
 GENERAL]],     A34,     CATEGORIAS[[#All],[COSTO REAL]]))</f>
        <v/>
      </c>
      <c r="S34" s="22"/>
      <c r="T34" s="22" t="e">
        <f t="shared" si="6"/>
        <v>#VALUE!</v>
      </c>
      <c r="U34" s="22" t="str">
        <f>IF(ISBLANK(A34),"",SUMIF(CATEGORIAS[[#All],[FORMATO
 GENERAL]],     A34,     CATEGORIAS[[#All],[TOTAL PRODUCCION
ACTUAL]]))</f>
        <v/>
      </c>
      <c r="V34" s="22"/>
      <c r="W34" s="22" t="e">
        <f t="shared" si="7"/>
        <v>#VALUE!</v>
      </c>
      <c r="X34" s="22" t="str">
        <f>IF(ISBLANK(A34),"",SUMIF(CATEGORIAS[[#All],[FORMATO
 GENERAL]],     A34,     CATEGORIAS[[#All],[PROYECCION
TOTAL DE COSTO]]))</f>
        <v/>
      </c>
      <c r="Y34" s="30"/>
      <c r="Z34" s="30" t="e">
        <f t="shared" si="8"/>
        <v>#VALUE!</v>
      </c>
      <c r="AA34" s="23"/>
      <c r="AB34" s="22" t="str">
        <f t="shared" ref="AB34:AB39" si="11">IF(ISBLANK(A34),"",TRUNC(K34-R34-X34,2))</f>
        <v/>
      </c>
      <c r="AD34" s="244" t="e">
        <f t="shared" si="9"/>
        <v>#VALUE!</v>
      </c>
    </row>
    <row r="35" spans="1:30" ht="13.5" customHeight="1" x14ac:dyDescent="0.25">
      <c r="A35" s="70" t="s">
        <v>74</v>
      </c>
      <c r="B35" s="69"/>
      <c r="C35" s="25" t="s">
        <v>25</v>
      </c>
      <c r="D35" s="18"/>
      <c r="E35" s="22">
        <f>IF(ISBLANK(A35),"",     SUMIF(CATEGORIAS[[#All],[FORMATO
 GENERAL]],     A35,     CATEGORIAS[[#All],[PRESUPUESTO
(ORIGINAL)]]))</f>
        <v>0</v>
      </c>
      <c r="F35" s="22"/>
      <c r="G35" s="22">
        <f t="shared" si="1"/>
        <v>0</v>
      </c>
      <c r="H35" s="22">
        <f t="shared" si="10"/>
        <v>0</v>
      </c>
      <c r="I35" s="22"/>
      <c r="J35" s="22">
        <f t="shared" si="3"/>
        <v>0</v>
      </c>
      <c r="K35" s="22">
        <f>IF(ISBLANK(A35),"",SUMIF(CATEGORIAS[[#All],[FORMATO
 GENERAL]],     A35,       CATEGORIAS[[#All],[PRESUPUESTO
FINAL
PROYECTADO]]))</f>
        <v>0</v>
      </c>
      <c r="L35" s="30"/>
      <c r="M35" s="30">
        <f t="shared" si="4"/>
        <v>0</v>
      </c>
      <c r="N35" s="23"/>
      <c r="O35" s="22">
        <f>IF(ISBLANK(A35),"",R35-SUMIF(CATEGORIAS[[#All],[FORMATO
 GENERAL]],     A35,     CATEGORIAS[[#All],[COSTO REAL
ANTERIOR]]))</f>
        <v>2325389.0253890259</v>
      </c>
      <c r="P35" s="22">
        <v>2325389</v>
      </c>
      <c r="Q35" s="22">
        <f t="shared" si="5"/>
        <v>2.5389025919139385E-2</v>
      </c>
      <c r="R35" s="22">
        <f>IF(ISBLANK(A35),"",SUMIF(CATEGORIAS[[#All],[FORMATO
 GENERAL]],     A35,     CATEGORIAS[[#All],[COSTO REAL]]))</f>
        <v>2325389.0253890259</v>
      </c>
      <c r="S35" s="22">
        <v>2325389</v>
      </c>
      <c r="T35" s="22">
        <f t="shared" si="6"/>
        <v>2.5389025919139385E-2</v>
      </c>
      <c r="U35" s="22">
        <f>IF(ISBLANK(A35),"",SUMIF(CATEGORIAS[[#All],[FORMATO
 GENERAL]],     A35,     CATEGORIAS[[#All],[TOTAL PRODUCCION
ACTUAL]]))</f>
        <v>0</v>
      </c>
      <c r="V35" s="22"/>
      <c r="W35" s="22">
        <f t="shared" si="7"/>
        <v>0</v>
      </c>
      <c r="X35" s="22">
        <f>IF(ISBLANK(A35),"",SUMIF(CATEGORIAS[[#All],[FORMATO
 GENERAL]],     A35,     CATEGORIAS[[#All],[PROYECCION
TOTAL DE COSTO]]))</f>
        <v>0</v>
      </c>
      <c r="Y35" s="30"/>
      <c r="Z35" s="30">
        <f t="shared" si="8"/>
        <v>0</v>
      </c>
      <c r="AA35" s="23"/>
      <c r="AB35" s="22">
        <f t="shared" si="11"/>
        <v>-2325389.02</v>
      </c>
      <c r="AC35">
        <v>-2325389</v>
      </c>
      <c r="AD35" s="244">
        <f t="shared" si="9"/>
        <v>-2.0000000018626451E-2</v>
      </c>
    </row>
    <row r="36" spans="1:30" ht="13.5" customHeight="1" x14ac:dyDescent="0.25">
      <c r="A36" s="70" t="s">
        <v>75</v>
      </c>
      <c r="B36" s="69"/>
      <c r="C36" s="25" t="s">
        <v>71</v>
      </c>
      <c r="D36" s="18"/>
      <c r="E36" s="22">
        <f>IF(ISBLANK(A36),"",     SUMIF(CATEGORIAS[[#All],[FORMATO
 GENERAL]],     A36,     CATEGORIAS[[#All],[PRESUPUESTO
(ORIGINAL)]]))</f>
        <v>0</v>
      </c>
      <c r="F36" s="22"/>
      <c r="G36" s="22">
        <f t="shared" si="1"/>
        <v>0</v>
      </c>
      <c r="H36" s="22">
        <f t="shared" si="10"/>
        <v>0</v>
      </c>
      <c r="I36" s="22"/>
      <c r="J36" s="22">
        <f t="shared" si="3"/>
        <v>0</v>
      </c>
      <c r="K36" s="22">
        <f>IF(ISBLANK(A36),"",SUMIF(CATEGORIAS[[#All],[FORMATO
 GENERAL]],     A36,       CATEGORIAS[[#All],[PRESUPUESTO
FINAL
PROYECTADO]]))</f>
        <v>0</v>
      </c>
      <c r="L36" s="30"/>
      <c r="M36" s="30">
        <f t="shared" si="4"/>
        <v>0</v>
      </c>
      <c r="N36" s="23"/>
      <c r="O36" s="22">
        <f>IF(ISBLANK(A36),"",R36-SUMIF(CATEGORIAS[[#All],[FORMATO
 GENERAL]],     A36,     CATEGORIAS[[#All],[COSTO REAL
ANTERIOR]]))</f>
        <v>0</v>
      </c>
      <c r="P36" s="22"/>
      <c r="Q36" s="22">
        <f t="shared" si="5"/>
        <v>0</v>
      </c>
      <c r="R36" s="22">
        <f>IF(ISBLANK(A36),"",SUMIF(CATEGORIAS[[#All],[FORMATO
 GENERAL]],     A36,     CATEGORIAS[[#All],[COSTO REAL]]))</f>
        <v>0</v>
      </c>
      <c r="S36" s="22"/>
      <c r="T36" s="22">
        <f t="shared" si="6"/>
        <v>0</v>
      </c>
      <c r="U36" s="22">
        <f>IF(ISBLANK(A36),"",SUMIF(CATEGORIAS[[#All],[FORMATO
 GENERAL]],     A36,     CATEGORIAS[[#All],[TOTAL PRODUCCION
ACTUAL]]))</f>
        <v>0</v>
      </c>
      <c r="V36" s="22"/>
      <c r="W36" s="22">
        <f t="shared" si="7"/>
        <v>0</v>
      </c>
      <c r="X36" s="22">
        <f>IF(ISBLANK(A36),"",SUMIF(CATEGORIAS[[#All],[FORMATO
 GENERAL]],     A36,     CATEGORIAS[[#All],[PROYECCION
TOTAL DE COSTO]]))</f>
        <v>0</v>
      </c>
      <c r="Y36" s="30"/>
      <c r="Z36" s="30">
        <f t="shared" si="8"/>
        <v>0</v>
      </c>
      <c r="AA36" s="23"/>
      <c r="AB36" s="22">
        <f t="shared" si="11"/>
        <v>0</v>
      </c>
      <c r="AD36" s="244">
        <f t="shared" si="9"/>
        <v>0</v>
      </c>
    </row>
    <row r="37" spans="1:30" ht="13.5" customHeight="1" x14ac:dyDescent="0.25">
      <c r="A37" s="70"/>
      <c r="B37" s="69" t="s">
        <v>72</v>
      </c>
      <c r="C37" s="26" t="s">
        <v>73</v>
      </c>
      <c r="D37" s="18"/>
      <c r="E37" s="22" t="str">
        <f>IF(ISBLANK(A37),"",     SUMIF(CATEGORIAS[[#All],[FORMATO
 GENERAL]],     A37,     CATEGORIAS[[#All],[PRESUPUESTO
(ORIGINAL)]]))</f>
        <v/>
      </c>
      <c r="F37" s="22"/>
      <c r="G37" s="22" t="e">
        <f t="shared" si="1"/>
        <v>#VALUE!</v>
      </c>
      <c r="H37" s="22" t="str">
        <f t="shared" si="10"/>
        <v/>
      </c>
      <c r="I37" s="22"/>
      <c r="J37" s="22" t="e">
        <f t="shared" si="3"/>
        <v>#VALUE!</v>
      </c>
      <c r="K37" s="22" t="str">
        <f>IF(ISBLANK(A37),"",SUMIF(CATEGORIAS[[#All],[FORMATO
 GENERAL]],     A37,       CATEGORIAS[[#All],[PRESUPUESTO
FINAL
PROYECTADO]]))</f>
        <v/>
      </c>
      <c r="L37" s="30"/>
      <c r="M37" s="30" t="e">
        <f t="shared" si="4"/>
        <v>#VALUE!</v>
      </c>
      <c r="N37" s="23"/>
      <c r="O37" s="22" t="str">
        <f>IF(ISBLANK(A37),"",R37-SUMIF(CATEGORIAS[[#All],[FORMATO
 GENERAL]],     A37,     CATEGORIAS[[#All],[COSTO REAL
ANTERIOR]]))</f>
        <v/>
      </c>
      <c r="P37" s="22"/>
      <c r="Q37" s="22" t="e">
        <f t="shared" si="5"/>
        <v>#VALUE!</v>
      </c>
      <c r="R37" s="22" t="str">
        <f>IF(ISBLANK(A37),"",SUMIF(CATEGORIAS[[#All],[FORMATO
 GENERAL]],     A37,     CATEGORIAS[[#All],[COSTO REAL]]))</f>
        <v/>
      </c>
      <c r="S37" s="22"/>
      <c r="T37" s="22" t="e">
        <f t="shared" si="6"/>
        <v>#VALUE!</v>
      </c>
      <c r="U37" s="22" t="str">
        <f>IF(ISBLANK(A37),"",SUMIF(CATEGORIAS[[#All],[FORMATO
 GENERAL]],     A37,     CATEGORIAS[[#All],[TOTAL PRODUCCION
ACTUAL]]))</f>
        <v/>
      </c>
      <c r="V37" s="22"/>
      <c r="W37" s="22" t="e">
        <f t="shared" si="7"/>
        <v>#VALUE!</v>
      </c>
      <c r="X37" s="22" t="str">
        <f>IF(ISBLANK(A37),"",SUMIF(CATEGORIAS[[#All],[FORMATO
 GENERAL]],     A37,     CATEGORIAS[[#All],[PROYECCION
TOTAL DE COSTO]]))</f>
        <v/>
      </c>
      <c r="Y37" s="30"/>
      <c r="Z37" s="30" t="e">
        <f t="shared" si="8"/>
        <v>#VALUE!</v>
      </c>
      <c r="AA37" s="23"/>
      <c r="AB37" s="22" t="str">
        <f t="shared" si="11"/>
        <v/>
      </c>
      <c r="AD37" s="244" t="e">
        <f t="shared" si="9"/>
        <v>#VALUE!</v>
      </c>
    </row>
    <row r="38" spans="1:30" ht="13.5" customHeight="1" x14ac:dyDescent="0.25">
      <c r="A38" s="70" t="s">
        <v>50</v>
      </c>
      <c r="B38" s="69"/>
      <c r="C38" s="25" t="s">
        <v>25</v>
      </c>
      <c r="D38" s="18"/>
      <c r="E38" s="22">
        <f>IF(ISBLANK(A38),"",     SUMIF(CATEGORIAS[[#All],[FORMATO
 GENERAL]],     A38,     CATEGORIAS[[#All],[PRESUPUESTO
(ORIGINAL)]]))</f>
        <v>0</v>
      </c>
      <c r="F38" s="22"/>
      <c r="G38" s="22">
        <f t="shared" si="1"/>
        <v>0</v>
      </c>
      <c r="H38" s="22">
        <f t="shared" si="10"/>
        <v>0</v>
      </c>
      <c r="I38" s="22"/>
      <c r="J38" s="22">
        <f t="shared" si="3"/>
        <v>0</v>
      </c>
      <c r="K38" s="22">
        <f>IF(ISBLANK(A38),"",SUMIF(CATEGORIAS[[#All],[FORMATO
 GENERAL]],     A38,       CATEGORIAS[[#All],[PRESUPUESTO
FINAL
PROYECTADO]]))</f>
        <v>0</v>
      </c>
      <c r="L38" s="30"/>
      <c r="M38" s="30">
        <f t="shared" si="4"/>
        <v>0</v>
      </c>
      <c r="N38" s="23"/>
      <c r="O38" s="22">
        <f>IF(ISBLANK(A38),"",R38-SUMIF(CATEGORIAS[[#All],[FORMATO
 GENERAL]],     A38,     CATEGORIAS[[#All],[COSTO REAL
ANTERIOR]]))</f>
        <v>0</v>
      </c>
      <c r="P38" s="22"/>
      <c r="Q38" s="22">
        <f t="shared" si="5"/>
        <v>0</v>
      </c>
      <c r="R38" s="22">
        <f>IF(ISBLANK(A38),"",SUMIF(CATEGORIAS[[#All],[FORMATO
 GENERAL]],     A38,     CATEGORIAS[[#All],[COSTO REAL]]))</f>
        <v>0</v>
      </c>
      <c r="S38" s="22"/>
      <c r="T38" s="22">
        <f t="shared" si="6"/>
        <v>0</v>
      </c>
      <c r="U38" s="22">
        <f>IF(ISBLANK(A38),"",SUMIF(CATEGORIAS[[#All],[FORMATO
 GENERAL]],     A38,     CATEGORIAS[[#All],[TOTAL PRODUCCION
ACTUAL]]))</f>
        <v>0</v>
      </c>
      <c r="V38" s="22"/>
      <c r="W38" s="22">
        <f t="shared" si="7"/>
        <v>0</v>
      </c>
      <c r="X38" s="22">
        <f>IF(ISBLANK(A38),"",SUMIF(CATEGORIAS[[#All],[FORMATO
 GENERAL]],     A38,     CATEGORIAS[[#All],[PROYECCION
TOTAL DE COSTO]]))</f>
        <v>0</v>
      </c>
      <c r="Y38" s="30"/>
      <c r="Z38" s="30">
        <f t="shared" si="8"/>
        <v>0</v>
      </c>
      <c r="AA38" s="23"/>
      <c r="AB38" s="22">
        <f t="shared" si="11"/>
        <v>0</v>
      </c>
      <c r="AD38" s="244">
        <f t="shared" si="9"/>
        <v>0</v>
      </c>
    </row>
    <row r="39" spans="1:30" ht="13.5" customHeight="1" x14ac:dyDescent="0.25">
      <c r="A39" s="70" t="s">
        <v>2416</v>
      </c>
      <c r="B39" s="69"/>
      <c r="C39" s="25" t="s">
        <v>76</v>
      </c>
      <c r="D39" s="18"/>
      <c r="E39" s="22">
        <f>IF(ISBLANK(A39),"",     SUMIF(CATEGORIAS[[#All],[FORMATO
 GENERAL]],     A39,     CATEGORIAS[[#All],[PRESUPUESTO
(ORIGINAL)]]))</f>
        <v>0</v>
      </c>
      <c r="F39" s="22"/>
      <c r="G39" s="22">
        <f t="shared" si="1"/>
        <v>0</v>
      </c>
      <c r="H39" s="22">
        <f t="shared" si="10"/>
        <v>0</v>
      </c>
      <c r="I39" s="22"/>
      <c r="J39" s="22">
        <f t="shared" si="3"/>
        <v>0</v>
      </c>
      <c r="K39" s="22">
        <f>IF(ISBLANK(A39),"",SUMIF(CATEGORIAS[[#All],[FORMATO
 GENERAL]],     A39,       CATEGORIAS[[#All],[PRESUPUESTO
FINAL
PROYECTADO]]))</f>
        <v>0</v>
      </c>
      <c r="L39" s="30"/>
      <c r="M39" s="30">
        <f t="shared" si="4"/>
        <v>0</v>
      </c>
      <c r="N39" s="23"/>
      <c r="O39" s="22">
        <f>IF(ISBLANK(A39),"",R39-SUMIF(CATEGORIAS[[#All],[FORMATO
 GENERAL]],     A39,     CATEGORIAS[[#All],[COSTO REAL
ANTERIOR]]))</f>
        <v>0</v>
      </c>
      <c r="P39" s="22"/>
      <c r="Q39" s="22">
        <f t="shared" si="5"/>
        <v>0</v>
      </c>
      <c r="R39" s="22">
        <f>IF(ISBLANK(A39),"",SUMIF(CATEGORIAS[[#All],[FORMATO
 GENERAL]],     A39,     CATEGORIAS[[#All],[COSTO REAL]]))</f>
        <v>0</v>
      </c>
      <c r="S39" s="22"/>
      <c r="T39" s="22">
        <f t="shared" si="6"/>
        <v>0</v>
      </c>
      <c r="U39" s="22">
        <f>IF(ISBLANK(A39),"",SUMIF(CATEGORIAS[[#All],[FORMATO
 GENERAL]],     A39,     CATEGORIAS[[#All],[TOTAL PRODUCCION
ACTUAL]]))</f>
        <v>0</v>
      </c>
      <c r="V39" s="22"/>
      <c r="W39" s="22">
        <f t="shared" si="7"/>
        <v>0</v>
      </c>
      <c r="X39" s="22">
        <f>IF(ISBLANK(A39),"",SUMIF(CATEGORIAS[[#All],[FORMATO
 GENERAL]],     A39,     CATEGORIAS[[#All],[PROYECCION
TOTAL DE COSTO]]))</f>
        <v>0</v>
      </c>
      <c r="Y39" s="30"/>
      <c r="Z39" s="30">
        <f t="shared" si="8"/>
        <v>0</v>
      </c>
      <c r="AA39" s="23"/>
      <c r="AB39" s="22">
        <f t="shared" si="11"/>
        <v>0</v>
      </c>
      <c r="AD39" s="244">
        <f t="shared" si="9"/>
        <v>0</v>
      </c>
    </row>
    <row r="40" spans="1:30" ht="13.5" customHeight="1" x14ac:dyDescent="0.25">
      <c r="A40" s="70"/>
      <c r="B40" s="69" t="s">
        <v>77</v>
      </c>
      <c r="C40" s="26" t="s">
        <v>78</v>
      </c>
      <c r="D40" s="18"/>
      <c r="E40" s="22" t="str">
        <f>IF(ISBLANK(A40),"",     SUMIF(CATEGORIAS[[#All],[FORMATO
 GENERAL]],     A40,     CATEGORIAS[[#All],[PRESUPUESTO
(ORIGINAL)]]))</f>
        <v/>
      </c>
      <c r="F40" s="22"/>
      <c r="G40" s="22" t="e">
        <f t="shared" si="1"/>
        <v>#VALUE!</v>
      </c>
      <c r="H40" s="22" t="str">
        <f t="shared" si="2"/>
        <v/>
      </c>
      <c r="I40" s="22"/>
      <c r="J40" s="22" t="e">
        <f t="shared" si="3"/>
        <v>#VALUE!</v>
      </c>
      <c r="K40" s="22" t="str">
        <f>IF(ISBLANK(A40),"",SUMIF(CATEGORIAS[[#All],[FORMATO
 GENERAL]],     A40,       CATEGORIAS[[#All],[PRESUPUESTO
FINAL
PROYECTADO]]))</f>
        <v/>
      </c>
      <c r="L40" s="30"/>
      <c r="M40" s="30" t="e">
        <f t="shared" si="4"/>
        <v>#VALUE!</v>
      </c>
      <c r="N40" s="23"/>
      <c r="O40" s="22" t="str">
        <f>IF(ISBLANK(A40),"",R40-SUMIF(CATEGORIAS[[#All],[FORMATO
 GENERAL]],     A40,     CATEGORIAS[[#All],[COSTO REAL
ANTERIOR]]))</f>
        <v/>
      </c>
      <c r="P40" s="22"/>
      <c r="Q40" s="22" t="e">
        <f t="shared" si="5"/>
        <v>#VALUE!</v>
      </c>
      <c r="R40" s="22" t="str">
        <f>IF(ISBLANK(A40),"",SUMIF(CATEGORIAS[[#All],[FORMATO
 GENERAL]],     A40,     CATEGORIAS[[#All],[COSTO REAL]]))</f>
        <v/>
      </c>
      <c r="S40" s="22"/>
      <c r="T40" s="22" t="e">
        <f t="shared" si="6"/>
        <v>#VALUE!</v>
      </c>
      <c r="U40" s="22" t="str">
        <f>IF(ISBLANK(A40),"",SUMIF(CATEGORIAS[[#All],[FORMATO
 GENERAL]],     A40,     CATEGORIAS[[#All],[TOTAL PRODUCCION
ACTUAL]]))</f>
        <v/>
      </c>
      <c r="V40" s="22"/>
      <c r="W40" s="22" t="e">
        <f t="shared" si="7"/>
        <v>#VALUE!</v>
      </c>
      <c r="X40" s="22" t="str">
        <f>IF(ISBLANK(A40),"",SUMIF(CATEGORIAS[[#All],[FORMATO
 GENERAL]],     A40,     CATEGORIAS[[#All],[PROYECCION
TOTAL DE COSTO]]))</f>
        <v/>
      </c>
      <c r="Y40" s="30"/>
      <c r="Z40" s="30" t="e">
        <f t="shared" si="8"/>
        <v>#VALUE!</v>
      </c>
      <c r="AA40" s="23"/>
      <c r="AB40" s="22" t="str">
        <f t="shared" si="0"/>
        <v/>
      </c>
      <c r="AD40" s="244" t="e">
        <f t="shared" si="9"/>
        <v>#VALUE!</v>
      </c>
    </row>
    <row r="41" spans="1:30" ht="13.5" customHeight="1" x14ac:dyDescent="0.25">
      <c r="A41" s="70" t="s">
        <v>2417</v>
      </c>
      <c r="B41" s="69"/>
      <c r="C41" s="25" t="s">
        <v>79</v>
      </c>
      <c r="D41" s="18"/>
      <c r="E41" s="22">
        <f>IF(ISBLANK(A41),"",     SUMIF(CATEGORIAS[[#All],[FORMATO
 GENERAL]],     A41,     CATEGORIAS[[#All],[PRESUPUESTO
(ORIGINAL)]]))</f>
        <v>91680058.290985167</v>
      </c>
      <c r="F41" s="22">
        <v>91680058</v>
      </c>
      <c r="G41" s="22">
        <f t="shared" si="1"/>
        <v>0.29098516702651978</v>
      </c>
      <c r="H41" s="22">
        <f t="shared" si="2"/>
        <v>5566467.9571636766</v>
      </c>
      <c r="I41" s="22">
        <v>5566468</v>
      </c>
      <c r="J41" s="22">
        <f t="shared" si="3"/>
        <v>-4.2836323380470276E-2</v>
      </c>
      <c r="K41" s="22">
        <f>IF(ISBLANK(A41),"",SUMIF(CATEGORIAS[[#All],[FORMATO
 GENERAL]],     A41,       CATEGORIAS[[#All],[PRESUPUESTO
FINAL
PROYECTADO]]))</f>
        <v>97246526.248148844</v>
      </c>
      <c r="L41" s="30">
        <v>97246526</v>
      </c>
      <c r="M41" s="30">
        <f t="shared" si="4"/>
        <v>0.2481488436460495</v>
      </c>
      <c r="N41" s="23"/>
      <c r="O41" s="22">
        <f>IF(ISBLANK(A41),"",R41-SUMIF(CATEGORIAS[[#All],[FORMATO
 GENERAL]],     A41,     CATEGORIAS[[#All],[COSTO REAL
ANTERIOR]]))</f>
        <v>0</v>
      </c>
      <c r="P41" s="22"/>
      <c r="Q41" s="22">
        <f t="shared" si="5"/>
        <v>0</v>
      </c>
      <c r="R41" s="22">
        <f>IF(ISBLANK(A41),"",SUMIF(CATEGORIAS[[#All],[FORMATO
 GENERAL]],     A41,     CATEGORIAS[[#All],[COSTO REAL]]))</f>
        <v>14593363.800000001</v>
      </c>
      <c r="S41" s="22">
        <v>14593364</v>
      </c>
      <c r="T41" s="22">
        <f t="shared" si="6"/>
        <v>-0.19999999925494194</v>
      </c>
      <c r="U41" s="22">
        <f>IF(ISBLANK(A41),"",SUMIF(CATEGORIAS[[#All],[FORMATO
 GENERAL]],     A41,     CATEGORIAS[[#All],[TOTAL PRODUCCION
ACTUAL]]))</f>
        <v>33939880.111195005</v>
      </c>
      <c r="V41" s="22">
        <v>33939880</v>
      </c>
      <c r="W41" s="22">
        <f t="shared" si="7"/>
        <v>0.11119500547647476</v>
      </c>
      <c r="X41" s="22">
        <f>IF(ISBLANK(A41),"",SUMIF(CATEGORIAS[[#All],[FORMATO
 GENERAL]],     A41,     CATEGORIAS[[#All],[PROYECCION
TOTAL DE COSTO]]))</f>
        <v>82653162.448148847</v>
      </c>
      <c r="Y41" s="30">
        <v>82653162</v>
      </c>
      <c r="Z41" s="30">
        <f t="shared" si="8"/>
        <v>0.44814884662628174</v>
      </c>
      <c r="AA41" s="23"/>
      <c r="AB41" s="22">
        <f t="shared" si="0"/>
        <v>0</v>
      </c>
      <c r="AD41" s="244">
        <f t="shared" si="9"/>
        <v>0</v>
      </c>
    </row>
    <row r="42" spans="1:30" ht="13.5" customHeight="1" x14ac:dyDescent="0.25">
      <c r="A42" s="70" t="s">
        <v>2418</v>
      </c>
      <c r="B42" s="69" t="s">
        <v>80</v>
      </c>
      <c r="C42" s="25" t="s">
        <v>2365</v>
      </c>
      <c r="D42" s="18"/>
      <c r="E42" s="22">
        <f>IF(ISBLANK(A42),"",     SUMIF(CATEGORIAS[[#All],[FORMATO
 GENERAL]],     A42,     CATEGORIAS[[#All],[PRESUPUESTO
(ORIGINAL)]]))</f>
        <v>97917948.620726913</v>
      </c>
      <c r="F42" s="22">
        <v>97917949</v>
      </c>
      <c r="G42" s="22">
        <f t="shared" si="1"/>
        <v>-0.37927308678627014</v>
      </c>
      <c r="H42" s="22">
        <f t="shared" si="2"/>
        <v>14065112.925309345</v>
      </c>
      <c r="I42" s="22">
        <v>14065113</v>
      </c>
      <c r="J42" s="22">
        <f t="shared" si="3"/>
        <v>-7.4690654873847961E-2</v>
      </c>
      <c r="K42" s="22">
        <f>IF(ISBLANK(A42),"",SUMIF(CATEGORIAS[[#All],[FORMATO
 GENERAL]],     A42,       CATEGORIAS[[#All],[PRESUPUESTO
FINAL
PROYECTADO]]))</f>
        <v>111983061.54603626</v>
      </c>
      <c r="L42" s="30">
        <v>111983062</v>
      </c>
      <c r="M42" s="30">
        <f t="shared" si="4"/>
        <v>-0.4539637416601181</v>
      </c>
      <c r="N42" s="23"/>
      <c r="O42" s="22">
        <f>IF(ISBLANK(A42),"",R42-SUMIF(CATEGORIAS[[#All],[FORMATO
 GENERAL]],     A42,     CATEGORIAS[[#All],[COSTO REAL
ANTERIOR]]))</f>
        <v>8072824.3999999985</v>
      </c>
      <c r="P42" s="22">
        <v>8072824</v>
      </c>
      <c r="Q42" s="22">
        <f t="shared" si="5"/>
        <v>0.39999999850988388</v>
      </c>
      <c r="R42" s="22">
        <f>IF(ISBLANK(A42),"",SUMIF(CATEGORIAS[[#All],[FORMATO
 GENERAL]],     A42,     CATEGORIAS[[#All],[COSTO REAL]]))</f>
        <v>27299906.399999999</v>
      </c>
      <c r="S42" s="22">
        <v>27299906</v>
      </c>
      <c r="T42" s="22">
        <f t="shared" si="6"/>
        <v>0.39999999850988388</v>
      </c>
      <c r="U42" s="22">
        <f>IF(ISBLANK(A42),"",SUMIF(CATEGORIAS[[#All],[FORMATO
 GENERAL]],     A42,     CATEGORIAS[[#All],[TOTAL PRODUCCION
ACTUAL]]))</f>
        <v>36626305.924395055</v>
      </c>
      <c r="V42" s="22">
        <v>36626306</v>
      </c>
      <c r="W42" s="22">
        <f t="shared" si="7"/>
        <v>-7.5604945421218872E-2</v>
      </c>
      <c r="X42" s="22">
        <f>IF(ISBLANK(A42),"",SUMIF(CATEGORIAS[[#All],[FORMATO
 GENERAL]],     A42,     CATEGORIAS[[#All],[PROYECCION
TOTAL DE COSTO]]))</f>
        <v>84683155.146036267</v>
      </c>
      <c r="Y42" s="30">
        <v>84683155</v>
      </c>
      <c r="Z42" s="30">
        <f t="shared" si="8"/>
        <v>0.14603626728057861</v>
      </c>
      <c r="AA42" s="23"/>
      <c r="AB42" s="22">
        <f t="shared" si="0"/>
        <v>0</v>
      </c>
      <c r="AD42" s="244">
        <f t="shared" si="9"/>
        <v>0</v>
      </c>
    </row>
    <row r="43" spans="1:30" ht="13.5" customHeight="1" x14ac:dyDescent="0.25">
      <c r="A43" s="70" t="s">
        <v>2419</v>
      </c>
      <c r="B43" s="69"/>
      <c r="C43" s="25" t="s">
        <v>81</v>
      </c>
      <c r="D43" s="18"/>
      <c r="E43" s="22">
        <f>IF(ISBLANK(A43),"",     SUMIF(CATEGORIAS[[#All],[FORMATO
 GENERAL]],     A43,     CATEGORIAS[[#All],[PRESUPUESTO
(ORIGINAL)]]))</f>
        <v>169007626.47784966</v>
      </c>
      <c r="F43" s="22">
        <v>169007626</v>
      </c>
      <c r="G43" s="22">
        <f t="shared" si="1"/>
        <v>0.47784966230392456</v>
      </c>
      <c r="H43" s="22">
        <f t="shared" si="2"/>
        <v>0</v>
      </c>
      <c r="I43" s="22"/>
      <c r="J43" s="22">
        <f t="shared" si="3"/>
        <v>0</v>
      </c>
      <c r="K43" s="22">
        <f>IF(ISBLANK(A43),"",SUMIF(CATEGORIAS[[#All],[FORMATO
 GENERAL]],     A43,       CATEGORIAS[[#All],[PRESUPUESTO
FINAL
PROYECTADO]]))</f>
        <v>169007626.47784966</v>
      </c>
      <c r="L43" s="30">
        <v>169007626</v>
      </c>
      <c r="M43" s="30">
        <f t="shared" si="4"/>
        <v>0.47784966230392456</v>
      </c>
      <c r="N43" s="23"/>
      <c r="O43" s="22">
        <f>IF(ISBLANK(A43),"",R43-SUMIF(CATEGORIAS[[#All],[FORMATO
 GENERAL]],     A43,     CATEGORIAS[[#All],[COSTO REAL
ANTERIOR]]))</f>
        <v>9351964</v>
      </c>
      <c r="P43" s="22">
        <v>9351964</v>
      </c>
      <c r="Q43" s="22">
        <f t="shared" si="5"/>
        <v>0</v>
      </c>
      <c r="R43" s="22">
        <f>IF(ISBLANK(A43),"",SUMIF(CATEGORIAS[[#All],[FORMATO
 GENERAL]],     A43,     CATEGORIAS[[#All],[COSTO REAL]]))</f>
        <v>26964885</v>
      </c>
      <c r="S43" s="22">
        <v>26964885</v>
      </c>
      <c r="T43" s="22">
        <f t="shared" si="6"/>
        <v>0</v>
      </c>
      <c r="U43" s="22">
        <f>IF(ISBLANK(A43),"",SUMIF(CATEGORIAS[[#All],[FORMATO
 GENERAL]],     A43,     CATEGORIAS[[#All],[TOTAL PRODUCCION
ACTUAL]]))</f>
        <v>64347808.25306838</v>
      </c>
      <c r="V43" s="22">
        <v>64347808</v>
      </c>
      <c r="W43" s="22">
        <f t="shared" si="7"/>
        <v>0.25306838005781174</v>
      </c>
      <c r="X43" s="22">
        <f>IF(ISBLANK(A43),"",SUMIF(CATEGORIAS[[#All],[FORMATO
 GENERAL]],     A43,     CATEGORIAS[[#All],[PROYECCION
TOTAL DE COSTO]]))</f>
        <v>142042741.47784966</v>
      </c>
      <c r="Y43" s="30">
        <v>142042741</v>
      </c>
      <c r="Z43" s="30">
        <f t="shared" si="8"/>
        <v>0.47784966230392456</v>
      </c>
      <c r="AA43" s="23"/>
      <c r="AB43" s="22">
        <f t="shared" si="0"/>
        <v>0</v>
      </c>
      <c r="AD43" s="244">
        <f t="shared" si="9"/>
        <v>0</v>
      </c>
    </row>
    <row r="44" spans="1:30" ht="13.5" customHeight="1" x14ac:dyDescent="0.25">
      <c r="A44" s="70" t="s">
        <v>2420</v>
      </c>
      <c r="B44" s="69"/>
      <c r="C44" s="25" t="s">
        <v>82</v>
      </c>
      <c r="D44" s="18"/>
      <c r="E44" s="22">
        <f>IF(ISBLANK(A44),"",     SUMIF(CATEGORIAS[[#All],[FORMATO
 GENERAL]],     A44,     CATEGORIAS[[#All],[PRESUPUESTO
(ORIGINAL)]]))</f>
        <v>59671798.125000007</v>
      </c>
      <c r="F44" s="22">
        <v>59671798</v>
      </c>
      <c r="G44" s="22">
        <f t="shared" si="1"/>
        <v>0.1250000074505806</v>
      </c>
      <c r="H44" s="22">
        <f t="shared" si="2"/>
        <v>3952523.3598498255</v>
      </c>
      <c r="I44" s="22">
        <v>3952523</v>
      </c>
      <c r="J44" s="22">
        <f t="shared" si="3"/>
        <v>0.35984982550144196</v>
      </c>
      <c r="K44" s="22">
        <f>IF(ISBLANK(A44),"",SUMIF(CATEGORIAS[[#All],[FORMATO
 GENERAL]],     A44,       CATEGORIAS[[#All],[PRESUPUESTO
FINAL
PROYECTADO]]))</f>
        <v>63624321.484849833</v>
      </c>
      <c r="L44" s="30">
        <v>63624321</v>
      </c>
      <c r="M44" s="30">
        <f t="shared" si="4"/>
        <v>0.48484983295202255</v>
      </c>
      <c r="N44" s="23"/>
      <c r="O44" s="22">
        <f>IF(ISBLANK(A44),"",R44-SUMIF(CATEGORIAS[[#All],[FORMATO
 GENERAL]],     A44,     CATEGORIAS[[#All],[COSTO REAL
ANTERIOR]]))</f>
        <v>9086877</v>
      </c>
      <c r="P44" s="22">
        <v>9086877</v>
      </c>
      <c r="Q44" s="22">
        <f t="shared" si="5"/>
        <v>0</v>
      </c>
      <c r="R44" s="22">
        <f>IF(ISBLANK(A44),"",SUMIF(CATEGORIAS[[#All],[FORMATO
 GENERAL]],     A44,     CATEGORIAS[[#All],[COSTO REAL]]))</f>
        <v>35331776</v>
      </c>
      <c r="S44" s="22">
        <v>35331776</v>
      </c>
      <c r="T44" s="22">
        <f t="shared" si="6"/>
        <v>0</v>
      </c>
      <c r="U44" s="22">
        <f>IF(ISBLANK(A44),"",SUMIF(CATEGORIAS[[#All],[FORMATO
 GENERAL]],     A44,     CATEGORIAS[[#All],[TOTAL PRODUCCION
ACTUAL]]))</f>
        <v>22703669.606045146</v>
      </c>
      <c r="V44" s="22">
        <v>22703670</v>
      </c>
      <c r="W44" s="22">
        <f t="shared" si="7"/>
        <v>-0.39395485445857048</v>
      </c>
      <c r="X44" s="22">
        <f>IF(ISBLANK(A44),"",SUMIF(CATEGORIAS[[#All],[FORMATO
 GENERAL]],     A44,     CATEGORIAS[[#All],[PROYECCION
TOTAL DE COSTO]]))</f>
        <v>28292545.484849833</v>
      </c>
      <c r="Y44" s="30">
        <v>28292545</v>
      </c>
      <c r="Z44" s="30">
        <f t="shared" si="8"/>
        <v>0.48484983295202255</v>
      </c>
      <c r="AA44" s="23"/>
      <c r="AB44" s="22">
        <f t="shared" si="0"/>
        <v>0</v>
      </c>
      <c r="AD44" s="244">
        <f t="shared" si="9"/>
        <v>0</v>
      </c>
    </row>
    <row r="45" spans="1:30" ht="13.5" customHeight="1" x14ac:dyDescent="0.25">
      <c r="A45" s="70" t="s">
        <v>2421</v>
      </c>
      <c r="B45" s="69"/>
      <c r="C45" s="25" t="s">
        <v>83</v>
      </c>
      <c r="D45" s="18"/>
      <c r="E45" s="22">
        <f>IF(ISBLANK(A45),"",     SUMIF(CATEGORIAS[[#All],[FORMATO
 GENERAL]],     A45,     CATEGORIAS[[#All],[PRESUPUESTO
(ORIGINAL)]]))</f>
        <v>14063139.450000001</v>
      </c>
      <c r="F45" s="22">
        <v>14063139</v>
      </c>
      <c r="G45" s="22">
        <f t="shared" si="1"/>
        <v>0.45000000111758709</v>
      </c>
      <c r="H45" s="22">
        <f>IF(ISBLANK(A45),"",K45-E45)</f>
        <v>454313.02986779623</v>
      </c>
      <c r="I45" s="22">
        <v>454313</v>
      </c>
      <c r="J45" s="22">
        <f t="shared" si="3"/>
        <v>2.986779622733593E-2</v>
      </c>
      <c r="K45" s="22">
        <f>IF(ISBLANK(A45),"",SUMIF(CATEGORIAS[[#All],[FORMATO
 GENERAL]],     A45,       CATEGORIAS[[#All],[PRESUPUESTO
FINAL
PROYECTADO]]))</f>
        <v>14517452.479867797</v>
      </c>
      <c r="L45" s="30">
        <v>14517452</v>
      </c>
      <c r="M45" s="30">
        <f t="shared" si="4"/>
        <v>0.47986779734492302</v>
      </c>
      <c r="N45" s="23"/>
      <c r="O45" s="22">
        <f>IF(ISBLANK(A45),"",R45-SUMIF(CATEGORIAS[[#All],[FORMATO
 GENERAL]],     A45,     CATEGORIAS[[#All],[COSTO REAL
ANTERIOR]]))</f>
        <v>5633842</v>
      </c>
      <c r="P45" s="22">
        <v>5633842</v>
      </c>
      <c r="Q45" s="22">
        <f t="shared" si="5"/>
        <v>0</v>
      </c>
      <c r="R45" s="22">
        <f>IF(ISBLANK(A45),"",SUMIF(CATEGORIAS[[#All],[FORMATO
 GENERAL]],     A45,     CATEGORIAS[[#All],[COSTO REAL]]))</f>
        <v>14022512</v>
      </c>
      <c r="S45" s="22">
        <v>14022512</v>
      </c>
      <c r="T45" s="22">
        <f t="shared" si="6"/>
        <v>0</v>
      </c>
      <c r="U45" s="22">
        <f>IF(ISBLANK(A45),"",SUMIF(CATEGORIAS[[#All],[FORMATO
 GENERAL]],     A45,     CATEGORIAS[[#All],[TOTAL PRODUCCION
ACTUAL]]))</f>
        <v>4959072.760569633</v>
      </c>
      <c r="V45" s="22">
        <v>4959073</v>
      </c>
      <c r="W45" s="22">
        <f t="shared" si="7"/>
        <v>-0.23943036701530218</v>
      </c>
      <c r="X45" s="22">
        <f>IF(ISBLANK(A45),"",SUMIF(CATEGORIAS[[#All],[FORMATO
 GENERAL]],     A45,     CATEGORIAS[[#All],[PROYECCION
TOTAL DE COSTO]]))</f>
        <v>494940.47986779734</v>
      </c>
      <c r="Y45" s="30">
        <v>494940</v>
      </c>
      <c r="Z45" s="30">
        <f t="shared" si="8"/>
        <v>0.47986779734492302</v>
      </c>
      <c r="AA45" s="23"/>
      <c r="AB45" s="22">
        <f>IF(ISBLANK(A45),"",TRUNC(K45-R45-X45,2))</f>
        <v>0</v>
      </c>
      <c r="AD45" s="244">
        <f t="shared" si="9"/>
        <v>0</v>
      </c>
    </row>
    <row r="46" spans="1:30" ht="13.5" customHeight="1" x14ac:dyDescent="0.25">
      <c r="A46" s="70" t="s">
        <v>2422</v>
      </c>
      <c r="B46" s="69"/>
      <c r="C46" s="25" t="s">
        <v>84</v>
      </c>
      <c r="D46" s="18"/>
      <c r="E46" s="22">
        <f>IF(ISBLANK(A46),"",     SUMIF(CATEGORIAS[[#All],[FORMATO
 GENERAL]],     A46,     CATEGORIAS[[#All],[PRESUPUESTO
(ORIGINAL)]]))</f>
        <v>11480361.030000003</v>
      </c>
      <c r="F46" s="22">
        <v>11480361</v>
      </c>
      <c r="G46" s="22">
        <f t="shared" si="1"/>
        <v>3.0000003054738045E-2</v>
      </c>
      <c r="H46" s="22">
        <f t="shared" si="2"/>
        <v>454313.02986779623</v>
      </c>
      <c r="I46" s="22">
        <v>454313</v>
      </c>
      <c r="J46" s="22">
        <f t="shared" si="3"/>
        <v>2.986779622733593E-2</v>
      </c>
      <c r="K46" s="22">
        <f>IF(ISBLANK(A46),"",SUMIF(CATEGORIAS[[#All],[FORMATO
 GENERAL]],     A46,       CATEGORIAS[[#All],[PRESUPUESTO
FINAL
PROYECTADO]]))</f>
        <v>11934674.059867799</v>
      </c>
      <c r="L46" s="30">
        <v>11934674</v>
      </c>
      <c r="M46" s="30">
        <f t="shared" si="4"/>
        <v>5.9867799282073975E-2</v>
      </c>
      <c r="N46" s="23"/>
      <c r="O46" s="22">
        <f>IF(ISBLANK(A46),"",R46-SUMIF(CATEGORIAS[[#All],[FORMATO
 GENERAL]],     A46,     CATEGORIAS[[#All],[COSTO REAL
ANTERIOR]]))</f>
        <v>93195</v>
      </c>
      <c r="P46" s="22">
        <v>93195</v>
      </c>
      <c r="Q46" s="22">
        <f t="shared" si="5"/>
        <v>0</v>
      </c>
      <c r="R46" s="22">
        <f>IF(ISBLANK(A46),"",SUMIF(CATEGORIAS[[#All],[FORMATO
 GENERAL]],     A46,     CATEGORIAS[[#All],[COSTO REAL]]))</f>
        <v>347266</v>
      </c>
      <c r="S46" s="22">
        <v>347266</v>
      </c>
      <c r="T46" s="22">
        <f t="shared" si="6"/>
        <v>0</v>
      </c>
      <c r="U46" s="22">
        <f>IF(ISBLANK(A46),"",SUMIF(CATEGORIAS[[#All],[FORMATO
 GENERAL]],     A46,     CATEGORIAS[[#All],[TOTAL PRODUCCION
ACTUAL]]))</f>
        <v>4147332.9075696324</v>
      </c>
      <c r="V46" s="22">
        <v>4147333</v>
      </c>
      <c r="W46" s="22">
        <f t="shared" si="7"/>
        <v>-9.2430367600172758E-2</v>
      </c>
      <c r="X46" s="22">
        <f>IF(ISBLANK(A46),"",SUMIF(CATEGORIAS[[#All],[FORMATO
 GENERAL]],     A46,     CATEGORIAS[[#All],[PROYECCION
TOTAL DE COSTO]]))</f>
        <v>11587408.059867799</v>
      </c>
      <c r="Y46" s="30">
        <v>11587408</v>
      </c>
      <c r="Z46" s="30">
        <f t="shared" si="8"/>
        <v>5.9867799282073975E-2</v>
      </c>
      <c r="AA46" s="23"/>
      <c r="AB46" s="22">
        <f t="shared" si="0"/>
        <v>0</v>
      </c>
      <c r="AD46" s="244">
        <f t="shared" si="9"/>
        <v>0</v>
      </c>
    </row>
    <row r="47" spans="1:30" ht="13.5" customHeight="1" x14ac:dyDescent="0.25">
      <c r="A47" s="70" t="s">
        <v>2423</v>
      </c>
      <c r="B47" s="69"/>
      <c r="C47" s="25" t="s">
        <v>85</v>
      </c>
      <c r="D47" s="18"/>
      <c r="E47" s="22">
        <f>IF(ISBLANK(A47),"",     SUMIF(CATEGORIAS[[#All],[FORMATO
 GENERAL]],     A47,     CATEGORIAS[[#All],[PRESUPUESTO
(ORIGINAL)]]))</f>
        <v>0</v>
      </c>
      <c r="F47" s="22"/>
      <c r="G47" s="22">
        <f t="shared" si="1"/>
        <v>0</v>
      </c>
      <c r="H47" s="22">
        <f t="shared" ref="H47" si="12">IF(ISBLANK(A47),"",K47-E47)</f>
        <v>0</v>
      </c>
      <c r="I47" s="22"/>
      <c r="J47" s="22">
        <f t="shared" si="3"/>
        <v>0</v>
      </c>
      <c r="K47" s="22">
        <f>IF(ISBLANK(A47),"",SUMIF(CATEGORIAS[[#All],[FORMATO
 GENERAL]],     A47,       CATEGORIAS[[#All],[PRESUPUESTO
FINAL
PROYECTADO]]))</f>
        <v>0</v>
      </c>
      <c r="L47" s="30"/>
      <c r="M47" s="30">
        <f t="shared" si="4"/>
        <v>0</v>
      </c>
      <c r="N47" s="23"/>
      <c r="O47" s="22">
        <f>IF(ISBLANK(A47),"",R47-SUMIF(CATEGORIAS[[#All],[FORMATO
 GENERAL]],     A47,     CATEGORIAS[[#All],[COSTO REAL
ANTERIOR]]))</f>
        <v>0</v>
      </c>
      <c r="P47" s="22"/>
      <c r="Q47" s="22">
        <f t="shared" si="5"/>
        <v>0</v>
      </c>
      <c r="R47" s="22">
        <f>IF(ISBLANK(A47),"",SUMIF(CATEGORIAS[[#All],[FORMATO
 GENERAL]],     A47,     CATEGORIAS[[#All],[COSTO REAL]]))</f>
        <v>0</v>
      </c>
      <c r="S47" s="22"/>
      <c r="T47" s="22">
        <f t="shared" si="6"/>
        <v>0</v>
      </c>
      <c r="U47" s="22">
        <f>IF(ISBLANK(A47),"",SUMIF(CATEGORIAS[[#All],[FORMATO
 GENERAL]],     A47,     CATEGORIAS[[#All],[TOTAL PRODUCCION
ACTUAL]]))</f>
        <v>0</v>
      </c>
      <c r="V47" s="22"/>
      <c r="W47" s="22">
        <f t="shared" si="7"/>
        <v>0</v>
      </c>
      <c r="X47" s="22">
        <f>IF(ISBLANK(A47),"",SUMIF(CATEGORIAS[[#All],[FORMATO
 GENERAL]],     A47,     CATEGORIAS[[#All],[PROYECCION
TOTAL DE COSTO]]))</f>
        <v>0</v>
      </c>
      <c r="Y47" s="30"/>
      <c r="Z47" s="30">
        <f t="shared" si="8"/>
        <v>0</v>
      </c>
      <c r="AA47" s="23"/>
      <c r="AB47" s="22">
        <f t="shared" ref="AB47" si="13">IF(ISBLANK(A47),"",TRUNC(K47-R47-X47,2))</f>
        <v>0</v>
      </c>
      <c r="AD47" s="244">
        <f t="shared" si="9"/>
        <v>0</v>
      </c>
    </row>
    <row r="48" spans="1:30" ht="13.5" customHeight="1" x14ac:dyDescent="0.25">
      <c r="A48" s="70" t="s">
        <v>2424</v>
      </c>
      <c r="B48" s="69"/>
      <c r="C48" s="25" t="s">
        <v>86</v>
      </c>
      <c r="D48" s="18"/>
      <c r="E48" s="22">
        <f>IF(ISBLANK(A48),"",     SUMIF(CATEGORIAS[[#All],[FORMATO
 GENERAL]],     A48,     CATEGORIAS[[#All],[PRESUPUESTO
(ORIGINAL)]]))</f>
        <v>0</v>
      </c>
      <c r="F48" s="22"/>
      <c r="G48" s="22">
        <f t="shared" si="1"/>
        <v>0</v>
      </c>
      <c r="H48" s="22">
        <f t="shared" si="2"/>
        <v>0</v>
      </c>
      <c r="I48" s="22"/>
      <c r="J48" s="22">
        <f t="shared" si="3"/>
        <v>0</v>
      </c>
      <c r="K48" s="22">
        <f>IF(ISBLANK(A48),"",SUMIF(CATEGORIAS[[#All],[FORMATO
 GENERAL]],     A48,       CATEGORIAS[[#All],[PRESUPUESTO
FINAL
PROYECTADO]]))</f>
        <v>0</v>
      </c>
      <c r="L48" s="30"/>
      <c r="M48" s="30">
        <f t="shared" si="4"/>
        <v>0</v>
      </c>
      <c r="N48" s="23"/>
      <c r="O48" s="22">
        <f>IF(ISBLANK(A48),"",R48-SUMIF(CATEGORIAS[[#All],[FORMATO
 GENERAL]],     A48,     CATEGORIAS[[#All],[COSTO REAL
ANTERIOR]]))</f>
        <v>0</v>
      </c>
      <c r="P48" s="22"/>
      <c r="Q48" s="22">
        <f t="shared" si="5"/>
        <v>0</v>
      </c>
      <c r="R48" s="22">
        <f>IF(ISBLANK(A48),"",SUMIF(CATEGORIAS[[#All],[FORMATO
 GENERAL]],     A48,     CATEGORIAS[[#All],[COSTO REAL]]))</f>
        <v>0</v>
      </c>
      <c r="S48" s="22"/>
      <c r="T48" s="22">
        <f t="shared" si="6"/>
        <v>0</v>
      </c>
      <c r="U48" s="22">
        <f>IF(ISBLANK(A48),"",SUMIF(CATEGORIAS[[#All],[FORMATO
 GENERAL]],     A48,     CATEGORIAS[[#All],[TOTAL PRODUCCION
ACTUAL]]))</f>
        <v>0</v>
      </c>
      <c r="V48" s="22"/>
      <c r="W48" s="22">
        <f t="shared" si="7"/>
        <v>0</v>
      </c>
      <c r="X48" s="22">
        <f>IF(ISBLANK(A48),"",SUMIF(CATEGORIAS[[#All],[FORMATO
 GENERAL]],     A48,     CATEGORIAS[[#All],[PROYECCION
TOTAL DE COSTO]]))</f>
        <v>0</v>
      </c>
      <c r="Y48" s="30"/>
      <c r="Z48" s="30">
        <f t="shared" si="8"/>
        <v>0</v>
      </c>
      <c r="AA48" s="23"/>
      <c r="AB48" s="22">
        <f t="shared" si="0"/>
        <v>0</v>
      </c>
      <c r="AD48" s="244">
        <f t="shared" si="9"/>
        <v>0</v>
      </c>
    </row>
    <row r="49" spans="1:30" ht="13.5" customHeight="1" x14ac:dyDescent="0.25">
      <c r="A49" s="70" t="s">
        <v>2425</v>
      </c>
      <c r="B49" s="69"/>
      <c r="C49" s="25" t="s">
        <v>86</v>
      </c>
      <c r="D49" s="18"/>
      <c r="E49" s="22">
        <f>IF(ISBLANK(A49),"",     SUMIF(CATEGORIAS[[#All],[FORMATO
 GENERAL]],     A49,     CATEGORIAS[[#All],[PRESUPUESTO
(ORIGINAL)]]))</f>
        <v>0</v>
      </c>
      <c r="F49" s="22"/>
      <c r="G49" s="22">
        <f t="shared" si="1"/>
        <v>0</v>
      </c>
      <c r="H49" s="22">
        <f t="shared" ref="H49:H50" si="14">IF(ISBLANK(A49),"",K49-E49)</f>
        <v>0</v>
      </c>
      <c r="I49" s="22"/>
      <c r="J49" s="22">
        <f t="shared" si="3"/>
        <v>0</v>
      </c>
      <c r="K49" s="22">
        <f>IF(ISBLANK(A49),"",SUMIF(CATEGORIAS[[#All],[FORMATO
 GENERAL]],     A49,       CATEGORIAS[[#All],[PRESUPUESTO
FINAL
PROYECTADO]]))</f>
        <v>0</v>
      </c>
      <c r="L49" s="30"/>
      <c r="M49" s="30">
        <f t="shared" si="4"/>
        <v>0</v>
      </c>
      <c r="N49" s="23"/>
      <c r="O49" s="22">
        <f>IF(ISBLANK(A49),"",R49-SUMIF(CATEGORIAS[[#All],[FORMATO
 GENERAL]],     A49,     CATEGORIAS[[#All],[COSTO REAL
ANTERIOR]]))</f>
        <v>0</v>
      </c>
      <c r="P49" s="22"/>
      <c r="Q49" s="22">
        <f t="shared" si="5"/>
        <v>0</v>
      </c>
      <c r="R49" s="22">
        <f>IF(ISBLANK(A49),"",SUMIF(CATEGORIAS[[#All],[FORMATO
 GENERAL]],     A49,     CATEGORIAS[[#All],[COSTO REAL]]))</f>
        <v>0</v>
      </c>
      <c r="S49" s="22"/>
      <c r="T49" s="22">
        <f t="shared" si="6"/>
        <v>0</v>
      </c>
      <c r="U49" s="22">
        <f>IF(ISBLANK(A49),"",SUMIF(CATEGORIAS[[#All],[FORMATO
 GENERAL]],     A49,     CATEGORIAS[[#All],[TOTAL PRODUCCION
ACTUAL]]))</f>
        <v>0</v>
      </c>
      <c r="V49" s="22"/>
      <c r="W49" s="22">
        <f t="shared" si="7"/>
        <v>0</v>
      </c>
      <c r="X49" s="22">
        <f>IF(ISBLANK(A49),"",SUMIF(CATEGORIAS[[#All],[FORMATO
 GENERAL]],     A49,     CATEGORIAS[[#All],[PROYECCION
TOTAL DE COSTO]]))</f>
        <v>0</v>
      </c>
      <c r="Y49" s="30"/>
      <c r="Z49" s="30">
        <f t="shared" si="8"/>
        <v>0</v>
      </c>
      <c r="AA49" s="23"/>
      <c r="AB49" s="22">
        <f t="shared" ref="AB49:AB50" si="15">IF(ISBLANK(A49),"",TRUNC(K49-R49-X49,2))</f>
        <v>0</v>
      </c>
      <c r="AD49" s="244">
        <f t="shared" si="9"/>
        <v>0</v>
      </c>
    </row>
    <row r="50" spans="1:30" ht="13.5" customHeight="1" x14ac:dyDescent="0.25">
      <c r="A50" s="70" t="s">
        <v>2426</v>
      </c>
      <c r="B50" s="69"/>
      <c r="C50" s="25" t="s">
        <v>86</v>
      </c>
      <c r="D50" s="18"/>
      <c r="E50" s="22">
        <f>IF(ISBLANK(A50),"",     SUMIF(CATEGORIAS[[#All],[FORMATO
 GENERAL]],     A50,     CATEGORIAS[[#All],[PRESUPUESTO
(ORIGINAL)]]))</f>
        <v>0</v>
      </c>
      <c r="F50" s="22"/>
      <c r="G50" s="22">
        <f t="shared" si="1"/>
        <v>0</v>
      </c>
      <c r="H50" s="22">
        <f t="shared" si="14"/>
        <v>0</v>
      </c>
      <c r="I50" s="22"/>
      <c r="J50" s="22">
        <f t="shared" si="3"/>
        <v>0</v>
      </c>
      <c r="K50" s="22">
        <f>IF(ISBLANK(A50),"",SUMIF(CATEGORIAS[[#All],[FORMATO
 GENERAL]],     A50,       CATEGORIAS[[#All],[PRESUPUESTO
FINAL
PROYECTADO]]))</f>
        <v>0</v>
      </c>
      <c r="L50" s="30"/>
      <c r="M50" s="30">
        <f t="shared" si="4"/>
        <v>0</v>
      </c>
      <c r="N50" s="23"/>
      <c r="O50" s="22">
        <f>IF(ISBLANK(A50),"",R50-SUMIF(CATEGORIAS[[#All],[FORMATO
 GENERAL]],     A50,     CATEGORIAS[[#All],[COSTO REAL
ANTERIOR]]))</f>
        <v>0</v>
      </c>
      <c r="P50" s="22"/>
      <c r="Q50" s="22">
        <f t="shared" si="5"/>
        <v>0</v>
      </c>
      <c r="R50" s="22">
        <f>IF(ISBLANK(A50),"",SUMIF(CATEGORIAS[[#All],[FORMATO
 GENERAL]],     A50,     CATEGORIAS[[#All],[COSTO REAL]]))</f>
        <v>0</v>
      </c>
      <c r="S50" s="22"/>
      <c r="T50" s="22">
        <f t="shared" si="6"/>
        <v>0</v>
      </c>
      <c r="U50" s="22">
        <f>IF(ISBLANK(A50),"",SUMIF(CATEGORIAS[[#All],[FORMATO
 GENERAL]],     A50,     CATEGORIAS[[#All],[TOTAL PRODUCCION
ACTUAL]]))</f>
        <v>0</v>
      </c>
      <c r="V50" s="22"/>
      <c r="W50" s="22">
        <f t="shared" si="7"/>
        <v>0</v>
      </c>
      <c r="X50" s="22">
        <f>IF(ISBLANK(A50),"",SUMIF(CATEGORIAS[[#All],[FORMATO
 GENERAL]],     A50,     CATEGORIAS[[#All],[PROYECCION
TOTAL DE COSTO]]))</f>
        <v>0</v>
      </c>
      <c r="Y50" s="30"/>
      <c r="Z50" s="30">
        <f t="shared" si="8"/>
        <v>0</v>
      </c>
      <c r="AA50" s="23"/>
      <c r="AB50" s="22">
        <f t="shared" si="15"/>
        <v>0</v>
      </c>
      <c r="AD50" s="244">
        <f t="shared" si="9"/>
        <v>0</v>
      </c>
    </row>
    <row r="51" spans="1:30" ht="13.5" customHeight="1" x14ac:dyDescent="0.25">
      <c r="A51" s="70"/>
      <c r="B51" s="69"/>
      <c r="C51" s="21" t="s">
        <v>87</v>
      </c>
      <c r="D51" s="18"/>
      <c r="E51" s="22" t="str">
        <f>IF(ISBLANK(A51),"",     SUMIF(CATEGORIAS[[#All],[FORMATO
 GENERAL]],     A51,     CATEGORIAS[[#All],[PRESUPUESTO
(ORIGINAL)]]))</f>
        <v/>
      </c>
      <c r="F51" s="22"/>
      <c r="G51" s="22" t="e">
        <f t="shared" si="1"/>
        <v>#VALUE!</v>
      </c>
      <c r="H51" s="22" t="str">
        <f t="shared" si="2"/>
        <v/>
      </c>
      <c r="I51" s="22"/>
      <c r="J51" s="22" t="e">
        <f t="shared" si="3"/>
        <v>#VALUE!</v>
      </c>
      <c r="K51" s="22" t="str">
        <f>IF(ISBLANK(A51),"",SUMIF(CATEGORIAS[[#All],[FORMATO
 GENERAL]],     A51,       CATEGORIAS[[#All],[PRESUPUESTO
FINAL
PROYECTADO]]))</f>
        <v/>
      </c>
      <c r="L51" s="30"/>
      <c r="M51" s="30" t="e">
        <f t="shared" si="4"/>
        <v>#VALUE!</v>
      </c>
      <c r="N51" s="23"/>
      <c r="O51" s="22" t="str">
        <f>IF(ISBLANK(A51),"",R51-SUMIF(CATEGORIAS[[#All],[FORMATO
 GENERAL]],     A51,     CATEGORIAS[[#All],[COSTO REAL
ANTERIOR]]))</f>
        <v/>
      </c>
      <c r="P51" s="22"/>
      <c r="Q51" s="22" t="e">
        <f t="shared" si="5"/>
        <v>#VALUE!</v>
      </c>
      <c r="R51" s="22" t="str">
        <f>IF(ISBLANK(A51),"",SUMIF(CATEGORIAS[[#All],[FORMATO
 GENERAL]],     A51,     CATEGORIAS[[#All],[COSTO REAL]]))</f>
        <v/>
      </c>
      <c r="S51" s="22"/>
      <c r="T51" s="22" t="e">
        <f t="shared" si="6"/>
        <v>#VALUE!</v>
      </c>
      <c r="U51" s="22" t="str">
        <f>IF(ISBLANK(A51),"",SUMIF(CATEGORIAS[[#All],[FORMATO
 GENERAL]],     A51,     CATEGORIAS[[#All],[TOTAL PRODUCCION
ACTUAL]]))</f>
        <v/>
      </c>
      <c r="V51" s="22"/>
      <c r="W51" s="22" t="e">
        <f t="shared" si="7"/>
        <v>#VALUE!</v>
      </c>
      <c r="X51" s="22" t="str">
        <f>IF(ISBLANK(A51),"",SUMIF(CATEGORIAS[[#All],[FORMATO
 GENERAL]],     A51,     CATEGORIAS[[#All],[PROYECCION
TOTAL DE COSTO]]))</f>
        <v/>
      </c>
      <c r="Y51" s="30"/>
      <c r="Z51" s="30" t="e">
        <f t="shared" si="8"/>
        <v>#VALUE!</v>
      </c>
      <c r="AA51" s="23"/>
      <c r="AB51" s="22" t="str">
        <f t="shared" si="0"/>
        <v/>
      </c>
      <c r="AD51" s="244" t="e">
        <f t="shared" si="9"/>
        <v>#VALUE!</v>
      </c>
    </row>
    <row r="52" spans="1:30" ht="13.5" customHeight="1" x14ac:dyDescent="0.25">
      <c r="A52" s="70" t="s">
        <v>2427</v>
      </c>
      <c r="B52" s="69" t="s">
        <v>88</v>
      </c>
      <c r="C52" s="21" t="s">
        <v>89</v>
      </c>
      <c r="D52" s="18"/>
      <c r="E52" s="27">
        <f>IF(ISBLANK(A52),"",     SUMIF(CATEGORIAS[[#All],[FORMATO
 GENERAL]],     A52,     CATEGORIAS[[#All],[PRESUPUESTO
(ORIGINAL)]]))</f>
        <v>740872631.09810007</v>
      </c>
      <c r="F52" s="27">
        <v>740872631</v>
      </c>
      <c r="G52" s="22">
        <f t="shared" si="1"/>
        <v>9.8100066184997559E-2</v>
      </c>
      <c r="H52" s="27">
        <f t="shared" si="2"/>
        <v>53856435.930909991</v>
      </c>
      <c r="I52" s="27">
        <v>53856436</v>
      </c>
      <c r="J52" s="22">
        <f t="shared" si="3"/>
        <v>-6.9090008735656738E-2</v>
      </c>
      <c r="K52" s="27">
        <f>IF(ISBLANK(A52),"",SUMIF(CATEGORIAS[[#All],[FORMATO
 GENERAL]],     A52,       CATEGORIAS[[#All],[PRESUPUESTO
FINAL
PROYECTADO]]))</f>
        <v>794729067.02901006</v>
      </c>
      <c r="L52" s="33">
        <v>794729067</v>
      </c>
      <c r="M52" s="30">
        <f t="shared" si="4"/>
        <v>2.901005744934082E-2</v>
      </c>
      <c r="N52" s="31"/>
      <c r="O52" s="27">
        <f>IF(ISBLANK(A52),"",R52-SUMIF(CATEGORIAS[[#All],[FORMATO
 GENERAL]],     A52,     CATEGORIAS[[#All],[COSTO REAL
ANTERIOR]]))</f>
        <v>65382208.414414406</v>
      </c>
      <c r="P52" s="27">
        <v>65382208</v>
      </c>
      <c r="Q52" s="22">
        <f t="shared" si="5"/>
        <v>0.41441440582275391</v>
      </c>
      <c r="R52" s="27">
        <f>IF(ISBLANK(A52),"",SUMIF(CATEGORIAS[[#All],[FORMATO
 GENERAL]],     A52,     CATEGORIAS[[#All],[COSTO REAL]]))</f>
        <v>267466045.17854217</v>
      </c>
      <c r="S52" s="27">
        <v>267466045</v>
      </c>
      <c r="T52" s="22">
        <f t="shared" si="6"/>
        <v>0.17854216694831848</v>
      </c>
      <c r="U52" s="27">
        <f>IF(ISBLANK(A52),"",SUMIF(CATEGORIAS[[#All],[FORMATO
 GENERAL]],     A52,     CATEGORIAS[[#All],[TOTAL PRODUCCION
ACTUAL]]))</f>
        <v>311132349.8591966</v>
      </c>
      <c r="V52" s="27">
        <v>311132350</v>
      </c>
      <c r="W52" s="22">
        <f t="shared" si="7"/>
        <v>-0.14080339670181274</v>
      </c>
      <c r="X52" s="27">
        <f>IF(ISBLANK(A52),"",SUMIF(CATEGORIAS[[#All],[FORMATO
 GENERAL]],     A52,     CATEGORIAS[[#All],[PROYECCION
TOTAL DE COSTO]]))</f>
        <v>527263018.85046792</v>
      </c>
      <c r="Y52" s="33">
        <v>527263019</v>
      </c>
      <c r="Z52" s="30">
        <f t="shared" si="8"/>
        <v>-0.14953207969665527</v>
      </c>
      <c r="AA52" s="23"/>
      <c r="AB52" s="22">
        <f t="shared" si="0"/>
        <v>3</v>
      </c>
      <c r="AD52" s="244">
        <f t="shared" si="9"/>
        <v>3</v>
      </c>
    </row>
    <row r="53" spans="1:30" ht="13.5" customHeight="1" x14ac:dyDescent="0.25">
      <c r="A53" s="70" t="s">
        <v>2428</v>
      </c>
      <c r="B53" s="69" t="s">
        <v>90</v>
      </c>
      <c r="C53" s="21" t="s">
        <v>91</v>
      </c>
      <c r="D53" s="18"/>
      <c r="E53" s="27">
        <f>IF(ISBLANK(A53),"",     SUMIF(CATEGORIAS[[#All],[FORMATO
 GENERAL]],     A53,     CATEGORIAS[[#All],[PRESUPUESTO
(ORIGINAL)]]))</f>
        <v>104044850.4409</v>
      </c>
      <c r="F53" s="27">
        <v>104044850</v>
      </c>
      <c r="G53" s="22">
        <f t="shared" si="1"/>
        <v>0.44089999794960022</v>
      </c>
      <c r="H53" s="27">
        <f t="shared" si="2"/>
        <v>1169952.4248535931</v>
      </c>
      <c r="I53" s="27">
        <v>1169952</v>
      </c>
      <c r="J53" s="22">
        <f t="shared" si="3"/>
        <v>0.42485359311103821</v>
      </c>
      <c r="K53" s="27">
        <f>IF(ISBLANK(A53),"",SUMIF(CATEGORIAS[[#All],[FORMATO
 GENERAL]],     A53,       CATEGORIAS[[#All],[PRESUPUESTO
FINAL
PROYECTADO]]))</f>
        <v>105214802.86575359</v>
      </c>
      <c r="L53" s="33">
        <v>105214803</v>
      </c>
      <c r="M53" s="30">
        <f t="shared" si="4"/>
        <v>-0.13424640893936157</v>
      </c>
      <c r="N53" s="31"/>
      <c r="O53" s="27">
        <f>IF(ISBLANK(A53),"",R53-SUMIF(CATEGORIAS[[#All],[FORMATO
 GENERAL]],     A53,     CATEGORIAS[[#All],[COSTO REAL
ANTERIOR]]))</f>
        <v>42302275.639600001</v>
      </c>
      <c r="P53" s="27">
        <v>42302276</v>
      </c>
      <c r="Q53" s="22">
        <f t="shared" si="5"/>
        <v>-0.3603999987244606</v>
      </c>
      <c r="R53" s="27">
        <f>IF(ISBLANK(A53),"",SUMIF(CATEGORIAS[[#All],[FORMATO
 GENERAL]],     A53,     CATEGORIAS[[#All],[COSTO REAL]]))</f>
        <v>47669482</v>
      </c>
      <c r="S53" s="27">
        <v>47669482</v>
      </c>
      <c r="T53" s="22">
        <f t="shared" si="6"/>
        <v>0</v>
      </c>
      <c r="U53" s="27">
        <f>IF(ISBLANK(A53),"",SUMIF(CATEGORIAS[[#All],[FORMATO
 GENERAL]],     A53,     CATEGORIAS[[#All],[TOTAL PRODUCCION
ACTUAL]]))</f>
        <v>48494030.323253587</v>
      </c>
      <c r="V53" s="27">
        <v>48494030</v>
      </c>
      <c r="W53" s="22">
        <f t="shared" si="7"/>
        <v>0.32325358688831329</v>
      </c>
      <c r="X53" s="27">
        <f>IF(ISBLANK(A53),"",SUMIF(CATEGORIAS[[#All],[FORMATO
 GENERAL]],     A53,     CATEGORIAS[[#All],[PROYECCION
TOTAL DE COSTO]]))</f>
        <v>57545320.865753591</v>
      </c>
      <c r="Y53" s="33">
        <v>57545321</v>
      </c>
      <c r="Z53" s="30">
        <f t="shared" si="8"/>
        <v>-0.13424640893936157</v>
      </c>
      <c r="AA53" s="23"/>
      <c r="AB53" s="22">
        <f t="shared" si="0"/>
        <v>0</v>
      </c>
      <c r="AD53" s="244">
        <f t="shared" si="9"/>
        <v>0</v>
      </c>
    </row>
    <row r="54" spans="1:30" ht="13.5" customHeight="1" x14ac:dyDescent="0.25">
      <c r="A54" s="70" t="s">
        <v>2429</v>
      </c>
      <c r="B54" s="69" t="s">
        <v>90</v>
      </c>
      <c r="C54" s="21" t="s">
        <v>91</v>
      </c>
      <c r="D54" s="18"/>
      <c r="E54" s="27">
        <f>IF(ISBLANK(A54),"",     SUMIF(CATEGORIAS[[#All],[FORMATO
 GENERAL]],     A54,     CATEGORIAS[[#All],[PRESUPUESTO
(ORIGINAL)]]))</f>
        <v>164811573.62139496</v>
      </c>
      <c r="F54" s="27">
        <v>164811574</v>
      </c>
      <c r="G54" s="22">
        <f t="shared" si="1"/>
        <v>-0.37860503792762756</v>
      </c>
      <c r="H54" s="27">
        <f t="shared" ref="H54" si="16">IF(ISBLANK(A54),"",K54-E54)</f>
        <v>1945496.9318400025</v>
      </c>
      <c r="I54" s="27">
        <v>1945497</v>
      </c>
      <c r="J54" s="22">
        <f t="shared" si="3"/>
        <v>-6.8159997463226318E-2</v>
      </c>
      <c r="K54" s="27">
        <f>IF(ISBLANK(A54),"",SUMIF(CATEGORIAS[[#All],[FORMATO
 GENERAL]],     A54,       CATEGORIAS[[#All],[PRESUPUESTO
FINAL
PROYECTADO]]))</f>
        <v>166757070.55323496</v>
      </c>
      <c r="L54" s="33">
        <v>166757071</v>
      </c>
      <c r="M54" s="30">
        <f t="shared" si="4"/>
        <v>-0.44676503539085388</v>
      </c>
      <c r="N54" s="31"/>
      <c r="O54" s="27">
        <f>IF(ISBLANK(A54),"",R54-SUMIF(CATEGORIAS[[#All],[FORMATO
 GENERAL]],     A54,     CATEGORIAS[[#All],[COSTO REAL
ANTERIOR]]))</f>
        <v>22600348</v>
      </c>
      <c r="P54" s="27">
        <v>22600348</v>
      </c>
      <c r="Q54" s="22">
        <f t="shared" si="5"/>
        <v>0</v>
      </c>
      <c r="R54" s="27">
        <f>IF(ISBLANK(A54),"",SUMIF(CATEGORIAS[[#All],[FORMATO
 GENERAL]],     A54,     CATEGORIAS[[#All],[COSTO REAL]]))</f>
        <v>44689035</v>
      </c>
      <c r="S54" s="27">
        <v>44689035</v>
      </c>
      <c r="T54" s="22">
        <f t="shared" si="6"/>
        <v>0</v>
      </c>
      <c r="U54" s="27">
        <f>IF(ISBLANK(A54),"",SUMIF(CATEGORIAS[[#All],[FORMATO
 GENERAL]],     A54,     CATEGORIAS[[#All],[TOTAL PRODUCCION
ACTUAL]]))</f>
        <v>117813488.61827119</v>
      </c>
      <c r="V54" s="27">
        <v>117813489</v>
      </c>
      <c r="W54" s="22">
        <f t="shared" si="7"/>
        <v>-0.38172881305217743</v>
      </c>
      <c r="X54" s="27">
        <f>IF(ISBLANK(A54),"",SUMIF(CATEGORIAS[[#All],[FORMATO
 GENERAL]],     A54,     CATEGORIAS[[#All],[PROYECCION
TOTAL DE COSTO]]))</f>
        <v>122068035.55323496</v>
      </c>
      <c r="Y54" s="33">
        <v>122068036</v>
      </c>
      <c r="Z54" s="30">
        <f t="shared" si="8"/>
        <v>-0.44676503539085388</v>
      </c>
      <c r="AA54" s="23"/>
      <c r="AB54" s="22">
        <f t="shared" ref="AB54" si="17">IF(ISBLANK(A54),"",TRUNC(K54-R54-X54,2))</f>
        <v>0</v>
      </c>
      <c r="AD54" s="244">
        <f t="shared" si="9"/>
        <v>0</v>
      </c>
    </row>
    <row r="55" spans="1:30" ht="13.5" customHeight="1" x14ac:dyDescent="0.25">
      <c r="A55" s="70" t="s">
        <v>2430</v>
      </c>
      <c r="B55" s="69" t="s">
        <v>92</v>
      </c>
      <c r="C55" s="21" t="s">
        <v>93</v>
      </c>
      <c r="D55" s="18"/>
      <c r="E55" s="27">
        <f>IF(ISBLANK(A55),"",     SUMIF(CATEGORIAS[[#All],[FORMATO
 GENERAL]],     A55,     CATEGORIAS[[#All],[PRESUPUESTO
(ORIGINAL)]]))</f>
        <v>0</v>
      </c>
      <c r="F55" s="27"/>
      <c r="G55" s="22">
        <f t="shared" si="1"/>
        <v>0</v>
      </c>
      <c r="H55" s="27">
        <f t="shared" si="2"/>
        <v>0</v>
      </c>
      <c r="I55" s="27"/>
      <c r="J55" s="22">
        <f t="shared" si="3"/>
        <v>0</v>
      </c>
      <c r="K55" s="27">
        <f>IF(ISBLANK(A55),"",SUMIF(CATEGORIAS[[#All],[FORMATO
 GENERAL]],     A55,       CATEGORIAS[[#All],[PRESUPUESTO
FINAL
PROYECTADO]]))</f>
        <v>0</v>
      </c>
      <c r="L55" s="33"/>
      <c r="M55" s="30">
        <f t="shared" si="4"/>
        <v>0</v>
      </c>
      <c r="N55" s="31"/>
      <c r="O55" s="27">
        <f>IF(ISBLANK(A55),"",R55-SUMIF(CATEGORIAS[[#All],[FORMATO
 GENERAL]],     A55,     CATEGORIAS[[#All],[COSTO REAL
ANTERIOR]]))</f>
        <v>0</v>
      </c>
      <c r="P55" s="27"/>
      <c r="Q55" s="22">
        <f t="shared" si="5"/>
        <v>0</v>
      </c>
      <c r="R55" s="27">
        <f>IF(ISBLANK(A55),"",SUMIF(CATEGORIAS[[#All],[FORMATO
 GENERAL]],     A55,     CATEGORIAS[[#All],[COSTO REAL]]))</f>
        <v>0</v>
      </c>
      <c r="S55" s="27"/>
      <c r="T55" s="22">
        <f t="shared" si="6"/>
        <v>0</v>
      </c>
      <c r="U55" s="27">
        <f>IF(ISBLANK(A55),"",SUMIF(CATEGORIAS[[#All],[FORMATO
 GENERAL]],     A55,     CATEGORIAS[[#All],[TOTAL PRODUCCION
ACTUAL]]))</f>
        <v>0</v>
      </c>
      <c r="V55" s="27"/>
      <c r="W55" s="22">
        <f t="shared" si="7"/>
        <v>0</v>
      </c>
      <c r="X55" s="27">
        <f>IF(ISBLANK(A55),"",SUMIF(CATEGORIAS[[#All],[FORMATO
 GENERAL]],     A55,     CATEGORIAS[[#All],[PROYECCION
TOTAL DE COSTO]]))</f>
        <v>0</v>
      </c>
      <c r="Y55" s="33"/>
      <c r="Z55" s="30">
        <f t="shared" si="8"/>
        <v>0</v>
      </c>
      <c r="AA55" s="23"/>
      <c r="AB55" s="22">
        <f t="shared" si="0"/>
        <v>0</v>
      </c>
      <c r="AD55" s="244">
        <f t="shared" si="9"/>
        <v>0</v>
      </c>
    </row>
    <row r="56" spans="1:30" ht="13.5" customHeight="1" x14ac:dyDescent="0.25">
      <c r="A56" s="70"/>
      <c r="B56" s="72"/>
      <c r="C56" s="29"/>
      <c r="D56" s="18"/>
      <c r="E56" s="30"/>
      <c r="F56" s="30"/>
      <c r="G56" s="22">
        <f t="shared" si="1"/>
        <v>0</v>
      </c>
      <c r="H56" s="30"/>
      <c r="I56" s="30"/>
      <c r="J56" s="22">
        <f t="shared" si="3"/>
        <v>0</v>
      </c>
      <c r="K56" s="30"/>
      <c r="L56" s="30"/>
      <c r="M56" s="30">
        <f t="shared" si="4"/>
        <v>0</v>
      </c>
      <c r="N56" s="23"/>
      <c r="O56" s="30"/>
      <c r="P56" s="30"/>
      <c r="Q56" s="22">
        <f t="shared" si="5"/>
        <v>0</v>
      </c>
      <c r="R56" s="30"/>
      <c r="S56" s="30"/>
      <c r="T56" s="22">
        <f t="shared" si="6"/>
        <v>0</v>
      </c>
      <c r="U56" s="30"/>
      <c r="V56" s="30"/>
      <c r="W56" s="22">
        <f t="shared" si="7"/>
        <v>0</v>
      </c>
      <c r="X56" s="30"/>
      <c r="Y56" s="30"/>
      <c r="Z56" s="30">
        <f t="shared" si="8"/>
        <v>0</v>
      </c>
      <c r="AA56" s="23"/>
      <c r="AB56" s="30"/>
      <c r="AD56" s="244">
        <f t="shared" si="9"/>
        <v>0</v>
      </c>
    </row>
    <row r="57" spans="1:30" ht="13.5" customHeight="1" x14ac:dyDescent="0.25">
      <c r="A57" s="70"/>
      <c r="B57" s="72"/>
      <c r="C57" s="26" t="s">
        <v>94</v>
      </c>
      <c r="D57" s="18"/>
      <c r="E57" s="27">
        <f>SUM(E6:E55)</f>
        <v>3335092128.8146396</v>
      </c>
      <c r="F57" s="27">
        <v>3335092129</v>
      </c>
      <c r="G57" s="22">
        <f t="shared" si="1"/>
        <v>-0.18536043167114258</v>
      </c>
      <c r="H57" s="27">
        <f>SUM(H6:H55)</f>
        <v>165577471.01257679</v>
      </c>
      <c r="I57" s="27">
        <v>165577471</v>
      </c>
      <c r="J57" s="22">
        <f t="shared" si="3"/>
        <v>1.2576788663864136E-2</v>
      </c>
      <c r="K57" s="27">
        <f>SUM(K6:K55)</f>
        <v>3500669599.8272166</v>
      </c>
      <c r="L57" s="33">
        <v>3500669600</v>
      </c>
      <c r="M57" s="30">
        <f t="shared" si="4"/>
        <v>-0.17278337478637695</v>
      </c>
      <c r="N57" s="31"/>
      <c r="O57" s="27">
        <f>SUM(O6:O55)</f>
        <v>568173047.69725764</v>
      </c>
      <c r="P57" s="27">
        <v>568173049</v>
      </c>
      <c r="Q57" s="22">
        <f t="shared" si="5"/>
        <v>-1.3027423620223999</v>
      </c>
      <c r="R57" s="27">
        <f>SUM(R6:R55)</f>
        <v>1516924102.6782966</v>
      </c>
      <c r="S57" s="27">
        <v>1516924103</v>
      </c>
      <c r="T57" s="22">
        <f t="shared" si="6"/>
        <v>-0.32170343399047852</v>
      </c>
      <c r="U57" s="27">
        <f>SUM(U6:U55)</f>
        <v>1351241792.2921677</v>
      </c>
      <c r="V57" s="27">
        <v>1351241792</v>
      </c>
      <c r="W57" s="22">
        <f t="shared" si="7"/>
        <v>0.29216766357421875</v>
      </c>
      <c r="X57" s="27">
        <f>SUM(X6:X55)</f>
        <v>1986070876.1743095</v>
      </c>
      <c r="Y57" s="33">
        <v>1986070876</v>
      </c>
      <c r="Z57" s="30">
        <f t="shared" si="8"/>
        <v>0.17430949211120605</v>
      </c>
      <c r="AA57" s="31"/>
      <c r="AB57" s="27">
        <f>SUM(AB6:AB55)</f>
        <v>-2325379.02</v>
      </c>
      <c r="AC57">
        <v>-2325379</v>
      </c>
      <c r="AD57" s="244">
        <f t="shared" si="9"/>
        <v>-2.0000000018626451E-2</v>
      </c>
    </row>
    <row r="58" spans="1:30" ht="13.5" customHeight="1" x14ac:dyDescent="0.25">
      <c r="A58" s="70"/>
      <c r="B58" s="72"/>
      <c r="C58" s="32"/>
      <c r="D58" s="18"/>
      <c r="E58" s="31"/>
      <c r="F58" s="31"/>
      <c r="G58" s="22">
        <f t="shared" si="1"/>
        <v>0</v>
      </c>
      <c r="H58" s="31"/>
      <c r="I58" s="31"/>
      <c r="J58" s="22">
        <f t="shared" si="3"/>
        <v>0</v>
      </c>
      <c r="K58" s="31"/>
      <c r="L58" s="31"/>
      <c r="M58" s="30">
        <f t="shared" si="4"/>
        <v>0</v>
      </c>
      <c r="N58" s="31"/>
      <c r="O58" s="31"/>
      <c r="P58" s="31"/>
      <c r="Q58" s="22">
        <f t="shared" si="5"/>
        <v>0</v>
      </c>
      <c r="R58" s="31"/>
      <c r="S58" s="31"/>
      <c r="T58" s="22">
        <f t="shared" si="6"/>
        <v>0</v>
      </c>
      <c r="U58" s="31"/>
      <c r="V58" s="31"/>
      <c r="W58" s="22">
        <f t="shared" si="7"/>
        <v>0</v>
      </c>
      <c r="X58" s="31"/>
      <c r="Y58" s="31"/>
      <c r="Z58" s="30">
        <f t="shared" si="8"/>
        <v>0</v>
      </c>
      <c r="AA58" s="31"/>
      <c r="AB58" s="31"/>
      <c r="AD58" s="244">
        <f t="shared" si="9"/>
        <v>0</v>
      </c>
    </row>
    <row r="59" spans="1:30" ht="13.5" customHeight="1" x14ac:dyDescent="0.25">
      <c r="A59" s="72" t="s">
        <v>95</v>
      </c>
      <c r="B59" s="69" t="s">
        <v>95</v>
      </c>
      <c r="C59" s="78" t="s">
        <v>96</v>
      </c>
      <c r="D59" s="16"/>
      <c r="E59" s="77"/>
      <c r="F59" s="77"/>
      <c r="G59" s="22">
        <f t="shared" si="1"/>
        <v>0</v>
      </c>
      <c r="H59" s="77"/>
      <c r="I59" s="77"/>
      <c r="J59" s="22">
        <f t="shared" si="3"/>
        <v>0</v>
      </c>
      <c r="K59" s="77" t="s">
        <v>97</v>
      </c>
      <c r="L59" s="348"/>
      <c r="M59" s="30" t="e">
        <f t="shared" si="4"/>
        <v>#VALUE!</v>
      </c>
      <c r="N59" s="31"/>
      <c r="O59" s="77"/>
      <c r="P59" s="77"/>
      <c r="Q59" s="22">
        <f t="shared" si="5"/>
        <v>0</v>
      </c>
      <c r="R59" s="77"/>
      <c r="S59" s="77"/>
      <c r="T59" s="22">
        <f t="shared" si="6"/>
        <v>0</v>
      </c>
      <c r="U59" s="77"/>
      <c r="V59" s="77"/>
      <c r="W59" s="22">
        <f t="shared" si="7"/>
        <v>0</v>
      </c>
      <c r="X59" s="77"/>
      <c r="Y59" s="348"/>
      <c r="Z59" s="30">
        <f t="shared" si="8"/>
        <v>0</v>
      </c>
      <c r="AA59" s="31"/>
      <c r="AB59" s="77"/>
      <c r="AD59" s="244">
        <f t="shared" si="9"/>
        <v>0</v>
      </c>
    </row>
    <row r="60" spans="1:30" ht="13.5" customHeight="1" x14ac:dyDescent="0.25">
      <c r="A60" s="70"/>
      <c r="B60" s="69" t="s">
        <v>98</v>
      </c>
      <c r="C60" s="26" t="s">
        <v>99</v>
      </c>
      <c r="D60" s="18"/>
      <c r="E60" s="22" t="str">
        <f>IF(ISBLANK(A60),"",     SUMIF(CATEGORIAS[[#All],[FORMATO
 GENERAL]],     A60,     CATEGORIAS[[#All],[PRESUPUESTO
(ORIGINAL)]]))</f>
        <v/>
      </c>
      <c r="F60" s="22"/>
      <c r="G60" s="22" t="e">
        <f t="shared" si="1"/>
        <v>#VALUE!</v>
      </c>
      <c r="H60" s="22" t="str">
        <f>IF(ISBLANK(A60),"",K60-E60)</f>
        <v/>
      </c>
      <c r="I60" s="22"/>
      <c r="J60" s="22" t="e">
        <f t="shared" si="3"/>
        <v>#VALUE!</v>
      </c>
      <c r="K60" s="22" t="str">
        <f>IF(ISBLANK(A60),"",SUMIF(CATEGORIAS[[#All],[FORMATO
 GENERAL]],     A60,       CATEGORIAS[[#All],[PRESUPUESTO
FINAL
PROYECTADO]]))</f>
        <v/>
      </c>
      <c r="L60" s="30"/>
      <c r="M60" s="30" t="e">
        <f t="shared" si="4"/>
        <v>#VALUE!</v>
      </c>
      <c r="N60" s="23"/>
      <c r="O60" s="22" t="str">
        <f>IF(ISBLANK(A60),"",R60-SUMIF(CATEGORIAS[[#All],[FORMATO
 GENERAL]],     A60,     CATEGORIAS[[#All],[COSTO REAL
ANTERIOR]]))</f>
        <v/>
      </c>
      <c r="P60" s="22"/>
      <c r="Q60" s="22" t="e">
        <f t="shared" si="5"/>
        <v>#VALUE!</v>
      </c>
      <c r="R60" s="22" t="str">
        <f>IF(ISBLANK(A60),"",SUMIF(CATEGORIAS[[#All],[FORMATO
 GENERAL]],     A60,     CATEGORIAS[[#All],[COSTO REAL]]))</f>
        <v/>
      </c>
      <c r="S60" s="22"/>
      <c r="T60" s="22" t="e">
        <f t="shared" si="6"/>
        <v>#VALUE!</v>
      </c>
      <c r="U60" s="22" t="str">
        <f>IF(ISBLANK(A60),"",SUMIF(CATEGORIAS[[#All],[FORMATO
 GENERAL]],     A60,     CATEGORIAS[[#All],[TOTAL PRODUCCION
ACTUAL]]))</f>
        <v/>
      </c>
      <c r="V60" s="22"/>
      <c r="W60" s="22" t="e">
        <f t="shared" si="7"/>
        <v>#VALUE!</v>
      </c>
      <c r="X60" s="22" t="str">
        <f>IF(ISBLANK(A60),"",SUMIF(CATEGORIAS[[#All],[FORMATO
 GENERAL]],     A60,     CATEGORIAS[[#All],[PROYECCION
TOTAL DE COSTO]]))</f>
        <v/>
      </c>
      <c r="Y60" s="30"/>
      <c r="Z60" s="30" t="e">
        <f t="shared" si="8"/>
        <v>#VALUE!</v>
      </c>
      <c r="AA60" s="23"/>
      <c r="AB60" s="22" t="str">
        <f>IF(ISBLANK(A60),"",TRUNC(K60-R60-X60,2))</f>
        <v/>
      </c>
      <c r="AD60" s="244" t="e">
        <f t="shared" si="9"/>
        <v>#VALUE!</v>
      </c>
    </row>
    <row r="61" spans="1:30" ht="13.5" customHeight="1" x14ac:dyDescent="0.25">
      <c r="A61" s="70" t="s">
        <v>2431</v>
      </c>
      <c r="B61" s="69"/>
      <c r="C61" s="28" t="s">
        <v>101</v>
      </c>
      <c r="D61" s="18"/>
      <c r="E61" s="22">
        <f>IF(ISBLANK(A61),"",     SUMIF(CATEGORIAS[[#All],[FORMATO
 GENERAL]],     A61,     CATEGORIAS[[#All],[PRESUPUESTO
(ORIGINAL)]]))</f>
        <v>344918851.26215672</v>
      </c>
      <c r="F61" s="22">
        <v>344918851</v>
      </c>
      <c r="G61" s="22">
        <f t="shared" si="1"/>
        <v>0.26215672492980957</v>
      </c>
      <c r="H61" s="22">
        <f t="shared" ref="H61:H77" si="18">IF(ISBLANK(A61),"",K61-E61)</f>
        <v>5384284.5</v>
      </c>
      <c r="I61" s="22">
        <v>5384285</v>
      </c>
      <c r="J61" s="22">
        <f t="shared" si="3"/>
        <v>-0.5</v>
      </c>
      <c r="K61" s="22">
        <f>IF(ISBLANK(A61),"",SUMIF(CATEGORIAS[[#All],[FORMATO
 GENERAL]],     A61,       CATEGORIAS[[#All],[PRESUPUESTO
FINAL
PROYECTADO]]))</f>
        <v>350303135.76215672</v>
      </c>
      <c r="L61" s="30">
        <v>350303136</v>
      </c>
      <c r="M61" s="30">
        <f t="shared" si="4"/>
        <v>-0.23784327507019043</v>
      </c>
      <c r="N61" s="23"/>
      <c r="O61" s="22">
        <f>IF(ISBLANK(A61),"",R61-SUMIF(CATEGORIAS[[#All],[FORMATO
 GENERAL]],     A61,     CATEGORIAS[[#All],[COSTO REAL
ANTERIOR]]))</f>
        <v>53404983.333333343</v>
      </c>
      <c r="P61" s="22">
        <v>53404983</v>
      </c>
      <c r="Q61" s="22">
        <f t="shared" si="5"/>
        <v>0.3333333432674408</v>
      </c>
      <c r="R61" s="22">
        <f>IF(ISBLANK(A61),"",SUMIF(CATEGORIAS[[#All],[FORMATO
 GENERAL]],     A61,     CATEGORIAS[[#All],[COSTO REAL]]))</f>
        <v>139217893.74135956</v>
      </c>
      <c r="S61" s="22">
        <v>139217894</v>
      </c>
      <c r="T61" s="22">
        <f t="shared" si="6"/>
        <v>-0.25864043831825256</v>
      </c>
      <c r="U61" s="22">
        <f>IF(ISBLANK(A61),"",SUMIF(CATEGORIAS[[#All],[FORMATO
 GENERAL]],     A61,     CATEGORIAS[[#All],[TOTAL PRODUCCION
ACTUAL]]))</f>
        <v>161088023.76162407</v>
      </c>
      <c r="V61" s="22">
        <v>161088024</v>
      </c>
      <c r="W61" s="22">
        <f t="shared" si="7"/>
        <v>-0.23837593197822571</v>
      </c>
      <c r="X61" s="22">
        <f>IF(ISBLANK(A61),"",SUMIF(CATEGORIAS[[#All],[FORMATO
 GENERAL]],     A61,     CATEGORIAS[[#All],[PROYECCION
TOTAL DE COSTO]]))</f>
        <v>211085242.02079716</v>
      </c>
      <c r="Y61" s="30">
        <v>211085242</v>
      </c>
      <c r="Z61" s="30">
        <f t="shared" si="8"/>
        <v>2.0797163248062134E-2</v>
      </c>
      <c r="AA61" s="23"/>
      <c r="AB61" s="22">
        <f t="shared" ref="AB61:AB77" si="19">IF(ISBLANK(A61),"",TRUNC(K61-R61-X61,2))</f>
        <v>0</v>
      </c>
      <c r="AD61" s="244">
        <f t="shared" si="9"/>
        <v>0</v>
      </c>
    </row>
    <row r="62" spans="1:30" ht="13.5" customHeight="1" x14ac:dyDescent="0.25">
      <c r="A62" s="70" t="s">
        <v>2432</v>
      </c>
      <c r="B62" s="69"/>
      <c r="C62" s="28" t="s">
        <v>103</v>
      </c>
      <c r="D62" s="18"/>
      <c r="E62" s="22">
        <f>IF(ISBLANK(A62),"",     SUMIF(CATEGORIAS[[#All],[FORMATO
 GENERAL]],     A62,     CATEGORIAS[[#All],[PRESUPUESTO
(ORIGINAL)]]))</f>
        <v>175799841.54363027</v>
      </c>
      <c r="F62" s="22">
        <v>175799842</v>
      </c>
      <c r="G62" s="22">
        <f t="shared" si="1"/>
        <v>-0.45636972784996033</v>
      </c>
      <c r="H62" s="22">
        <f t="shared" si="18"/>
        <v>5384284.5</v>
      </c>
      <c r="I62" s="22">
        <v>5384285</v>
      </c>
      <c r="J62" s="22">
        <f t="shared" si="3"/>
        <v>-0.5</v>
      </c>
      <c r="K62" s="22">
        <f>IF(ISBLANK(A62),"",SUMIF(CATEGORIAS[[#All],[FORMATO
 GENERAL]],     A62,       CATEGORIAS[[#All],[PRESUPUESTO
FINAL
PROYECTADO]]))</f>
        <v>181184126.04363027</v>
      </c>
      <c r="L62" s="30">
        <v>181184126</v>
      </c>
      <c r="M62" s="30">
        <f t="shared" si="4"/>
        <v>4.3630272150039673E-2</v>
      </c>
      <c r="N62" s="23"/>
      <c r="O62" s="22">
        <f>IF(ISBLANK(A62),"",R62-SUMIF(CATEGORIAS[[#All],[FORMATO
 GENERAL]],     A62,     CATEGORIAS[[#All],[COSTO REAL
ANTERIOR]]))</f>
        <v>28782198.248157248</v>
      </c>
      <c r="P62" s="22">
        <v>28782198</v>
      </c>
      <c r="Q62" s="22">
        <f t="shared" si="5"/>
        <v>0.24815724790096283</v>
      </c>
      <c r="R62" s="22">
        <f>IF(ISBLANK(A62),"",SUMIF(CATEGORIAS[[#All],[FORMATO
 GENERAL]],     A62,     CATEGORIAS[[#All],[COSTO REAL]]))</f>
        <v>92671896.447010651</v>
      </c>
      <c r="S62" s="22">
        <v>92671896</v>
      </c>
      <c r="T62" s="22">
        <f t="shared" si="6"/>
        <v>0.44701065123081207</v>
      </c>
      <c r="U62" s="22">
        <f>IF(ISBLANK(A62),"",SUMIF(CATEGORIAS[[#All],[FORMATO
 GENERAL]],     A62,     CATEGORIAS[[#All],[TOTAL PRODUCCION
ACTUAL]]))</f>
        <v>82104091.870426401</v>
      </c>
      <c r="V62" s="22">
        <v>82104092</v>
      </c>
      <c r="W62" s="22">
        <f t="shared" si="7"/>
        <v>-0.12957359850406647</v>
      </c>
      <c r="X62" s="22">
        <f>IF(ISBLANK(A62),"",SUMIF(CATEGORIAS[[#All],[FORMATO
 GENERAL]],     A62,     CATEGORIAS[[#All],[PROYECCION
TOTAL DE COSTO]]))</f>
        <v>88512229.596619621</v>
      </c>
      <c r="Y62" s="30">
        <v>88512230</v>
      </c>
      <c r="Z62" s="30">
        <f t="shared" si="8"/>
        <v>-0.4033803790807724</v>
      </c>
      <c r="AA62" s="23"/>
      <c r="AB62" s="22">
        <f t="shared" si="19"/>
        <v>0</v>
      </c>
      <c r="AD62" s="244">
        <f t="shared" si="9"/>
        <v>0</v>
      </c>
    </row>
    <row r="63" spans="1:30" ht="13.5" customHeight="1" x14ac:dyDescent="0.25">
      <c r="A63" s="70" t="s">
        <v>2433</v>
      </c>
      <c r="B63" s="69"/>
      <c r="C63" s="28" t="s">
        <v>105</v>
      </c>
      <c r="D63" s="18"/>
      <c r="E63" s="22">
        <f>IF(ISBLANK(A63),"",     SUMIF(CATEGORIAS[[#All],[FORMATO
 GENERAL]],     A63,     CATEGORIAS[[#All],[PRESUPUESTO
(ORIGINAL)]]))</f>
        <v>101081023.761336</v>
      </c>
      <c r="F63" s="22">
        <v>101081024</v>
      </c>
      <c r="G63" s="22">
        <f t="shared" si="1"/>
        <v>-0.23866400122642517</v>
      </c>
      <c r="H63" s="22">
        <f t="shared" si="18"/>
        <v>6026317.5</v>
      </c>
      <c r="I63" s="22">
        <v>6026318</v>
      </c>
      <c r="J63" s="22">
        <f t="shared" si="3"/>
        <v>-0.5</v>
      </c>
      <c r="K63" s="22">
        <f>IF(ISBLANK(A63),"",SUMIF(CATEGORIAS[[#All],[FORMATO
 GENERAL]],     A63,       CATEGORIAS[[#All],[PRESUPUESTO
FINAL
PROYECTADO]]))</f>
        <v>107107341.261336</v>
      </c>
      <c r="L63" s="30">
        <v>107107341</v>
      </c>
      <c r="M63" s="30">
        <f t="shared" si="4"/>
        <v>0.26133599877357483</v>
      </c>
      <c r="N63" s="23"/>
      <c r="O63" s="22">
        <f>IF(ISBLANK(A63),"",R63-SUMIF(CATEGORIAS[[#All],[FORMATO
 GENERAL]],     A63,     CATEGORIAS[[#All],[COSTO REAL
ANTERIOR]]))</f>
        <v>21135125.234234236</v>
      </c>
      <c r="P63" s="22">
        <v>21135126</v>
      </c>
      <c r="Q63" s="22">
        <f t="shared" si="5"/>
        <v>-0.76576576381921768</v>
      </c>
      <c r="R63" s="22">
        <f>IF(ISBLANK(A63),"",SUMIF(CATEGORIAS[[#All],[FORMATO
 GENERAL]],     A63,     CATEGORIAS[[#All],[COSTO REAL]]))</f>
        <v>63486716.62981163</v>
      </c>
      <c r="S63" s="22">
        <v>63486717</v>
      </c>
      <c r="T63" s="22">
        <f t="shared" si="6"/>
        <v>-0.37018837034702301</v>
      </c>
      <c r="U63" s="22">
        <f>IF(ISBLANK(A63),"",SUMIF(CATEGORIAS[[#All],[FORMATO
 GENERAL]],     A63,     CATEGORIAS[[#All],[TOTAL PRODUCCION
ACTUAL]]))</f>
        <v>47208038.348531649</v>
      </c>
      <c r="V63" s="22">
        <v>47208038</v>
      </c>
      <c r="W63" s="22">
        <f t="shared" si="7"/>
        <v>0.34853164851665497</v>
      </c>
      <c r="X63" s="22">
        <f>IF(ISBLANK(A63),"",SUMIF(CATEGORIAS[[#All],[FORMATO
 GENERAL]],     A63,     CATEGORIAS[[#All],[PROYECCION
TOTAL DE COSTO]]))</f>
        <v>43620624.631524369</v>
      </c>
      <c r="Y63" s="30">
        <v>43620625</v>
      </c>
      <c r="Z63" s="30">
        <f t="shared" si="8"/>
        <v>-0.36847563087940216</v>
      </c>
      <c r="AA63" s="23"/>
      <c r="AB63" s="22">
        <f t="shared" si="19"/>
        <v>0</v>
      </c>
      <c r="AD63" s="244">
        <f t="shared" si="9"/>
        <v>0</v>
      </c>
    </row>
    <row r="64" spans="1:30" ht="13.5" customHeight="1" x14ac:dyDescent="0.25">
      <c r="A64" s="70" t="s">
        <v>2434</v>
      </c>
      <c r="B64" s="69"/>
      <c r="C64" s="28" t="s">
        <v>107</v>
      </c>
      <c r="D64" s="18"/>
      <c r="E64" s="22">
        <f>IF(ISBLANK(A64),"",     SUMIF(CATEGORIAS[[#All],[FORMATO
 GENERAL]],     A64,     CATEGORIAS[[#All],[PRESUPUESTO
(ORIGINAL)]]))</f>
        <v>141429555.02720675</v>
      </c>
      <c r="F64" s="22">
        <v>141429555</v>
      </c>
      <c r="G64" s="22">
        <f t="shared" si="1"/>
        <v>2.7206748723983765E-2</v>
      </c>
      <c r="H64" s="22">
        <f t="shared" si="18"/>
        <v>6026317.5</v>
      </c>
      <c r="I64" s="22">
        <v>6026318</v>
      </c>
      <c r="J64" s="22">
        <f t="shared" si="3"/>
        <v>-0.5</v>
      </c>
      <c r="K64" s="22">
        <f>IF(ISBLANK(A64),"",SUMIF(CATEGORIAS[[#All],[FORMATO
 GENERAL]],     A64,       CATEGORIAS[[#All],[PRESUPUESTO
FINAL
PROYECTADO]]))</f>
        <v>147455872.52720675</v>
      </c>
      <c r="L64" s="30">
        <v>147455873</v>
      </c>
      <c r="M64" s="30">
        <f t="shared" si="4"/>
        <v>-0.47279325127601624</v>
      </c>
      <c r="N64" s="23"/>
      <c r="O64" s="22">
        <f>IF(ISBLANK(A64),"",R64-SUMIF(CATEGORIAS[[#All],[FORMATO
 GENERAL]],     A64,     CATEGORIAS[[#All],[COSTO REAL
ANTERIOR]]))</f>
        <v>24554015.603603601</v>
      </c>
      <c r="P64" s="22">
        <v>24554015</v>
      </c>
      <c r="Q64" s="22">
        <f t="shared" si="5"/>
        <v>0.60360360145568848</v>
      </c>
      <c r="R64" s="22">
        <f>IF(ISBLANK(A64),"",SUMIF(CATEGORIAS[[#All],[FORMATO
 GENERAL]],     A64,     CATEGORIAS[[#All],[COSTO REAL]]))</f>
        <v>61633223.168714166</v>
      </c>
      <c r="S64" s="22">
        <v>61633223</v>
      </c>
      <c r="T64" s="22">
        <f t="shared" si="6"/>
        <v>0.16871416568756104</v>
      </c>
      <c r="U64" s="22">
        <f>IF(ISBLANK(A64),"",SUMIF(CATEGORIAS[[#All],[FORMATO
 GENERAL]],     A64,     CATEGORIAS[[#All],[TOTAL PRODUCCION
ACTUAL]]))</f>
        <v>66052079.894881114</v>
      </c>
      <c r="V64" s="22">
        <v>66052080</v>
      </c>
      <c r="W64" s="22">
        <f t="shared" si="7"/>
        <v>-0.10511888563632965</v>
      </c>
      <c r="X64" s="22">
        <f>IF(ISBLANK(A64),"",SUMIF(CATEGORIAS[[#All],[FORMATO
 GENERAL]],     A64,     CATEGORIAS[[#All],[PROYECCION
TOTAL DE COSTO]]))</f>
        <v>85822649.358492583</v>
      </c>
      <c r="Y64" s="30">
        <v>85822649</v>
      </c>
      <c r="Z64" s="30">
        <f t="shared" si="8"/>
        <v>0.35849258303642273</v>
      </c>
      <c r="AA64" s="23"/>
      <c r="AB64" s="22">
        <f t="shared" si="19"/>
        <v>0</v>
      </c>
      <c r="AD64" s="244">
        <f t="shared" si="9"/>
        <v>0</v>
      </c>
    </row>
    <row r="65" spans="1:30" ht="13.5" customHeight="1" x14ac:dyDescent="0.25">
      <c r="A65" s="70" t="s">
        <v>2435</v>
      </c>
      <c r="B65" s="69"/>
      <c r="C65" s="28" t="s">
        <v>109</v>
      </c>
      <c r="D65" s="18"/>
      <c r="E65" s="22">
        <f>IF(ISBLANK(A65),"",     SUMIF(CATEGORIAS[[#All],[FORMATO
 GENERAL]],     A65,     CATEGORIAS[[#All],[PRESUPUESTO
(ORIGINAL)]]))</f>
        <v>62286053.993973345</v>
      </c>
      <c r="F65" s="22">
        <v>62286054</v>
      </c>
      <c r="G65" s="22">
        <f t="shared" si="1"/>
        <v>-6.0266554355621338E-3</v>
      </c>
      <c r="H65" s="22">
        <f t="shared" si="18"/>
        <v>5384284.5</v>
      </c>
      <c r="I65" s="22">
        <v>5384285</v>
      </c>
      <c r="J65" s="22">
        <f t="shared" si="3"/>
        <v>-0.5</v>
      </c>
      <c r="K65" s="22">
        <f>IF(ISBLANK(A65),"",SUMIF(CATEGORIAS[[#All],[FORMATO
 GENERAL]],     A65,       CATEGORIAS[[#All],[PRESUPUESTO
FINAL
PROYECTADO]]))</f>
        <v>67670338.493973345</v>
      </c>
      <c r="L65" s="30">
        <v>67670338</v>
      </c>
      <c r="M65" s="30">
        <f t="shared" si="4"/>
        <v>0.49397334456443787</v>
      </c>
      <c r="N65" s="23"/>
      <c r="O65" s="22">
        <f>IF(ISBLANK(A65),"",R65-SUMIF(CATEGORIAS[[#All],[FORMATO
 GENERAL]],     A65,     CATEGORIAS[[#All],[COSTO REAL
ANTERIOR]]))</f>
        <v>8813412.0450450443</v>
      </c>
      <c r="P65" s="22">
        <v>8813412</v>
      </c>
      <c r="Q65" s="22">
        <f t="shared" si="5"/>
        <v>4.5045044273138046E-2</v>
      </c>
      <c r="R65" s="22">
        <f>IF(ISBLANK(A65),"",SUMIF(CATEGORIAS[[#All],[FORMATO
 GENERAL]],     A65,     CATEGORIAS[[#All],[COSTO REAL]]))</f>
        <v>26934033.792792793</v>
      </c>
      <c r="S65" s="22">
        <v>26934034</v>
      </c>
      <c r="T65" s="22">
        <f t="shared" si="6"/>
        <v>-0.20720720663666725</v>
      </c>
      <c r="U65" s="22">
        <f>IF(ISBLANK(A65),"",SUMIF(CATEGORIAS[[#All],[FORMATO
 GENERAL]],     A65,     CATEGORIAS[[#All],[TOTAL PRODUCCION
ACTUAL]]))</f>
        <v>29089559.208154012</v>
      </c>
      <c r="V65" s="22">
        <v>29089559</v>
      </c>
      <c r="W65" s="22">
        <f t="shared" si="7"/>
        <v>0.20815401151776314</v>
      </c>
      <c r="X65" s="22">
        <f>IF(ISBLANK(A65),"",SUMIF(CATEGORIAS[[#All],[FORMATO
 GENERAL]],     A65,     CATEGORIAS[[#All],[PROYECCION
TOTAL DE COSTO]]))</f>
        <v>40736304.701180547</v>
      </c>
      <c r="Y65" s="30">
        <v>40736305</v>
      </c>
      <c r="Z65" s="30">
        <f t="shared" si="8"/>
        <v>-0.29881945252418518</v>
      </c>
      <c r="AA65" s="23"/>
      <c r="AB65" s="22">
        <f t="shared" si="19"/>
        <v>0</v>
      </c>
      <c r="AD65" s="244">
        <f t="shared" si="9"/>
        <v>0</v>
      </c>
    </row>
    <row r="66" spans="1:30" ht="13.5" customHeight="1" x14ac:dyDescent="0.25">
      <c r="A66" s="70" t="s">
        <v>2436</v>
      </c>
      <c r="B66" s="69"/>
      <c r="C66" s="28" t="s">
        <v>111</v>
      </c>
      <c r="D66" s="18"/>
      <c r="E66" s="22">
        <f>IF(ISBLANK(A66),"",     SUMIF(CATEGORIAS[[#All],[FORMATO
 GENERAL]],     A66,     CATEGORIAS[[#All],[PRESUPUESTO
(ORIGINAL)]]))</f>
        <v>50846869.032810956</v>
      </c>
      <c r="F66" s="22">
        <v>50846869</v>
      </c>
      <c r="G66" s="22">
        <f t="shared" si="1"/>
        <v>3.2810956239700317E-2</v>
      </c>
      <c r="H66" s="22">
        <f t="shared" si="18"/>
        <v>5384284.5</v>
      </c>
      <c r="I66" s="22">
        <v>5384285</v>
      </c>
      <c r="J66" s="22">
        <f t="shared" si="3"/>
        <v>-0.5</v>
      </c>
      <c r="K66" s="22">
        <f>IF(ISBLANK(A66),"",SUMIF(CATEGORIAS[[#All],[FORMATO
 GENERAL]],     A66,       CATEGORIAS[[#All],[PRESUPUESTO
FINAL
PROYECTADO]]))</f>
        <v>56231153.532810956</v>
      </c>
      <c r="L66" s="30">
        <v>56231154</v>
      </c>
      <c r="M66" s="30">
        <f t="shared" si="4"/>
        <v>-0.46718904376029968</v>
      </c>
      <c r="N66" s="23"/>
      <c r="O66" s="22">
        <f>IF(ISBLANK(A66),"",R66-SUMIF(CATEGORIAS[[#All],[FORMATO
 GENERAL]],     A66,     CATEGORIAS[[#All],[COSTO REAL
ANTERIOR]]))</f>
        <v>6951507.7411957383</v>
      </c>
      <c r="P66" s="22">
        <v>6951508</v>
      </c>
      <c r="Q66" s="22">
        <f t="shared" si="5"/>
        <v>-0.25880426168441772</v>
      </c>
      <c r="R66" s="22">
        <f>IF(ISBLANK(A66),"",SUMIF(CATEGORIAS[[#All],[FORMATO
 GENERAL]],     A66,     CATEGORIAS[[#All],[COSTO REAL]]))</f>
        <v>24940108.565110564</v>
      </c>
      <c r="S66" s="22">
        <v>24940109</v>
      </c>
      <c r="T66" s="22">
        <f t="shared" si="6"/>
        <v>-0.43488943576812744</v>
      </c>
      <c r="U66" s="22">
        <f>IF(ISBLANK(A66),"",SUMIF(CATEGORIAS[[#All],[FORMATO
 GENERAL]],     A66,     CATEGORIAS[[#All],[TOTAL PRODUCCION
ACTUAL]]))</f>
        <v>23747097.663665172</v>
      </c>
      <c r="V66" s="22">
        <v>23747098</v>
      </c>
      <c r="W66" s="22">
        <f t="shared" si="7"/>
        <v>-0.33633482828736305</v>
      </c>
      <c r="X66" s="22">
        <f>IF(ISBLANK(A66),"",SUMIF(CATEGORIAS[[#All],[FORMATO
 GENERAL]],     A66,     CATEGORIAS[[#All],[PROYECCION
TOTAL DE COSTO]]))</f>
        <v>31291044.967700392</v>
      </c>
      <c r="Y66" s="30">
        <v>31291045</v>
      </c>
      <c r="Z66" s="30">
        <f t="shared" si="8"/>
        <v>-3.2299607992172241E-2</v>
      </c>
      <c r="AA66" s="23"/>
      <c r="AB66" s="22">
        <f t="shared" si="19"/>
        <v>0</v>
      </c>
      <c r="AD66" s="244">
        <f t="shared" si="9"/>
        <v>0</v>
      </c>
    </row>
    <row r="67" spans="1:30" ht="13.5" customHeight="1" x14ac:dyDescent="0.25">
      <c r="A67" s="70" t="s">
        <v>2437</v>
      </c>
      <c r="B67" s="69"/>
      <c r="C67" s="28" t="s">
        <v>113</v>
      </c>
      <c r="D67" s="18"/>
      <c r="E67" s="22">
        <f>IF(ISBLANK(A67),"",     SUMIF(CATEGORIAS[[#All],[FORMATO
 GENERAL]],     A67,     CATEGORIAS[[#All],[PRESUPUESTO
(ORIGINAL)]]))</f>
        <v>102860837.03514537</v>
      </c>
      <c r="F67" s="22">
        <v>102860837</v>
      </c>
      <c r="G67" s="22">
        <f t="shared" si="1"/>
        <v>3.5145372152328491E-2</v>
      </c>
      <c r="H67" s="22">
        <f t="shared" si="18"/>
        <v>5384284.5</v>
      </c>
      <c r="I67" s="22">
        <v>5384285</v>
      </c>
      <c r="J67" s="22">
        <f t="shared" si="3"/>
        <v>-0.5</v>
      </c>
      <c r="K67" s="22">
        <f>IF(ISBLANK(A67),"",SUMIF(CATEGORIAS[[#All],[FORMATO
 GENERAL]],     A67,       CATEGORIAS[[#All],[PRESUPUESTO
FINAL
PROYECTADO]]))</f>
        <v>108245121.53514537</v>
      </c>
      <c r="L67" s="30">
        <v>108245122</v>
      </c>
      <c r="M67" s="30">
        <f t="shared" si="4"/>
        <v>-0.46485462784767151</v>
      </c>
      <c r="N67" s="23"/>
      <c r="O67" s="22">
        <f>IF(ISBLANK(A67),"",R67-SUMIF(CATEGORIAS[[#All],[FORMATO
 GENERAL]],     A67,     CATEGORIAS[[#All],[COSTO REAL
ANTERIOR]]))</f>
        <v>35308969.38738738</v>
      </c>
      <c r="P67" s="22">
        <v>35308969</v>
      </c>
      <c r="Q67" s="22">
        <f t="shared" si="5"/>
        <v>0.38738738000392914</v>
      </c>
      <c r="R67" s="22">
        <f>IF(ISBLANK(A67),"",SUMIF(CATEGORIAS[[#All],[FORMATO
 GENERAL]],     A67,     CATEGORIAS[[#All],[COSTO REAL]]))</f>
        <v>109626507.36805896</v>
      </c>
      <c r="S67" s="22">
        <v>109626507</v>
      </c>
      <c r="T67" s="22">
        <f t="shared" si="6"/>
        <v>0.36805896461009979</v>
      </c>
      <c r="U67" s="22">
        <f>IF(ISBLANK(A67),"",SUMIF(CATEGORIAS[[#All],[FORMATO
 GENERAL]],     A67,     CATEGORIAS[[#All],[TOTAL PRODUCCION
ACTUAL]]))</f>
        <v>48039267.496760331</v>
      </c>
      <c r="V67" s="22">
        <v>48039268</v>
      </c>
      <c r="W67" s="22">
        <f t="shared" si="7"/>
        <v>-0.50323966890573502</v>
      </c>
      <c r="X67" s="22">
        <f>IF(ISBLANK(A67),"",SUMIF(CATEGORIAS[[#All],[FORMATO
 GENERAL]],     A67,     CATEGORIAS[[#All],[PROYECCION
TOTAL DE COSTO]]))</f>
        <v>-1381385.8329135925</v>
      </c>
      <c r="Y67" s="30">
        <v>-1381386</v>
      </c>
      <c r="Z67" s="30">
        <f t="shared" si="8"/>
        <v>0.1670864075422287</v>
      </c>
      <c r="AA67" s="23"/>
      <c r="AB67" s="22">
        <f t="shared" si="19"/>
        <v>0</v>
      </c>
      <c r="AD67" s="244">
        <f t="shared" si="9"/>
        <v>0</v>
      </c>
    </row>
    <row r="68" spans="1:30" ht="13.5" customHeight="1" x14ac:dyDescent="0.25">
      <c r="A68" s="70" t="s">
        <v>2438</v>
      </c>
      <c r="B68" s="69"/>
      <c r="C68" s="28" t="s">
        <v>115</v>
      </c>
      <c r="D68" s="18"/>
      <c r="E68" s="22">
        <f>IF(ISBLANK(A68),"",     SUMIF(CATEGORIAS[[#All],[FORMATO
 GENERAL]],     A68,     CATEGORIAS[[#All],[PRESUPUESTO
(ORIGINAL)]]))</f>
        <v>47989913.093136542</v>
      </c>
      <c r="F68" s="22">
        <v>47989913</v>
      </c>
      <c r="G68" s="22">
        <f t="shared" si="1"/>
        <v>9.3136541545391083E-2</v>
      </c>
      <c r="H68" s="22">
        <f>IF(ISBLANK(A68),"",K68-E68)</f>
        <v>0</v>
      </c>
      <c r="I68" s="22"/>
      <c r="J68" s="22">
        <f t="shared" si="3"/>
        <v>0</v>
      </c>
      <c r="K68" s="22">
        <f>IF(ISBLANK(A68),"",SUMIF(CATEGORIAS[[#All],[FORMATO
 GENERAL]],     A68,       CATEGORIAS[[#All],[PRESUPUESTO
FINAL
PROYECTADO]]))</f>
        <v>47989913.093136542</v>
      </c>
      <c r="L68" s="30">
        <v>47989913</v>
      </c>
      <c r="M68" s="30">
        <f t="shared" si="4"/>
        <v>9.3136541545391083E-2</v>
      </c>
      <c r="N68" s="23"/>
      <c r="O68" s="22">
        <f>IF(ISBLANK(A68),"",R68-SUMIF(CATEGORIAS[[#All],[FORMATO
 GENERAL]],     A68,     CATEGORIAS[[#All],[COSTO REAL
ANTERIOR]]))</f>
        <v>10634928.405405406</v>
      </c>
      <c r="P68" s="22">
        <v>10634928</v>
      </c>
      <c r="Q68" s="22">
        <f t="shared" si="5"/>
        <v>0.40540540590882301</v>
      </c>
      <c r="R68" s="22">
        <f>IF(ISBLANK(A68),"",SUMIF(CATEGORIAS[[#All],[FORMATO
 GENERAL]],     A68,     CATEGORIAS[[#All],[COSTO REAL]]))</f>
        <v>31389825.047502048</v>
      </c>
      <c r="S68" s="22">
        <v>31389825</v>
      </c>
      <c r="T68" s="22">
        <f t="shared" si="6"/>
        <v>4.7502048313617706E-2</v>
      </c>
      <c r="U68" s="22">
        <f>IF(ISBLANK(A68),"",SUMIF(CATEGORIAS[[#All],[FORMATO
 GENERAL]],     A68,     CATEGORIAS[[#All],[TOTAL PRODUCCION
ACTUAL]]))</f>
        <v>22412808.787855387</v>
      </c>
      <c r="V68" s="22">
        <v>22412809</v>
      </c>
      <c r="W68" s="22">
        <f t="shared" si="7"/>
        <v>-0.21214461326599121</v>
      </c>
      <c r="X68" s="22">
        <f>IF(ISBLANK(A68),"",SUMIF(CATEGORIAS[[#All],[FORMATO
 GENERAL]],     A68,     CATEGORIAS[[#All],[PROYECCION
TOTAL DE COSTO]]))</f>
        <v>16600088.045634493</v>
      </c>
      <c r="Y68" s="30">
        <v>16600088</v>
      </c>
      <c r="Z68" s="30">
        <f t="shared" si="8"/>
        <v>4.5634493231773376E-2</v>
      </c>
      <c r="AA68" s="23"/>
      <c r="AB68" s="22">
        <f>IF(ISBLANK(A68),"",TRUNC(K68-R68-X68,2))</f>
        <v>0</v>
      </c>
      <c r="AD68" s="244">
        <f t="shared" si="9"/>
        <v>0</v>
      </c>
    </row>
    <row r="69" spans="1:30" ht="13.5" customHeight="1" x14ac:dyDescent="0.25">
      <c r="A69" s="70" t="s">
        <v>2439</v>
      </c>
      <c r="B69" s="69"/>
      <c r="C69" s="28" t="s">
        <v>79</v>
      </c>
      <c r="D69" s="18"/>
      <c r="E69" s="22">
        <f>IF(ISBLANK(A69),"",     SUMIF(CATEGORIAS[[#All],[FORMATO
 GENERAL]],     A69,     CATEGORIAS[[#All],[PRESUPUESTO
(ORIGINAL)]]))</f>
        <v>50970000.000000015</v>
      </c>
      <c r="F69" s="22">
        <v>50970000</v>
      </c>
      <c r="G69" s="22">
        <f t="shared" si="1"/>
        <v>0</v>
      </c>
      <c r="H69" s="22">
        <f t="shared" si="18"/>
        <v>0</v>
      </c>
      <c r="I69" s="22"/>
      <c r="J69" s="22">
        <f t="shared" si="3"/>
        <v>0</v>
      </c>
      <c r="K69" s="22">
        <f>IF(ISBLANK(A69),"",SUMIF(CATEGORIAS[[#All],[FORMATO
 GENERAL]],     A69,       CATEGORIAS[[#All],[PRESUPUESTO
FINAL
PROYECTADO]]))</f>
        <v>50970000.000000015</v>
      </c>
      <c r="L69" s="30">
        <v>50970000</v>
      </c>
      <c r="M69" s="30">
        <f t="shared" si="4"/>
        <v>0</v>
      </c>
      <c r="N69" s="23"/>
      <c r="O69" s="22">
        <f>IF(ISBLANK(A69),"",R69-SUMIF(CATEGORIAS[[#All],[FORMATO
 GENERAL]],     A69,     CATEGORIAS[[#All],[COSTO REAL
ANTERIOR]]))</f>
        <v>320873</v>
      </c>
      <c r="P69" s="22">
        <v>320873</v>
      </c>
      <c r="Q69" s="22">
        <f t="shared" si="5"/>
        <v>0</v>
      </c>
      <c r="R69" s="22">
        <f>IF(ISBLANK(A69),"",SUMIF(CATEGORIAS[[#All],[FORMATO
 GENERAL]],     A69,     CATEGORIAS[[#All],[COSTO REAL]]))</f>
        <v>10078282</v>
      </c>
      <c r="S69" s="22">
        <v>10078282</v>
      </c>
      <c r="T69" s="22">
        <f t="shared" si="6"/>
        <v>0</v>
      </c>
      <c r="U69" s="22">
        <f>IF(ISBLANK(A69),"",SUMIF(CATEGORIAS[[#All],[FORMATO
 GENERAL]],     A69,     CATEGORIAS[[#All],[TOTAL PRODUCCION
ACTUAL]]))</f>
        <v>23804603.723701492</v>
      </c>
      <c r="V69" s="22">
        <v>23804604</v>
      </c>
      <c r="W69" s="22">
        <f t="shared" si="7"/>
        <v>-0.27629850804805756</v>
      </c>
      <c r="X69" s="22">
        <f>IF(ISBLANK(A69),"",SUMIF(CATEGORIAS[[#All],[FORMATO
 GENERAL]],     A69,     CATEGORIAS[[#All],[PROYECCION
TOTAL DE COSTO]]))</f>
        <v>40891718.000000015</v>
      </c>
      <c r="Y69" s="30">
        <v>40891718</v>
      </c>
      <c r="Z69" s="30">
        <f t="shared" si="8"/>
        <v>0</v>
      </c>
      <c r="AA69" s="23"/>
      <c r="AB69" s="22">
        <f t="shared" si="19"/>
        <v>0</v>
      </c>
      <c r="AD69" s="244">
        <f t="shared" si="9"/>
        <v>0</v>
      </c>
    </row>
    <row r="70" spans="1:30" ht="13.5" customHeight="1" x14ac:dyDescent="0.25">
      <c r="A70" s="70" t="s">
        <v>2440</v>
      </c>
      <c r="B70" s="69"/>
      <c r="C70" s="28" t="s">
        <v>79</v>
      </c>
      <c r="D70" s="18"/>
      <c r="E70" s="22">
        <f>IF(ISBLANK(A70),"",     SUMIF(CATEGORIAS[[#All],[FORMATO
 GENERAL]],     A70,     CATEGORIAS[[#All],[PRESUPUESTO
(ORIGINAL)]]))</f>
        <v>127606714.28571428</v>
      </c>
      <c r="F70" s="22">
        <v>127606714</v>
      </c>
      <c r="G70" s="22">
        <f t="shared" si="1"/>
        <v>0.2857142835855484</v>
      </c>
      <c r="H70" s="22">
        <f t="shared" ref="H70" si="20">IF(ISBLANK(A70),"",K70-E70)</f>
        <v>0</v>
      </c>
      <c r="I70" s="22"/>
      <c r="J70" s="22">
        <f t="shared" si="3"/>
        <v>0</v>
      </c>
      <c r="K70" s="22">
        <f>IF(ISBLANK(A70),"",SUMIF(CATEGORIAS[[#All],[FORMATO
 GENERAL]],     A70,       CATEGORIAS[[#All],[PRESUPUESTO
FINAL
PROYECTADO]]))</f>
        <v>127606714.28571428</v>
      </c>
      <c r="L70" s="30">
        <v>127606714</v>
      </c>
      <c r="M70" s="30">
        <f t="shared" si="4"/>
        <v>0.2857142835855484</v>
      </c>
      <c r="N70" s="23"/>
      <c r="O70" s="22">
        <f>IF(ISBLANK(A70),"",R70-SUMIF(CATEGORIAS[[#All],[FORMATO
 GENERAL]],     A70,     CATEGORIAS[[#All],[COSTO REAL
ANTERIOR]]))</f>
        <v>5685397</v>
      </c>
      <c r="P70" s="22">
        <v>5685397</v>
      </c>
      <c r="Q70" s="22">
        <f t="shared" si="5"/>
        <v>0</v>
      </c>
      <c r="R70" s="22">
        <f>IF(ISBLANK(A70),"",SUMIF(CATEGORIAS[[#All],[FORMATO
 GENERAL]],     A70,     CATEGORIAS[[#All],[COSTO REAL]]))</f>
        <v>19418586</v>
      </c>
      <c r="S70" s="22">
        <v>19418586</v>
      </c>
      <c r="T70" s="22">
        <f t="shared" si="6"/>
        <v>0</v>
      </c>
      <c r="U70" s="22">
        <f>IF(ISBLANK(A70),"",SUMIF(CATEGORIAS[[#All],[FORMATO
 GENERAL]],     A70,     CATEGORIAS[[#All],[TOTAL PRODUCCION
ACTUAL]]))</f>
        <v>59596375.633804724</v>
      </c>
      <c r="V70" s="22">
        <v>59596376</v>
      </c>
      <c r="W70" s="22">
        <f t="shared" si="7"/>
        <v>-0.36619527637958527</v>
      </c>
      <c r="X70" s="22">
        <f>IF(ISBLANK(A70),"",SUMIF(CATEGORIAS[[#All],[FORMATO
 GENERAL]],     A70,     CATEGORIAS[[#All],[PROYECCION
TOTAL DE COSTO]]))</f>
        <v>108188128.28571428</v>
      </c>
      <c r="Y70" s="30">
        <v>108188128</v>
      </c>
      <c r="Z70" s="30">
        <f t="shared" si="8"/>
        <v>0.2857142835855484</v>
      </c>
      <c r="AA70" s="23"/>
      <c r="AB70" s="22">
        <f t="shared" ref="AB70" si="21">IF(ISBLANK(A70),"",TRUNC(K70-R70-X70,2))</f>
        <v>0</v>
      </c>
      <c r="AD70" s="244">
        <f t="shared" si="9"/>
        <v>0</v>
      </c>
    </row>
    <row r="71" spans="1:30" ht="13.5" customHeight="1" x14ac:dyDescent="0.25">
      <c r="A71" s="70" t="s">
        <v>2441</v>
      </c>
      <c r="B71" s="69"/>
      <c r="C71" s="28" t="s">
        <v>118</v>
      </c>
      <c r="D71" s="18"/>
      <c r="E71" s="22">
        <f>IF(ISBLANK(A71),"",     SUMIF(CATEGORIAS[[#All],[FORMATO
 GENERAL]],     A71,     CATEGORIAS[[#All],[PRESUPUESTO
(ORIGINAL)]]))</f>
        <v>6483651.42857143</v>
      </c>
      <c r="F71" s="22">
        <v>6483651</v>
      </c>
      <c r="G71" s="22">
        <f t="shared" si="1"/>
        <v>0.42857143003493547</v>
      </c>
      <c r="H71" s="22">
        <f t="shared" ref="H71" si="22">IF(ISBLANK(A71),"",K71-E71)</f>
        <v>0</v>
      </c>
      <c r="I71" s="22"/>
      <c r="J71" s="22">
        <f t="shared" si="3"/>
        <v>0</v>
      </c>
      <c r="K71" s="22">
        <f>IF(ISBLANK(A71),"",SUMIF(CATEGORIAS[[#All],[FORMATO
 GENERAL]],     A71,       CATEGORIAS[[#All],[PRESUPUESTO
FINAL
PROYECTADO]]))</f>
        <v>6483651.42857143</v>
      </c>
      <c r="L71" s="30">
        <v>6483651</v>
      </c>
      <c r="M71" s="30">
        <f t="shared" si="4"/>
        <v>0.42857143003493547</v>
      </c>
      <c r="N71" s="23"/>
      <c r="O71" s="22">
        <f>IF(ISBLANK(A71),"",R71-SUMIF(CATEGORIAS[[#All],[FORMATO
 GENERAL]],     A71,     CATEGORIAS[[#All],[COSTO REAL
ANTERIOR]]))</f>
        <v>1067029</v>
      </c>
      <c r="P71" s="22">
        <v>1067029</v>
      </c>
      <c r="Q71" s="22">
        <f t="shared" si="5"/>
        <v>0</v>
      </c>
      <c r="R71" s="22">
        <f>IF(ISBLANK(A71),"",SUMIF(CATEGORIAS[[#All],[FORMATO
 GENERAL]],     A71,     CATEGORIAS[[#All],[COSTO REAL]]))</f>
        <v>4714066</v>
      </c>
      <c r="S71" s="22">
        <v>4714066</v>
      </c>
      <c r="T71" s="22">
        <f t="shared" si="6"/>
        <v>0</v>
      </c>
      <c r="U71" s="22">
        <f>IF(ISBLANK(A71),"",SUMIF(CATEGORIAS[[#All],[FORMATO
 GENERAL]],     A71,     CATEGORIAS[[#All],[TOTAL PRODUCCION
ACTUAL]]))</f>
        <v>3028070.4912645472</v>
      </c>
      <c r="V71" s="22">
        <v>3028070</v>
      </c>
      <c r="W71" s="22">
        <f t="shared" si="7"/>
        <v>0.49126454722136259</v>
      </c>
      <c r="X71" s="22">
        <f>IF(ISBLANK(A71),"",SUMIF(CATEGORIAS[[#All],[FORMATO
 GENERAL]],     A71,     CATEGORIAS[[#All],[PROYECCION
TOTAL DE COSTO]]))</f>
        <v>1769585.42857143</v>
      </c>
      <c r="Y71" s="30">
        <v>1769585</v>
      </c>
      <c r="Z71" s="30">
        <f t="shared" si="8"/>
        <v>0.42857143003493547</v>
      </c>
      <c r="AA71" s="23"/>
      <c r="AB71" s="22">
        <f t="shared" ref="AB71" si="23">IF(ISBLANK(A71),"",TRUNC(K71-R71-X71,2))</f>
        <v>0</v>
      </c>
      <c r="AD71" s="244">
        <f t="shared" si="9"/>
        <v>0</v>
      </c>
    </row>
    <row r="72" spans="1:30" ht="13.5" customHeight="1" x14ac:dyDescent="0.25">
      <c r="A72" s="70"/>
      <c r="B72" s="69"/>
      <c r="C72" s="28"/>
      <c r="D72" s="18"/>
      <c r="E72" s="22"/>
      <c r="F72" s="22"/>
      <c r="G72" s="22">
        <f t="shared" ref="G72:G87" si="24">+E72-F72</f>
        <v>0</v>
      </c>
      <c r="H72" s="22"/>
      <c r="I72" s="22"/>
      <c r="J72" s="22">
        <f t="shared" ref="J72:J87" si="25">+H72-I72</f>
        <v>0</v>
      </c>
      <c r="K72" s="22"/>
      <c r="L72" s="30"/>
      <c r="M72" s="30">
        <f t="shared" ref="M72:M87" si="26">+K72-L72</f>
        <v>0</v>
      </c>
      <c r="N72" s="23"/>
      <c r="O72" s="22"/>
      <c r="P72" s="22"/>
      <c r="Q72" s="22">
        <f t="shared" ref="Q72:Q87" si="27">+O72-P72</f>
        <v>0</v>
      </c>
      <c r="R72" s="22"/>
      <c r="S72" s="22"/>
      <c r="T72" s="22">
        <f t="shared" ref="T72:T87" si="28">+R72-S72</f>
        <v>0</v>
      </c>
      <c r="U72" s="22"/>
      <c r="V72" s="22"/>
      <c r="W72" s="22">
        <f t="shared" ref="W72:W87" si="29">+U72-V72</f>
        <v>0</v>
      </c>
      <c r="X72" s="22"/>
      <c r="Y72" s="30"/>
      <c r="Z72" s="30">
        <f t="shared" ref="Z72:Z87" si="30">+X72-Y72</f>
        <v>0</v>
      </c>
      <c r="AA72" s="23"/>
      <c r="AB72" s="22"/>
      <c r="AD72" s="244">
        <f t="shared" ref="AD72:AD89" si="31">+AB72-AC72</f>
        <v>0</v>
      </c>
    </row>
    <row r="73" spans="1:30" ht="13.5" customHeight="1" x14ac:dyDescent="0.25">
      <c r="A73" s="70"/>
      <c r="B73" s="69"/>
      <c r="C73" s="26" t="s">
        <v>120</v>
      </c>
      <c r="D73" s="18"/>
      <c r="E73" s="22" t="str">
        <f>IF(ISBLANK(A73),"",     SUMIF(CATEGORIAS[[#All],[FORMATO
 GENERAL]],     A73,     CATEGORIAS[[#All],[PRESUPUESTO
(ORIGINAL)]]))</f>
        <v/>
      </c>
      <c r="F73" s="22"/>
      <c r="G73" s="22" t="e">
        <f t="shared" si="24"/>
        <v>#VALUE!</v>
      </c>
      <c r="H73" s="22" t="str">
        <f t="shared" si="18"/>
        <v/>
      </c>
      <c r="I73" s="22"/>
      <c r="J73" s="22" t="e">
        <f t="shared" si="25"/>
        <v>#VALUE!</v>
      </c>
      <c r="K73" s="22" t="str">
        <f>IF(ISBLANK(A73),"",SUMIF(CATEGORIAS[[#All],[FORMATO
 GENERAL]],     A73,       CATEGORIAS[[#All],[PRESUPUESTO
FINAL
PROYECTADO]]))</f>
        <v/>
      </c>
      <c r="L73" s="30"/>
      <c r="M73" s="30" t="e">
        <f t="shared" si="26"/>
        <v>#VALUE!</v>
      </c>
      <c r="N73" s="23"/>
      <c r="O73" s="22" t="str">
        <f>IF(ISBLANK(A73),"",R73-SUMIF(CATEGORIAS[[#All],[FORMATO
 GENERAL]],     A73,     CATEGORIAS[[#All],[COSTO REAL
ANTERIOR]]))</f>
        <v/>
      </c>
      <c r="P73" s="22"/>
      <c r="Q73" s="22" t="e">
        <f t="shared" si="27"/>
        <v>#VALUE!</v>
      </c>
      <c r="R73" s="22" t="str">
        <f>IF(ISBLANK(A73),"",SUMIF(CATEGORIAS[[#All],[FORMATO
 GENERAL]],     A73,     CATEGORIAS[[#All],[COSTO REAL]]))</f>
        <v/>
      </c>
      <c r="S73" s="22"/>
      <c r="T73" s="22" t="e">
        <f t="shared" si="28"/>
        <v>#VALUE!</v>
      </c>
      <c r="U73" s="22" t="str">
        <f>IF(ISBLANK(A73),"",SUMIF(CATEGORIAS[[#All],[FORMATO
 GENERAL]],     A73,     CATEGORIAS[[#All],[TOTAL PRODUCCION
ACTUAL]]))</f>
        <v/>
      </c>
      <c r="V73" s="22"/>
      <c r="W73" s="22" t="e">
        <f t="shared" si="29"/>
        <v>#VALUE!</v>
      </c>
      <c r="X73" s="22" t="str">
        <f>IF(ISBLANK(A73),"",SUMIF(CATEGORIAS[[#All],[FORMATO
 GENERAL]],     A73,     CATEGORIAS[[#All],[PROYECCION
TOTAL DE COSTO]]))</f>
        <v/>
      </c>
      <c r="Y73" s="30"/>
      <c r="Z73" s="30" t="e">
        <f t="shared" si="30"/>
        <v>#VALUE!</v>
      </c>
      <c r="AA73" s="23"/>
      <c r="AB73" s="22" t="str">
        <f t="shared" si="19"/>
        <v/>
      </c>
      <c r="AD73" s="244" t="e">
        <f t="shared" si="31"/>
        <v>#VALUE!</v>
      </c>
    </row>
    <row r="74" spans="1:30" ht="13.5" customHeight="1" x14ac:dyDescent="0.25">
      <c r="A74" s="70" t="s">
        <v>121</v>
      </c>
      <c r="B74" s="69" t="s">
        <v>122</v>
      </c>
      <c r="C74" s="26" t="s">
        <v>123</v>
      </c>
      <c r="D74" s="18"/>
      <c r="E74" s="27">
        <f>IF(ISBLANK(A74),"",     SUMIF(CATEGORIAS[[#All],[FORMATO
 GENERAL]],     A74,     CATEGORIAS[[#All],[PRESUPUESTO
(ORIGINAL)]]))</f>
        <v>90537194.880000025</v>
      </c>
      <c r="F74" s="27">
        <v>90537195</v>
      </c>
      <c r="G74" s="22">
        <f t="shared" si="24"/>
        <v>-0.11999997496604919</v>
      </c>
      <c r="H74" s="27">
        <f t="shared" si="18"/>
        <v>0</v>
      </c>
      <c r="I74" s="27"/>
      <c r="J74" s="22">
        <f t="shared" si="25"/>
        <v>0</v>
      </c>
      <c r="K74" s="27">
        <f>IF(ISBLANK(A74),"",SUMIF(CATEGORIAS[[#All],[FORMATO
 GENERAL]],     A74,       CATEGORIAS[[#All],[PRESUPUESTO
FINAL
PROYECTADO]]))</f>
        <v>90537194.880000025</v>
      </c>
      <c r="L74" s="33">
        <v>90537195</v>
      </c>
      <c r="M74" s="30">
        <f t="shared" si="26"/>
        <v>-0.11999997496604919</v>
      </c>
      <c r="N74" s="31"/>
      <c r="O74" s="27">
        <f>IF(ISBLANK(A74),"",R74-SUMIF(CATEGORIAS[[#All],[FORMATO
 GENERAL]],     A74,     CATEGORIAS[[#All],[COSTO REAL
ANTERIOR]]))</f>
        <v>3275095</v>
      </c>
      <c r="P74" s="27">
        <v>3275095</v>
      </c>
      <c r="Q74" s="22">
        <f t="shared" si="27"/>
        <v>0</v>
      </c>
      <c r="R74" s="27">
        <f>IF(ISBLANK(A74),"",SUMIF(CATEGORIAS[[#All],[FORMATO
 GENERAL]],     A74,     CATEGORIAS[[#All],[COSTO REAL]]))</f>
        <v>22130647</v>
      </c>
      <c r="S74" s="27">
        <v>22130647</v>
      </c>
      <c r="T74" s="22">
        <f t="shared" si="28"/>
        <v>0</v>
      </c>
      <c r="U74" s="27">
        <f>IF(ISBLANK(A74),"",SUMIF(CATEGORIAS[[#All],[FORMATO
 GENERAL]],     A74,     CATEGORIAS[[#All],[TOTAL PRODUCCION
ACTUAL]]))</f>
        <v>42283736.440532394</v>
      </c>
      <c r="V74" s="27">
        <v>42283736</v>
      </c>
      <c r="W74" s="22">
        <f t="shared" si="29"/>
        <v>0.44053239375352859</v>
      </c>
      <c r="X74" s="27">
        <f>IF(ISBLANK(A74),"",SUMIF(CATEGORIAS[[#All],[FORMATO
 GENERAL]],     A74,     CATEGORIAS[[#All],[PROYECCION
TOTAL DE COSTO]]))</f>
        <v>68406547.880000025</v>
      </c>
      <c r="Y74" s="33">
        <v>68406548</v>
      </c>
      <c r="Z74" s="30">
        <f t="shared" si="30"/>
        <v>-0.11999997496604919</v>
      </c>
      <c r="AA74" s="23"/>
      <c r="AB74" s="22">
        <f t="shared" si="19"/>
        <v>0</v>
      </c>
      <c r="AD74" s="244">
        <f t="shared" si="31"/>
        <v>0</v>
      </c>
    </row>
    <row r="75" spans="1:30" ht="13.5" customHeight="1" x14ac:dyDescent="0.25">
      <c r="A75" s="70" t="s">
        <v>124</v>
      </c>
      <c r="B75" s="69" t="s">
        <v>125</v>
      </c>
      <c r="C75" s="26" t="s">
        <v>126</v>
      </c>
      <c r="D75" s="18"/>
      <c r="E75" s="27">
        <f>IF(ISBLANK(A75),"",     SUMIF(CATEGORIAS[[#All],[FORMATO
 GENERAL]],     A75,     CATEGORIAS[[#All],[PRESUPUESTO
(ORIGINAL)]]))</f>
        <v>59588644.90687906</v>
      </c>
      <c r="F75" s="27">
        <v>59588645</v>
      </c>
      <c r="G75" s="22">
        <f t="shared" si="24"/>
        <v>-9.3120940029621124E-2</v>
      </c>
      <c r="H75" s="27">
        <f>IF(ISBLANK(A75),"",K75-E75)</f>
        <v>549015.26663345098</v>
      </c>
      <c r="I75" s="27">
        <v>549015</v>
      </c>
      <c r="J75" s="22">
        <f t="shared" si="25"/>
        <v>0.26663345098495483</v>
      </c>
      <c r="K75" s="27">
        <f>IF(ISBLANK(A75),"",SUMIF(CATEGORIAS[[#All],[FORMATO
 GENERAL]],     A75,       CATEGORIAS[[#All],[PRESUPUESTO
FINAL
PROYECTADO]]))</f>
        <v>60137660.173512511</v>
      </c>
      <c r="L75" s="33">
        <v>60137660</v>
      </c>
      <c r="M75" s="30">
        <f t="shared" si="26"/>
        <v>0.17351251095533371</v>
      </c>
      <c r="N75" s="31"/>
      <c r="O75" s="27">
        <f>IF(ISBLANK(A75),"",R75-SUMIF(CATEGORIAS[[#All],[FORMATO
 GENERAL]],     A75,     CATEGORIAS[[#All],[COSTO REAL
ANTERIOR]]))</f>
        <v>19002308.471200004</v>
      </c>
      <c r="P75" s="27">
        <v>19002308</v>
      </c>
      <c r="Q75" s="22">
        <f t="shared" si="27"/>
        <v>0.47120000422000885</v>
      </c>
      <c r="R75" s="27">
        <f>IF(ISBLANK(A75),"",SUMIF(CATEGORIAS[[#All],[FORMATO
 GENERAL]],     A75,     CATEGORIAS[[#All],[COSTO REAL]]))</f>
        <v>58458192.471200004</v>
      </c>
      <c r="S75" s="27">
        <v>58458192</v>
      </c>
      <c r="T75" s="22">
        <f t="shared" si="28"/>
        <v>0.47120000422000885</v>
      </c>
      <c r="U75" s="27">
        <f>IF(ISBLANK(A75),"",SUMIF(CATEGORIAS[[#All],[FORMATO
 GENERAL]],     A75,     CATEGORIAS[[#All],[TOTAL PRODUCCION
ACTUAL]]))</f>
        <v>27038376.012357906</v>
      </c>
      <c r="V75" s="27">
        <v>27038376</v>
      </c>
      <c r="W75" s="22">
        <f t="shared" si="29"/>
        <v>1.2357905507087708E-2</v>
      </c>
      <c r="X75" s="27">
        <f>IF(ISBLANK(A75),"",SUMIF(CATEGORIAS[[#All],[FORMATO
 GENERAL]],     A75,     CATEGORIAS[[#All],[PROYECCION
TOTAL DE COSTO]]))</f>
        <v>1679467.7023125105</v>
      </c>
      <c r="Y75" s="33">
        <v>1679468</v>
      </c>
      <c r="Z75" s="30">
        <f t="shared" si="30"/>
        <v>-0.29768748953938484</v>
      </c>
      <c r="AA75" s="23"/>
      <c r="AB75" s="22">
        <f>IF(ISBLANK(A75),"",TRUNC(K75-R75-X75,2))</f>
        <v>0</v>
      </c>
      <c r="AD75" s="244">
        <f t="shared" si="31"/>
        <v>0</v>
      </c>
    </row>
    <row r="76" spans="1:30" ht="13.5" customHeight="1" x14ac:dyDescent="0.25">
      <c r="A76" s="70" t="s">
        <v>127</v>
      </c>
      <c r="B76" s="69" t="s">
        <v>128</v>
      </c>
      <c r="C76" s="26" t="s">
        <v>129</v>
      </c>
      <c r="D76" s="18"/>
      <c r="E76" s="27">
        <f>IF(ISBLANK(A76),"",     SUMIF(CATEGORIAS[[#All],[FORMATO
 GENERAL]],     A76,     CATEGORIAS[[#All],[PRESUPUESTO
(ORIGINAL)]]))</f>
        <v>27821678.791098461</v>
      </c>
      <c r="F76" s="27">
        <v>27821679</v>
      </c>
      <c r="G76" s="22">
        <f t="shared" si="24"/>
        <v>-0.2089015394449234</v>
      </c>
      <c r="H76" s="27">
        <f t="shared" si="18"/>
        <v>0</v>
      </c>
      <c r="I76" s="27"/>
      <c r="J76" s="22">
        <f t="shared" si="25"/>
        <v>0</v>
      </c>
      <c r="K76" s="27">
        <f>IF(ISBLANK(A76),"",SUMIF(CATEGORIAS[[#All],[FORMATO
 GENERAL]],     A76,       CATEGORIAS[[#All],[PRESUPUESTO
FINAL
PROYECTADO]]))</f>
        <v>27821678.791098461</v>
      </c>
      <c r="L76" s="33">
        <v>27821679</v>
      </c>
      <c r="M76" s="30">
        <f t="shared" si="26"/>
        <v>-0.2089015394449234</v>
      </c>
      <c r="N76" s="31"/>
      <c r="O76" s="27">
        <f>IF(ISBLANK(A76),"",R76-SUMIF(CATEGORIAS[[#All],[FORMATO
 GENERAL]],     A76,     CATEGORIAS[[#All],[COSTO REAL
ANTERIOR]]))</f>
        <v>6072529.3389686206</v>
      </c>
      <c r="P76" s="27">
        <v>6072530</v>
      </c>
      <c r="Q76" s="22">
        <f t="shared" si="27"/>
        <v>-0.6610313793644309</v>
      </c>
      <c r="R76" s="27">
        <f>IF(ISBLANK(A76),"",SUMIF(CATEGORIAS[[#All],[FORMATO
 GENERAL]],     A76,     CATEGORIAS[[#All],[COSTO REAL]]))</f>
        <v>12993604.837163201</v>
      </c>
      <c r="S76" s="27">
        <v>12993605</v>
      </c>
      <c r="T76" s="22">
        <f t="shared" si="28"/>
        <v>-0.16283679939806461</v>
      </c>
      <c r="U76" s="27">
        <f>IF(ISBLANK(A76),"",SUMIF(CATEGORIAS[[#All],[FORMATO
 GENERAL]],     A76,     CATEGORIAS[[#All],[TOTAL PRODUCCION
ACTUAL]]))</f>
        <v>12993604.837163217</v>
      </c>
      <c r="V76" s="27">
        <v>12993605</v>
      </c>
      <c r="W76" s="22">
        <f t="shared" si="29"/>
        <v>-0.16283678263425827</v>
      </c>
      <c r="X76" s="27">
        <f>IF(ISBLANK(A76),"",SUMIF(CATEGORIAS[[#All],[FORMATO
 GENERAL]],     A76,     CATEGORIAS[[#All],[PROYECCION
TOTAL DE COSTO]]))</f>
        <v>14828073.95393526</v>
      </c>
      <c r="Y76" s="33">
        <v>14828074</v>
      </c>
      <c r="Z76" s="30">
        <f t="shared" si="30"/>
        <v>-4.6064740046858788E-2</v>
      </c>
      <c r="AA76" s="23"/>
      <c r="AB76" s="22">
        <f t="shared" si="19"/>
        <v>0</v>
      </c>
      <c r="AD76" s="244">
        <f t="shared" si="31"/>
        <v>0</v>
      </c>
    </row>
    <row r="77" spans="1:30" ht="13.5" customHeight="1" x14ac:dyDescent="0.25">
      <c r="A77" s="70" t="s">
        <v>130</v>
      </c>
      <c r="B77" s="69" t="s">
        <v>131</v>
      </c>
      <c r="C77" s="26" t="s">
        <v>132</v>
      </c>
      <c r="D77" s="18"/>
      <c r="E77" s="27">
        <f>IF(ISBLANK(A77),"",     SUMIF(CATEGORIAS[[#All],[FORMATO
 GENERAL]],     A77,     CATEGORIAS[[#All],[PRESUPUESTO
(ORIGINAL)]]))</f>
        <v>53522313.991776444</v>
      </c>
      <c r="F77" s="27">
        <v>53522314</v>
      </c>
      <c r="G77" s="22">
        <f t="shared" si="24"/>
        <v>-8.2235559821128845E-3</v>
      </c>
      <c r="H77" s="27">
        <f t="shared" si="18"/>
        <v>0</v>
      </c>
      <c r="I77" s="27"/>
      <c r="J77" s="22">
        <f t="shared" si="25"/>
        <v>0</v>
      </c>
      <c r="K77" s="27">
        <f>IF(ISBLANK(A77),"",SUMIF(CATEGORIAS[[#All],[FORMATO
 GENERAL]],     A77,       CATEGORIAS[[#All],[PRESUPUESTO
FINAL
PROYECTADO]]))</f>
        <v>53522313.991776444</v>
      </c>
      <c r="L77" s="33">
        <v>53522314</v>
      </c>
      <c r="M77" s="30">
        <f t="shared" si="26"/>
        <v>-8.2235559821128845E-3</v>
      </c>
      <c r="N77" s="31"/>
      <c r="O77" s="27">
        <f>IF(ISBLANK(A77),"",R77-SUMIF(CATEGORIAS[[#All],[FORMATO
 GENERAL]],     A77,     CATEGORIAS[[#All],[COSTO REAL
ANTERIOR]]))</f>
        <v>11682106.764475383</v>
      </c>
      <c r="P77" s="27">
        <v>11682106</v>
      </c>
      <c r="Q77" s="22">
        <f t="shared" si="27"/>
        <v>0.76447538286447525</v>
      </c>
      <c r="R77" s="27">
        <f>IF(ISBLANK(A77),"",SUMIF(CATEGORIAS[[#All],[FORMATO
 GENERAL]],     A77,     CATEGORIAS[[#All],[COSTO REAL]]))</f>
        <v>24996615.164798103</v>
      </c>
      <c r="S77" s="27">
        <v>24996615</v>
      </c>
      <c r="T77" s="22">
        <f t="shared" si="28"/>
        <v>0.16479810327291489</v>
      </c>
      <c r="U77" s="27">
        <f>IF(ISBLANK(A77),"",SUMIF(CATEGORIAS[[#All],[FORMATO
 GENERAL]],     A77,     CATEGORIAS[[#All],[TOTAL PRODUCCION
ACTUAL]]))</f>
        <v>24996615.164798155</v>
      </c>
      <c r="V77" s="27">
        <v>24996615</v>
      </c>
      <c r="W77" s="22">
        <f t="shared" si="29"/>
        <v>0.16479815542697906</v>
      </c>
      <c r="X77" s="27">
        <f>IF(ISBLANK(A77),"",SUMIF(CATEGORIAS[[#All],[FORMATO
 GENERAL]],     A77,     CATEGORIAS[[#All],[PROYECCION
TOTAL DE COSTO]]))</f>
        <v>28525698.826978341</v>
      </c>
      <c r="Y77" s="33">
        <v>28525699</v>
      </c>
      <c r="Z77" s="30">
        <f t="shared" si="30"/>
        <v>-0.17302165925502777</v>
      </c>
      <c r="AA77" s="23"/>
      <c r="AB77" s="22">
        <f t="shared" si="19"/>
        <v>0</v>
      </c>
      <c r="AD77" s="244">
        <f t="shared" si="31"/>
        <v>0</v>
      </c>
    </row>
    <row r="78" spans="1:30" ht="13.5" customHeight="1" x14ac:dyDescent="0.25">
      <c r="A78" s="70" t="s">
        <v>133</v>
      </c>
      <c r="B78" s="69" t="s">
        <v>134</v>
      </c>
      <c r="C78" s="26" t="s">
        <v>135</v>
      </c>
      <c r="D78" s="18"/>
      <c r="E78" s="27">
        <f>IF(ISBLANK(A78),"",     SUMIF(CATEGORIAS[[#All],[FORMATO
 GENERAL]],     A78,     CATEGORIAS[[#All],[PRESUPUESTO
(ORIGINAL)]]))</f>
        <v>0</v>
      </c>
      <c r="F78" s="27"/>
      <c r="G78" s="22">
        <f t="shared" si="24"/>
        <v>0</v>
      </c>
      <c r="H78" s="27">
        <f t="shared" ref="H78" si="32">IF(ISBLANK(A78),"",K78-E78)</f>
        <v>0</v>
      </c>
      <c r="I78" s="27"/>
      <c r="J78" s="22">
        <f t="shared" si="25"/>
        <v>0</v>
      </c>
      <c r="K78" s="27">
        <f>IF(ISBLANK(A78),"",SUMIF(CATEGORIAS[[#All],[FORMATO
 GENERAL]],     A78,       CATEGORIAS[[#All],[PRESUPUESTO
FINAL
PROYECTADO]]))</f>
        <v>0</v>
      </c>
      <c r="L78" s="33"/>
      <c r="M78" s="30">
        <f t="shared" si="26"/>
        <v>0</v>
      </c>
      <c r="N78" s="31"/>
      <c r="O78" s="27">
        <f>IF(ISBLANK(A78),"",R78-SUMIF(CATEGORIAS[[#All],[FORMATO
 GENERAL]],     A78,     CATEGORIAS[[#All],[COSTO REAL
ANTERIOR]]))</f>
        <v>0</v>
      </c>
      <c r="P78" s="27"/>
      <c r="Q78" s="22">
        <f t="shared" si="27"/>
        <v>0</v>
      </c>
      <c r="R78" s="27">
        <f>IF(ISBLANK(A78),"",SUMIF(CATEGORIAS[[#All],[FORMATO
 GENERAL]],     A78,     CATEGORIAS[[#All],[COSTO REAL]]))</f>
        <v>0</v>
      </c>
      <c r="S78" s="27"/>
      <c r="T78" s="22">
        <f t="shared" si="28"/>
        <v>0</v>
      </c>
      <c r="U78" s="27">
        <f>IF(ISBLANK(A78),"",SUMIF(CATEGORIAS[[#All],[FORMATO
 GENERAL]],     A78,     CATEGORIAS[[#All],[TOTAL PRODUCCION
ACTUAL]]))</f>
        <v>0</v>
      </c>
      <c r="V78" s="27"/>
      <c r="W78" s="22">
        <f t="shared" si="29"/>
        <v>0</v>
      </c>
      <c r="X78" s="27">
        <f>IF(ISBLANK(A78),"",SUMIF(CATEGORIAS[[#All],[FORMATO
 GENERAL]],     A78,     CATEGORIAS[[#All],[PROYECCION
TOTAL DE COSTO]]))</f>
        <v>0</v>
      </c>
      <c r="Y78" s="33"/>
      <c r="Z78" s="30">
        <f t="shared" si="30"/>
        <v>0</v>
      </c>
      <c r="AA78" s="23"/>
      <c r="AB78" s="22">
        <f t="shared" ref="AB78" si="33">IF(ISBLANK(A78),"",TRUNC(K78-R78-X78,2))</f>
        <v>0</v>
      </c>
      <c r="AD78" s="244">
        <f t="shared" si="31"/>
        <v>0</v>
      </c>
    </row>
    <row r="79" spans="1:30" ht="13.5" customHeight="1" x14ac:dyDescent="0.25">
      <c r="A79" s="70"/>
      <c r="B79" s="72"/>
      <c r="C79" s="24"/>
      <c r="D79" s="24"/>
      <c r="E79" s="24"/>
      <c r="F79" s="24"/>
      <c r="G79" s="22">
        <f t="shared" si="24"/>
        <v>0</v>
      </c>
      <c r="H79" s="24"/>
      <c r="I79" s="24"/>
      <c r="J79" s="22">
        <f t="shared" si="25"/>
        <v>0</v>
      </c>
      <c r="K79" s="24"/>
      <c r="L79" s="24"/>
      <c r="M79" s="30">
        <f t="shared" si="26"/>
        <v>0</v>
      </c>
      <c r="N79" s="24"/>
      <c r="O79" s="24"/>
      <c r="P79" s="24"/>
      <c r="Q79" s="22">
        <f t="shared" si="27"/>
        <v>0</v>
      </c>
      <c r="R79" s="24"/>
      <c r="S79" s="24"/>
      <c r="T79" s="22">
        <f t="shared" si="28"/>
        <v>0</v>
      </c>
      <c r="U79" s="24"/>
      <c r="V79" s="24"/>
      <c r="W79" s="22">
        <f t="shared" si="29"/>
        <v>0</v>
      </c>
      <c r="X79" s="24"/>
      <c r="Y79" s="24"/>
      <c r="Z79" s="30">
        <f t="shared" si="30"/>
        <v>0</v>
      </c>
      <c r="AA79" s="24"/>
      <c r="AB79" s="24"/>
      <c r="AD79" s="244">
        <f t="shared" si="31"/>
        <v>0</v>
      </c>
    </row>
    <row r="80" spans="1:30" ht="13.5" customHeight="1" x14ac:dyDescent="0.25">
      <c r="A80" s="70"/>
      <c r="B80" s="72"/>
      <c r="C80" s="26" t="s">
        <v>136</v>
      </c>
      <c r="D80" s="18"/>
      <c r="E80" s="27">
        <f>SUM(E60:E79)</f>
        <v>1443743143.0334358</v>
      </c>
      <c r="F80" s="27">
        <v>1443743143</v>
      </c>
      <c r="G80" s="22">
        <f t="shared" si="24"/>
        <v>3.3435821533203125E-2</v>
      </c>
      <c r="H80" s="27">
        <f>SUM(H60:H79)</f>
        <v>39523072.766633451</v>
      </c>
      <c r="I80" s="27">
        <v>39523073</v>
      </c>
      <c r="J80" s="22">
        <f t="shared" si="25"/>
        <v>-0.23336654901504517</v>
      </c>
      <c r="K80" s="27">
        <f>SUM(K60:K79)</f>
        <v>1483266215.8000693</v>
      </c>
      <c r="L80" s="33">
        <v>1483266216</v>
      </c>
      <c r="M80" s="30">
        <f t="shared" si="26"/>
        <v>-0.19993066787719727</v>
      </c>
      <c r="N80" s="31"/>
      <c r="O80" s="27">
        <f>SUM(O60:O79)</f>
        <v>236690478.573006</v>
      </c>
      <c r="P80" s="27">
        <v>236690477</v>
      </c>
      <c r="Q80" s="22">
        <f t="shared" si="27"/>
        <v>1.5730060040950775</v>
      </c>
      <c r="R80" s="27">
        <f>SUM(R60:R79)</f>
        <v>702690198.23352182</v>
      </c>
      <c r="S80" s="27">
        <v>702690198</v>
      </c>
      <c r="T80" s="22">
        <f t="shared" si="28"/>
        <v>0.23352181911468506</v>
      </c>
      <c r="U80" s="27">
        <f>SUM(U60:U79)</f>
        <v>673482349.33552063</v>
      </c>
      <c r="V80" s="27">
        <v>673482349</v>
      </c>
      <c r="W80" s="22">
        <f t="shared" si="29"/>
        <v>0.33552062511444092</v>
      </c>
      <c r="X80" s="27">
        <f>SUM(X60:X79)</f>
        <v>780576017.56654751</v>
      </c>
      <c r="Y80" s="33">
        <v>780576018</v>
      </c>
      <c r="Z80" s="30">
        <f t="shared" si="30"/>
        <v>-0.43345248699188232</v>
      </c>
      <c r="AA80" s="31"/>
      <c r="AB80" s="27">
        <f>SUM(AB60:AB79)</f>
        <v>0</v>
      </c>
      <c r="AD80" s="244">
        <f t="shared" si="31"/>
        <v>0</v>
      </c>
    </row>
    <row r="81" spans="1:30" ht="13.5" customHeight="1" x14ac:dyDescent="0.25">
      <c r="A81" s="70"/>
      <c r="B81" s="72"/>
      <c r="C81" s="24"/>
      <c r="D81" s="24"/>
      <c r="E81" s="24"/>
      <c r="F81" s="24"/>
      <c r="G81" s="22">
        <f t="shared" si="24"/>
        <v>0</v>
      </c>
      <c r="H81" s="24"/>
      <c r="I81" s="24"/>
      <c r="J81" s="22">
        <f t="shared" si="25"/>
        <v>0</v>
      </c>
      <c r="K81" s="24"/>
      <c r="L81" s="24"/>
      <c r="M81" s="30">
        <f t="shared" si="26"/>
        <v>0</v>
      </c>
      <c r="N81" s="24"/>
      <c r="O81" s="24"/>
      <c r="P81" s="24"/>
      <c r="Q81" s="22">
        <f t="shared" si="27"/>
        <v>0</v>
      </c>
      <c r="R81" s="24"/>
      <c r="S81" s="24"/>
      <c r="T81" s="22">
        <f t="shared" si="28"/>
        <v>0</v>
      </c>
      <c r="U81" s="24"/>
      <c r="V81" s="24"/>
      <c r="W81" s="22">
        <f t="shared" si="29"/>
        <v>0</v>
      </c>
      <c r="X81" s="24"/>
      <c r="Y81" s="24"/>
      <c r="Z81" s="30">
        <f t="shared" si="30"/>
        <v>0</v>
      </c>
      <c r="AA81" s="24"/>
      <c r="AB81" s="24"/>
      <c r="AD81" s="244">
        <f t="shared" si="31"/>
        <v>0</v>
      </c>
    </row>
    <row r="82" spans="1:30" ht="13.5" customHeight="1" x14ac:dyDescent="0.25">
      <c r="A82" s="70" t="s">
        <v>137</v>
      </c>
      <c r="B82" s="69" t="s">
        <v>138</v>
      </c>
      <c r="C82" s="78" t="s">
        <v>139</v>
      </c>
      <c r="D82" s="16"/>
      <c r="E82" s="77">
        <f>+SUM(E83:E85)</f>
        <v>530981696.87203121</v>
      </c>
      <c r="F82" s="77">
        <v>530981697</v>
      </c>
      <c r="G82" s="22">
        <f t="shared" si="24"/>
        <v>-0.12796878814697266</v>
      </c>
      <c r="H82" s="77">
        <f>+SUM(H83:H85)</f>
        <v>0</v>
      </c>
      <c r="I82" s="77"/>
      <c r="J82" s="22">
        <f t="shared" si="25"/>
        <v>0</v>
      </c>
      <c r="K82" s="77">
        <f>+SUM(K83:K85)</f>
        <v>530981696.87203121</v>
      </c>
      <c r="L82" s="348">
        <v>530981697</v>
      </c>
      <c r="M82" s="30">
        <f t="shared" si="26"/>
        <v>-0.12796878814697266</v>
      </c>
      <c r="N82" s="31"/>
      <c r="O82" s="77">
        <f>+SUM(O83:O85)</f>
        <v>0</v>
      </c>
      <c r="P82" s="77"/>
      <c r="Q82" s="22">
        <f t="shared" si="27"/>
        <v>0</v>
      </c>
      <c r="R82" s="77">
        <f>+SUM(R83:R85)</f>
        <v>0</v>
      </c>
      <c r="S82" s="77"/>
      <c r="T82" s="22">
        <f t="shared" si="28"/>
        <v>0</v>
      </c>
      <c r="U82" s="77">
        <f>+SUM(U83:U85)</f>
        <v>247985263.46041375</v>
      </c>
      <c r="V82" s="77">
        <v>247985263</v>
      </c>
      <c r="W82" s="22">
        <f t="shared" si="29"/>
        <v>0.46041375398635864</v>
      </c>
      <c r="X82" s="77">
        <f>+SUM(X83:X85)</f>
        <v>0</v>
      </c>
      <c r="Y82" s="348"/>
      <c r="Z82" s="30">
        <f t="shared" si="30"/>
        <v>0</v>
      </c>
      <c r="AA82" s="31"/>
      <c r="AB82" s="77">
        <f>+SUM(AB83:AB85)</f>
        <v>530981696.87203121</v>
      </c>
      <c r="AC82">
        <v>530981697</v>
      </c>
      <c r="AD82" s="244">
        <f t="shared" si="31"/>
        <v>-0.12796878814697266</v>
      </c>
    </row>
    <row r="83" spans="1:30" ht="13.5" customHeight="1" outlineLevel="1" x14ac:dyDescent="0.25">
      <c r="A83" s="70" t="s">
        <v>140</v>
      </c>
      <c r="B83" s="69"/>
      <c r="C83" s="28" t="s">
        <v>141</v>
      </c>
      <c r="D83" s="18"/>
      <c r="E83" s="22">
        <f>IF(ISBLANK(A83),"",     SUMIF(CATEGORIAS[[#All],[SUBGRUPO]],     A83,     CATEGORIAS[[#All],[PRESUPUESTO
(ORIGINAL)]]))</f>
        <v>212392678.74881247</v>
      </c>
      <c r="F83" s="22">
        <v>212392679</v>
      </c>
      <c r="G83" s="22">
        <f t="shared" si="24"/>
        <v>-0.2511875331401825</v>
      </c>
      <c r="H83" s="22"/>
      <c r="I83" s="22"/>
      <c r="J83" s="22">
        <f t="shared" si="25"/>
        <v>0</v>
      </c>
      <c r="K83" s="22">
        <f>IF(ISBLANK(A83),"",     SUMIF(CATEGORIAS[[#All],[SUBGRUPO]],     A83,     CATEGORIAS[[#All],[PRESUPUESTO
FINAL
PROYECTADO]]))</f>
        <v>212392678.74881247</v>
      </c>
      <c r="L83" s="30">
        <v>212392679</v>
      </c>
      <c r="M83" s="30">
        <f t="shared" si="26"/>
        <v>-0.2511875331401825</v>
      </c>
      <c r="N83" s="23"/>
      <c r="O83" s="22">
        <v>0</v>
      </c>
      <c r="P83" s="22"/>
      <c r="Q83" s="22">
        <f t="shared" si="27"/>
        <v>0</v>
      </c>
      <c r="R83" s="22">
        <v>0</v>
      </c>
      <c r="S83" s="22"/>
      <c r="T83" s="22">
        <f t="shared" si="28"/>
        <v>0</v>
      </c>
      <c r="U83" s="22">
        <f>IF(ISBLANK(A83),"",SUMIF(CATEGORIAS[[#All],[SUBGRUPO]],     A83,     CATEGORIAS[[#All],[TOTAL PRODUCCION
ACTUAL]]))</f>
        <v>99194105.384165511</v>
      </c>
      <c r="V83" s="22">
        <v>99194105</v>
      </c>
      <c r="W83" s="22">
        <f t="shared" si="29"/>
        <v>0.38416551053524017</v>
      </c>
      <c r="X83" s="22">
        <v>0</v>
      </c>
      <c r="Y83" s="30"/>
      <c r="Z83" s="30">
        <f t="shared" si="30"/>
        <v>0</v>
      </c>
      <c r="AA83" s="23"/>
      <c r="AB83" s="22">
        <f>IF(ISBLANK(A83),"",K83-R83-X83)</f>
        <v>212392678.74881247</v>
      </c>
      <c r="AC83">
        <v>212392679</v>
      </c>
      <c r="AD83" s="244">
        <f t="shared" si="31"/>
        <v>-0.2511875331401825</v>
      </c>
    </row>
    <row r="84" spans="1:30" ht="13.5" customHeight="1" outlineLevel="1" x14ac:dyDescent="0.25">
      <c r="A84" s="70" t="s">
        <v>142</v>
      </c>
      <c r="B84" s="69"/>
      <c r="C84" s="28" t="s">
        <v>143</v>
      </c>
      <c r="D84" s="18"/>
      <c r="E84" s="22">
        <f>IF(ISBLANK(A84),"",     SUMIF(CATEGORIAS[[#All],[SUBGRUPO]],     A84,     CATEGORIAS[[#All],[PRESUPUESTO
(ORIGINAL)]]))</f>
        <v>106196339.37440623</v>
      </c>
      <c r="F84" s="22">
        <v>106196339</v>
      </c>
      <c r="G84" s="22">
        <f t="shared" si="24"/>
        <v>0.37440623342990875</v>
      </c>
      <c r="H84" s="22"/>
      <c r="I84" s="22"/>
      <c r="J84" s="22">
        <f t="shared" si="25"/>
        <v>0</v>
      </c>
      <c r="K84" s="22">
        <f>IF(ISBLANK(A84),"",     SUMIF(CATEGORIAS[[#All],[SUBGRUPO]],     A84,     CATEGORIAS[[#All],[PRESUPUESTO
FINAL
PROYECTADO]]))</f>
        <v>106196339.37440623</v>
      </c>
      <c r="L84" s="30">
        <v>106196339</v>
      </c>
      <c r="M84" s="30">
        <f t="shared" si="26"/>
        <v>0.37440623342990875</v>
      </c>
      <c r="N84" s="23"/>
      <c r="O84" s="22">
        <v>0</v>
      </c>
      <c r="P84" s="22"/>
      <c r="Q84" s="22">
        <f t="shared" si="27"/>
        <v>0</v>
      </c>
      <c r="R84" s="22">
        <v>0</v>
      </c>
      <c r="S84" s="22"/>
      <c r="T84" s="22">
        <f t="shared" si="28"/>
        <v>0</v>
      </c>
      <c r="U84" s="22">
        <f>IF(ISBLANK(A84),"",SUMIF(CATEGORIAS[[#All],[SUBGRUPO]],     A84,     CATEGORIAS[[#All],[TOTAL PRODUCCION
ACTUAL]]))</f>
        <v>49597052.692082755</v>
      </c>
      <c r="V84" s="22">
        <v>49597053</v>
      </c>
      <c r="W84" s="22">
        <f t="shared" si="29"/>
        <v>-0.30791724473237991</v>
      </c>
      <c r="X84" s="22">
        <v>0</v>
      </c>
      <c r="Y84" s="30"/>
      <c r="Z84" s="30">
        <f t="shared" si="30"/>
        <v>0</v>
      </c>
      <c r="AA84" s="23"/>
      <c r="AB84" s="22">
        <f>IF(ISBLANK(A84),"",K84-R84-X84)</f>
        <v>106196339.37440623</v>
      </c>
      <c r="AC84">
        <v>106196339</v>
      </c>
      <c r="AD84" s="244">
        <f t="shared" si="31"/>
        <v>0.37440623342990875</v>
      </c>
    </row>
    <row r="85" spans="1:30" ht="13.5" customHeight="1" outlineLevel="1" x14ac:dyDescent="0.25">
      <c r="A85" s="70" t="s">
        <v>144</v>
      </c>
      <c r="B85" s="69"/>
      <c r="C85" s="28" t="s">
        <v>145</v>
      </c>
      <c r="D85" s="18"/>
      <c r="E85" s="22">
        <f>IF(ISBLANK(A85),"",     SUMIF(CATEGORIAS[[#All],[SUBGRUPO]],     A85,     CATEGORIAS[[#All],[PRESUPUESTO
(ORIGINAL)]]))</f>
        <v>212392678.74881247</v>
      </c>
      <c r="F85" s="22">
        <v>212392679</v>
      </c>
      <c r="G85" s="22">
        <f t="shared" si="24"/>
        <v>-0.2511875331401825</v>
      </c>
      <c r="H85" s="22"/>
      <c r="I85" s="22"/>
      <c r="J85" s="22">
        <f t="shared" si="25"/>
        <v>0</v>
      </c>
      <c r="K85" s="22">
        <f>IF(ISBLANK(A85),"",     SUMIF(CATEGORIAS[[#All],[SUBGRUPO]],     A85,     CATEGORIAS[[#All],[PRESUPUESTO
FINAL
PROYECTADO]]))</f>
        <v>212392678.74881247</v>
      </c>
      <c r="L85" s="30">
        <v>212392679</v>
      </c>
      <c r="M85" s="30">
        <f t="shared" si="26"/>
        <v>-0.2511875331401825</v>
      </c>
      <c r="N85" s="23"/>
      <c r="O85" s="22">
        <v>0</v>
      </c>
      <c r="P85" s="22"/>
      <c r="Q85" s="22">
        <f t="shared" si="27"/>
        <v>0</v>
      </c>
      <c r="R85" s="22">
        <v>0</v>
      </c>
      <c r="S85" s="22"/>
      <c r="T85" s="22">
        <f t="shared" si="28"/>
        <v>0</v>
      </c>
      <c r="U85" s="22">
        <f>IF(ISBLANK(A85),"",SUMIF(CATEGORIAS[[#All],[SUBGRUPO]],     A85,     CATEGORIAS[[#All],[TOTAL PRODUCCION
ACTUAL]]))</f>
        <v>99194105.384165511</v>
      </c>
      <c r="V85" s="22">
        <v>99194105</v>
      </c>
      <c r="W85" s="22">
        <f t="shared" si="29"/>
        <v>0.38416551053524017</v>
      </c>
      <c r="X85" s="22">
        <v>0</v>
      </c>
      <c r="Y85" s="30"/>
      <c r="Z85" s="30">
        <f t="shared" si="30"/>
        <v>0</v>
      </c>
      <c r="AA85" s="23"/>
      <c r="AB85" s="22">
        <f>IF(ISBLANK(A85),"",K85-R85-X85)</f>
        <v>212392678.74881247</v>
      </c>
      <c r="AC85">
        <v>212392679</v>
      </c>
      <c r="AD85" s="244">
        <f t="shared" si="31"/>
        <v>-0.2511875331401825</v>
      </c>
    </row>
    <row r="86" spans="1:30" ht="13.5" customHeight="1" outlineLevel="1" x14ac:dyDescent="0.25">
      <c r="A86" s="70"/>
      <c r="B86" s="69"/>
      <c r="C86" s="28"/>
      <c r="D86" s="18"/>
      <c r="E86" s="22"/>
      <c r="F86" s="22"/>
      <c r="G86" s="22">
        <f t="shared" si="24"/>
        <v>0</v>
      </c>
      <c r="H86" s="22"/>
      <c r="I86" s="22"/>
      <c r="J86" s="22">
        <f t="shared" si="25"/>
        <v>0</v>
      </c>
      <c r="K86" s="22"/>
      <c r="L86" s="30"/>
      <c r="M86" s="30">
        <f t="shared" si="26"/>
        <v>0</v>
      </c>
      <c r="N86" s="23"/>
      <c r="O86" s="22"/>
      <c r="P86" s="22"/>
      <c r="Q86" s="22">
        <f t="shared" si="27"/>
        <v>0</v>
      </c>
      <c r="R86" s="22"/>
      <c r="S86" s="22"/>
      <c r="T86" s="22">
        <f t="shared" si="28"/>
        <v>0</v>
      </c>
      <c r="U86" s="22"/>
      <c r="V86" s="22"/>
      <c r="W86" s="22">
        <f t="shared" si="29"/>
        <v>0</v>
      </c>
      <c r="X86" s="22"/>
      <c r="Y86" s="30"/>
      <c r="Z86" s="30">
        <f t="shared" si="30"/>
        <v>0</v>
      </c>
      <c r="AA86" s="23"/>
      <c r="AB86" s="22"/>
      <c r="AD86" s="244">
        <f t="shared" si="31"/>
        <v>0</v>
      </c>
    </row>
    <row r="87" spans="1:30" ht="13.5" customHeight="1" x14ac:dyDescent="0.25">
      <c r="A87" s="70"/>
      <c r="B87" s="69" t="s">
        <v>146</v>
      </c>
      <c r="C87" s="78" t="s">
        <v>147</v>
      </c>
      <c r="D87" s="16"/>
      <c r="E87" s="358">
        <f>E57+E80+E82</f>
        <v>5309816968.7201071</v>
      </c>
      <c r="F87" s="77">
        <v>5309816969</v>
      </c>
      <c r="G87" s="22">
        <f t="shared" si="24"/>
        <v>-0.27989292144775391</v>
      </c>
      <c r="H87" s="358">
        <f>H57+H80+H82</f>
        <v>205100543.77921024</v>
      </c>
      <c r="I87" s="77">
        <v>205100544</v>
      </c>
      <c r="J87" s="22">
        <f t="shared" si="25"/>
        <v>-0.22078976035118103</v>
      </c>
      <c r="K87" s="358">
        <f>K57+K80+K82</f>
        <v>5514917512.4993172</v>
      </c>
      <c r="L87" s="348">
        <v>5514917512</v>
      </c>
      <c r="M87" s="30">
        <f t="shared" si="26"/>
        <v>0.49931716918945313</v>
      </c>
      <c r="N87" s="31"/>
      <c r="O87" s="358">
        <f>O57+O80+O82</f>
        <v>804863526.27026367</v>
      </c>
      <c r="P87" s="77">
        <v>804863526</v>
      </c>
      <c r="Q87" s="22">
        <f t="shared" si="27"/>
        <v>0.270263671875</v>
      </c>
      <c r="R87" s="358">
        <f>R57+R80+R82</f>
        <v>2219614300.9118185</v>
      </c>
      <c r="S87" s="77">
        <v>2219614301</v>
      </c>
      <c r="T87" s="22">
        <f t="shared" si="28"/>
        <v>-8.8181495666503906E-2</v>
      </c>
      <c r="U87" s="358">
        <f>U57+U80+U82</f>
        <v>2272709405.0881023</v>
      </c>
      <c r="V87" s="77">
        <v>2272709405</v>
      </c>
      <c r="W87" s="22">
        <f t="shared" si="29"/>
        <v>8.8102340698242188E-2</v>
      </c>
      <c r="X87" s="358">
        <f>X57+X80+X82</f>
        <v>2766646893.7408571</v>
      </c>
      <c r="Y87" s="348">
        <v>2766646894</v>
      </c>
      <c r="Z87" s="30">
        <f t="shared" si="30"/>
        <v>-0.25914287567138672</v>
      </c>
      <c r="AA87" s="31"/>
      <c r="AB87" s="358">
        <f>AB57+AB80+AB82+AB86</f>
        <v>528656317.85203123</v>
      </c>
      <c r="AC87" s="244">
        <v>528656318</v>
      </c>
      <c r="AD87" s="244">
        <f t="shared" si="31"/>
        <v>-0.14796876907348633</v>
      </c>
    </row>
    <row r="88" spans="1:30" ht="13.5" customHeight="1" x14ac:dyDescent="0.25">
      <c r="A88" s="70"/>
      <c r="B88" s="69" t="s">
        <v>148</v>
      </c>
      <c r="C88" s="295" t="s">
        <v>149</v>
      </c>
      <c r="D88" s="16"/>
      <c r="E88" s="397"/>
      <c r="F88" s="398"/>
      <c r="G88" s="398"/>
      <c r="H88" s="398"/>
      <c r="I88" s="398"/>
      <c r="J88" s="398"/>
      <c r="K88" s="399"/>
      <c r="L88" s="349"/>
      <c r="M88" s="349"/>
      <c r="N88" s="31"/>
      <c r="O88" s="397"/>
      <c r="P88" s="398"/>
      <c r="Q88" s="398"/>
      <c r="R88" s="398"/>
      <c r="S88" s="398"/>
      <c r="T88" s="398"/>
      <c r="U88" s="398"/>
      <c r="V88" s="398"/>
      <c r="W88" s="398"/>
      <c r="X88" s="399"/>
      <c r="Y88" s="349"/>
      <c r="Z88" s="349"/>
      <c r="AA88" s="31"/>
      <c r="AB88" s="358">
        <f>-4%*K87</f>
        <v>-220596700.4999727</v>
      </c>
      <c r="AC88">
        <v>-220596700</v>
      </c>
      <c r="AD88" s="244">
        <f t="shared" si="31"/>
        <v>-0.49997270107269287</v>
      </c>
    </row>
    <row r="89" spans="1:30" ht="13.5" customHeight="1" x14ac:dyDescent="0.25">
      <c r="A89" s="70"/>
      <c r="B89" s="69" t="s">
        <v>150</v>
      </c>
      <c r="C89" s="295" t="s">
        <v>147</v>
      </c>
      <c r="D89" s="16"/>
      <c r="E89" s="397"/>
      <c r="F89" s="398"/>
      <c r="G89" s="398"/>
      <c r="H89" s="398"/>
      <c r="I89" s="398"/>
      <c r="J89" s="398"/>
      <c r="K89" s="399"/>
      <c r="L89" s="349"/>
      <c r="M89" s="349"/>
      <c r="N89" s="31"/>
      <c r="O89" s="397"/>
      <c r="P89" s="398"/>
      <c r="Q89" s="398"/>
      <c r="R89" s="398"/>
      <c r="S89" s="398"/>
      <c r="T89" s="398"/>
      <c r="U89" s="398"/>
      <c r="V89" s="398"/>
      <c r="W89" s="398"/>
      <c r="X89" s="399"/>
      <c r="Y89" s="349"/>
      <c r="Z89" s="349"/>
      <c r="AA89" s="31"/>
      <c r="AB89" s="358">
        <f>+AB87+AB88</f>
        <v>308059617.35205853</v>
      </c>
      <c r="AC89">
        <v>308059617</v>
      </c>
      <c r="AD89" s="244">
        <f t="shared" si="31"/>
        <v>0.3520585298538208</v>
      </c>
    </row>
    <row r="90" spans="1:30" ht="15.75" thickBot="1" x14ac:dyDescent="0.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7"/>
      <c r="Y90" s="37"/>
      <c r="Z90" s="37"/>
      <c r="AA90" s="37"/>
      <c r="AB90" s="37"/>
      <c r="AC90" s="244"/>
    </row>
    <row r="91" spans="1:30" ht="15.75" thickBot="1" x14ac:dyDescent="0.3">
      <c r="A91" s="70"/>
      <c r="B91" s="72"/>
      <c r="C91" s="25"/>
      <c r="D91" s="18"/>
      <c r="E91" s="34"/>
      <c r="F91" s="35"/>
      <c r="G91" s="35"/>
      <c r="H91" s="35"/>
      <c r="I91" s="35"/>
      <c r="J91" s="35"/>
      <c r="K91" s="278"/>
      <c r="L91" s="278"/>
      <c r="M91" s="278"/>
      <c r="N91" s="19"/>
      <c r="O91" s="36"/>
      <c r="P91" s="36"/>
      <c r="Q91" s="36"/>
      <c r="R91" s="36"/>
      <c r="S91" s="36"/>
      <c r="T91" s="36"/>
      <c r="U91" s="36"/>
      <c r="V91" s="36"/>
      <c r="W91" s="36"/>
      <c r="X91" s="37"/>
      <c r="Y91" s="37"/>
      <c r="Z91" s="37"/>
      <c r="AA91" s="37"/>
      <c r="AB91" s="37"/>
      <c r="AC91" s="244"/>
    </row>
    <row r="92" spans="1:30" ht="15.75" thickBot="1" x14ac:dyDescent="0.3">
      <c r="A92" s="70"/>
      <c r="B92" s="72"/>
      <c r="C92" s="25"/>
      <c r="D92" s="18"/>
      <c r="E92" s="34"/>
      <c r="F92" s="35"/>
      <c r="G92" s="35"/>
      <c r="H92" s="35"/>
      <c r="I92" s="35"/>
      <c r="J92" s="35"/>
      <c r="K92" s="19"/>
      <c r="L92" s="19"/>
      <c r="M92" s="19"/>
      <c r="N92" s="19"/>
      <c r="O92" s="15"/>
      <c r="P92" s="15"/>
      <c r="Q92" s="15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 spans="1:30" x14ac:dyDescent="0.25">
      <c r="A93" s="70"/>
      <c r="B93" s="7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20"/>
    </row>
    <row r="94" spans="1:30" x14ac:dyDescent="0.25">
      <c r="A94" s="70"/>
      <c r="B94" s="72"/>
      <c r="C94" s="15"/>
      <c r="D94" s="15"/>
      <c r="E94" s="15"/>
      <c r="F94" s="15"/>
      <c r="G94" s="15"/>
      <c r="H94" s="15"/>
      <c r="I94" s="15"/>
      <c r="J94" s="15"/>
      <c r="K94" s="36"/>
      <c r="L94" s="36"/>
      <c r="M94" s="36"/>
      <c r="N94" s="15"/>
      <c r="O94" s="15"/>
      <c r="P94" s="15"/>
      <c r="Q94" s="15"/>
      <c r="R94" s="15"/>
      <c r="S94" s="15"/>
      <c r="T94" s="15"/>
      <c r="U94" s="20"/>
      <c r="V94" s="20"/>
      <c r="W94" s="20"/>
      <c r="X94" s="15"/>
      <c r="Y94" s="15"/>
      <c r="Z94" s="15"/>
      <c r="AA94" s="15"/>
      <c r="AB94" s="15"/>
    </row>
    <row r="95" spans="1:30" x14ac:dyDescent="0.25">
      <c r="A95" s="70"/>
      <c r="B95" s="7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30" ht="15.75" thickBot="1" x14ac:dyDescent="0.3">
      <c r="A96" s="70"/>
      <c r="B96" s="72"/>
      <c r="C96" s="16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38"/>
      <c r="Y96" s="38"/>
      <c r="Z96" s="38"/>
      <c r="AA96" s="38"/>
      <c r="AB96" s="38"/>
    </row>
    <row r="97" spans="1:28" ht="15.75" thickTop="1" x14ac:dyDescent="0.25">
      <c r="A97" s="70"/>
      <c r="B97" s="72"/>
      <c r="C97" s="16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393"/>
      <c r="Y97" s="393"/>
      <c r="Z97" s="393"/>
      <c r="AA97" s="393"/>
      <c r="AB97" s="393"/>
    </row>
    <row r="98" spans="1:28" x14ac:dyDescent="0.25">
      <c r="A98" s="70"/>
      <c r="B98" s="72"/>
      <c r="C98" s="16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393" t="s">
        <v>151</v>
      </c>
      <c r="Y98" s="393"/>
      <c r="Z98" s="393"/>
      <c r="AA98" s="393"/>
      <c r="AB98" s="393"/>
    </row>
    <row r="102" spans="1:28" s="366" customFormat="1" x14ac:dyDescent="0.25">
      <c r="A102" s="364"/>
      <c r="B102" s="365"/>
      <c r="C102" s="366" t="s">
        <v>2461</v>
      </c>
    </row>
    <row r="103" spans="1:28" s="366" customFormat="1" x14ac:dyDescent="0.25">
      <c r="A103" s="364"/>
      <c r="B103" s="365"/>
      <c r="C103" s="366" t="s">
        <v>2442</v>
      </c>
      <c r="E103" s="366">
        <v>5309816969</v>
      </c>
      <c r="H103" s="366">
        <v>205100544</v>
      </c>
    </row>
    <row r="104" spans="1:28" s="366" customFormat="1" x14ac:dyDescent="0.25">
      <c r="A104" s="364"/>
      <c r="B104" s="365"/>
      <c r="C104" s="366" t="s">
        <v>2443</v>
      </c>
    </row>
  </sheetData>
  <sheetProtection selectLockedCells="1" autoFilter="0" selectUnlockedCells="1"/>
  <mergeCells count="9">
    <mergeCell ref="X97:AB97"/>
    <mergeCell ref="X98:AB98"/>
    <mergeCell ref="B2:K2"/>
    <mergeCell ref="X2:AB2"/>
    <mergeCell ref="B1:AB1"/>
    <mergeCell ref="E88:K88"/>
    <mergeCell ref="O88:X88"/>
    <mergeCell ref="E89:K89"/>
    <mergeCell ref="O89:X89"/>
  </mergeCells>
  <phoneticPr fontId="35" type="noConversion"/>
  <conditionalFormatting sqref="A78">
    <cfRule type="duplicateValues" dxfId="15" priority="2"/>
  </conditionalFormatting>
  <conditionalFormatting sqref="A79:A87 A90:A1048576 A1:A77">
    <cfRule type="duplicateValues" dxfId="14" priority="4"/>
  </conditionalFormatting>
  <conditionalFormatting sqref="A88:A89">
    <cfRule type="duplicateValues" dxfId="13" priority="1"/>
  </conditionalFormatting>
  <printOptions horizontalCentered="1"/>
  <pageMargins left="0.23622047244094491" right="0.23622047244094491" top="0.35433070866141736" bottom="0.35433070866141736" header="0.31496062992125984" footer="0.31496062992125984"/>
  <pageSetup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AH612"/>
  <sheetViews>
    <sheetView tabSelected="1" zoomScale="80" zoomScaleNormal="80" workbookViewId="0">
      <pane xSplit="5" ySplit="6" topLeftCell="Q7" activePane="bottomRight" state="frozen"/>
      <selection activeCell="R21" sqref="R21"/>
      <selection pane="topRight" activeCell="R21" sqref="R21"/>
      <selection pane="bottomLeft" activeCell="R21" sqref="R21"/>
      <selection pane="bottomRight" activeCell="U11" sqref="U11"/>
    </sheetView>
  </sheetViews>
  <sheetFormatPr baseColWidth="10" defaultColWidth="11.42578125" defaultRowHeight="15" outlineLevelCol="1" x14ac:dyDescent="0.25"/>
  <cols>
    <col min="1" max="1" width="10.7109375" style="138" customWidth="1"/>
    <col min="2" max="2" width="12.140625" style="138" customWidth="1"/>
    <col min="3" max="3" width="24.7109375" style="138" customWidth="1"/>
    <col min="4" max="4" width="18.42578125" style="138" bestFit="1" customWidth="1"/>
    <col min="5" max="5" width="56.85546875" style="138" bestFit="1" customWidth="1"/>
    <col min="6" max="6" width="15.28515625" style="138" customWidth="1"/>
    <col min="7" max="7" width="18.28515625" style="138" customWidth="1"/>
    <col min="8" max="9" width="18.28515625" style="99" customWidth="1"/>
    <col min="10" max="11" width="18.28515625" style="99" customWidth="1" outlineLevel="1"/>
    <col min="12" max="12" width="20" style="138" bestFit="1" customWidth="1"/>
    <col min="13" max="13" width="15.85546875" style="99" customWidth="1"/>
    <col min="14" max="14" width="17.7109375" style="99" customWidth="1"/>
    <col min="15" max="15" width="17.28515625" style="138" bestFit="1" customWidth="1"/>
    <col min="16" max="17" width="17.7109375" style="99" customWidth="1"/>
    <col min="18" max="18" width="17.28515625" style="138" bestFit="1" customWidth="1"/>
    <col min="19" max="19" width="17.7109375" style="99" customWidth="1"/>
    <col min="20" max="20" width="21" style="99" bestFit="1" customWidth="1"/>
    <col min="21" max="21" width="15.85546875" style="99" bestFit="1" customWidth="1"/>
    <col min="22" max="22" width="17.5703125" style="138" bestFit="1" customWidth="1"/>
    <col min="23" max="23" width="17.7109375" style="99" bestFit="1" customWidth="1"/>
    <col min="24" max="24" width="21" style="99" bestFit="1" customWidth="1"/>
    <col min="25" max="25" width="15.85546875" style="99" bestFit="1" customWidth="1"/>
    <col min="26" max="26" width="17.5703125" style="138" bestFit="1" customWidth="1"/>
    <col min="27" max="27" width="18.42578125" style="138" bestFit="1" customWidth="1"/>
    <col min="28" max="28" width="21" style="99" bestFit="1" customWidth="1"/>
    <col min="29" max="29" width="17.140625" style="99" customWidth="1"/>
    <col min="30" max="30" width="16.7109375" style="99" bestFit="1" customWidth="1"/>
    <col min="31" max="31" width="17.140625" style="138" bestFit="1" customWidth="1"/>
    <col min="32" max="32" width="11.42578125" style="99" customWidth="1"/>
    <col min="33" max="33" width="16.5703125" style="99" hidden="1" customWidth="1"/>
    <col min="34" max="16384" width="11.42578125" style="99"/>
  </cols>
  <sheetData>
    <row r="1" spans="1:33" x14ac:dyDescent="0.25">
      <c r="A1" s="98"/>
      <c r="B1" s="98"/>
      <c r="C1" s="98"/>
      <c r="D1" s="209"/>
      <c r="E1" s="337" t="s">
        <v>326</v>
      </c>
      <c r="F1" s="98"/>
      <c r="G1" s="98">
        <v>4</v>
      </c>
      <c r="H1" s="98">
        <v>5</v>
      </c>
      <c r="I1" s="98">
        <v>6</v>
      </c>
      <c r="J1" s="98"/>
      <c r="K1" s="98"/>
      <c r="L1" s="98">
        <v>7</v>
      </c>
      <c r="M1" s="98">
        <v>8</v>
      </c>
      <c r="N1" s="98">
        <v>9</v>
      </c>
      <c r="O1" s="98">
        <v>10</v>
      </c>
      <c r="P1" s="98">
        <v>11</v>
      </c>
      <c r="Q1" s="98">
        <v>12</v>
      </c>
      <c r="R1" s="98">
        <v>13</v>
      </c>
      <c r="S1" s="98">
        <v>14</v>
      </c>
      <c r="T1" s="98">
        <v>15</v>
      </c>
      <c r="U1" s="98">
        <v>16</v>
      </c>
      <c r="V1" s="98">
        <v>17</v>
      </c>
      <c r="W1" s="98">
        <v>18</v>
      </c>
      <c r="X1" s="98">
        <v>19</v>
      </c>
      <c r="Y1" s="98">
        <v>20</v>
      </c>
      <c r="Z1" s="98">
        <v>21</v>
      </c>
      <c r="AA1" s="98">
        <v>22</v>
      </c>
      <c r="AB1" s="98">
        <v>23</v>
      </c>
      <c r="AC1" s="98">
        <v>24</v>
      </c>
      <c r="AD1" s="98">
        <v>25</v>
      </c>
      <c r="AE1" s="98">
        <v>26</v>
      </c>
    </row>
    <row r="2" spans="1:33" ht="15.75" thickBot="1" x14ac:dyDescent="0.3">
      <c r="A2" s="99"/>
      <c r="B2" s="99"/>
      <c r="C2" s="99"/>
      <c r="D2" s="206"/>
      <c r="E2" s="99" t="s">
        <v>326</v>
      </c>
      <c r="F2" s="99"/>
      <c r="G2" s="145">
        <f>SUBTOTAL(9,CATEGORIAS[PRESUPUESTO
(ORIGINAL)])</f>
        <v>5309816968.7201071</v>
      </c>
      <c r="H2" s="145">
        <f>SUBTOTAL(9,CATEGORIAS[POM])</f>
        <v>5309816968.7201071</v>
      </c>
      <c r="I2" s="145">
        <f>SUBTOTAL(9,CATEGORIAS[ADICIONALES])</f>
        <v>205100543.7792103</v>
      </c>
      <c r="J2" s="145"/>
      <c r="K2" s="145"/>
      <c r="L2" s="145">
        <f>SUBTOTAL(9,CATEGORIAS[PRESUPUESTO
FINAL
PROYECTADO])</f>
        <v>5514917512.4993181</v>
      </c>
      <c r="M2" s="145">
        <f>SUBTOTAL(9,CATEGORIAS[PRODUCCION
PARTIDAS
ORIGINALES
ACTUAL])</f>
        <v>2258171129.8538609</v>
      </c>
      <c r="N2" s="145">
        <f>SUBTOTAL(9,CATEGORIAS[PRODUCCION
ADICIONALES
ACTUAL])</f>
        <v>14538275.234242089</v>
      </c>
      <c r="O2" s="145">
        <f>SUBTOTAL(9,CATEGORIAS[TOTAL PRODUCCION
ACTUAL])</f>
        <v>2272709405.0881033</v>
      </c>
      <c r="P2" s="145">
        <f>SUBTOTAL(9,CATEGORIAS[PRODUCCION
ANTERIOR])</f>
        <v>1518420116.4376109</v>
      </c>
      <c r="Q2" s="145">
        <f>SUBTOTAL(9,CATEGORIAS[PRODUCCION
ADICIONALES
ANTERIOR])</f>
        <v>14927094.137321059</v>
      </c>
      <c r="R2" s="145">
        <f>SUBTOTAL(9,CATEGORIAS[TOTAL PRODUCCION
ANTERIOR])</f>
        <v>1533347210.5749311</v>
      </c>
      <c r="S2" s="145">
        <f>SUBTOTAL(9,CATEGORIAS[COSTO
ACUMULADO  AX])</f>
        <v>1927922695.4000001</v>
      </c>
      <c r="T2" s="145">
        <f>SUM(CATEGORIAS[CAMBIO DE
CATEGORIA])</f>
        <v>-0.32880000025033951</v>
      </c>
      <c r="U2" s="145">
        <f>SUBTOTAL(9,CATEGORIAS[PROVISIONES])</f>
        <v>539676869.30103195</v>
      </c>
      <c r="V2" s="145">
        <f>SUBTOTAL(9,CATEGORIAS[COSTO REAL])</f>
        <v>2467599564.3722315</v>
      </c>
      <c r="W2" s="145">
        <f>SUBTOTAL(9,CATEGORIAS[COSTO ACUMULADO
ANTERIOR])</f>
        <v>1214599901.4000001</v>
      </c>
      <c r="X2" s="145">
        <f>SUBTOTAL(9,CATEGORIAS[CAMBIO DE
CATEGORIA
ANTERIOR])</f>
        <v>-0.30211411928758025</v>
      </c>
      <c r="Y2" s="145">
        <f>SUBTOTAL(9,CATEGORIAS[PROVISIONES
ANTERIOR])</f>
        <v>332240832.59339356</v>
      </c>
      <c r="Z2" s="145">
        <f>SUBTOTAL(9,CATEGORIAS[COSTO REAL
ANTERIOR])</f>
        <v>1546840733.6912799</v>
      </c>
      <c r="AA2" s="145">
        <f>SUBTOTAL(9,CATEGORIAS[PROYECCION
DE INGRESO
DEL SALDO])</f>
        <v>3242208107.4112139</v>
      </c>
      <c r="AB2" s="145">
        <f>SUBTOTAL(9,CATEGORIAS[INVENTARIO])</f>
        <v>219920096</v>
      </c>
      <c r="AC2" s="145">
        <f>SUBTOTAL(9,CATEGORIAS[PEDIDOS DE COMPRA
NO RECIBIDOS])</f>
        <v>0</v>
      </c>
      <c r="AD2" s="145">
        <f>SUBTOTAL(9,CATEGORIAS[PROYECCION
DE COSTO
DEL SALDO])</f>
        <v>2829723231.1524739</v>
      </c>
      <c r="AE2" s="145">
        <f>SUBTOTAL(9,CATEGORIAS[PROYECCION
TOTAL DE COSTO])</f>
        <v>3049643327.1524739</v>
      </c>
    </row>
    <row r="3" spans="1:33" x14ac:dyDescent="0.25">
      <c r="A3" s="99"/>
      <c r="B3" s="316"/>
      <c r="C3" s="99"/>
      <c r="D3" s="207"/>
      <c r="E3" s="99" t="s">
        <v>327</v>
      </c>
      <c r="F3" s="229"/>
      <c r="G3" s="99"/>
      <c r="H3" s="229"/>
      <c r="L3" s="99"/>
      <c r="M3" s="369" t="s">
        <v>161</v>
      </c>
      <c r="N3" s="370"/>
      <c r="O3" s="370"/>
      <c r="P3" s="370"/>
      <c r="Q3" s="370"/>
      <c r="R3" s="371"/>
      <c r="S3" s="372" t="s">
        <v>252</v>
      </c>
      <c r="T3" s="373"/>
      <c r="U3" s="373"/>
      <c r="V3" s="373"/>
      <c r="W3" s="373"/>
      <c r="X3" s="373"/>
      <c r="Y3" s="373"/>
      <c r="Z3" s="374"/>
      <c r="AA3" s="375" t="s">
        <v>253</v>
      </c>
      <c r="AB3" s="376"/>
      <c r="AC3" s="376"/>
      <c r="AD3" s="376"/>
      <c r="AE3" s="377"/>
    </row>
    <row r="4" spans="1:33" ht="15.75" thickBot="1" x14ac:dyDescent="0.3">
      <c r="A4" s="99"/>
      <c r="B4" s="99"/>
      <c r="C4" s="99"/>
      <c r="D4" s="208"/>
      <c r="E4" s="99" t="s">
        <v>328</v>
      </c>
      <c r="F4" s="229"/>
      <c r="G4" s="99"/>
      <c r="H4" s="229"/>
      <c r="I4" s="229"/>
      <c r="J4" s="229"/>
      <c r="K4" s="229"/>
      <c r="L4" s="99"/>
      <c r="M4" s="378" t="s">
        <v>329</v>
      </c>
      <c r="N4" s="379"/>
      <c r="O4" s="380"/>
      <c r="P4" s="381" t="s">
        <v>330</v>
      </c>
      <c r="Q4" s="379"/>
      <c r="R4" s="382"/>
      <c r="S4" s="383" t="s">
        <v>155</v>
      </c>
      <c r="T4" s="384"/>
      <c r="U4" s="384"/>
      <c r="V4" s="385"/>
      <c r="W4" s="386" t="s">
        <v>331</v>
      </c>
      <c r="X4" s="384"/>
      <c r="Y4" s="384"/>
      <c r="Z4" s="387"/>
      <c r="AA4" s="100" t="s">
        <v>161</v>
      </c>
      <c r="AB4" s="386" t="s">
        <v>252</v>
      </c>
      <c r="AC4" s="384"/>
      <c r="AD4" s="384"/>
      <c r="AE4" s="387"/>
    </row>
    <row r="5" spans="1:33" s="101" customFormat="1" x14ac:dyDescent="0.25">
      <c r="G5" s="102" t="s">
        <v>332</v>
      </c>
      <c r="H5" s="102" t="s">
        <v>332</v>
      </c>
      <c r="I5" s="102" t="s">
        <v>332</v>
      </c>
      <c r="J5" s="102"/>
      <c r="K5" s="102"/>
      <c r="L5" s="102" t="s">
        <v>333</v>
      </c>
      <c r="M5" s="103" t="s">
        <v>332</v>
      </c>
      <c r="N5" s="104" t="s">
        <v>332</v>
      </c>
      <c r="O5" s="105" t="s">
        <v>333</v>
      </c>
      <c r="P5" s="106" t="s">
        <v>332</v>
      </c>
      <c r="Q5" s="104" t="s">
        <v>332</v>
      </c>
      <c r="R5" s="107" t="s">
        <v>333</v>
      </c>
      <c r="S5" s="108" t="s">
        <v>334</v>
      </c>
      <c r="T5" s="109" t="s">
        <v>332</v>
      </c>
      <c r="U5" s="110" t="s">
        <v>332</v>
      </c>
      <c r="V5" s="111" t="s">
        <v>333</v>
      </c>
      <c r="W5" s="126" t="s">
        <v>332</v>
      </c>
      <c r="X5" s="110" t="s">
        <v>332</v>
      </c>
      <c r="Y5" s="110" t="s">
        <v>332</v>
      </c>
      <c r="Z5" s="112" t="s">
        <v>333</v>
      </c>
      <c r="AA5" s="100" t="s">
        <v>333</v>
      </c>
      <c r="AB5" s="113" t="s">
        <v>334</v>
      </c>
      <c r="AC5" s="113" t="s">
        <v>334</v>
      </c>
      <c r="AD5" s="109" t="s">
        <v>332</v>
      </c>
      <c r="AE5" s="112" t="s">
        <v>333</v>
      </c>
    </row>
    <row r="6" spans="1:33" ht="60" x14ac:dyDescent="0.25">
      <c r="A6" s="184" t="s">
        <v>9</v>
      </c>
      <c r="B6" s="185" t="s">
        <v>335</v>
      </c>
      <c r="C6" s="315" t="s">
        <v>336</v>
      </c>
      <c r="D6" s="185" t="s">
        <v>2279</v>
      </c>
      <c r="E6" s="186" t="s">
        <v>337</v>
      </c>
      <c r="F6" s="186" t="s">
        <v>338</v>
      </c>
      <c r="G6" s="368" t="s">
        <v>339</v>
      </c>
      <c r="H6" s="368" t="s">
        <v>160</v>
      </c>
      <c r="I6" s="367" t="s">
        <v>162</v>
      </c>
      <c r="J6" s="368" t="s">
        <v>2462</v>
      </c>
      <c r="K6" s="368" t="s">
        <v>2463</v>
      </c>
      <c r="L6" s="368" t="s">
        <v>340</v>
      </c>
      <c r="M6" s="114" t="s">
        <v>341</v>
      </c>
      <c r="N6" s="115" t="s">
        <v>342</v>
      </c>
      <c r="O6" s="187" t="s">
        <v>343</v>
      </c>
      <c r="P6" s="116" t="s">
        <v>344</v>
      </c>
      <c r="Q6" s="115" t="s">
        <v>345</v>
      </c>
      <c r="R6" s="188" t="s">
        <v>346</v>
      </c>
      <c r="S6" s="117" t="s">
        <v>347</v>
      </c>
      <c r="T6" s="118" t="s">
        <v>348</v>
      </c>
      <c r="U6" s="110" t="s">
        <v>349</v>
      </c>
      <c r="V6" s="111" t="s">
        <v>350</v>
      </c>
      <c r="W6" s="119" t="s">
        <v>351</v>
      </c>
      <c r="X6" s="118" t="s">
        <v>352</v>
      </c>
      <c r="Y6" s="120" t="s">
        <v>353</v>
      </c>
      <c r="Z6" s="189" t="s">
        <v>354</v>
      </c>
      <c r="AA6" s="190" t="s">
        <v>355</v>
      </c>
      <c r="AB6" s="113" t="s">
        <v>356</v>
      </c>
      <c r="AC6" s="121" t="s">
        <v>357</v>
      </c>
      <c r="AD6" s="118" t="s">
        <v>358</v>
      </c>
      <c r="AE6" s="120" t="s">
        <v>359</v>
      </c>
      <c r="AF6" s="120" t="s">
        <v>360</v>
      </c>
      <c r="AG6" s="99" t="s">
        <v>2381</v>
      </c>
    </row>
    <row r="7" spans="1:33" x14ac:dyDescent="0.25">
      <c r="A7" s="274">
        <f>+IFERROR(VLOOKUP(CATEGORIAS[[#This Row],[CATEGORIA2]],[1]HOMOLOGACION!$A$1:$I$571,9,FALSE),0)</f>
        <v>0</v>
      </c>
      <c r="B7" s="274">
        <f>+IFERROR(VLOOKUP(CATEGORIAS[[#This Row],[CATEGORIA2]],[1]HOMOLOGACION!$A$1:$C$571,3,FALSE),0)</f>
        <v>0</v>
      </c>
      <c r="C7" s="274">
        <f>+IFERROR(VLOOKUP(CATEGORIAS[[#This Row],[CATEGORIA2]],[1]HOMOLOGACION!$A$1:$D$571,4,FALSE),0)</f>
        <v>0</v>
      </c>
      <c r="D7" s="144" t="s">
        <v>1431</v>
      </c>
      <c r="E7" s="275" t="s">
        <v>2280</v>
      </c>
      <c r="F7" s="275" t="s">
        <v>361</v>
      </c>
      <c r="G7" s="313">
        <v>0</v>
      </c>
      <c r="H7" s="313">
        <v>0</v>
      </c>
      <c r="I7" s="130"/>
      <c r="J7" s="130"/>
      <c r="K7" s="130"/>
      <c r="L7" s="143">
        <f>CATEGORIAS[[#This Row],[ADICIONALES]]+CATEGORIAS[[#This Row],[POM]]</f>
        <v>0</v>
      </c>
      <c r="M7" s="131">
        <v>0</v>
      </c>
      <c r="N7" s="211">
        <v>0</v>
      </c>
      <c r="O7" s="141">
        <f>+CATEGORIAS[[#This Row],[PRODUCCION
PARTIDAS
ORIGINALES
ACTUAL]]+CATEGORIAS[[#This Row],[PRODUCCION
ADICIONALES
ACTUAL]]</f>
        <v>0</v>
      </c>
      <c r="P7" s="132"/>
      <c r="Q7" s="132"/>
      <c r="R7" s="140">
        <f>CATEGORIAS[[#This Row],[PRODUCCION
ANTERIOR]]+CATEGORIAS[[#This Row],[PRODUCCION
ADICIONALES
ANTERIOR]]</f>
        <v>0</v>
      </c>
      <c r="S7" s="133">
        <v>0</v>
      </c>
      <c r="T7" s="133"/>
      <c r="U7" s="133"/>
      <c r="V7" s="141">
        <f>SUM(CATEGORIAS[[#This Row],[COSTO
ACUMULADO  AX]:[PROVISIONES]])</f>
        <v>0</v>
      </c>
      <c r="W7" s="133"/>
      <c r="X7" s="132"/>
      <c r="Y7" s="132"/>
      <c r="Z7" s="140">
        <f>SUM(CATEGORIAS[[#This Row],[COSTO ACUMULADO
ANTERIOR]:[PROVISIONES
ANTERIOR]])</f>
        <v>0</v>
      </c>
      <c r="AA7" s="139">
        <f>CATEGORIAS[[#This Row],[PRESUPUESTO
FINAL
PROYECTADO]]-CATEGORIAS[[#This Row],[TOTAL PRODUCCION
ACTUAL]]</f>
        <v>0</v>
      </c>
      <c r="AB7" s="132">
        <v>0</v>
      </c>
      <c r="AC7" s="132"/>
      <c r="AD7" s="132"/>
      <c r="AE7" s="137">
        <f>SUM(CATEGORIAS[[#This Row],[INVENTARIO]:[PROYECCION
DE COSTO
DEL SALDO]])</f>
        <v>0</v>
      </c>
      <c r="AF7" s="132"/>
      <c r="AG7" s="132">
        <f>+CATEGORIAS[[#This Row],[PRESUPUESTO
FINAL
PROYECTADO]]-CATEGORIAS[[#This Row],[COSTO REAL]]-CATEGORIAS[[#This Row],[PROYECCION
TOTAL DE COSTO]]</f>
        <v>0</v>
      </c>
    </row>
    <row r="8" spans="1:33" x14ac:dyDescent="0.25">
      <c r="A8" s="274" t="str">
        <f>+IFERROR(VLOOKUP(CATEGORIAS[[#This Row],[CATEGORIA2]],[1]HOMOLOGACION!$A$1:$I$571,9,FALSE),0)</f>
        <v>0A01</v>
      </c>
      <c r="B8" s="274" t="str">
        <f>+IFERROR(VLOOKUP(CATEGORIAS[[#This Row],[CATEGORIA2]],[1]HOMOLOGACION!$A$1:$C$571,3,FALSE),0)</f>
        <v>0A01</v>
      </c>
      <c r="C8" s="274" t="str">
        <f>+IFERROR(VLOOKUP(CATEGORIAS[[#This Row],[CATEGORIA2]],[1]HOMOLOGACION!$A$1:$D$571,4,FALSE),0)</f>
        <v xml:space="preserve">Civil  </v>
      </c>
      <c r="D8" s="144" t="s">
        <v>1732</v>
      </c>
      <c r="E8" s="275" t="s">
        <v>2322</v>
      </c>
      <c r="F8" s="275" t="s">
        <v>361</v>
      </c>
      <c r="G8" s="313">
        <v>0</v>
      </c>
      <c r="H8" s="313">
        <v>0</v>
      </c>
      <c r="I8" s="130"/>
      <c r="J8" s="130"/>
      <c r="K8" s="130"/>
      <c r="L8" s="143">
        <f>CATEGORIAS[[#This Row],[ADICIONALES]]+CATEGORIAS[[#This Row],[POM]]</f>
        <v>0</v>
      </c>
      <c r="M8" s="131">
        <v>0</v>
      </c>
      <c r="N8" s="211">
        <v>0</v>
      </c>
      <c r="O8" s="141">
        <f>CATEGORIAS[[#This Row],[PRODUCCION
PARTIDAS
ORIGINALES
ACTUAL]]+CATEGORIAS[[#This Row],[PRODUCCION
ADICIONALES
ACTUAL]]</f>
        <v>0</v>
      </c>
      <c r="P8" s="132"/>
      <c r="Q8" s="132"/>
      <c r="R8" s="140">
        <f>CATEGORIAS[[#This Row],[PRODUCCION
ANTERIOR]]+CATEGORIAS[[#This Row],[PRODUCCION
ADICIONALES
ANTERIOR]]</f>
        <v>0</v>
      </c>
      <c r="S8" s="133">
        <v>0</v>
      </c>
      <c r="T8" s="133"/>
      <c r="U8" s="133"/>
      <c r="V8" s="141">
        <f>SUM(CATEGORIAS[[#This Row],[COSTO
ACUMULADO  AX]:[PROVISIONES]])</f>
        <v>0</v>
      </c>
      <c r="W8" s="133"/>
      <c r="X8" s="132"/>
      <c r="Y8" s="132"/>
      <c r="Z8" s="140">
        <f>SUM(CATEGORIAS[[#This Row],[COSTO ACUMULADO
ANTERIOR]:[PROVISIONES
ANTERIOR]])</f>
        <v>0</v>
      </c>
      <c r="AA8" s="139">
        <f>CATEGORIAS[[#This Row],[PRESUPUESTO
FINAL
PROYECTADO]]-CATEGORIAS[[#This Row],[TOTAL PRODUCCION
ACTUAL]]</f>
        <v>0</v>
      </c>
      <c r="AB8" s="132">
        <v>0</v>
      </c>
      <c r="AC8" s="132"/>
      <c r="AD8" s="132"/>
      <c r="AE8" s="137">
        <f>SUM(CATEGORIAS[[#This Row],[INVENTARIO]:[PROYECCION
DE COSTO
DEL SALDO]])</f>
        <v>0</v>
      </c>
      <c r="AF8" s="132"/>
      <c r="AG8" s="132">
        <f>+CATEGORIAS[[#This Row],[PRESUPUESTO
FINAL
PROYECTADO]]-CATEGORIAS[[#This Row],[COSTO REAL]]-CATEGORIAS[[#This Row],[PROYECCION
TOTAL DE COSTO]]</f>
        <v>0</v>
      </c>
    </row>
    <row r="9" spans="1:33" x14ac:dyDescent="0.25">
      <c r="A9" s="274" t="str">
        <f>+IFERROR(VLOOKUP(CATEGORIAS[[#This Row],[CATEGORIA2]],[1]HOMOLOGACION!$A$1:$I$571,9,FALSE),0)</f>
        <v>0A01</v>
      </c>
      <c r="B9" s="274" t="str">
        <f>+IFERROR(VLOOKUP(CATEGORIAS[[#This Row],[CATEGORIA2]],[1]HOMOLOGACION!$A$1:$C$571,3,FALSE),0)</f>
        <v>0A01</v>
      </c>
      <c r="C9" s="274" t="str">
        <f>+IFERROR(VLOOKUP(CATEGORIAS[[#This Row],[CATEGORIA2]],[1]HOMOLOGACION!$A$1:$D$571,4,FALSE),0)</f>
        <v xml:space="preserve">Civil  </v>
      </c>
      <c r="D9" s="144" t="s">
        <v>1733</v>
      </c>
      <c r="E9" s="275" t="s">
        <v>366</v>
      </c>
      <c r="F9" s="275" t="s">
        <v>361</v>
      </c>
      <c r="G9" s="313">
        <v>0</v>
      </c>
      <c r="H9" s="313">
        <v>0</v>
      </c>
      <c r="I9" s="130"/>
      <c r="J9" s="130"/>
      <c r="K9" s="130"/>
      <c r="L9" s="143">
        <f>CATEGORIAS[[#This Row],[ADICIONALES]]+CATEGORIAS[[#This Row],[POM]]</f>
        <v>0</v>
      </c>
      <c r="M9" s="131">
        <v>0</v>
      </c>
      <c r="N9" s="211">
        <v>0</v>
      </c>
      <c r="O9" s="296">
        <f>CATEGORIAS[[#This Row],[PRODUCCION
PARTIDAS
ORIGINALES
ACTUAL]]+CATEGORIAS[[#This Row],[PRODUCCION
ADICIONALES
ACTUAL]]</f>
        <v>0</v>
      </c>
      <c r="P9" s="227"/>
      <c r="Q9" s="227"/>
      <c r="R9" s="297">
        <f>CATEGORIAS[[#This Row],[PRODUCCION
ANTERIOR]]+CATEGORIAS[[#This Row],[PRODUCCION
ADICIONALES
ANTERIOR]]</f>
        <v>0</v>
      </c>
      <c r="S9" s="133">
        <v>0</v>
      </c>
      <c r="T9" s="133"/>
      <c r="U9" s="133"/>
      <c r="V9" s="296">
        <f>SUM(CATEGORIAS[[#This Row],[COSTO
ACUMULADO  AX]:[PROVISIONES]])</f>
        <v>0</v>
      </c>
      <c r="W9" s="298"/>
      <c r="X9" s="227"/>
      <c r="Y9" s="227"/>
      <c r="Z9" s="297">
        <f>SUM(CATEGORIAS[[#This Row],[COSTO ACUMULADO
ANTERIOR]:[PROVISIONES
ANTERIOR]])</f>
        <v>0</v>
      </c>
      <c r="AA9" s="139">
        <f>CATEGORIAS[[#This Row],[PRESUPUESTO
FINAL
PROYECTADO]]-CATEGORIAS[[#This Row],[TOTAL PRODUCCION
ACTUAL]]</f>
        <v>0</v>
      </c>
      <c r="AB9" s="227">
        <v>0</v>
      </c>
      <c r="AC9" s="132"/>
      <c r="AD9" s="132"/>
      <c r="AE9" s="226">
        <f>SUM(CATEGORIAS[[#This Row],[INVENTARIO]:[PROYECCION
DE COSTO
DEL SALDO]])</f>
        <v>0</v>
      </c>
      <c r="AF9" s="132"/>
      <c r="AG9" s="132">
        <f>+CATEGORIAS[[#This Row],[PRESUPUESTO
FINAL
PROYECTADO]]-CATEGORIAS[[#This Row],[COSTO REAL]]-CATEGORIAS[[#This Row],[PROYECCION
TOTAL DE COSTO]]</f>
        <v>0</v>
      </c>
    </row>
    <row r="10" spans="1:33" x14ac:dyDescent="0.25">
      <c r="A10" s="274" t="str">
        <f>+IFERROR(VLOOKUP(CATEGORIAS[[#This Row],[CATEGORIA2]],[1]HOMOLOGACION!$A$1:$I$571,9,FALSE),0)</f>
        <v>0A01</v>
      </c>
      <c r="B10" s="274" t="str">
        <f>+IFERROR(VLOOKUP(CATEGORIAS[[#This Row],[CATEGORIA2]],[1]HOMOLOGACION!$A$1:$C$571,3,FALSE),0)</f>
        <v>0A01</v>
      </c>
      <c r="C10" s="274" t="str">
        <f>+IFERROR(VLOOKUP(CATEGORIAS[[#This Row],[CATEGORIA2]],[1]HOMOLOGACION!$A$1:$D$571,4,FALSE),0)</f>
        <v xml:space="preserve">Civil  </v>
      </c>
      <c r="D10" s="144" t="s">
        <v>1734</v>
      </c>
      <c r="E10" s="273" t="s">
        <v>368</v>
      </c>
      <c r="F10" s="275" t="s">
        <v>361</v>
      </c>
      <c r="G10" s="313">
        <v>0</v>
      </c>
      <c r="H10" s="313">
        <v>0</v>
      </c>
      <c r="I10" s="130"/>
      <c r="J10" s="130"/>
      <c r="K10" s="130"/>
      <c r="L10" s="143">
        <f>CATEGORIAS[[#This Row],[ADICIONALES]]+CATEGORIAS[[#This Row],[POM]]</f>
        <v>0</v>
      </c>
      <c r="M10" s="131">
        <v>0</v>
      </c>
      <c r="N10" s="211">
        <v>0</v>
      </c>
      <c r="O10" s="296">
        <f>CATEGORIAS[[#This Row],[PRODUCCION
PARTIDAS
ORIGINALES
ACTUAL]]+CATEGORIAS[[#This Row],[PRODUCCION
ADICIONALES
ACTUAL]]</f>
        <v>0</v>
      </c>
      <c r="P10" s="227"/>
      <c r="Q10" s="227"/>
      <c r="R10" s="297">
        <f>CATEGORIAS[[#This Row],[PRODUCCION
ANTERIOR]]+CATEGORIAS[[#This Row],[PRODUCCION
ADICIONALES
ANTERIOR]]</f>
        <v>0</v>
      </c>
      <c r="S10" s="133">
        <v>0</v>
      </c>
      <c r="T10" s="133"/>
      <c r="U10" s="133"/>
      <c r="V10" s="296">
        <f>SUM(CATEGORIAS[[#This Row],[COSTO
ACUMULADO  AX]:[PROVISIONES]])</f>
        <v>0</v>
      </c>
      <c r="W10" s="298"/>
      <c r="X10" s="227"/>
      <c r="Y10" s="227"/>
      <c r="Z10" s="297">
        <f>SUM(CATEGORIAS[[#This Row],[COSTO ACUMULADO
ANTERIOR]:[PROVISIONES
ANTERIOR]])</f>
        <v>0</v>
      </c>
      <c r="AA10" s="139">
        <f>CATEGORIAS[[#This Row],[PRESUPUESTO
FINAL
PROYECTADO]]-CATEGORIAS[[#This Row],[TOTAL PRODUCCION
ACTUAL]]</f>
        <v>0</v>
      </c>
      <c r="AB10" s="227">
        <v>0</v>
      </c>
      <c r="AC10" s="132"/>
      <c r="AD10" s="132"/>
      <c r="AE10" s="226">
        <f>SUM(CATEGORIAS[[#This Row],[INVENTARIO]:[PROYECCION
DE COSTO
DEL SALDO]])</f>
        <v>0</v>
      </c>
      <c r="AF10" s="132"/>
      <c r="AG10" s="132">
        <f>+CATEGORIAS[[#This Row],[PRESUPUESTO
FINAL
PROYECTADO]]-CATEGORIAS[[#This Row],[COSTO REAL]]-CATEGORIAS[[#This Row],[PROYECCION
TOTAL DE COSTO]]</f>
        <v>0</v>
      </c>
    </row>
    <row r="11" spans="1:33" x14ac:dyDescent="0.25">
      <c r="A11" s="274" t="str">
        <f>+IFERROR(VLOOKUP(CATEGORIAS[[#This Row],[CATEGORIA2]],[1]HOMOLOGACION!$A$1:$I$571,9,FALSE),0)</f>
        <v>0A01</v>
      </c>
      <c r="B11" s="274" t="str">
        <f>+IFERROR(VLOOKUP(CATEGORIAS[[#This Row],[CATEGORIA2]],[1]HOMOLOGACION!$A$1:$C$571,3,FALSE),0)</f>
        <v>0A01</v>
      </c>
      <c r="C11" s="274" t="str">
        <f>+IFERROR(VLOOKUP(CATEGORIAS[[#This Row],[CATEGORIA2]],[1]HOMOLOGACION!$A$1:$D$571,4,FALSE),0)</f>
        <v xml:space="preserve">Civil  </v>
      </c>
      <c r="D11" s="144" t="s">
        <v>1735</v>
      </c>
      <c r="E11" s="275" t="s">
        <v>370</v>
      </c>
      <c r="F11" s="275" t="s">
        <v>361</v>
      </c>
      <c r="G11" s="313">
        <v>0</v>
      </c>
      <c r="H11" s="313">
        <v>0</v>
      </c>
      <c r="I11" s="130"/>
      <c r="J11" s="130"/>
      <c r="K11" s="130"/>
      <c r="L11" s="143">
        <f>CATEGORIAS[[#This Row],[ADICIONALES]]+CATEGORIAS[[#This Row],[POM]]</f>
        <v>0</v>
      </c>
      <c r="M11" s="131">
        <v>0</v>
      </c>
      <c r="N11" s="211">
        <v>0</v>
      </c>
      <c r="O11" s="296">
        <f>CATEGORIAS[[#This Row],[PRODUCCION
PARTIDAS
ORIGINALES
ACTUAL]]+CATEGORIAS[[#This Row],[PRODUCCION
ADICIONALES
ACTUAL]]</f>
        <v>0</v>
      </c>
      <c r="P11" s="227"/>
      <c r="Q11" s="227"/>
      <c r="R11" s="297">
        <f>CATEGORIAS[[#This Row],[PRODUCCION
ANTERIOR]]+CATEGORIAS[[#This Row],[PRODUCCION
ADICIONALES
ANTERIOR]]</f>
        <v>0</v>
      </c>
      <c r="S11" s="133">
        <v>0</v>
      </c>
      <c r="T11" s="133"/>
      <c r="U11" s="133"/>
      <c r="V11" s="296">
        <f>SUM(CATEGORIAS[[#This Row],[COSTO
ACUMULADO  AX]:[PROVISIONES]])</f>
        <v>0</v>
      </c>
      <c r="W11" s="298"/>
      <c r="X11" s="227"/>
      <c r="Y11" s="227"/>
      <c r="Z11" s="297">
        <f>SUM(CATEGORIAS[[#This Row],[COSTO ACUMULADO
ANTERIOR]:[PROVISIONES
ANTERIOR]])</f>
        <v>0</v>
      </c>
      <c r="AA11" s="139">
        <f>CATEGORIAS[[#This Row],[PRESUPUESTO
FINAL
PROYECTADO]]-CATEGORIAS[[#This Row],[TOTAL PRODUCCION
ACTUAL]]</f>
        <v>0</v>
      </c>
      <c r="AB11" s="227">
        <v>0</v>
      </c>
      <c r="AC11" s="132"/>
      <c r="AD11" s="132"/>
      <c r="AE11" s="226">
        <f>SUM(CATEGORIAS[[#This Row],[INVENTARIO]:[PROYECCION
DE COSTO
DEL SALDO]])</f>
        <v>0</v>
      </c>
      <c r="AF11" s="132"/>
      <c r="AG11" s="132">
        <f>+CATEGORIAS[[#This Row],[PRESUPUESTO
FINAL
PROYECTADO]]-CATEGORIAS[[#This Row],[COSTO REAL]]-CATEGORIAS[[#This Row],[PROYECCION
TOTAL DE COSTO]]</f>
        <v>0</v>
      </c>
    </row>
    <row r="12" spans="1:33" x14ac:dyDescent="0.25">
      <c r="A12" s="274" t="str">
        <f>+IFERROR(VLOOKUP(CATEGORIAS[[#This Row],[CATEGORIA2]],[1]HOMOLOGACION!$A$1:$I$571,9,FALSE),0)</f>
        <v>0M01</v>
      </c>
      <c r="B12" s="274" t="str">
        <f>+IFERROR(VLOOKUP(CATEGORIAS[[#This Row],[CATEGORIA2]],[1]HOMOLOGACION!$A$1:$C$571,3,FALSE),0)</f>
        <v>0A11</v>
      </c>
      <c r="C12" s="274" t="str">
        <f>+IFERROR(VLOOKUP(CATEGORIAS[[#This Row],[CATEGORIA2]],[1]HOMOLOGACION!$A$1:$D$571,4,FALSE),0)</f>
        <v>Arquitectura</v>
      </c>
      <c r="D12" s="144" t="s">
        <v>1736</v>
      </c>
      <c r="E12" s="273" t="s">
        <v>372</v>
      </c>
      <c r="F12" s="275" t="s">
        <v>361</v>
      </c>
      <c r="G12" s="313">
        <v>0</v>
      </c>
      <c r="H12" s="313">
        <v>0</v>
      </c>
      <c r="I12" s="130"/>
      <c r="J12" s="130"/>
      <c r="K12" s="130"/>
      <c r="L12" s="143">
        <f>CATEGORIAS[[#This Row],[ADICIONALES]]+CATEGORIAS[[#This Row],[POM]]</f>
        <v>0</v>
      </c>
      <c r="M12" s="131">
        <v>0</v>
      </c>
      <c r="N12" s="211">
        <v>0</v>
      </c>
      <c r="O12" s="296">
        <f>CATEGORIAS[[#This Row],[PRODUCCION
PARTIDAS
ORIGINALES
ACTUAL]]+CATEGORIAS[[#This Row],[PRODUCCION
ADICIONALES
ACTUAL]]</f>
        <v>0</v>
      </c>
      <c r="P12" s="227"/>
      <c r="Q12" s="227"/>
      <c r="R12" s="297">
        <f>CATEGORIAS[[#This Row],[PRODUCCION
ANTERIOR]]+CATEGORIAS[[#This Row],[PRODUCCION
ADICIONALES
ANTERIOR]]</f>
        <v>0</v>
      </c>
      <c r="S12" s="133">
        <v>0</v>
      </c>
      <c r="T12" s="133"/>
      <c r="U12" s="133"/>
      <c r="V12" s="296">
        <f>SUM(CATEGORIAS[[#This Row],[COSTO
ACUMULADO  AX]:[PROVISIONES]])</f>
        <v>0</v>
      </c>
      <c r="W12" s="298"/>
      <c r="X12" s="227"/>
      <c r="Y12" s="227"/>
      <c r="Z12" s="297">
        <f>SUM(CATEGORIAS[[#This Row],[COSTO ACUMULADO
ANTERIOR]:[PROVISIONES
ANTERIOR]])</f>
        <v>0</v>
      </c>
      <c r="AA12" s="139">
        <f>CATEGORIAS[[#This Row],[PRESUPUESTO
FINAL
PROYECTADO]]-CATEGORIAS[[#This Row],[TOTAL PRODUCCION
ACTUAL]]</f>
        <v>0</v>
      </c>
      <c r="AB12" s="227">
        <v>0</v>
      </c>
      <c r="AC12" s="132"/>
      <c r="AD12" s="132"/>
      <c r="AE12" s="226">
        <f>SUM(CATEGORIAS[[#This Row],[INVENTARIO]:[PROYECCION
DE COSTO
DEL SALDO]])</f>
        <v>0</v>
      </c>
      <c r="AF12" s="132"/>
      <c r="AG12" s="132">
        <f>+CATEGORIAS[[#This Row],[PRESUPUESTO
FINAL
PROYECTADO]]-CATEGORIAS[[#This Row],[COSTO REAL]]-CATEGORIAS[[#This Row],[PROYECCION
TOTAL DE COSTO]]</f>
        <v>0</v>
      </c>
    </row>
    <row r="13" spans="1:33" x14ac:dyDescent="0.25">
      <c r="A13" s="274" t="str">
        <f>+IFERROR(VLOOKUP(CATEGORIAS[[#This Row],[CATEGORIA2]],[1]HOMOLOGACION!$A$1:$I$571,9,FALSE),0)</f>
        <v>0A01</v>
      </c>
      <c r="B13" s="274" t="str">
        <f>+IFERROR(VLOOKUP(CATEGORIAS[[#This Row],[CATEGORIA2]],[1]HOMOLOGACION!$A$1:$C$571,3,FALSE),0)</f>
        <v>0A01</v>
      </c>
      <c r="C13" s="274" t="str">
        <f>+IFERROR(VLOOKUP(CATEGORIAS[[#This Row],[CATEGORIA2]],[1]HOMOLOGACION!$A$1:$D$571,4,FALSE),0)</f>
        <v xml:space="preserve">Civil  </v>
      </c>
      <c r="D13" s="144" t="s">
        <v>1737</v>
      </c>
      <c r="E13" s="273" t="s">
        <v>374</v>
      </c>
      <c r="F13" s="275" t="s">
        <v>364</v>
      </c>
      <c r="G13" s="313">
        <v>145972510.11940765</v>
      </c>
      <c r="H13" s="313">
        <v>145972510.11940765</v>
      </c>
      <c r="I13" s="130">
        <v>14606631.888053454</v>
      </c>
      <c r="J13" s="130"/>
      <c r="K13" s="130"/>
      <c r="L13" s="143">
        <f>CATEGORIAS[[#This Row],[ADICIONALES]]+CATEGORIAS[[#This Row],[POM]]</f>
        <v>160579142.0074611</v>
      </c>
      <c r="M13" s="131">
        <v>116629607.26106611</v>
      </c>
      <c r="N13" s="227">
        <v>0</v>
      </c>
      <c r="O13" s="296">
        <f>CATEGORIAS[[#This Row],[PRODUCCION
PARTIDAS
ORIGINALES
ACTUAL]]+CATEGORIAS[[#This Row],[PRODUCCION
ADICIONALES
ACTUAL]]</f>
        <v>116629607.26106611</v>
      </c>
      <c r="P13" s="227">
        <v>107916218.22437564</v>
      </c>
      <c r="Q13" s="227">
        <v>436740.47129692102</v>
      </c>
      <c r="R13" s="297">
        <f>CATEGORIAS[[#This Row],[PRODUCCION
ANTERIOR]]+CATEGORIAS[[#This Row],[PRODUCCION
ADICIONALES
ANTERIOR]]</f>
        <v>108352958.69567256</v>
      </c>
      <c r="S13" s="133">
        <v>99656107</v>
      </c>
      <c r="T13" s="227"/>
      <c r="U13" s="133">
        <v>8175470.9254709249</v>
      </c>
      <c r="V13" s="296">
        <f>SUM(CATEGORIAS[[#This Row],[COSTO
ACUMULADO  AX]:[PROVISIONES]])</f>
        <v>107831577.92547092</v>
      </c>
      <c r="W13" s="298">
        <v>53713252</v>
      </c>
      <c r="X13" s="227"/>
      <c r="Y13" s="227">
        <v>6087837.8378378367</v>
      </c>
      <c r="Z13" s="297">
        <f>SUM(CATEGORIAS[[#This Row],[COSTO ACUMULADO
ANTERIOR]:[PROVISIONES
ANTERIOR]])</f>
        <v>59801089.837837838</v>
      </c>
      <c r="AA13" s="139">
        <f>CATEGORIAS[[#This Row],[PRESUPUESTO
FINAL
PROYECTADO]]-CATEGORIAS[[#This Row],[TOTAL PRODUCCION
ACTUAL]]</f>
        <v>43949534.746394992</v>
      </c>
      <c r="AB13" s="227">
        <v>0</v>
      </c>
      <c r="AC13" s="132"/>
      <c r="AD13" s="132">
        <v>52747564.081990182</v>
      </c>
      <c r="AE13" s="226">
        <f>SUM(CATEGORIAS[[#This Row],[INVENTARIO]:[PROYECCION
DE COSTO
DEL SALDO]])</f>
        <v>52747564.081990182</v>
      </c>
      <c r="AF13" s="132"/>
      <c r="AG13" s="132">
        <f>+CATEGORIAS[[#This Row],[PRESUPUESTO
FINAL
PROYECTADO]]-CATEGORIAS[[#This Row],[COSTO REAL]]-CATEGORIAS[[#This Row],[PROYECCION
TOTAL DE COSTO]]</f>
        <v>0</v>
      </c>
    </row>
    <row r="14" spans="1:33" x14ac:dyDescent="0.25">
      <c r="A14" s="274" t="str">
        <f>+IFERROR(VLOOKUP(CATEGORIAS[[#This Row],[CATEGORIA2]],[1]HOMOLOGACION!$A$1:$I$571,9,FALSE),0)</f>
        <v>0B01</v>
      </c>
      <c r="B14" s="274" t="str">
        <f>+IFERROR(VLOOKUP(CATEGORIAS[[#This Row],[CATEGORIA2]],[1]HOMOLOGACION!$A$1:$C$571,3,FALSE),0)</f>
        <v>0A02</v>
      </c>
      <c r="C14" s="274" t="str">
        <f>+IFERROR(VLOOKUP(CATEGORIAS[[#This Row],[CATEGORIA2]],[1]HOMOLOGACION!$A$1:$D$571,4,FALSE),0)</f>
        <v xml:space="preserve">Estructura </v>
      </c>
      <c r="D14" s="144" t="s">
        <v>1738</v>
      </c>
      <c r="E14" s="275" t="s">
        <v>376</v>
      </c>
      <c r="F14" s="275" t="s">
        <v>361</v>
      </c>
      <c r="G14" s="313">
        <v>0</v>
      </c>
      <c r="H14" s="313">
        <v>0</v>
      </c>
      <c r="I14" s="130">
        <v>0</v>
      </c>
      <c r="J14" s="130"/>
      <c r="K14" s="130"/>
      <c r="L14" s="143">
        <f>CATEGORIAS[[#This Row],[ADICIONALES]]+CATEGORIAS[[#This Row],[POM]]</f>
        <v>0</v>
      </c>
      <c r="M14" s="131">
        <v>0</v>
      </c>
      <c r="N14" s="227">
        <v>0</v>
      </c>
      <c r="O14" s="296">
        <f>CATEGORIAS[[#This Row],[PRODUCCION
PARTIDAS
ORIGINALES
ACTUAL]]+CATEGORIAS[[#This Row],[PRODUCCION
ADICIONALES
ACTUAL]]</f>
        <v>0</v>
      </c>
      <c r="P14" s="227">
        <v>0</v>
      </c>
      <c r="Q14" s="227">
        <v>0</v>
      </c>
      <c r="R14" s="297">
        <f>CATEGORIAS[[#This Row],[PRODUCCION
ANTERIOR]]+CATEGORIAS[[#This Row],[PRODUCCION
ADICIONALES
ANTERIOR]]</f>
        <v>0</v>
      </c>
      <c r="S14" s="133">
        <v>0</v>
      </c>
      <c r="T14" s="133"/>
      <c r="U14" s="133"/>
      <c r="V14" s="296">
        <f>SUM(CATEGORIAS[[#This Row],[COSTO
ACUMULADO  AX]:[PROVISIONES]])</f>
        <v>0</v>
      </c>
      <c r="W14" s="298">
        <v>0</v>
      </c>
      <c r="X14" s="227"/>
      <c r="Y14" s="227"/>
      <c r="Z14" s="297">
        <f>SUM(CATEGORIAS[[#This Row],[COSTO ACUMULADO
ANTERIOR]:[PROVISIONES
ANTERIOR]])</f>
        <v>0</v>
      </c>
      <c r="AA14" s="139">
        <f>CATEGORIAS[[#This Row],[PRESUPUESTO
FINAL
PROYECTADO]]-CATEGORIAS[[#This Row],[TOTAL PRODUCCION
ACTUAL]]</f>
        <v>0</v>
      </c>
      <c r="AB14" s="227">
        <v>0</v>
      </c>
      <c r="AC14" s="132"/>
      <c r="AD14" s="132"/>
      <c r="AE14" s="226">
        <f>SUM(CATEGORIAS[[#This Row],[INVENTARIO]:[PROYECCION
DE COSTO
DEL SALDO]])</f>
        <v>0</v>
      </c>
      <c r="AF14" s="132"/>
      <c r="AG14" s="132">
        <f>+CATEGORIAS[[#This Row],[PRESUPUESTO
FINAL
PROYECTADO]]-CATEGORIAS[[#This Row],[COSTO REAL]]-CATEGORIAS[[#This Row],[PROYECCION
TOTAL DE COSTO]]</f>
        <v>0</v>
      </c>
    </row>
    <row r="15" spans="1:33" x14ac:dyDescent="0.25">
      <c r="A15" s="274" t="str">
        <f>+IFERROR(VLOOKUP(CATEGORIAS[[#This Row],[CATEGORIA2]],[1]HOMOLOGACION!$A$1:$I$571,9,FALSE),0)</f>
        <v>0B01</v>
      </c>
      <c r="B15" s="274" t="str">
        <f>+IFERROR(VLOOKUP(CATEGORIAS[[#This Row],[CATEGORIA2]],[1]HOMOLOGACION!$A$1:$C$571,3,FALSE),0)</f>
        <v>0A02</v>
      </c>
      <c r="C15" s="274" t="str">
        <f>+IFERROR(VLOOKUP(CATEGORIAS[[#This Row],[CATEGORIA2]],[1]HOMOLOGACION!$A$1:$D$571,4,FALSE),0)</f>
        <v xml:space="preserve">Estructura </v>
      </c>
      <c r="D15" s="144" t="s">
        <v>1739</v>
      </c>
      <c r="E15" s="273" t="s">
        <v>378</v>
      </c>
      <c r="F15" s="275" t="s">
        <v>364</v>
      </c>
      <c r="G15" s="313">
        <v>179875614.88135654</v>
      </c>
      <c r="H15" s="313">
        <v>179875614.88135654</v>
      </c>
      <c r="I15" s="130">
        <v>612034.09809682134</v>
      </c>
      <c r="J15" s="130"/>
      <c r="K15" s="130"/>
      <c r="L15" s="143">
        <f>CATEGORIAS[[#This Row],[ADICIONALES]]+CATEGORIAS[[#This Row],[POM]]</f>
        <v>180487648.97945336</v>
      </c>
      <c r="M15" s="131">
        <v>69920210.704438612</v>
      </c>
      <c r="N15" s="227">
        <v>370536.65201320691</v>
      </c>
      <c r="O15" s="296">
        <f>CATEGORIAS[[#This Row],[PRODUCCION
PARTIDAS
ORIGINALES
ACTUAL]]+CATEGORIAS[[#This Row],[PRODUCCION
ADICIONALES
ACTUAL]]</f>
        <v>70290747.356451824</v>
      </c>
      <c r="P15" s="227">
        <v>50928692.078001246</v>
      </c>
      <c r="Q15" s="227">
        <v>826054.81423957774</v>
      </c>
      <c r="R15" s="297">
        <f>CATEGORIAS[[#This Row],[PRODUCCION
ANTERIOR]]+CATEGORIAS[[#This Row],[PRODUCCION
ADICIONALES
ANTERIOR]]</f>
        <v>51754746.892240822</v>
      </c>
      <c r="S15" s="133">
        <v>142125812</v>
      </c>
      <c r="T15" s="133">
        <v>-6268305</v>
      </c>
      <c r="U15" s="133">
        <v>15500921.375921376</v>
      </c>
      <c r="V15" s="296">
        <f>SUM(CATEGORIAS[[#This Row],[COSTO
ACUMULADO  AX]:[PROVISIONES]])</f>
        <v>151358428.37592137</v>
      </c>
      <c r="W15" s="298">
        <v>81257881</v>
      </c>
      <c r="X15" s="227"/>
      <c r="Y15" s="227">
        <v>8426648.2391482387</v>
      </c>
      <c r="Z15" s="297">
        <f>SUM(CATEGORIAS[[#This Row],[COSTO ACUMULADO
ANTERIOR]:[PROVISIONES
ANTERIOR]])</f>
        <v>89684529.239148244</v>
      </c>
      <c r="AA15" s="139">
        <f>CATEGORIAS[[#This Row],[PRESUPUESTO
FINAL
PROYECTADO]]-CATEGORIAS[[#This Row],[TOTAL PRODUCCION
ACTUAL]]</f>
        <v>110196901.62300153</v>
      </c>
      <c r="AB15" s="227">
        <v>0</v>
      </c>
      <c r="AC15" s="132"/>
      <c r="AD15" s="132">
        <v>29129220.603531986</v>
      </c>
      <c r="AE15" s="226">
        <f>SUM(CATEGORIAS[[#This Row],[INVENTARIO]:[PROYECCION
DE COSTO
DEL SALDO]])</f>
        <v>29129220.603531986</v>
      </c>
      <c r="AF15" s="132"/>
      <c r="AG15" s="132">
        <f>+CATEGORIAS[[#This Row],[PRESUPUESTO
FINAL
PROYECTADO]]-CATEGORIAS[[#This Row],[COSTO REAL]]-CATEGORIAS[[#This Row],[PROYECCION
TOTAL DE COSTO]]</f>
        <v>0</v>
      </c>
    </row>
    <row r="16" spans="1:33" x14ac:dyDescent="0.25">
      <c r="A16" s="274">
        <f>+IFERROR(VLOOKUP(CATEGORIAS[[#This Row],[CATEGORIA2]],[1]HOMOLOGACION!$A$1:$I$571,9,FALSE),0)</f>
        <v>0</v>
      </c>
      <c r="B16" s="274">
        <f>+IFERROR(VLOOKUP(CATEGORIAS[[#This Row],[CATEGORIA2]],[1]HOMOLOGACION!$A$1:$C$571,3,FALSE),0)</f>
        <v>0</v>
      </c>
      <c r="C16" s="274">
        <f>+IFERROR(VLOOKUP(CATEGORIAS[[#This Row],[CATEGORIA2]],[1]HOMOLOGACION!$A$1:$D$571,4,FALSE),0)</f>
        <v>0</v>
      </c>
      <c r="D16" s="144" t="s">
        <v>2323</v>
      </c>
      <c r="E16" s="273" t="s">
        <v>2324</v>
      </c>
      <c r="F16" s="275" t="s">
        <v>361</v>
      </c>
      <c r="G16" s="313">
        <v>0</v>
      </c>
      <c r="H16" s="313">
        <v>0</v>
      </c>
      <c r="I16" s="130">
        <v>0</v>
      </c>
      <c r="J16" s="130"/>
      <c r="K16" s="130"/>
      <c r="L16" s="143">
        <f>CATEGORIAS[[#This Row],[ADICIONALES]]+CATEGORIAS[[#This Row],[POM]]</f>
        <v>0</v>
      </c>
      <c r="M16" s="131">
        <v>0</v>
      </c>
      <c r="N16" s="227">
        <v>0</v>
      </c>
      <c r="O16" s="296">
        <f>CATEGORIAS[[#This Row],[PRODUCCION
PARTIDAS
ORIGINALES
ACTUAL]]+CATEGORIAS[[#This Row],[PRODUCCION
ADICIONALES
ACTUAL]]</f>
        <v>0</v>
      </c>
      <c r="P16" s="227">
        <v>0</v>
      </c>
      <c r="Q16" s="227">
        <v>0</v>
      </c>
      <c r="R16" s="297">
        <f>CATEGORIAS[[#This Row],[PRODUCCION
ANTERIOR]]+CATEGORIAS[[#This Row],[PRODUCCION
ADICIONALES
ANTERIOR]]</f>
        <v>0</v>
      </c>
      <c r="S16" s="133">
        <v>0</v>
      </c>
      <c r="T16" s="133"/>
      <c r="U16" s="133"/>
      <c r="V16" s="296">
        <f>SUM(CATEGORIAS[[#This Row],[COSTO
ACUMULADO  AX]:[PROVISIONES]])</f>
        <v>0</v>
      </c>
      <c r="W16" s="298">
        <v>0</v>
      </c>
      <c r="X16" s="227"/>
      <c r="Y16" s="227"/>
      <c r="Z16" s="297">
        <f>SUM(CATEGORIAS[[#This Row],[COSTO ACUMULADO
ANTERIOR]:[PROVISIONES
ANTERIOR]])</f>
        <v>0</v>
      </c>
      <c r="AA16" s="139">
        <f>CATEGORIAS[[#This Row],[PRESUPUESTO
FINAL
PROYECTADO]]-CATEGORIAS[[#This Row],[TOTAL PRODUCCION
ACTUAL]]</f>
        <v>0</v>
      </c>
      <c r="AB16" s="227">
        <v>0</v>
      </c>
      <c r="AC16" s="132"/>
      <c r="AD16" s="132"/>
      <c r="AE16" s="226">
        <f>SUM(CATEGORIAS[[#This Row],[INVENTARIO]:[PROYECCION
DE COSTO
DEL SALDO]])</f>
        <v>0</v>
      </c>
      <c r="AF16" s="132"/>
      <c r="AG16" s="132">
        <f>+CATEGORIAS[[#This Row],[PRESUPUESTO
FINAL
PROYECTADO]]-CATEGORIAS[[#This Row],[COSTO REAL]]-CATEGORIAS[[#This Row],[PROYECCION
TOTAL DE COSTO]]</f>
        <v>0</v>
      </c>
    </row>
    <row r="17" spans="1:33" x14ac:dyDescent="0.25">
      <c r="A17" s="274" t="str">
        <f>+IFERROR(VLOOKUP(CATEGORIAS[[#This Row],[CATEGORIA2]],[1]HOMOLOGACION!$A$1:$I$571,9,FALSE),0)</f>
        <v>0C01</v>
      </c>
      <c r="B17" s="274" t="str">
        <f>+IFERROR(VLOOKUP(CATEGORIAS[[#This Row],[CATEGORIA2]],[1]HOMOLOGACION!$A$1:$C$571,3,FALSE),0)</f>
        <v>0A03</v>
      </c>
      <c r="C17" s="274" t="str">
        <f>+IFERROR(VLOOKUP(CATEGORIAS[[#This Row],[CATEGORIA2]],[1]HOMOLOGACION!$A$1:$D$571,4,FALSE),0)</f>
        <v xml:space="preserve">Mecánica </v>
      </c>
      <c r="D17" s="144" t="s">
        <v>1740</v>
      </c>
      <c r="E17" s="275" t="s">
        <v>380</v>
      </c>
      <c r="F17" s="275" t="s">
        <v>361</v>
      </c>
      <c r="G17" s="313">
        <v>0</v>
      </c>
      <c r="H17" s="313">
        <v>0</v>
      </c>
      <c r="I17" s="130">
        <v>0</v>
      </c>
      <c r="J17" s="130"/>
      <c r="K17" s="130"/>
      <c r="L17" s="143">
        <f>CATEGORIAS[[#This Row],[ADICIONALES]]+CATEGORIAS[[#This Row],[POM]]</f>
        <v>0</v>
      </c>
      <c r="M17" s="131">
        <v>0</v>
      </c>
      <c r="N17" s="227">
        <v>0</v>
      </c>
      <c r="O17" s="296">
        <f>CATEGORIAS[[#This Row],[PRODUCCION
PARTIDAS
ORIGINALES
ACTUAL]]+CATEGORIAS[[#This Row],[PRODUCCION
ADICIONALES
ACTUAL]]</f>
        <v>0</v>
      </c>
      <c r="P17" s="227">
        <v>0</v>
      </c>
      <c r="Q17" s="132">
        <v>0</v>
      </c>
      <c r="R17" s="297">
        <f>CATEGORIAS[[#This Row],[PRODUCCION
ANTERIOR]]+CATEGORIAS[[#This Row],[PRODUCCION
ADICIONALES
ANTERIOR]]</f>
        <v>0</v>
      </c>
      <c r="S17" s="133">
        <v>0</v>
      </c>
      <c r="T17" s="133"/>
      <c r="U17" s="133"/>
      <c r="V17" s="296">
        <f>SUM(CATEGORIAS[[#This Row],[COSTO
ACUMULADO  AX]:[PROVISIONES]])</f>
        <v>0</v>
      </c>
      <c r="W17" s="298">
        <v>0</v>
      </c>
      <c r="X17" s="227"/>
      <c r="Y17" s="227"/>
      <c r="Z17" s="297">
        <f>SUM(CATEGORIAS[[#This Row],[COSTO ACUMULADO
ANTERIOR]:[PROVISIONES
ANTERIOR]])</f>
        <v>0</v>
      </c>
      <c r="AA17" s="139">
        <f>CATEGORIAS[[#This Row],[PRESUPUESTO
FINAL
PROYECTADO]]-CATEGORIAS[[#This Row],[TOTAL PRODUCCION
ACTUAL]]</f>
        <v>0</v>
      </c>
      <c r="AB17" s="227">
        <v>0</v>
      </c>
      <c r="AC17" s="132"/>
      <c r="AD17" s="132"/>
      <c r="AE17" s="226">
        <f>SUM(CATEGORIAS[[#This Row],[INVENTARIO]:[PROYECCION
DE COSTO
DEL SALDO]])</f>
        <v>0</v>
      </c>
      <c r="AF17" s="132"/>
      <c r="AG17" s="132">
        <f>+CATEGORIAS[[#This Row],[PRESUPUESTO
FINAL
PROYECTADO]]-CATEGORIAS[[#This Row],[COSTO REAL]]-CATEGORIAS[[#This Row],[PROYECCION
TOTAL DE COSTO]]</f>
        <v>0</v>
      </c>
    </row>
    <row r="18" spans="1:33" x14ac:dyDescent="0.25">
      <c r="A18" s="274" t="str">
        <f>+IFERROR(VLOOKUP(CATEGORIAS[[#This Row],[CATEGORIA2]],[1]HOMOLOGACION!$A$1:$I$571,9,FALSE),0)</f>
        <v>0C01</v>
      </c>
      <c r="B18" s="274" t="str">
        <f>+IFERROR(VLOOKUP(CATEGORIAS[[#This Row],[CATEGORIA2]],[1]HOMOLOGACION!$A$1:$C$571,3,FALSE),0)</f>
        <v>0A03</v>
      </c>
      <c r="C18" s="274" t="str">
        <f>+IFERROR(VLOOKUP(CATEGORIAS[[#This Row],[CATEGORIA2]],[1]HOMOLOGACION!$A$1:$D$571,4,FALSE),0)</f>
        <v xml:space="preserve">Mecánica </v>
      </c>
      <c r="D18" s="144" t="s">
        <v>1741</v>
      </c>
      <c r="E18" s="273" t="s">
        <v>383</v>
      </c>
      <c r="F18" s="275" t="s">
        <v>364</v>
      </c>
      <c r="G18" s="313">
        <v>133250804.19788337</v>
      </c>
      <c r="H18" s="313">
        <v>133250804.19788337</v>
      </c>
      <c r="I18" s="130">
        <v>8661404.9342609644</v>
      </c>
      <c r="J18" s="130"/>
      <c r="K18" s="130"/>
      <c r="L18" s="143">
        <f>CATEGORIAS[[#This Row],[ADICIONALES]]+CATEGORIAS[[#This Row],[POM]]</f>
        <v>141912209.13214433</v>
      </c>
      <c r="M18" s="131">
        <v>56546059.213180274</v>
      </c>
      <c r="N18" s="227">
        <v>1300527.3648071485</v>
      </c>
      <c r="O18" s="296">
        <f>CATEGORIAS[[#This Row],[PRODUCCION
PARTIDAS
ORIGINALES
ACTUAL]]+CATEGORIAS[[#This Row],[PRODUCCION
ADICIONALES
ACTUAL]]</f>
        <v>57846586.577987425</v>
      </c>
      <c r="P18" s="227">
        <v>38060530.460938185</v>
      </c>
      <c r="Q18" s="227">
        <v>891589.72205971438</v>
      </c>
      <c r="R18" s="297">
        <f>CATEGORIAS[[#This Row],[PRODUCCION
ANTERIOR]]+CATEGORIAS[[#This Row],[PRODUCCION
ADICIONALES
ANTERIOR]]</f>
        <v>38952120.182997897</v>
      </c>
      <c r="S18" s="133">
        <v>137932801</v>
      </c>
      <c r="T18" s="133">
        <v>-5925744</v>
      </c>
      <c r="U18" s="133">
        <v>16429821.867321869</v>
      </c>
      <c r="V18" s="296">
        <f>SUM(CATEGORIAS[[#This Row],[COSTO
ACUMULADO  AX]:[PROVISIONES]])</f>
        <v>148436878.86732188</v>
      </c>
      <c r="W18" s="298">
        <v>90949268</v>
      </c>
      <c r="X18" s="227"/>
      <c r="Y18" s="227">
        <v>9495393.1203931198</v>
      </c>
      <c r="Z18" s="297">
        <f>SUM(CATEGORIAS[[#This Row],[COSTO ACUMULADO
ANTERIOR]:[PROVISIONES
ANTERIOR]])</f>
        <v>100444661.12039313</v>
      </c>
      <c r="AA18" s="139">
        <f>CATEGORIAS[[#This Row],[PRESUPUESTO
FINAL
PROYECTADO]]-CATEGORIAS[[#This Row],[TOTAL PRODUCCION
ACTUAL]]</f>
        <v>84065622.554156899</v>
      </c>
      <c r="AB18" s="227">
        <v>0</v>
      </c>
      <c r="AC18" s="132"/>
      <c r="AD18" s="132">
        <v>-6524669.7351775467</v>
      </c>
      <c r="AE18" s="226">
        <f>SUM(CATEGORIAS[[#This Row],[INVENTARIO]:[PROYECCION
DE COSTO
DEL SALDO]])</f>
        <v>-6524669.7351775467</v>
      </c>
      <c r="AF18" s="132"/>
      <c r="AG18" s="132">
        <f>+CATEGORIAS[[#This Row],[PRESUPUESTO
FINAL
PROYECTADO]]-CATEGORIAS[[#This Row],[COSTO REAL]]-CATEGORIAS[[#This Row],[PROYECCION
TOTAL DE COSTO]]</f>
        <v>0</v>
      </c>
    </row>
    <row r="19" spans="1:33" x14ac:dyDescent="0.25">
      <c r="A19" s="274">
        <f>+IFERROR(VLOOKUP(CATEGORIAS[[#This Row],[CATEGORIA2]],[1]HOMOLOGACION!$A$1:$I$571,9,FALSE),0)</f>
        <v>0</v>
      </c>
      <c r="B19" s="274">
        <f>+IFERROR(VLOOKUP(CATEGORIAS[[#This Row],[CATEGORIA2]],[1]HOMOLOGACION!$A$1:$C$571,3,FALSE),0)</f>
        <v>0</v>
      </c>
      <c r="C19" s="274">
        <f>+IFERROR(VLOOKUP(CATEGORIAS[[#This Row],[CATEGORIA2]],[1]HOMOLOGACION!$A$1:$D$571,4,FALSE),0)</f>
        <v>0</v>
      </c>
      <c r="D19" s="144" t="s">
        <v>2325</v>
      </c>
      <c r="E19" s="273" t="s">
        <v>2326</v>
      </c>
      <c r="F19" s="275" t="s">
        <v>361</v>
      </c>
      <c r="G19" s="313">
        <v>0</v>
      </c>
      <c r="H19" s="313">
        <v>0</v>
      </c>
      <c r="I19" s="130">
        <v>0</v>
      </c>
      <c r="J19" s="130"/>
      <c r="K19" s="130"/>
      <c r="L19" s="143">
        <f>CATEGORIAS[[#This Row],[ADICIONALES]]+CATEGORIAS[[#This Row],[POM]]</f>
        <v>0</v>
      </c>
      <c r="M19" s="131">
        <v>0</v>
      </c>
      <c r="N19" s="227">
        <v>0</v>
      </c>
      <c r="O19" s="296">
        <f>CATEGORIAS[[#This Row],[PRODUCCION
PARTIDAS
ORIGINALES
ACTUAL]]+CATEGORIAS[[#This Row],[PRODUCCION
ADICIONALES
ACTUAL]]</f>
        <v>0</v>
      </c>
      <c r="P19" s="227">
        <v>0</v>
      </c>
      <c r="Q19" s="227">
        <v>0</v>
      </c>
      <c r="R19" s="297">
        <f>CATEGORIAS[[#This Row],[PRODUCCION
ANTERIOR]]+CATEGORIAS[[#This Row],[PRODUCCION
ADICIONALES
ANTERIOR]]</f>
        <v>0</v>
      </c>
      <c r="S19" s="133">
        <v>0</v>
      </c>
      <c r="T19" s="133"/>
      <c r="U19" s="133"/>
      <c r="V19" s="296">
        <f>SUM(CATEGORIAS[[#This Row],[COSTO
ACUMULADO  AX]:[PROVISIONES]])</f>
        <v>0</v>
      </c>
      <c r="W19" s="298">
        <v>0</v>
      </c>
      <c r="X19" s="227"/>
      <c r="Y19" s="227"/>
      <c r="Z19" s="297">
        <f>SUM(CATEGORIAS[[#This Row],[COSTO ACUMULADO
ANTERIOR]:[PROVISIONES
ANTERIOR]])</f>
        <v>0</v>
      </c>
      <c r="AA19" s="139">
        <f>CATEGORIAS[[#This Row],[PRESUPUESTO
FINAL
PROYECTADO]]-CATEGORIAS[[#This Row],[TOTAL PRODUCCION
ACTUAL]]</f>
        <v>0</v>
      </c>
      <c r="AB19" s="227">
        <v>0</v>
      </c>
      <c r="AC19" s="132"/>
      <c r="AD19" s="132"/>
      <c r="AE19" s="226">
        <f>SUM(CATEGORIAS[[#This Row],[INVENTARIO]:[PROYECCION
DE COSTO
DEL SALDO]])</f>
        <v>0</v>
      </c>
      <c r="AF19" s="132"/>
      <c r="AG19" s="132">
        <f>+CATEGORIAS[[#This Row],[PRESUPUESTO
FINAL
PROYECTADO]]-CATEGORIAS[[#This Row],[COSTO REAL]]-CATEGORIAS[[#This Row],[PROYECCION
TOTAL DE COSTO]]</f>
        <v>0</v>
      </c>
    </row>
    <row r="20" spans="1:33" x14ac:dyDescent="0.25">
      <c r="A20" s="274">
        <f>+IFERROR(VLOOKUP(CATEGORIAS[[#This Row],[CATEGORIA2]],[1]HOMOLOGACION!$A$1:$I$571,9,FALSE),0)</f>
        <v>0</v>
      </c>
      <c r="B20" s="274">
        <f>+IFERROR(VLOOKUP(CATEGORIAS[[#This Row],[CATEGORIA2]],[1]HOMOLOGACION!$A$1:$C$571,3,FALSE),0)</f>
        <v>0</v>
      </c>
      <c r="C20" s="274">
        <f>+IFERROR(VLOOKUP(CATEGORIAS[[#This Row],[CATEGORIA2]],[1]HOMOLOGACION!$A$1:$D$571,4,FALSE),0)</f>
        <v>0</v>
      </c>
      <c r="D20" s="144" t="s">
        <v>2327</v>
      </c>
      <c r="E20" s="273" t="s">
        <v>2326</v>
      </c>
      <c r="F20" s="275" t="s">
        <v>361</v>
      </c>
      <c r="G20" s="313">
        <v>0</v>
      </c>
      <c r="H20" s="313">
        <v>0</v>
      </c>
      <c r="I20" s="130">
        <v>0</v>
      </c>
      <c r="J20" s="130"/>
      <c r="K20" s="130"/>
      <c r="L20" s="143">
        <f>CATEGORIAS[[#This Row],[ADICIONALES]]+CATEGORIAS[[#This Row],[POM]]</f>
        <v>0</v>
      </c>
      <c r="M20" s="131">
        <v>0</v>
      </c>
      <c r="N20" s="227">
        <v>0</v>
      </c>
      <c r="O20" s="296">
        <f>CATEGORIAS[[#This Row],[PRODUCCION
PARTIDAS
ORIGINALES
ACTUAL]]+CATEGORIAS[[#This Row],[PRODUCCION
ADICIONALES
ACTUAL]]</f>
        <v>0</v>
      </c>
      <c r="P20" s="227">
        <v>0</v>
      </c>
      <c r="Q20" s="227">
        <v>0</v>
      </c>
      <c r="R20" s="297">
        <f>CATEGORIAS[[#This Row],[PRODUCCION
ANTERIOR]]+CATEGORIAS[[#This Row],[PRODUCCION
ADICIONALES
ANTERIOR]]</f>
        <v>0</v>
      </c>
      <c r="S20" s="133">
        <v>0</v>
      </c>
      <c r="T20" s="134"/>
      <c r="U20" s="133"/>
      <c r="V20" s="296">
        <f>SUM(CATEGORIAS[[#This Row],[COSTO
ACUMULADO  AX]:[PROVISIONES]])</f>
        <v>0</v>
      </c>
      <c r="W20" s="298">
        <v>0</v>
      </c>
      <c r="X20" s="227"/>
      <c r="Y20" s="227"/>
      <c r="Z20" s="297">
        <f>SUM(CATEGORIAS[[#This Row],[COSTO ACUMULADO
ANTERIOR]:[PROVISIONES
ANTERIOR]])</f>
        <v>0</v>
      </c>
      <c r="AA20" s="139">
        <f>CATEGORIAS[[#This Row],[PRESUPUESTO
FINAL
PROYECTADO]]-CATEGORIAS[[#This Row],[TOTAL PRODUCCION
ACTUAL]]</f>
        <v>0</v>
      </c>
      <c r="AB20" s="227">
        <v>0</v>
      </c>
      <c r="AC20" s="132"/>
      <c r="AD20" s="132"/>
      <c r="AE20" s="226">
        <f>SUM(CATEGORIAS[[#This Row],[INVENTARIO]:[PROYECCION
DE COSTO
DEL SALDO]])</f>
        <v>0</v>
      </c>
      <c r="AF20" s="132"/>
      <c r="AG20" s="132">
        <f>+CATEGORIAS[[#This Row],[PRESUPUESTO
FINAL
PROYECTADO]]-CATEGORIAS[[#This Row],[COSTO REAL]]-CATEGORIAS[[#This Row],[PROYECCION
TOTAL DE COSTO]]</f>
        <v>0</v>
      </c>
    </row>
    <row r="21" spans="1:33" x14ac:dyDescent="0.25">
      <c r="A21" s="274">
        <f>+IFERROR(VLOOKUP(CATEGORIAS[[#This Row],[CATEGORIA2]],[1]HOMOLOGACION!$A$1:$I$571,9,FALSE),0)</f>
        <v>0</v>
      </c>
      <c r="B21" s="274">
        <f>+IFERROR(VLOOKUP(CATEGORIAS[[#This Row],[CATEGORIA2]],[1]HOMOLOGACION!$A$1:$C$571,3,FALSE),0)</f>
        <v>0</v>
      </c>
      <c r="C21" s="274">
        <f>+IFERROR(VLOOKUP(CATEGORIAS[[#This Row],[CATEGORIA2]],[1]HOMOLOGACION!$A$1:$D$571,4,FALSE),0)</f>
        <v>0</v>
      </c>
      <c r="D21" s="144" t="s">
        <v>2328</v>
      </c>
      <c r="E21" s="273" t="s">
        <v>2329</v>
      </c>
      <c r="F21" s="275" t="s">
        <v>361</v>
      </c>
      <c r="G21" s="313">
        <v>0</v>
      </c>
      <c r="H21" s="313">
        <v>0</v>
      </c>
      <c r="I21" s="130">
        <v>0</v>
      </c>
      <c r="J21" s="130"/>
      <c r="K21" s="130"/>
      <c r="L21" s="143">
        <f>CATEGORIAS[[#This Row],[ADICIONALES]]+CATEGORIAS[[#This Row],[POM]]</f>
        <v>0</v>
      </c>
      <c r="M21" s="131">
        <v>0</v>
      </c>
      <c r="N21" s="227">
        <v>0</v>
      </c>
      <c r="O21" s="296">
        <f>CATEGORIAS[[#This Row],[PRODUCCION
PARTIDAS
ORIGINALES
ACTUAL]]+CATEGORIAS[[#This Row],[PRODUCCION
ADICIONALES
ACTUAL]]</f>
        <v>0</v>
      </c>
      <c r="P21" s="227">
        <v>0</v>
      </c>
      <c r="Q21" s="132">
        <v>0</v>
      </c>
      <c r="R21" s="297">
        <f>CATEGORIAS[[#This Row],[PRODUCCION
ANTERIOR]]+CATEGORIAS[[#This Row],[PRODUCCION
ADICIONALES
ANTERIOR]]</f>
        <v>0</v>
      </c>
      <c r="S21" s="133">
        <v>0</v>
      </c>
      <c r="T21" s="133"/>
      <c r="U21" s="133"/>
      <c r="V21" s="296">
        <f>SUM(CATEGORIAS[[#This Row],[COSTO
ACUMULADO  AX]:[PROVISIONES]])</f>
        <v>0</v>
      </c>
      <c r="W21" s="298">
        <v>0</v>
      </c>
      <c r="X21" s="227"/>
      <c r="Y21" s="227"/>
      <c r="Z21" s="297">
        <f>SUM(CATEGORIAS[[#This Row],[COSTO ACUMULADO
ANTERIOR]:[PROVISIONES
ANTERIOR]])</f>
        <v>0</v>
      </c>
      <c r="AA21" s="139">
        <f>CATEGORIAS[[#This Row],[PRESUPUESTO
FINAL
PROYECTADO]]-CATEGORIAS[[#This Row],[TOTAL PRODUCCION
ACTUAL]]</f>
        <v>0</v>
      </c>
      <c r="AB21" s="227">
        <v>0</v>
      </c>
      <c r="AC21" s="132"/>
      <c r="AD21" s="132"/>
      <c r="AE21" s="226">
        <f>SUM(CATEGORIAS[[#This Row],[INVENTARIO]:[PROYECCION
DE COSTO
DEL SALDO]])</f>
        <v>0</v>
      </c>
      <c r="AF21" s="132"/>
      <c r="AG21" s="132">
        <f>+CATEGORIAS[[#This Row],[PRESUPUESTO
FINAL
PROYECTADO]]-CATEGORIAS[[#This Row],[COSTO REAL]]-CATEGORIAS[[#This Row],[PROYECCION
TOTAL DE COSTO]]</f>
        <v>0</v>
      </c>
    </row>
    <row r="22" spans="1:33" x14ac:dyDescent="0.25">
      <c r="A22" s="274" t="str">
        <f>+IFERROR(VLOOKUP(CATEGORIAS[[#This Row],[CATEGORIA2]],[1]HOMOLOGACION!$A$1:$I$571,9,FALSE),0)</f>
        <v>0D01</v>
      </c>
      <c r="B22" s="274" t="str">
        <f>+IFERROR(VLOOKUP(CATEGORIAS[[#This Row],[CATEGORIA2]],[1]HOMOLOGACION!$A$1:$C$571,3,FALSE),0)</f>
        <v>0A04</v>
      </c>
      <c r="C22" s="274" t="str">
        <f>+IFERROR(VLOOKUP(CATEGORIAS[[#This Row],[CATEGORIA2]],[1]HOMOLOGACION!$A$1:$D$571,4,FALSE),0)</f>
        <v xml:space="preserve">Cañería </v>
      </c>
      <c r="D22" s="144" t="s">
        <v>1742</v>
      </c>
      <c r="E22" s="275" t="s">
        <v>385</v>
      </c>
      <c r="F22" s="275" t="s">
        <v>361</v>
      </c>
      <c r="G22" s="313">
        <v>0</v>
      </c>
      <c r="H22" s="313">
        <v>0</v>
      </c>
      <c r="I22" s="130">
        <v>0</v>
      </c>
      <c r="J22" s="130"/>
      <c r="K22" s="130"/>
      <c r="L22" s="143">
        <f>CATEGORIAS[[#This Row],[ADICIONALES]]+CATEGORIAS[[#This Row],[POM]]</f>
        <v>0</v>
      </c>
      <c r="M22" s="131">
        <v>0</v>
      </c>
      <c r="N22" s="227">
        <v>0</v>
      </c>
      <c r="O22" s="296">
        <f>CATEGORIAS[[#This Row],[PRODUCCION
PARTIDAS
ORIGINALES
ACTUAL]]+CATEGORIAS[[#This Row],[PRODUCCION
ADICIONALES
ACTUAL]]</f>
        <v>0</v>
      </c>
      <c r="P22" s="227">
        <v>0</v>
      </c>
      <c r="Q22" s="227">
        <v>0</v>
      </c>
      <c r="R22" s="297">
        <f>CATEGORIAS[[#This Row],[PRODUCCION
ANTERIOR]]+CATEGORIAS[[#This Row],[PRODUCCION
ADICIONALES
ANTERIOR]]</f>
        <v>0</v>
      </c>
      <c r="S22" s="133">
        <v>0</v>
      </c>
      <c r="T22" s="133"/>
      <c r="U22" s="133"/>
      <c r="V22" s="296">
        <f>SUM(CATEGORIAS[[#This Row],[COSTO
ACUMULADO  AX]:[PROVISIONES]])</f>
        <v>0</v>
      </c>
      <c r="W22" s="298">
        <v>0</v>
      </c>
      <c r="X22" s="227"/>
      <c r="Y22" s="227"/>
      <c r="Z22" s="297">
        <f>SUM(CATEGORIAS[[#This Row],[COSTO ACUMULADO
ANTERIOR]:[PROVISIONES
ANTERIOR]])</f>
        <v>0</v>
      </c>
      <c r="AA22" s="139">
        <f>CATEGORIAS[[#This Row],[PRESUPUESTO
FINAL
PROYECTADO]]-CATEGORIAS[[#This Row],[TOTAL PRODUCCION
ACTUAL]]</f>
        <v>0</v>
      </c>
      <c r="AB22" s="227">
        <v>0</v>
      </c>
      <c r="AC22" s="132"/>
      <c r="AD22" s="132"/>
      <c r="AE22" s="226">
        <f>SUM(CATEGORIAS[[#This Row],[INVENTARIO]:[PROYECCION
DE COSTO
DEL SALDO]])</f>
        <v>0</v>
      </c>
      <c r="AF22" s="132"/>
      <c r="AG22" s="132">
        <f>+CATEGORIAS[[#This Row],[PRESUPUESTO
FINAL
PROYECTADO]]-CATEGORIAS[[#This Row],[COSTO REAL]]-CATEGORIAS[[#This Row],[PROYECCION
TOTAL DE COSTO]]</f>
        <v>0</v>
      </c>
    </row>
    <row r="23" spans="1:33" x14ac:dyDescent="0.25">
      <c r="A23" s="274" t="str">
        <f>+IFERROR(VLOOKUP(CATEGORIAS[[#This Row],[CATEGORIA2]],[1]HOMOLOGACION!$A$1:$I$571,9,FALSE),0)</f>
        <v>0D01</v>
      </c>
      <c r="B23" s="274" t="str">
        <f>+IFERROR(VLOOKUP(CATEGORIAS[[#This Row],[CATEGORIA2]],[1]HOMOLOGACION!$A$1:$C$571,3,FALSE),0)</f>
        <v>0A04</v>
      </c>
      <c r="C23" s="274" t="str">
        <f>+IFERROR(VLOOKUP(CATEGORIAS[[#This Row],[CATEGORIA2]],[1]HOMOLOGACION!$A$1:$D$571,4,FALSE),0)</f>
        <v xml:space="preserve">Cañería </v>
      </c>
      <c r="D23" s="144" t="s">
        <v>1743</v>
      </c>
      <c r="E23" s="275" t="s">
        <v>387</v>
      </c>
      <c r="F23" s="275" t="s">
        <v>364</v>
      </c>
      <c r="G23" s="313">
        <v>473970382.63622206</v>
      </c>
      <c r="H23" s="313">
        <v>473970382.63622206</v>
      </c>
      <c r="I23" s="130">
        <v>17687642.159257449</v>
      </c>
      <c r="J23" s="130"/>
      <c r="K23" s="130"/>
      <c r="L23" s="143">
        <f>CATEGORIAS[[#This Row],[ADICIONALES]]+CATEGORIAS[[#This Row],[POM]]</f>
        <v>491658024.79547954</v>
      </c>
      <c r="M23" s="131">
        <v>200477522.21468493</v>
      </c>
      <c r="N23" s="227">
        <v>416727.75847269082</v>
      </c>
      <c r="O23" s="296">
        <f>CATEGORIAS[[#This Row],[PRODUCCION
PARTIDAS
ORIGINALES
ACTUAL]]+CATEGORIAS[[#This Row],[PRODUCCION
ADICIONALES
ACTUAL]]</f>
        <v>200894249.97315761</v>
      </c>
      <c r="P23" s="227">
        <v>102428142.50308941</v>
      </c>
      <c r="Q23" s="227">
        <v>416727.75847269082</v>
      </c>
      <c r="R23" s="297">
        <f>CATEGORIAS[[#This Row],[PRODUCCION
ANTERIOR]]+CATEGORIAS[[#This Row],[PRODUCCION
ADICIONALES
ANTERIOR]]</f>
        <v>102844870.26156211</v>
      </c>
      <c r="S23" s="133">
        <v>216183449</v>
      </c>
      <c r="T23" s="227"/>
      <c r="U23" s="133">
        <v>27921836.609336618</v>
      </c>
      <c r="V23" s="296">
        <f>SUM(CATEGORIAS[[#This Row],[COSTO
ACUMULADO  AX]:[PROVISIONES]])</f>
        <v>244105285.60933661</v>
      </c>
      <c r="W23" s="298">
        <v>131900038</v>
      </c>
      <c r="X23" s="227"/>
      <c r="Y23" s="227">
        <v>14659500.409500413</v>
      </c>
      <c r="Z23" s="297">
        <f>SUM(CATEGORIAS[[#This Row],[COSTO ACUMULADO
ANTERIOR]:[PROVISIONES
ANTERIOR]])</f>
        <v>146559538.40950042</v>
      </c>
      <c r="AA23" s="139">
        <f>CATEGORIAS[[#This Row],[PRESUPUESTO
FINAL
PROYECTADO]]-CATEGORIAS[[#This Row],[TOTAL PRODUCCION
ACTUAL]]</f>
        <v>290763774.82232189</v>
      </c>
      <c r="AB23" s="227">
        <v>0</v>
      </c>
      <c r="AC23" s="132"/>
      <c r="AD23" s="132">
        <v>247552739.18614292</v>
      </c>
      <c r="AE23" s="226">
        <f>SUM(CATEGORIAS[[#This Row],[INVENTARIO]:[PROYECCION
DE COSTO
DEL SALDO]])</f>
        <v>247552739.18614292</v>
      </c>
      <c r="AF23" s="132"/>
      <c r="AG23" s="132">
        <f>+CATEGORIAS[[#This Row],[PRESUPUESTO
FINAL
PROYECTADO]]-CATEGORIAS[[#This Row],[COSTO REAL]]-CATEGORIAS[[#This Row],[PROYECCION
TOTAL DE COSTO]]</f>
        <v>0</v>
      </c>
    </row>
    <row r="24" spans="1:33" x14ac:dyDescent="0.25">
      <c r="A24" s="274" t="str">
        <f>+IFERROR(VLOOKUP(CATEGORIAS[[#This Row],[CATEGORIA2]],[1]HOMOLOGACION!$A$1:$I$571,9,FALSE),0)</f>
        <v>0F01</v>
      </c>
      <c r="B24" s="274" t="str">
        <f>+IFERROR(VLOOKUP(CATEGORIAS[[#This Row],[CATEGORIA2]],[1]HOMOLOGACION!$A$1:$C$571,3,FALSE),0)</f>
        <v>0A05</v>
      </c>
      <c r="C24" s="274" t="str">
        <f>+IFERROR(VLOOKUP(CATEGORIAS[[#This Row],[CATEGORIA2]],[1]HOMOLOGACION!$A$1:$D$571,4,FALSE),0)</f>
        <v>Electricidad &amp; Instrumentación</v>
      </c>
      <c r="D24" s="144" t="s">
        <v>1744</v>
      </c>
      <c r="E24" s="275" t="s">
        <v>389</v>
      </c>
      <c r="F24" s="275" t="s">
        <v>361</v>
      </c>
      <c r="G24" s="313">
        <v>0</v>
      </c>
      <c r="H24" s="313">
        <v>0</v>
      </c>
      <c r="I24" s="130">
        <v>0</v>
      </c>
      <c r="J24" s="130"/>
      <c r="K24" s="130"/>
      <c r="L24" s="143">
        <f>CATEGORIAS[[#This Row],[ADICIONALES]]+CATEGORIAS[[#This Row],[POM]]</f>
        <v>0</v>
      </c>
      <c r="M24" s="131">
        <v>0</v>
      </c>
      <c r="N24" s="227">
        <v>0</v>
      </c>
      <c r="O24" s="296">
        <f>CATEGORIAS[[#This Row],[PRODUCCION
PARTIDAS
ORIGINALES
ACTUAL]]+CATEGORIAS[[#This Row],[PRODUCCION
ADICIONALES
ACTUAL]]</f>
        <v>0</v>
      </c>
      <c r="P24" s="227">
        <v>0</v>
      </c>
      <c r="Q24" s="227">
        <v>0</v>
      </c>
      <c r="R24" s="297">
        <f>CATEGORIAS[[#This Row],[PRODUCCION
ANTERIOR]]+CATEGORIAS[[#This Row],[PRODUCCION
ADICIONALES
ANTERIOR]]</f>
        <v>0</v>
      </c>
      <c r="S24" s="133">
        <v>0</v>
      </c>
      <c r="T24" s="133"/>
      <c r="U24" s="133"/>
      <c r="V24" s="296">
        <f>SUM(CATEGORIAS[[#This Row],[COSTO
ACUMULADO  AX]:[PROVISIONES]])</f>
        <v>0</v>
      </c>
      <c r="W24" s="298">
        <v>0</v>
      </c>
      <c r="X24" s="227"/>
      <c r="Y24" s="227"/>
      <c r="Z24" s="297">
        <f>SUM(CATEGORIAS[[#This Row],[COSTO ACUMULADO
ANTERIOR]:[PROVISIONES
ANTERIOR]])</f>
        <v>0</v>
      </c>
      <c r="AA24" s="139">
        <f>CATEGORIAS[[#This Row],[PRESUPUESTO
FINAL
PROYECTADO]]-CATEGORIAS[[#This Row],[TOTAL PRODUCCION
ACTUAL]]</f>
        <v>0</v>
      </c>
      <c r="AB24" s="227">
        <v>0</v>
      </c>
      <c r="AC24" s="132"/>
      <c r="AD24" s="132"/>
      <c r="AE24" s="226">
        <f>SUM(CATEGORIAS[[#This Row],[INVENTARIO]:[PROYECCION
DE COSTO
DEL SALDO]])</f>
        <v>0</v>
      </c>
      <c r="AF24" s="132"/>
      <c r="AG24" s="132">
        <f>+CATEGORIAS[[#This Row],[PRESUPUESTO
FINAL
PROYECTADO]]-CATEGORIAS[[#This Row],[COSTO REAL]]-CATEGORIAS[[#This Row],[PROYECCION
TOTAL DE COSTO]]</f>
        <v>0</v>
      </c>
    </row>
    <row r="25" spans="1:33" x14ac:dyDescent="0.25">
      <c r="A25" s="274" t="str">
        <f>+IFERROR(VLOOKUP(CATEGORIAS[[#This Row],[CATEGORIA2]],[1]HOMOLOGACION!$A$1:$I$571,9,FALSE),0)</f>
        <v>0F01</v>
      </c>
      <c r="B25" s="274" t="str">
        <f>+IFERROR(VLOOKUP(CATEGORIAS[[#This Row],[CATEGORIA2]],[1]HOMOLOGACION!$A$1:$C$571,3,FALSE),0)</f>
        <v>0A05</v>
      </c>
      <c r="C25" s="274" t="str">
        <f>+IFERROR(VLOOKUP(CATEGORIAS[[#This Row],[CATEGORIA2]],[1]HOMOLOGACION!$A$1:$D$571,4,FALSE),0)</f>
        <v>Electricidad &amp; Instrumentación</v>
      </c>
      <c r="D25" s="144" t="s">
        <v>1745</v>
      </c>
      <c r="E25" s="273" t="s">
        <v>391</v>
      </c>
      <c r="F25" s="275" t="s">
        <v>364</v>
      </c>
      <c r="G25" s="313">
        <v>387994980.99048454</v>
      </c>
      <c r="H25" s="313">
        <v>387994980.99048454</v>
      </c>
      <c r="I25" s="130">
        <v>11735815.318481913</v>
      </c>
      <c r="J25" s="130"/>
      <c r="K25" s="130"/>
      <c r="L25" s="143">
        <f>CATEGORIAS[[#This Row],[ADICIONALES]]+CATEGORIAS[[#This Row],[POM]]</f>
        <v>399730796.30896646</v>
      </c>
      <c r="M25" s="131">
        <v>49962829.023946315</v>
      </c>
      <c r="N25" s="227">
        <v>162108.68124402495</v>
      </c>
      <c r="O25" s="296">
        <f>CATEGORIAS[[#This Row],[PRODUCCION
PARTIDAS
ORIGINALES
ACTUAL]]+CATEGORIAS[[#This Row],[PRODUCCION
ADICIONALES
ACTUAL]]</f>
        <v>50124937.705190338</v>
      </c>
      <c r="P25" s="227">
        <v>24524012.98146411</v>
      </c>
      <c r="Q25" s="227">
        <v>162108.68124402495</v>
      </c>
      <c r="R25" s="297">
        <f>CATEGORIAS[[#This Row],[PRODUCCION
ANTERIOR]]+CATEGORIAS[[#This Row],[PRODUCCION
ADICIONALES
ANTERIOR]]</f>
        <v>24686121.662708133</v>
      </c>
      <c r="S25" s="133">
        <v>83013830</v>
      </c>
      <c r="T25" s="227"/>
      <c r="U25" s="133">
        <v>11625102.375102377</v>
      </c>
      <c r="V25" s="296">
        <f>SUM(CATEGORIAS[[#This Row],[COSTO
ACUMULADO  AX]:[PROVISIONES]])</f>
        <v>94638932.375102371</v>
      </c>
      <c r="W25" s="298">
        <v>41894655</v>
      </c>
      <c r="X25" s="227"/>
      <c r="Y25" s="227">
        <v>4643273.9557739552</v>
      </c>
      <c r="Z25" s="297">
        <f>SUM(CATEGORIAS[[#This Row],[COSTO ACUMULADO
ANTERIOR]:[PROVISIONES
ANTERIOR]])</f>
        <v>46537928.955773957</v>
      </c>
      <c r="AA25" s="139">
        <f>CATEGORIAS[[#This Row],[PRESUPUESTO
FINAL
PROYECTADO]]-CATEGORIAS[[#This Row],[TOTAL PRODUCCION
ACTUAL]]</f>
        <v>349605858.6037761</v>
      </c>
      <c r="AB25" s="227">
        <v>0</v>
      </c>
      <c r="AC25" s="132"/>
      <c r="AD25" s="132">
        <v>305091863.93386412</v>
      </c>
      <c r="AE25" s="226">
        <f>SUM(CATEGORIAS[[#This Row],[INVENTARIO]:[PROYECCION
DE COSTO
DEL SALDO]])</f>
        <v>305091863.93386412</v>
      </c>
      <c r="AF25" s="132"/>
      <c r="AG25" s="132">
        <f>+CATEGORIAS[[#This Row],[PRESUPUESTO
FINAL
PROYECTADO]]-CATEGORIAS[[#This Row],[COSTO REAL]]-CATEGORIAS[[#This Row],[PROYECCION
TOTAL DE COSTO]]</f>
        <v>0</v>
      </c>
    </row>
    <row r="26" spans="1:33" x14ac:dyDescent="0.25">
      <c r="A26" s="274" t="str">
        <f>+IFERROR(VLOOKUP(CATEGORIAS[[#This Row],[CATEGORIA2]],[1]HOMOLOGACION!$A$1:$I$571,9,FALSE),0)</f>
        <v>0F01</v>
      </c>
      <c r="B26" s="274" t="str">
        <f>+IFERROR(VLOOKUP(CATEGORIAS[[#This Row],[CATEGORIA2]],[1]HOMOLOGACION!$A$1:$C$571,3,FALSE),0)</f>
        <v>0A05</v>
      </c>
      <c r="C26" s="274" t="str">
        <f>+IFERROR(VLOOKUP(CATEGORIAS[[#This Row],[CATEGORIA2]],[1]HOMOLOGACION!$A$1:$D$571,4,FALSE),0)</f>
        <v>Electricidad &amp; Instrumentación</v>
      </c>
      <c r="D26" s="144" t="s">
        <v>1746</v>
      </c>
      <c r="E26" s="275" t="s">
        <v>393</v>
      </c>
      <c r="F26" s="275" t="s">
        <v>361</v>
      </c>
      <c r="G26" s="313">
        <v>0</v>
      </c>
      <c r="H26" s="313">
        <v>0</v>
      </c>
      <c r="I26" s="130">
        <v>0</v>
      </c>
      <c r="J26" s="130"/>
      <c r="K26" s="130"/>
      <c r="L26" s="143">
        <f>CATEGORIAS[[#This Row],[ADICIONALES]]+CATEGORIAS[[#This Row],[POM]]</f>
        <v>0</v>
      </c>
      <c r="M26" s="131">
        <v>0</v>
      </c>
      <c r="N26" s="227">
        <v>0</v>
      </c>
      <c r="O26" s="296">
        <f>CATEGORIAS[[#This Row],[PRODUCCION
PARTIDAS
ORIGINALES
ACTUAL]]+CATEGORIAS[[#This Row],[PRODUCCION
ADICIONALES
ACTUAL]]</f>
        <v>0</v>
      </c>
      <c r="P26" s="227">
        <v>0</v>
      </c>
      <c r="Q26" s="227">
        <v>0</v>
      </c>
      <c r="R26" s="297">
        <f>CATEGORIAS[[#This Row],[PRODUCCION
ANTERIOR]]+CATEGORIAS[[#This Row],[PRODUCCION
ADICIONALES
ANTERIOR]]</f>
        <v>0</v>
      </c>
      <c r="S26" s="133">
        <v>0</v>
      </c>
      <c r="T26" s="133"/>
      <c r="U26" s="133"/>
      <c r="V26" s="296">
        <f>SUM(CATEGORIAS[[#This Row],[COSTO
ACUMULADO  AX]:[PROVISIONES]])</f>
        <v>0</v>
      </c>
      <c r="W26" s="298">
        <v>0</v>
      </c>
      <c r="X26" s="227"/>
      <c r="Y26" s="227"/>
      <c r="Z26" s="297">
        <f>SUM(CATEGORIAS[[#This Row],[COSTO ACUMULADO
ANTERIOR]:[PROVISIONES
ANTERIOR]])</f>
        <v>0</v>
      </c>
      <c r="AA26" s="139">
        <f>CATEGORIAS[[#This Row],[PRESUPUESTO
FINAL
PROYECTADO]]-CATEGORIAS[[#This Row],[TOTAL PRODUCCION
ACTUAL]]</f>
        <v>0</v>
      </c>
      <c r="AB26" s="227">
        <v>0</v>
      </c>
      <c r="AC26" s="132"/>
      <c r="AD26" s="132"/>
      <c r="AE26" s="226">
        <f>SUM(CATEGORIAS[[#This Row],[INVENTARIO]:[PROYECCION
DE COSTO
DEL SALDO]])</f>
        <v>0</v>
      </c>
      <c r="AF26" s="132"/>
      <c r="AG26" s="132">
        <f>+CATEGORIAS[[#This Row],[PRESUPUESTO
FINAL
PROYECTADO]]-CATEGORIAS[[#This Row],[COSTO REAL]]-CATEGORIAS[[#This Row],[PROYECCION
TOTAL DE COSTO]]</f>
        <v>0</v>
      </c>
    </row>
    <row r="27" spans="1:33" x14ac:dyDescent="0.25">
      <c r="A27" s="274" t="str">
        <f>+IFERROR(VLOOKUP(CATEGORIAS[[#This Row],[CATEGORIA2]],[1]HOMOLOGACION!$A$1:$I$571,9,FALSE),0)</f>
        <v>0F01</v>
      </c>
      <c r="B27" s="274" t="str">
        <f>+IFERROR(VLOOKUP(CATEGORIAS[[#This Row],[CATEGORIA2]],[1]HOMOLOGACION!$A$1:$C$571,3,FALSE),0)</f>
        <v>0A05</v>
      </c>
      <c r="C27" s="274" t="str">
        <f>+IFERROR(VLOOKUP(CATEGORIAS[[#This Row],[CATEGORIA2]],[1]HOMOLOGACION!$A$1:$D$571,4,FALSE),0)</f>
        <v>Electricidad &amp; Instrumentación</v>
      </c>
      <c r="D27" s="144" t="s">
        <v>1747</v>
      </c>
      <c r="E27" s="273" t="s">
        <v>395</v>
      </c>
      <c r="F27" s="275" t="s">
        <v>361</v>
      </c>
      <c r="G27" s="313">
        <v>0</v>
      </c>
      <c r="H27" s="313">
        <v>0</v>
      </c>
      <c r="I27" s="130">
        <v>0</v>
      </c>
      <c r="J27" s="130"/>
      <c r="K27" s="130"/>
      <c r="L27" s="143">
        <f>CATEGORIAS[[#This Row],[ADICIONALES]]+CATEGORIAS[[#This Row],[POM]]</f>
        <v>0</v>
      </c>
      <c r="M27" s="131">
        <v>0</v>
      </c>
      <c r="N27" s="227">
        <v>0</v>
      </c>
      <c r="O27" s="296">
        <f>CATEGORIAS[[#This Row],[PRODUCCION
PARTIDAS
ORIGINALES
ACTUAL]]+CATEGORIAS[[#This Row],[PRODUCCION
ADICIONALES
ACTUAL]]</f>
        <v>0</v>
      </c>
      <c r="P27" s="227">
        <v>0</v>
      </c>
      <c r="Q27" s="227">
        <v>0</v>
      </c>
      <c r="R27" s="297">
        <f>CATEGORIAS[[#This Row],[PRODUCCION
ANTERIOR]]+CATEGORIAS[[#This Row],[PRODUCCION
ADICIONALES
ANTERIOR]]</f>
        <v>0</v>
      </c>
      <c r="S27" s="133">
        <v>0</v>
      </c>
      <c r="T27" s="133"/>
      <c r="U27" s="133"/>
      <c r="V27" s="296">
        <f>SUM(CATEGORIAS[[#This Row],[COSTO
ACUMULADO  AX]:[PROVISIONES]])</f>
        <v>0</v>
      </c>
      <c r="W27" s="298">
        <v>0</v>
      </c>
      <c r="X27" s="227"/>
      <c r="Y27" s="227"/>
      <c r="Z27" s="297">
        <f>SUM(CATEGORIAS[[#This Row],[COSTO ACUMULADO
ANTERIOR]:[PROVISIONES
ANTERIOR]])</f>
        <v>0</v>
      </c>
      <c r="AA27" s="139">
        <f>CATEGORIAS[[#This Row],[PRESUPUESTO
FINAL
PROYECTADO]]-CATEGORIAS[[#This Row],[TOTAL PRODUCCION
ACTUAL]]</f>
        <v>0</v>
      </c>
      <c r="AB27" s="227">
        <v>0</v>
      </c>
      <c r="AC27" s="132"/>
      <c r="AD27" s="132"/>
      <c r="AE27" s="226">
        <f>SUM(CATEGORIAS[[#This Row],[INVENTARIO]:[PROYECCION
DE COSTO
DEL SALDO]])</f>
        <v>0</v>
      </c>
      <c r="AF27" s="132"/>
      <c r="AG27" s="132">
        <f>+CATEGORIAS[[#This Row],[PRESUPUESTO
FINAL
PROYECTADO]]-CATEGORIAS[[#This Row],[COSTO REAL]]-CATEGORIAS[[#This Row],[PROYECCION
TOTAL DE COSTO]]</f>
        <v>0</v>
      </c>
    </row>
    <row r="28" spans="1:33" x14ac:dyDescent="0.25">
      <c r="A28" s="274" t="str">
        <f>+IFERROR(VLOOKUP(CATEGORIAS[[#This Row],[CATEGORIA2]],[1]HOMOLOGACION!$A$1:$I$571,9,FALSE),0)</f>
        <v>0H01</v>
      </c>
      <c r="B28" s="274" t="str">
        <f>+IFERROR(VLOOKUP(CATEGORIAS[[#This Row],[CATEGORIA2]],[1]HOMOLOGACION!$A$1:$C$571,3,FALSE),0)</f>
        <v>0A06</v>
      </c>
      <c r="C28" s="274" t="str">
        <f>+IFERROR(VLOOKUP(CATEGORIAS[[#This Row],[CATEGORIA2]],[1]HOMOLOGACION!$A$1:$D$571,4,FALSE),0)</f>
        <v xml:space="preserve">Aislación </v>
      </c>
      <c r="D28" s="144" t="s">
        <v>1748</v>
      </c>
      <c r="E28" s="275" t="s">
        <v>397</v>
      </c>
      <c r="F28" s="275" t="s">
        <v>364</v>
      </c>
      <c r="G28" s="313">
        <v>25004642.625492588</v>
      </c>
      <c r="H28" s="313">
        <v>25004642.625492588</v>
      </c>
      <c r="I28" s="130">
        <v>0</v>
      </c>
      <c r="J28" s="130"/>
      <c r="K28" s="130"/>
      <c r="L28" s="143">
        <f>CATEGORIAS[[#This Row],[ADICIONALES]]+CATEGORIAS[[#This Row],[POM]]</f>
        <v>25004642.625492588</v>
      </c>
      <c r="M28" s="131">
        <v>0</v>
      </c>
      <c r="N28" s="227">
        <v>0</v>
      </c>
      <c r="O28" s="296">
        <f>CATEGORIAS[[#This Row],[PRODUCCION
PARTIDAS
ORIGINALES
ACTUAL]]+CATEGORIAS[[#This Row],[PRODUCCION
ADICIONALES
ACTUAL]]</f>
        <v>0</v>
      </c>
      <c r="P28" s="227">
        <v>13932771.378551349</v>
      </c>
      <c r="Q28" s="132">
        <v>0</v>
      </c>
      <c r="R28" s="297">
        <f>CATEGORIAS[[#This Row],[PRODUCCION
ANTERIOR]]+CATEGORIAS[[#This Row],[PRODUCCION
ADICIONALES
ANTERIOR]]</f>
        <v>13932771.378551349</v>
      </c>
      <c r="S28" s="133">
        <v>0</v>
      </c>
      <c r="T28" s="227"/>
      <c r="U28" s="133"/>
      <c r="V28" s="296">
        <f>SUM(CATEGORIAS[[#This Row],[COSTO
ACUMULADO  AX]:[PROVISIONES]])</f>
        <v>0</v>
      </c>
      <c r="W28" s="298">
        <v>0</v>
      </c>
      <c r="X28" s="227"/>
      <c r="Y28" s="227"/>
      <c r="Z28" s="297">
        <f>SUM(CATEGORIAS[[#This Row],[COSTO ACUMULADO
ANTERIOR]:[PROVISIONES
ANTERIOR]])</f>
        <v>0</v>
      </c>
      <c r="AA28" s="139">
        <f>CATEGORIAS[[#This Row],[PRESUPUESTO
FINAL
PROYECTADO]]-CATEGORIAS[[#This Row],[TOTAL PRODUCCION
ACTUAL]]</f>
        <v>25004642.625492588</v>
      </c>
      <c r="AB28" s="227">
        <v>0</v>
      </c>
      <c r="AC28" s="132"/>
      <c r="AD28" s="132">
        <v>25004642.625492588</v>
      </c>
      <c r="AE28" s="226">
        <f>SUM(CATEGORIAS[[#This Row],[INVENTARIO]:[PROYECCION
DE COSTO
DEL SALDO]])</f>
        <v>25004642.625492588</v>
      </c>
      <c r="AF28" s="132"/>
      <c r="AG28" s="132">
        <f>+CATEGORIAS[[#This Row],[PRESUPUESTO
FINAL
PROYECTADO]]-CATEGORIAS[[#This Row],[COSTO REAL]]-CATEGORIAS[[#This Row],[PROYECCION
TOTAL DE COSTO]]</f>
        <v>0</v>
      </c>
    </row>
    <row r="29" spans="1:33" x14ac:dyDescent="0.25">
      <c r="A29" s="274" t="str">
        <f>+IFERROR(VLOOKUP(CATEGORIAS[[#This Row],[CATEGORIA2]],[1]HOMOLOGACION!$A$1:$I$571,9,FALSE),0)</f>
        <v>0I01</v>
      </c>
      <c r="B29" s="274" t="str">
        <f>+IFERROR(VLOOKUP(CATEGORIAS[[#This Row],[CATEGORIA2]],[1]HOMOLOGACION!$A$1:$C$571,3,FALSE),0)</f>
        <v>0A07</v>
      </c>
      <c r="C29" s="274" t="str">
        <f>+IFERROR(VLOOKUP(CATEGORIAS[[#This Row],[CATEGORIA2]],[1]HOMOLOGACION!$A$1:$D$571,4,FALSE),0)</f>
        <v xml:space="preserve">Caldera </v>
      </c>
      <c r="D29" s="144" t="s">
        <v>1749</v>
      </c>
      <c r="E29" s="273" t="s">
        <v>399</v>
      </c>
      <c r="F29" s="275" t="s">
        <v>361</v>
      </c>
      <c r="G29" s="313">
        <v>0</v>
      </c>
      <c r="H29" s="313">
        <v>0</v>
      </c>
      <c r="I29" s="130">
        <v>0</v>
      </c>
      <c r="J29" s="130"/>
      <c r="K29" s="130"/>
      <c r="L29" s="143">
        <f>CATEGORIAS[[#This Row],[ADICIONALES]]+CATEGORIAS[[#This Row],[POM]]</f>
        <v>0</v>
      </c>
      <c r="M29" s="131">
        <v>0</v>
      </c>
      <c r="N29" s="227">
        <v>0</v>
      </c>
      <c r="O29" s="296">
        <f>CATEGORIAS[[#This Row],[PRODUCCION
PARTIDAS
ORIGINALES
ACTUAL]]+CATEGORIAS[[#This Row],[PRODUCCION
ADICIONALES
ACTUAL]]</f>
        <v>0</v>
      </c>
      <c r="P29" s="227">
        <v>0</v>
      </c>
      <c r="Q29" s="132">
        <v>0</v>
      </c>
      <c r="R29" s="297">
        <f>CATEGORIAS[[#This Row],[PRODUCCION
ANTERIOR]]+CATEGORIAS[[#This Row],[PRODUCCION
ADICIONALES
ANTERIOR]]</f>
        <v>0</v>
      </c>
      <c r="S29" s="133">
        <v>0</v>
      </c>
      <c r="T29" s="133"/>
      <c r="U29" s="133"/>
      <c r="V29" s="296">
        <f>SUM(CATEGORIAS[[#This Row],[COSTO
ACUMULADO  AX]:[PROVISIONES]])</f>
        <v>0</v>
      </c>
      <c r="W29" s="298">
        <v>0</v>
      </c>
      <c r="X29" s="227"/>
      <c r="Y29" s="227"/>
      <c r="Z29" s="297">
        <f>SUM(CATEGORIAS[[#This Row],[COSTO ACUMULADO
ANTERIOR]:[PROVISIONES
ANTERIOR]])</f>
        <v>0</v>
      </c>
      <c r="AA29" s="139">
        <f>CATEGORIAS[[#This Row],[PRESUPUESTO
FINAL
PROYECTADO]]-CATEGORIAS[[#This Row],[TOTAL PRODUCCION
ACTUAL]]</f>
        <v>0</v>
      </c>
      <c r="AB29" s="227">
        <v>0</v>
      </c>
      <c r="AC29" s="132"/>
      <c r="AD29" s="132"/>
      <c r="AE29" s="226">
        <f>SUM(CATEGORIAS[[#This Row],[INVENTARIO]:[PROYECCION
DE COSTO
DEL SALDO]])</f>
        <v>0</v>
      </c>
      <c r="AF29" s="132"/>
      <c r="AG29" s="132">
        <f>+CATEGORIAS[[#This Row],[PRESUPUESTO
FINAL
PROYECTADO]]-CATEGORIAS[[#This Row],[COSTO REAL]]-CATEGORIAS[[#This Row],[PROYECCION
TOTAL DE COSTO]]</f>
        <v>0</v>
      </c>
    </row>
    <row r="30" spans="1:33" x14ac:dyDescent="0.25">
      <c r="A30" s="274" t="str">
        <f>+IFERROR(VLOOKUP(CATEGORIAS[[#This Row],[CATEGORIA2]],[1]HOMOLOGACION!$A$1:$I$571,9,FALSE),0)</f>
        <v>0I01</v>
      </c>
      <c r="B30" s="274" t="str">
        <f>+IFERROR(VLOOKUP(CATEGORIAS[[#This Row],[CATEGORIA2]],[1]HOMOLOGACION!$A$1:$C$571,3,FALSE),0)</f>
        <v>0A07</v>
      </c>
      <c r="C30" s="274" t="str">
        <f>+IFERROR(VLOOKUP(CATEGORIAS[[#This Row],[CATEGORIA2]],[1]HOMOLOGACION!$A$1:$D$571,4,FALSE),0)</f>
        <v xml:space="preserve">Caldera </v>
      </c>
      <c r="D30" s="144" t="s">
        <v>1750</v>
      </c>
      <c r="E30" s="273" t="s">
        <v>401</v>
      </c>
      <c r="F30" s="275" t="s">
        <v>361</v>
      </c>
      <c r="G30" s="313">
        <v>0</v>
      </c>
      <c r="H30" s="313">
        <v>0</v>
      </c>
      <c r="I30" s="130">
        <v>0</v>
      </c>
      <c r="J30" s="130"/>
      <c r="K30" s="130"/>
      <c r="L30" s="143">
        <f>CATEGORIAS[[#This Row],[ADICIONALES]]+CATEGORIAS[[#This Row],[POM]]</f>
        <v>0</v>
      </c>
      <c r="M30" s="131">
        <v>0</v>
      </c>
      <c r="N30" s="227">
        <v>0</v>
      </c>
      <c r="O30" s="296">
        <f>CATEGORIAS[[#This Row],[PRODUCCION
PARTIDAS
ORIGINALES
ACTUAL]]+CATEGORIAS[[#This Row],[PRODUCCION
ADICIONALES
ACTUAL]]</f>
        <v>0</v>
      </c>
      <c r="P30" s="227">
        <v>0</v>
      </c>
      <c r="Q30" s="227">
        <v>0</v>
      </c>
      <c r="R30" s="297">
        <f>CATEGORIAS[[#This Row],[PRODUCCION
ANTERIOR]]+CATEGORIAS[[#This Row],[PRODUCCION
ADICIONALES
ANTERIOR]]</f>
        <v>0</v>
      </c>
      <c r="S30" s="133">
        <v>0</v>
      </c>
      <c r="T30" s="133"/>
      <c r="U30" s="133"/>
      <c r="V30" s="296">
        <f>SUM(CATEGORIAS[[#This Row],[COSTO
ACUMULADO  AX]:[PROVISIONES]])</f>
        <v>0</v>
      </c>
      <c r="W30" s="298">
        <v>0</v>
      </c>
      <c r="X30" s="227"/>
      <c r="Y30" s="227"/>
      <c r="Z30" s="297">
        <f>SUM(CATEGORIAS[[#This Row],[COSTO ACUMULADO
ANTERIOR]:[PROVISIONES
ANTERIOR]])</f>
        <v>0</v>
      </c>
      <c r="AA30" s="139">
        <f>CATEGORIAS[[#This Row],[PRESUPUESTO
FINAL
PROYECTADO]]-CATEGORIAS[[#This Row],[TOTAL PRODUCCION
ACTUAL]]</f>
        <v>0</v>
      </c>
      <c r="AB30" s="227">
        <v>0</v>
      </c>
      <c r="AC30" s="132"/>
      <c r="AD30" s="132"/>
      <c r="AE30" s="226">
        <f>SUM(CATEGORIAS[[#This Row],[INVENTARIO]:[PROYECCION
DE COSTO
DEL SALDO]])</f>
        <v>0</v>
      </c>
      <c r="AF30" s="132"/>
      <c r="AG30" s="132">
        <f>+CATEGORIAS[[#This Row],[PRESUPUESTO
FINAL
PROYECTADO]]-CATEGORIAS[[#This Row],[COSTO REAL]]-CATEGORIAS[[#This Row],[PROYECCION
TOTAL DE COSTO]]</f>
        <v>0</v>
      </c>
    </row>
    <row r="31" spans="1:33" x14ac:dyDescent="0.25">
      <c r="A31" s="274" t="str">
        <f>+IFERROR(VLOOKUP(CATEGORIAS[[#This Row],[CATEGORIA2]],[1]HOMOLOGACION!$A$1:$I$571,9,FALSE),0)</f>
        <v>0J01</v>
      </c>
      <c r="B31" s="274" t="str">
        <f>+IFERROR(VLOOKUP(CATEGORIAS[[#This Row],[CATEGORIA2]],[1]HOMOLOGACION!$A$1:$C$571,3,FALSE),0)</f>
        <v>0A09</v>
      </c>
      <c r="C31" s="274" t="str">
        <f>+IFERROR(VLOOKUP(CATEGORIAS[[#This Row],[CATEGORIA2]],[1]HOMOLOGACION!$A$1:$D$571,4,FALSE),0)</f>
        <v xml:space="preserve">Ductos </v>
      </c>
      <c r="D31" s="144" t="s">
        <v>1751</v>
      </c>
      <c r="E31" s="273" t="s">
        <v>403</v>
      </c>
      <c r="F31" s="275" t="s">
        <v>361</v>
      </c>
      <c r="G31" s="313">
        <v>0</v>
      </c>
      <c r="H31" s="313">
        <v>0</v>
      </c>
      <c r="I31" s="130">
        <v>0</v>
      </c>
      <c r="J31" s="130"/>
      <c r="K31" s="130"/>
      <c r="L31" s="143">
        <f>CATEGORIAS[[#This Row],[ADICIONALES]]+CATEGORIAS[[#This Row],[POM]]</f>
        <v>0</v>
      </c>
      <c r="M31" s="131">
        <v>0</v>
      </c>
      <c r="N31" s="227">
        <v>0</v>
      </c>
      <c r="O31" s="296">
        <f>CATEGORIAS[[#This Row],[PRODUCCION
PARTIDAS
ORIGINALES
ACTUAL]]+CATEGORIAS[[#This Row],[PRODUCCION
ADICIONALES
ACTUAL]]</f>
        <v>0</v>
      </c>
      <c r="P31" s="227">
        <v>0</v>
      </c>
      <c r="Q31" s="227">
        <v>0</v>
      </c>
      <c r="R31" s="297">
        <f>CATEGORIAS[[#This Row],[PRODUCCION
ANTERIOR]]+CATEGORIAS[[#This Row],[PRODUCCION
ADICIONALES
ANTERIOR]]</f>
        <v>0</v>
      </c>
      <c r="S31" s="133">
        <v>0</v>
      </c>
      <c r="T31" s="133"/>
      <c r="U31" s="133"/>
      <c r="V31" s="296">
        <f>SUM(CATEGORIAS[[#This Row],[COSTO
ACUMULADO  AX]:[PROVISIONES]])</f>
        <v>0</v>
      </c>
      <c r="W31" s="298">
        <v>0</v>
      </c>
      <c r="X31" s="227"/>
      <c r="Y31" s="227"/>
      <c r="Z31" s="297">
        <f>SUM(CATEGORIAS[[#This Row],[COSTO ACUMULADO
ANTERIOR]:[PROVISIONES
ANTERIOR]])</f>
        <v>0</v>
      </c>
      <c r="AA31" s="139">
        <f>CATEGORIAS[[#This Row],[PRESUPUESTO
FINAL
PROYECTADO]]-CATEGORIAS[[#This Row],[TOTAL PRODUCCION
ACTUAL]]</f>
        <v>0</v>
      </c>
      <c r="AB31" s="227">
        <v>0</v>
      </c>
      <c r="AC31" s="132"/>
      <c r="AD31" s="132"/>
      <c r="AE31" s="226">
        <f>SUM(CATEGORIAS[[#This Row],[INVENTARIO]:[PROYECCION
DE COSTO
DEL SALDO]])</f>
        <v>0</v>
      </c>
      <c r="AF31" s="132"/>
      <c r="AG31" s="132">
        <f>+CATEGORIAS[[#This Row],[PRESUPUESTO
FINAL
PROYECTADO]]-CATEGORIAS[[#This Row],[COSTO REAL]]-CATEGORIAS[[#This Row],[PROYECCION
TOTAL DE COSTO]]</f>
        <v>0</v>
      </c>
    </row>
    <row r="32" spans="1:33" x14ac:dyDescent="0.25">
      <c r="A32" s="274" t="str">
        <f>+IFERROR(VLOOKUP(CATEGORIAS[[#This Row],[CATEGORIA2]],[1]HOMOLOGACION!$A$1:$I$571,9,FALSE),0)</f>
        <v>0J01</v>
      </c>
      <c r="B32" s="274" t="str">
        <f>+IFERROR(VLOOKUP(CATEGORIAS[[#This Row],[CATEGORIA2]],[1]HOMOLOGACION!$A$1:$C$571,3,FALSE),0)</f>
        <v>0A09</v>
      </c>
      <c r="C32" s="274" t="str">
        <f>+IFERROR(VLOOKUP(CATEGORIAS[[#This Row],[CATEGORIA2]],[1]HOMOLOGACION!$A$1:$D$571,4,FALSE),0)</f>
        <v xml:space="preserve">Ductos </v>
      </c>
      <c r="D32" s="144" t="s">
        <v>1752</v>
      </c>
      <c r="E32" s="273" t="s">
        <v>405</v>
      </c>
      <c r="F32" s="275" t="s">
        <v>361</v>
      </c>
      <c r="G32" s="313">
        <v>0</v>
      </c>
      <c r="H32" s="313">
        <v>0</v>
      </c>
      <c r="I32" s="130">
        <v>0</v>
      </c>
      <c r="J32" s="130"/>
      <c r="K32" s="130"/>
      <c r="L32" s="143">
        <f>CATEGORIAS[[#This Row],[ADICIONALES]]+CATEGORIAS[[#This Row],[POM]]</f>
        <v>0</v>
      </c>
      <c r="M32" s="131">
        <v>0</v>
      </c>
      <c r="N32" s="227">
        <v>0</v>
      </c>
      <c r="O32" s="296">
        <f>CATEGORIAS[[#This Row],[PRODUCCION
PARTIDAS
ORIGINALES
ACTUAL]]+CATEGORIAS[[#This Row],[PRODUCCION
ADICIONALES
ACTUAL]]</f>
        <v>0</v>
      </c>
      <c r="P32" s="227">
        <v>0</v>
      </c>
      <c r="Q32" s="132">
        <v>0</v>
      </c>
      <c r="R32" s="297">
        <f>CATEGORIAS[[#This Row],[PRODUCCION
ANTERIOR]]+CATEGORIAS[[#This Row],[PRODUCCION
ADICIONALES
ANTERIOR]]</f>
        <v>0</v>
      </c>
      <c r="S32" s="133">
        <v>0</v>
      </c>
      <c r="T32" s="133"/>
      <c r="U32" s="133"/>
      <c r="V32" s="296">
        <f>SUM(CATEGORIAS[[#This Row],[COSTO
ACUMULADO  AX]:[PROVISIONES]])</f>
        <v>0</v>
      </c>
      <c r="W32" s="298">
        <v>0</v>
      </c>
      <c r="X32" s="227"/>
      <c r="Y32" s="227"/>
      <c r="Z32" s="297">
        <f>SUM(CATEGORIAS[[#This Row],[COSTO ACUMULADO
ANTERIOR]:[PROVISIONES
ANTERIOR]])</f>
        <v>0</v>
      </c>
      <c r="AA32" s="139">
        <f>CATEGORIAS[[#This Row],[PRESUPUESTO
FINAL
PROYECTADO]]-CATEGORIAS[[#This Row],[TOTAL PRODUCCION
ACTUAL]]</f>
        <v>0</v>
      </c>
      <c r="AB32" s="227">
        <v>0</v>
      </c>
      <c r="AC32" s="132"/>
      <c r="AD32" s="132"/>
      <c r="AE32" s="226">
        <f>SUM(CATEGORIAS[[#This Row],[INVENTARIO]:[PROYECCION
DE COSTO
DEL SALDO]])</f>
        <v>0</v>
      </c>
      <c r="AF32" s="132"/>
      <c r="AG32" s="132">
        <f>+CATEGORIAS[[#This Row],[PRESUPUESTO
FINAL
PROYECTADO]]-CATEGORIAS[[#This Row],[COSTO REAL]]-CATEGORIAS[[#This Row],[PROYECCION
TOTAL DE COSTO]]</f>
        <v>0</v>
      </c>
    </row>
    <row r="33" spans="1:33" x14ac:dyDescent="0.25">
      <c r="A33" s="274" t="str">
        <f>+IFERROR(VLOOKUP(CATEGORIAS[[#This Row],[CATEGORIA2]],[1]HOMOLOGACION!$A$1:$I$571,9,FALSE),0)</f>
        <v>0L01</v>
      </c>
      <c r="B33" s="274" t="str">
        <f>+IFERROR(VLOOKUP(CATEGORIAS[[#This Row],[CATEGORIA2]],[1]HOMOLOGACION!$A$1:$C$571,3,FALSE),0)</f>
        <v>0A10</v>
      </c>
      <c r="C33" s="274" t="str">
        <f>+IFERROR(VLOOKUP(CATEGORIAS[[#This Row],[CATEGORIA2]],[1]HOMOLOGACION!$A$1:$D$571,4,FALSE),0)</f>
        <v xml:space="preserve">Comisionamiento </v>
      </c>
      <c r="D33" s="144" t="s">
        <v>1753</v>
      </c>
      <c r="E33" s="275" t="s">
        <v>407</v>
      </c>
      <c r="F33" s="275" t="s">
        <v>361</v>
      </c>
      <c r="G33" s="313">
        <v>0</v>
      </c>
      <c r="H33" s="313">
        <v>0</v>
      </c>
      <c r="I33" s="130">
        <v>0</v>
      </c>
      <c r="J33" s="130"/>
      <c r="K33" s="130"/>
      <c r="L33" s="143">
        <f>CATEGORIAS[[#This Row],[ADICIONALES]]+CATEGORIAS[[#This Row],[POM]]</f>
        <v>0</v>
      </c>
      <c r="M33" s="131">
        <v>0</v>
      </c>
      <c r="N33" s="227">
        <v>0</v>
      </c>
      <c r="O33" s="296">
        <f>CATEGORIAS[[#This Row],[PRODUCCION
PARTIDAS
ORIGINALES
ACTUAL]]+CATEGORIAS[[#This Row],[PRODUCCION
ADICIONALES
ACTUAL]]</f>
        <v>0</v>
      </c>
      <c r="P33" s="227">
        <v>0</v>
      </c>
      <c r="Q33" s="227">
        <v>0</v>
      </c>
      <c r="R33" s="297">
        <f>CATEGORIAS[[#This Row],[PRODUCCION
ANTERIOR]]+CATEGORIAS[[#This Row],[PRODUCCION
ADICIONALES
ANTERIOR]]</f>
        <v>0</v>
      </c>
      <c r="S33" s="133">
        <v>0</v>
      </c>
      <c r="T33" s="133"/>
      <c r="U33" s="133"/>
      <c r="V33" s="296">
        <f>SUM(CATEGORIAS[[#This Row],[COSTO
ACUMULADO  AX]:[PROVISIONES]])</f>
        <v>0</v>
      </c>
      <c r="W33" s="298">
        <v>0</v>
      </c>
      <c r="X33" s="227"/>
      <c r="Y33" s="227"/>
      <c r="Z33" s="297">
        <f>SUM(CATEGORIAS[[#This Row],[COSTO ACUMULADO
ANTERIOR]:[PROVISIONES
ANTERIOR]])</f>
        <v>0</v>
      </c>
      <c r="AA33" s="139">
        <f>CATEGORIAS[[#This Row],[PRESUPUESTO
FINAL
PROYECTADO]]-CATEGORIAS[[#This Row],[TOTAL PRODUCCION
ACTUAL]]</f>
        <v>0</v>
      </c>
      <c r="AB33" s="227">
        <v>0</v>
      </c>
      <c r="AC33" s="132"/>
      <c r="AD33" s="132"/>
      <c r="AE33" s="226">
        <f>SUM(CATEGORIAS[[#This Row],[INVENTARIO]:[PROYECCION
DE COSTO
DEL SALDO]])</f>
        <v>0</v>
      </c>
      <c r="AF33" s="132"/>
      <c r="AG33" s="132">
        <f>+CATEGORIAS[[#This Row],[PRESUPUESTO
FINAL
PROYECTADO]]-CATEGORIAS[[#This Row],[COSTO REAL]]-CATEGORIAS[[#This Row],[PROYECCION
TOTAL DE COSTO]]</f>
        <v>0</v>
      </c>
    </row>
    <row r="34" spans="1:33" x14ac:dyDescent="0.25">
      <c r="A34" s="274" t="str">
        <f>+IFERROR(VLOOKUP(CATEGORIAS[[#This Row],[CATEGORIA2]],[1]HOMOLOGACION!$A$1:$I$571,9,FALSE),0)</f>
        <v>0G01</v>
      </c>
      <c r="B34" s="274" t="str">
        <f>+IFERROR(VLOOKUP(CATEGORIAS[[#This Row],[CATEGORIA2]],[1]HOMOLOGACION!$A$1:$C$571,3,FALSE),0)</f>
        <v>0A08</v>
      </c>
      <c r="C34" s="274" t="str">
        <f>+IFERROR(VLOOKUP(CATEGORIAS[[#This Row],[CATEGORIA2]],[1]HOMOLOGACION!$A$1:$D$571,4,FALSE),0)</f>
        <v xml:space="preserve">Andamios </v>
      </c>
      <c r="D34" s="144" t="s">
        <v>1754</v>
      </c>
      <c r="E34" s="275" t="s">
        <v>410</v>
      </c>
      <c r="F34" s="275" t="s">
        <v>364</v>
      </c>
      <c r="G34" s="313">
        <v>79797652.817636073</v>
      </c>
      <c r="H34" s="313">
        <v>79797652.817636073</v>
      </c>
      <c r="I34" s="130">
        <v>2031426.5088537096</v>
      </c>
      <c r="J34" s="130"/>
      <c r="K34" s="130"/>
      <c r="L34" s="143">
        <f>CATEGORIAS[[#This Row],[ADICIONALES]]+CATEGORIAS[[#This Row],[POM]]</f>
        <v>81829079.326489776</v>
      </c>
      <c r="M34" s="131">
        <v>31773307.368712675</v>
      </c>
      <c r="N34" s="227">
        <v>350658.41156238347</v>
      </c>
      <c r="O34" s="296">
        <f>CATEGORIAS[[#This Row],[PRODUCCION
PARTIDAS
ORIGINALES
ACTUAL]]+CATEGORIAS[[#This Row],[PRODUCCION
ADICIONALES
ACTUAL]]</f>
        <v>32123965.780275058</v>
      </c>
      <c r="P34" s="227">
        <v>21884238.891304653</v>
      </c>
      <c r="Q34" s="227">
        <v>309145.59576576325</v>
      </c>
      <c r="R34" s="297">
        <f>CATEGORIAS[[#This Row],[PRODUCCION
ANTERIOR]]+CATEGORIAS[[#This Row],[PRODUCCION
ADICIONALES
ANTERIOR]]</f>
        <v>22193384.487070415</v>
      </c>
      <c r="S34" s="133">
        <v>76664589</v>
      </c>
      <c r="T34" s="227"/>
      <c r="U34" s="133">
        <v>11746212.121212125</v>
      </c>
      <c r="V34" s="296">
        <f>SUM(CATEGORIAS[[#This Row],[COSTO
ACUMULADO  AX]:[PROVISIONES]])</f>
        <v>88410801.121212125</v>
      </c>
      <c r="W34" s="298">
        <v>40114623</v>
      </c>
      <c r="X34" s="227"/>
      <c r="Y34" s="227">
        <v>4868857.4938574946</v>
      </c>
      <c r="Z34" s="297">
        <f>SUM(CATEGORIAS[[#This Row],[COSTO ACUMULADO
ANTERIOR]:[PROVISIONES
ANTERIOR]])</f>
        <v>44983480.493857495</v>
      </c>
      <c r="AA34" s="139">
        <f>CATEGORIAS[[#This Row],[PRESUPUESTO
FINAL
PROYECTADO]]-CATEGORIAS[[#This Row],[TOTAL PRODUCCION
ACTUAL]]</f>
        <v>49705113.546214715</v>
      </c>
      <c r="AB34" s="227">
        <v>0</v>
      </c>
      <c r="AC34" s="132"/>
      <c r="AD34" s="132">
        <v>-6581721.7947223485</v>
      </c>
      <c r="AE34" s="226">
        <f>SUM(CATEGORIAS[[#This Row],[INVENTARIO]:[PROYECCION
DE COSTO
DEL SALDO]])</f>
        <v>-6581721.7947223485</v>
      </c>
      <c r="AF34" s="132"/>
      <c r="AG34" s="132">
        <f>+CATEGORIAS[[#This Row],[PRESUPUESTO
FINAL
PROYECTADO]]-CATEGORIAS[[#This Row],[COSTO REAL]]-CATEGORIAS[[#This Row],[PROYECCION
TOTAL DE COSTO]]</f>
        <v>0</v>
      </c>
    </row>
    <row r="35" spans="1:33" x14ac:dyDescent="0.25">
      <c r="A35" s="274" t="str">
        <f>+IFERROR(VLOOKUP(CATEGORIAS[[#This Row],[CATEGORIA2]],[1]HOMOLOGACION!$A$1:$I$571,9,FALSE),0)</f>
        <v>0M01</v>
      </c>
      <c r="B35" s="274" t="str">
        <f>+IFERROR(VLOOKUP(CATEGORIAS[[#This Row],[CATEGORIA2]],[1]HOMOLOGACION!$A$1:$C$571,3,FALSE),0)</f>
        <v>0A11</v>
      </c>
      <c r="C35" s="274" t="str">
        <f>+IFERROR(VLOOKUP(CATEGORIAS[[#This Row],[CATEGORIA2]],[1]HOMOLOGACION!$A$1:$D$571,4,FALSE),0)</f>
        <v>Arquitectura</v>
      </c>
      <c r="D35" s="144" t="s">
        <v>1755</v>
      </c>
      <c r="E35" s="273" t="s">
        <v>412</v>
      </c>
      <c r="F35" s="275" t="s">
        <v>361</v>
      </c>
      <c r="G35" s="313">
        <v>0</v>
      </c>
      <c r="H35" s="313">
        <v>0</v>
      </c>
      <c r="I35" s="130">
        <v>0</v>
      </c>
      <c r="J35" s="130"/>
      <c r="K35" s="130"/>
      <c r="L35" s="143">
        <f>CATEGORIAS[[#This Row],[ADICIONALES]]+CATEGORIAS[[#This Row],[POM]]</f>
        <v>0</v>
      </c>
      <c r="M35" s="131">
        <v>0</v>
      </c>
      <c r="N35" s="227">
        <v>0</v>
      </c>
      <c r="O35" s="296">
        <f>CATEGORIAS[[#This Row],[PRODUCCION
PARTIDAS
ORIGINALES
ACTUAL]]+CATEGORIAS[[#This Row],[PRODUCCION
ADICIONALES
ACTUAL]]</f>
        <v>0</v>
      </c>
      <c r="P35" s="227">
        <v>0</v>
      </c>
      <c r="Q35" s="227">
        <v>0</v>
      </c>
      <c r="R35" s="297">
        <f>CATEGORIAS[[#This Row],[PRODUCCION
ANTERIOR]]+CATEGORIAS[[#This Row],[PRODUCCION
ADICIONALES
ANTERIOR]]</f>
        <v>0</v>
      </c>
      <c r="S35" s="133">
        <v>0</v>
      </c>
      <c r="T35" s="133"/>
      <c r="U35" s="133">
        <v>2325389.0253890259</v>
      </c>
      <c r="V35" s="296">
        <f>SUM(CATEGORIAS[[#This Row],[COSTO
ACUMULADO  AX]:[PROVISIONES]])</f>
        <v>2325389.0253890259</v>
      </c>
      <c r="W35" s="298">
        <v>0</v>
      </c>
      <c r="X35" s="227"/>
      <c r="Y35" s="227"/>
      <c r="Z35" s="297">
        <f>SUM(CATEGORIAS[[#This Row],[COSTO ACUMULADO
ANTERIOR]:[PROVISIONES
ANTERIOR]])</f>
        <v>0</v>
      </c>
      <c r="AA35" s="139">
        <f>CATEGORIAS[[#This Row],[PRESUPUESTO
FINAL
PROYECTADO]]-CATEGORIAS[[#This Row],[TOTAL PRODUCCION
ACTUAL]]</f>
        <v>0</v>
      </c>
      <c r="AB35" s="227">
        <v>0</v>
      </c>
      <c r="AC35" s="132"/>
      <c r="AD35" s="132"/>
      <c r="AE35" s="226">
        <f>SUM(CATEGORIAS[[#This Row],[INVENTARIO]:[PROYECCION
DE COSTO
DEL SALDO]])</f>
        <v>0</v>
      </c>
      <c r="AF35" s="132"/>
      <c r="AG35" s="132">
        <f>+CATEGORIAS[[#This Row],[PRESUPUESTO
FINAL
PROYECTADO]]-CATEGORIAS[[#This Row],[COSTO REAL]]-CATEGORIAS[[#This Row],[PROYECCION
TOTAL DE COSTO]]</f>
        <v>-2325389.0253890259</v>
      </c>
    </row>
    <row r="36" spans="1:33" x14ac:dyDescent="0.25">
      <c r="A36" s="274" t="str">
        <f>+IFERROR(VLOOKUP(CATEGORIAS[[#This Row],[CATEGORIA2]],[1]HOMOLOGACION!$A$1:$I$571,9,FALSE),0)</f>
        <v>0Q01</v>
      </c>
      <c r="B36" s="274" t="str">
        <f>+IFERROR(VLOOKUP(CATEGORIAS[[#This Row],[CATEGORIA2]],[1]HOMOLOGACION!$A$1:$C$571,3,FALSE),0)</f>
        <v>0D07</v>
      </c>
      <c r="C36" s="274" t="str">
        <f>+IFERROR(VLOOKUP(CATEGORIAS[[#This Row],[CATEGORIA2]],[1]HOMOLOGACION!$A$1:$D$571,4,FALSE),0)</f>
        <v>Operador</v>
      </c>
      <c r="D36" s="144" t="s">
        <v>1756</v>
      </c>
      <c r="E36" s="273" t="s">
        <v>303</v>
      </c>
      <c r="F36" s="275" t="s">
        <v>364</v>
      </c>
      <c r="G36" s="313">
        <v>93476144.542770028</v>
      </c>
      <c r="H36" s="313">
        <v>93476144.542770028</v>
      </c>
      <c r="I36" s="130">
        <v>0</v>
      </c>
      <c r="J36" s="130"/>
      <c r="K36" s="130"/>
      <c r="L36" s="143">
        <f>CATEGORIAS[[#This Row],[ADICIONALES]]+CATEGORIAS[[#This Row],[POM]]</f>
        <v>93476144.542770028</v>
      </c>
      <c r="M36" s="131">
        <v>43656318.980970815</v>
      </c>
      <c r="N36" s="227">
        <v>0</v>
      </c>
      <c r="O36" s="296">
        <f>CATEGORIAS[[#This Row],[PRODUCCION
PARTIDAS
ORIGINALES
ACTUAL]]+CATEGORIAS[[#This Row],[PRODUCCION
ADICIONALES
ACTUAL]]</f>
        <v>43656318.980970815</v>
      </c>
      <c r="P36" s="227">
        <v>23253645.422276035</v>
      </c>
      <c r="Q36" s="227">
        <v>0</v>
      </c>
      <c r="R36" s="297">
        <f>CATEGORIAS[[#This Row],[PRODUCCION
ANTERIOR]]+CATEGORIAS[[#This Row],[PRODUCCION
ADICIONALES
ANTERIOR]]</f>
        <v>23253645.422276035</v>
      </c>
      <c r="S36" s="133">
        <v>48932267</v>
      </c>
      <c r="T36" s="133"/>
      <c r="U36" s="133">
        <v>2325389.0253890259</v>
      </c>
      <c r="V36" s="296">
        <f>SUM(CATEGORIAS[[#This Row],[COSTO
ACUMULADO  AX]:[PROVISIONES]])</f>
        <v>51257656.025389023</v>
      </c>
      <c r="W36" s="298">
        <v>33848884</v>
      </c>
      <c r="X36" s="227"/>
      <c r="Y36" s="227">
        <v>2109735.8722358723</v>
      </c>
      <c r="Z36" s="297">
        <f>SUM(CATEGORIAS[[#This Row],[COSTO ACUMULADO
ANTERIOR]:[PROVISIONES
ANTERIOR]])</f>
        <v>35958619.872235872</v>
      </c>
      <c r="AA36" s="139">
        <f>CATEGORIAS[[#This Row],[PRESUPUESTO
FINAL
PROYECTADO]]-CATEGORIAS[[#This Row],[TOTAL PRODUCCION
ACTUAL]]</f>
        <v>49819825.561799213</v>
      </c>
      <c r="AB36" s="227">
        <v>0</v>
      </c>
      <c r="AC36" s="132"/>
      <c r="AD36" s="132">
        <v>42218488.517381005</v>
      </c>
      <c r="AE36" s="226">
        <f>SUM(CATEGORIAS[[#This Row],[INVENTARIO]:[PROYECCION
DE COSTO
DEL SALDO]])</f>
        <v>42218488.517381005</v>
      </c>
      <c r="AF36" s="132"/>
      <c r="AG36" s="132">
        <f>+CATEGORIAS[[#This Row],[PRESUPUESTO
FINAL
PROYECTADO]]-CATEGORIAS[[#This Row],[COSTO REAL]]-CATEGORIAS[[#This Row],[PROYECCION
TOTAL DE COSTO]]</f>
        <v>0</v>
      </c>
    </row>
    <row r="37" spans="1:33" x14ac:dyDescent="0.25">
      <c r="A37" s="274" t="str">
        <f>+IFERROR(VLOOKUP(CATEGORIAS[[#This Row],[CATEGORIA2]],[1]HOMOLOGACION!$A$1:$I$571,9,FALSE),0)</f>
        <v>0Q01</v>
      </c>
      <c r="B37" s="274" t="str">
        <f>+IFERROR(VLOOKUP(CATEGORIAS[[#This Row],[CATEGORIA2]],[1]HOMOLOGACION!$A$1:$C$571,3,FALSE),0)</f>
        <v>0D08</v>
      </c>
      <c r="C37" s="274" t="str">
        <f>+IFERROR(VLOOKUP(CATEGORIAS[[#This Row],[CATEGORIA2]],[1]HOMOLOGACION!$A$1:$D$571,4,FALSE),0)</f>
        <v>Rigger</v>
      </c>
      <c r="D37" s="144" t="s">
        <v>1757</v>
      </c>
      <c r="E37" s="273" t="s">
        <v>414</v>
      </c>
      <c r="F37" s="275" t="s">
        <v>364</v>
      </c>
      <c r="G37" s="313">
        <v>42918681.456833996</v>
      </c>
      <c r="H37" s="313">
        <v>42918681.456833996</v>
      </c>
      <c r="I37" s="130">
        <v>0</v>
      </c>
      <c r="J37" s="130"/>
      <c r="K37" s="130"/>
      <c r="L37" s="143">
        <f>CATEGORIAS[[#This Row],[ADICIONALES]]+CATEGORIAS[[#This Row],[POM]]</f>
        <v>42918681.456833996</v>
      </c>
      <c r="M37" s="131">
        <v>20044383.057165168</v>
      </c>
      <c r="N37" s="227">
        <v>0</v>
      </c>
      <c r="O37" s="296">
        <f>CATEGORIAS[[#This Row],[PRODUCCION
PARTIDAS
ORIGINALES
ACTUAL]]+CATEGORIAS[[#This Row],[PRODUCCION
ADICIONALES
ACTUAL]]</f>
        <v>20044383.057165168</v>
      </c>
      <c r="P37" s="227">
        <v>10676689.817177782</v>
      </c>
      <c r="Q37" s="132">
        <v>0</v>
      </c>
      <c r="R37" s="297">
        <f>CATEGORIAS[[#This Row],[PRODUCCION
ANTERIOR]]+CATEGORIAS[[#This Row],[PRODUCCION
ADICIONALES
ANTERIOR]]</f>
        <v>10676689.817177782</v>
      </c>
      <c r="S37" s="133">
        <v>11060840</v>
      </c>
      <c r="T37" s="133"/>
      <c r="U37" s="133">
        <v>1590653.1531531529</v>
      </c>
      <c r="V37" s="296">
        <f>SUM(CATEGORIAS[[#This Row],[COSTO
ACUMULADO  AX]:[PROVISIONES]])</f>
        <v>12651493.153153153</v>
      </c>
      <c r="W37" s="298">
        <v>7800342</v>
      </c>
      <c r="X37" s="227"/>
      <c r="Y37" s="227">
        <v>954391.89189189184</v>
      </c>
      <c r="Z37" s="297">
        <f>SUM(CATEGORIAS[[#This Row],[COSTO ACUMULADO
ANTERIOR]:[PROVISIONES
ANTERIOR]])</f>
        <v>8754733.8918918911</v>
      </c>
      <c r="AA37" s="139">
        <f>CATEGORIAS[[#This Row],[PRESUPUESTO
FINAL
PROYECTADO]]-CATEGORIAS[[#This Row],[TOTAL PRODUCCION
ACTUAL]]</f>
        <v>22874298.399668828</v>
      </c>
      <c r="AB37" s="227">
        <v>0</v>
      </c>
      <c r="AC37" s="132"/>
      <c r="AD37" s="132">
        <v>30267188.303680845</v>
      </c>
      <c r="AE37" s="226">
        <f>SUM(CATEGORIAS[[#This Row],[INVENTARIO]:[PROYECCION
DE COSTO
DEL SALDO]])</f>
        <v>30267188.303680845</v>
      </c>
      <c r="AF37" s="132"/>
      <c r="AG37" s="132">
        <f>+CATEGORIAS[[#This Row],[PRESUPUESTO
FINAL
PROYECTADO]]-CATEGORIAS[[#This Row],[COSTO REAL]]-CATEGORIAS[[#This Row],[PROYECCION
TOTAL DE COSTO]]</f>
        <v>0</v>
      </c>
    </row>
    <row r="38" spans="1:33" x14ac:dyDescent="0.25">
      <c r="A38" s="274" t="str">
        <f>+IFERROR(VLOOKUP(CATEGORIAS[[#This Row],[CATEGORIA2]],[1]HOMOLOGACION!$A$1:$I$571,9,FALSE),0)</f>
        <v>0Q01</v>
      </c>
      <c r="B38" s="274" t="str">
        <f>+IFERROR(VLOOKUP(CATEGORIAS[[#This Row],[CATEGORIA2]],[1]HOMOLOGACION!$A$1:$C$571,3,FALSE),0)</f>
        <v>0D07</v>
      </c>
      <c r="C38" s="274" t="str">
        <f>+IFERROR(VLOOKUP(CATEGORIAS[[#This Row],[CATEGORIA2]],[1]HOMOLOGACION!$A$1:$D$571,4,FALSE),0)</f>
        <v>Operador</v>
      </c>
      <c r="D38" s="144" t="s">
        <v>1758</v>
      </c>
      <c r="E38" s="273" t="s">
        <v>416</v>
      </c>
      <c r="F38" s="275" t="s">
        <v>361</v>
      </c>
      <c r="G38" s="313">
        <v>0</v>
      </c>
      <c r="H38" s="313">
        <v>0</v>
      </c>
      <c r="I38" s="130">
        <v>0</v>
      </c>
      <c r="J38" s="130"/>
      <c r="K38" s="130"/>
      <c r="L38" s="143">
        <f>CATEGORIAS[[#This Row],[ADICIONALES]]+CATEGORIAS[[#This Row],[POM]]</f>
        <v>0</v>
      </c>
      <c r="M38" s="131">
        <v>0</v>
      </c>
      <c r="N38" s="227">
        <v>0</v>
      </c>
      <c r="O38" s="296">
        <f>CATEGORIAS[[#This Row],[PRODUCCION
PARTIDAS
ORIGINALES
ACTUAL]]+CATEGORIAS[[#This Row],[PRODUCCION
ADICIONALES
ACTUAL]]</f>
        <v>0</v>
      </c>
      <c r="P38" s="227">
        <v>0</v>
      </c>
      <c r="Q38" s="227">
        <v>0</v>
      </c>
      <c r="R38" s="297">
        <f>CATEGORIAS[[#This Row],[PRODUCCION
ANTERIOR]]+CATEGORIAS[[#This Row],[PRODUCCION
ADICIONALES
ANTERIOR]]</f>
        <v>0</v>
      </c>
      <c r="S38" s="133">
        <v>0</v>
      </c>
      <c r="T38" s="133"/>
      <c r="U38" s="133"/>
      <c r="V38" s="296">
        <f>SUM(CATEGORIAS[[#This Row],[COSTO
ACUMULADO  AX]:[PROVISIONES]])</f>
        <v>0</v>
      </c>
      <c r="W38" s="298">
        <v>0</v>
      </c>
      <c r="X38" s="227"/>
      <c r="Y38" s="227"/>
      <c r="Z38" s="297">
        <f>SUM(CATEGORIAS[[#This Row],[COSTO ACUMULADO
ANTERIOR]:[PROVISIONES
ANTERIOR]])</f>
        <v>0</v>
      </c>
      <c r="AA38" s="139">
        <f>CATEGORIAS[[#This Row],[PRESUPUESTO
FINAL
PROYECTADO]]-CATEGORIAS[[#This Row],[TOTAL PRODUCCION
ACTUAL]]</f>
        <v>0</v>
      </c>
      <c r="AB38" s="227">
        <v>0</v>
      </c>
      <c r="AC38" s="132"/>
      <c r="AD38" s="132"/>
      <c r="AE38" s="226">
        <f>SUM(CATEGORIAS[[#This Row],[INVENTARIO]:[PROYECCION
DE COSTO
DEL SALDO]])</f>
        <v>0</v>
      </c>
      <c r="AF38" s="132"/>
      <c r="AG38" s="132">
        <f>+CATEGORIAS[[#This Row],[PRESUPUESTO
FINAL
PROYECTADO]]-CATEGORIAS[[#This Row],[COSTO REAL]]-CATEGORIAS[[#This Row],[PROYECCION
TOTAL DE COSTO]]</f>
        <v>0</v>
      </c>
    </row>
    <row r="39" spans="1:33" x14ac:dyDescent="0.25">
      <c r="A39" s="274" t="str">
        <f>+IFERROR(VLOOKUP(CATEGORIAS[[#This Row],[CATEGORIA2]],[1]HOMOLOGACION!$A$1:$I$571,9,FALSE),0)</f>
        <v>0Q01</v>
      </c>
      <c r="B39" s="274" t="str">
        <f>+IFERROR(VLOOKUP(CATEGORIAS[[#This Row],[CATEGORIA2]],[1]HOMOLOGACION!$A$1:$C$571,3,FALSE),0)</f>
        <v>0D08</v>
      </c>
      <c r="C39" s="274" t="str">
        <f>+IFERROR(VLOOKUP(CATEGORIAS[[#This Row],[CATEGORIA2]],[1]HOMOLOGACION!$A$1:$D$571,4,FALSE),0)</f>
        <v>Rigger</v>
      </c>
      <c r="D39" s="144" t="s">
        <v>1759</v>
      </c>
      <c r="E39" s="273" t="s">
        <v>418</v>
      </c>
      <c r="F39" s="275" t="s">
        <v>361</v>
      </c>
      <c r="G39" s="313">
        <v>0</v>
      </c>
      <c r="H39" s="313">
        <v>0</v>
      </c>
      <c r="I39" s="130">
        <v>0</v>
      </c>
      <c r="J39" s="130"/>
      <c r="K39" s="130"/>
      <c r="L39" s="143">
        <f>CATEGORIAS[[#This Row],[ADICIONALES]]+CATEGORIAS[[#This Row],[POM]]</f>
        <v>0</v>
      </c>
      <c r="M39" s="131">
        <v>0</v>
      </c>
      <c r="N39" s="227">
        <v>0</v>
      </c>
      <c r="O39" s="296">
        <f>CATEGORIAS[[#This Row],[PRODUCCION
PARTIDAS
ORIGINALES
ACTUAL]]+CATEGORIAS[[#This Row],[PRODUCCION
ADICIONALES
ACTUAL]]</f>
        <v>0</v>
      </c>
      <c r="P39" s="227">
        <v>0</v>
      </c>
      <c r="Q39" s="132">
        <v>0</v>
      </c>
      <c r="R39" s="297">
        <f>CATEGORIAS[[#This Row],[PRODUCCION
ANTERIOR]]+CATEGORIAS[[#This Row],[PRODUCCION
ADICIONALES
ANTERIOR]]</f>
        <v>0</v>
      </c>
      <c r="S39" s="133">
        <v>0</v>
      </c>
      <c r="T39" s="133"/>
      <c r="U39" s="133"/>
      <c r="V39" s="296">
        <f>SUM(CATEGORIAS[[#This Row],[COSTO
ACUMULADO  AX]:[PROVISIONES]])</f>
        <v>0</v>
      </c>
      <c r="W39" s="298">
        <v>0</v>
      </c>
      <c r="X39" s="227"/>
      <c r="Y39" s="227"/>
      <c r="Z39" s="297">
        <f>SUM(CATEGORIAS[[#This Row],[COSTO ACUMULADO
ANTERIOR]:[PROVISIONES
ANTERIOR]])</f>
        <v>0</v>
      </c>
      <c r="AA39" s="139">
        <f>CATEGORIAS[[#This Row],[PRESUPUESTO
FINAL
PROYECTADO]]-CATEGORIAS[[#This Row],[TOTAL PRODUCCION
ACTUAL]]</f>
        <v>0</v>
      </c>
      <c r="AB39" s="227">
        <v>0</v>
      </c>
      <c r="AC39" s="132"/>
      <c r="AD39" s="132"/>
      <c r="AE39" s="226">
        <f>SUM(CATEGORIAS[[#This Row],[INVENTARIO]:[PROYECCION
DE COSTO
DEL SALDO]])</f>
        <v>0</v>
      </c>
      <c r="AF39" s="132"/>
      <c r="AG39" s="132">
        <f>+CATEGORIAS[[#This Row],[PRESUPUESTO
FINAL
PROYECTADO]]-CATEGORIAS[[#This Row],[COSTO REAL]]-CATEGORIAS[[#This Row],[PROYECCION
TOTAL DE COSTO]]</f>
        <v>0</v>
      </c>
    </row>
    <row r="40" spans="1:33" x14ac:dyDescent="0.25">
      <c r="A40" s="274" t="str">
        <f>+IFERROR(VLOOKUP(CATEGORIAS[[#This Row],[CATEGORIA2]],[1]HOMOLOGACION!$A$1:$I$571,9,FALSE),0)</f>
        <v>0N01</v>
      </c>
      <c r="B40" s="274" t="str">
        <f>+IFERROR(VLOOKUP(CATEGORIAS[[#This Row],[CATEGORIA2]],[1]HOMOLOGACION!$A$1:$C$571,3,FALSE),0)</f>
        <v>0A12</v>
      </c>
      <c r="C40" s="274" t="str">
        <f>+IFERROR(VLOOKUP(CATEGORIAS[[#This Row],[CATEGORIA2]],[1]HOMOLOGACION!$A$1:$D$571,4,FALSE),0)</f>
        <v xml:space="preserve">Estanque </v>
      </c>
      <c r="D40" s="144" t="s">
        <v>1760</v>
      </c>
      <c r="E40" s="273" t="s">
        <v>420</v>
      </c>
      <c r="F40" s="275" t="s">
        <v>361</v>
      </c>
      <c r="G40" s="313">
        <v>0</v>
      </c>
      <c r="H40" s="313">
        <v>0</v>
      </c>
      <c r="I40" s="130">
        <v>0</v>
      </c>
      <c r="J40" s="130"/>
      <c r="K40" s="130"/>
      <c r="L40" s="143">
        <f>CATEGORIAS[[#This Row],[ADICIONALES]]+CATEGORIAS[[#This Row],[POM]]</f>
        <v>0</v>
      </c>
      <c r="M40" s="131">
        <v>0</v>
      </c>
      <c r="N40" s="227">
        <v>0</v>
      </c>
      <c r="O40" s="296">
        <f>CATEGORIAS[[#This Row],[PRODUCCION
PARTIDAS
ORIGINALES
ACTUAL]]+CATEGORIAS[[#This Row],[PRODUCCION
ADICIONALES
ACTUAL]]</f>
        <v>0</v>
      </c>
      <c r="P40" s="227">
        <v>0</v>
      </c>
      <c r="Q40" s="132">
        <v>0</v>
      </c>
      <c r="R40" s="297">
        <f>CATEGORIAS[[#This Row],[PRODUCCION
ANTERIOR]]+CATEGORIAS[[#This Row],[PRODUCCION
ADICIONALES
ANTERIOR]]</f>
        <v>0</v>
      </c>
      <c r="S40" s="133">
        <v>0</v>
      </c>
      <c r="T40" s="133"/>
      <c r="U40" s="133"/>
      <c r="V40" s="296">
        <f>SUM(CATEGORIAS[[#This Row],[COSTO
ACUMULADO  AX]:[PROVISIONES]])</f>
        <v>0</v>
      </c>
      <c r="W40" s="298">
        <v>0</v>
      </c>
      <c r="X40" s="227"/>
      <c r="Y40" s="227"/>
      <c r="Z40" s="297">
        <f>SUM(CATEGORIAS[[#This Row],[COSTO ACUMULADO
ANTERIOR]:[PROVISIONES
ANTERIOR]])</f>
        <v>0</v>
      </c>
      <c r="AA40" s="139">
        <f>CATEGORIAS[[#This Row],[PRESUPUESTO
FINAL
PROYECTADO]]-CATEGORIAS[[#This Row],[TOTAL PRODUCCION
ACTUAL]]</f>
        <v>0</v>
      </c>
      <c r="AB40" s="227">
        <v>0</v>
      </c>
      <c r="AC40" s="132"/>
      <c r="AD40" s="132"/>
      <c r="AE40" s="226">
        <f>SUM(CATEGORIAS[[#This Row],[INVENTARIO]:[PROYECCION
DE COSTO
DEL SALDO]])</f>
        <v>0</v>
      </c>
      <c r="AF40" s="132"/>
      <c r="AG40" s="132">
        <f>+CATEGORIAS[[#This Row],[PRESUPUESTO
FINAL
PROYECTADO]]-CATEGORIAS[[#This Row],[COSTO REAL]]-CATEGORIAS[[#This Row],[PROYECCION
TOTAL DE COSTO]]</f>
        <v>0</v>
      </c>
    </row>
    <row r="41" spans="1:33" x14ac:dyDescent="0.25">
      <c r="A41" s="274" t="str">
        <f>+IFERROR(VLOOKUP(CATEGORIAS[[#This Row],[CATEGORIA2]],[1]HOMOLOGACION!$A$1:$I$571,9,FALSE),0)</f>
        <v>0N01</v>
      </c>
      <c r="B41" s="274" t="str">
        <f>+IFERROR(VLOOKUP(CATEGORIAS[[#This Row],[CATEGORIA2]],[1]HOMOLOGACION!$A$1:$C$571,3,FALSE),0)</f>
        <v>0A12</v>
      </c>
      <c r="C41" s="274" t="str">
        <f>+IFERROR(VLOOKUP(CATEGORIAS[[#This Row],[CATEGORIA2]],[1]HOMOLOGACION!$A$1:$D$571,4,FALSE),0)</f>
        <v xml:space="preserve">Estanque </v>
      </c>
      <c r="D41" s="144" t="s">
        <v>1761</v>
      </c>
      <c r="E41" s="273" t="s">
        <v>422</v>
      </c>
      <c r="F41" s="275" t="s">
        <v>361</v>
      </c>
      <c r="G41" s="313">
        <v>0</v>
      </c>
      <c r="H41" s="313">
        <v>0</v>
      </c>
      <c r="I41" s="130">
        <v>0</v>
      </c>
      <c r="J41" s="130"/>
      <c r="K41" s="130"/>
      <c r="L41" s="143">
        <f>CATEGORIAS[[#This Row],[ADICIONALES]]+CATEGORIAS[[#This Row],[POM]]</f>
        <v>0</v>
      </c>
      <c r="M41" s="131">
        <v>0</v>
      </c>
      <c r="N41" s="227">
        <v>0</v>
      </c>
      <c r="O41" s="296">
        <f>CATEGORIAS[[#This Row],[PRODUCCION
PARTIDAS
ORIGINALES
ACTUAL]]+CATEGORIAS[[#This Row],[PRODUCCION
ADICIONALES
ACTUAL]]</f>
        <v>0</v>
      </c>
      <c r="P41" s="227">
        <v>0</v>
      </c>
      <c r="Q41" s="227">
        <v>0</v>
      </c>
      <c r="R41" s="297">
        <f>CATEGORIAS[[#This Row],[PRODUCCION
ANTERIOR]]+CATEGORIAS[[#This Row],[PRODUCCION
ADICIONALES
ANTERIOR]]</f>
        <v>0</v>
      </c>
      <c r="S41" s="133">
        <v>0</v>
      </c>
      <c r="T41" s="133"/>
      <c r="U41" s="133"/>
      <c r="V41" s="296">
        <f>SUM(CATEGORIAS[[#This Row],[COSTO
ACUMULADO  AX]:[PROVISIONES]])</f>
        <v>0</v>
      </c>
      <c r="W41" s="298">
        <v>0</v>
      </c>
      <c r="X41" s="227"/>
      <c r="Y41" s="227"/>
      <c r="Z41" s="297">
        <f>SUM(CATEGORIAS[[#This Row],[COSTO ACUMULADO
ANTERIOR]:[PROVISIONES
ANTERIOR]])</f>
        <v>0</v>
      </c>
      <c r="AA41" s="139">
        <f>CATEGORIAS[[#This Row],[PRESUPUESTO
FINAL
PROYECTADO]]-CATEGORIAS[[#This Row],[TOTAL PRODUCCION
ACTUAL]]</f>
        <v>0</v>
      </c>
      <c r="AB41" s="227">
        <v>0</v>
      </c>
      <c r="AC41" s="132"/>
      <c r="AD41" s="132"/>
      <c r="AE41" s="226">
        <f>SUM(CATEGORIAS[[#This Row],[INVENTARIO]:[PROYECCION
DE COSTO
DEL SALDO]])</f>
        <v>0</v>
      </c>
      <c r="AF41" s="132"/>
      <c r="AG41" s="132">
        <f>+CATEGORIAS[[#This Row],[PRESUPUESTO
FINAL
PROYECTADO]]-CATEGORIAS[[#This Row],[COSTO REAL]]-CATEGORIAS[[#This Row],[PROYECCION
TOTAL DE COSTO]]</f>
        <v>0</v>
      </c>
    </row>
    <row r="42" spans="1:33" x14ac:dyDescent="0.25">
      <c r="A42" s="274" t="str">
        <f>+IFERROR(VLOOKUP(CATEGORIAS[[#This Row],[CATEGORIA2]],[1]HOMOLOGACION!$A$1:$I$571,9,FALSE),0)</f>
        <v>0P10</v>
      </c>
      <c r="B42" s="274" t="str">
        <f>+IFERROR(VLOOKUP(CATEGORIAS[[#This Row],[CATEGORIA2]],[1]HOMOLOGACION!$A$1:$C$571,3,FALSE),0)</f>
        <v>0A13</v>
      </c>
      <c r="C42" s="274" t="str">
        <f>+IFERROR(VLOOKUP(CATEGORIAS[[#This Row],[CATEGORIA2]],[1]HOMOLOGACION!$A$1:$D$571,4,FALSE),0)</f>
        <v>Multas Costo Directo</v>
      </c>
      <c r="D42" s="144" t="s">
        <v>2281</v>
      </c>
      <c r="E42" s="273" t="s">
        <v>2282</v>
      </c>
      <c r="F42" s="275" t="s">
        <v>361</v>
      </c>
      <c r="G42" s="313">
        <v>0</v>
      </c>
      <c r="H42" s="313">
        <v>0</v>
      </c>
      <c r="I42" s="130">
        <v>0</v>
      </c>
      <c r="J42" s="130"/>
      <c r="K42" s="130"/>
      <c r="L42" s="143">
        <f>CATEGORIAS[[#This Row],[ADICIONALES]]+CATEGORIAS[[#This Row],[POM]]</f>
        <v>0</v>
      </c>
      <c r="M42" s="131">
        <v>0</v>
      </c>
      <c r="N42" s="227">
        <v>0</v>
      </c>
      <c r="O42" s="296">
        <v>0</v>
      </c>
      <c r="P42" s="227">
        <v>0</v>
      </c>
      <c r="Q42" s="227">
        <v>0</v>
      </c>
      <c r="R42" s="297">
        <f>CATEGORIAS[[#This Row],[PRODUCCION
ANTERIOR]]+CATEGORIAS[[#This Row],[PRODUCCION
ADICIONALES
ANTERIOR]]</f>
        <v>0</v>
      </c>
      <c r="S42" s="133">
        <v>0</v>
      </c>
      <c r="T42" s="133"/>
      <c r="U42" s="133"/>
      <c r="V42" s="296">
        <f>SUM(CATEGORIAS[[#This Row],[COSTO
ACUMULADO  AX]:[PROVISIONES]])</f>
        <v>0</v>
      </c>
      <c r="W42" s="298">
        <v>0</v>
      </c>
      <c r="X42" s="227"/>
      <c r="Y42" s="227"/>
      <c r="Z42" s="297">
        <f>SUM(CATEGORIAS[[#This Row],[COSTO ACUMULADO
ANTERIOR]:[PROVISIONES
ANTERIOR]])</f>
        <v>0</v>
      </c>
      <c r="AA42" s="139">
        <f>CATEGORIAS[[#This Row],[PRESUPUESTO
FINAL
PROYECTADO]]-CATEGORIAS[[#This Row],[TOTAL PRODUCCION
ACTUAL]]</f>
        <v>0</v>
      </c>
      <c r="AB42" s="227">
        <v>0</v>
      </c>
      <c r="AC42" s="132"/>
      <c r="AD42" s="132"/>
      <c r="AE42" s="226">
        <f>SUM(CATEGORIAS[[#This Row],[INVENTARIO]:[PROYECCION
DE COSTO
DEL SALDO]])</f>
        <v>0</v>
      </c>
      <c r="AF42" s="132"/>
      <c r="AG42" s="132">
        <f>+CATEGORIAS[[#This Row],[PRESUPUESTO
FINAL
PROYECTADO]]-CATEGORIAS[[#This Row],[COSTO REAL]]-CATEGORIAS[[#This Row],[PROYECCION
TOTAL DE COSTO]]</f>
        <v>0</v>
      </c>
    </row>
    <row r="43" spans="1:33" x14ac:dyDescent="0.25">
      <c r="A43" s="274" t="str">
        <f>+IFERROR(VLOOKUP(CATEGORIAS[[#This Row],[CATEGORIA2]],[1]HOMOLOGACION!$A$1:$I$571,9,FALSE),0)</f>
        <v>1Y01</v>
      </c>
      <c r="B43" s="274" t="str">
        <f>+IFERROR(VLOOKUP(CATEGORIAS[[#This Row],[CATEGORIA2]],[1]HOMOLOGACION!$A$1:$C$571,3,FALSE),0)</f>
        <v>1F01</v>
      </c>
      <c r="C43" s="274" t="str">
        <f>+IFERROR(VLOOKUP(CATEGORIAS[[#This Row],[CATEGORIA2]],[1]HOMOLOGACION!$A$1:$D$571,4,FALSE),0)</f>
        <v xml:space="preserve">Staff Superior </v>
      </c>
      <c r="D43" s="144" t="s">
        <v>1762</v>
      </c>
      <c r="E43" s="275" t="s">
        <v>426</v>
      </c>
      <c r="F43" s="275" t="s">
        <v>364</v>
      </c>
      <c r="G43" s="313">
        <v>344918851.26215672</v>
      </c>
      <c r="H43" s="313">
        <v>344918851.26215672</v>
      </c>
      <c r="I43" s="130">
        <v>5384284.5</v>
      </c>
      <c r="J43" s="130"/>
      <c r="K43" s="130"/>
      <c r="L43" s="143">
        <f>CATEGORIAS[[#This Row],[ADICIONALES]]+CATEGORIAS[[#This Row],[POM]]</f>
        <v>350303135.76215672</v>
      </c>
      <c r="M43" s="131">
        <v>161088023.76162407</v>
      </c>
      <c r="N43" s="227">
        <v>0</v>
      </c>
      <c r="O43" s="296">
        <f>CATEGORIAS[[#This Row],[PRODUCCION
PARTIDAS
ORIGINALES
ACTUAL]]+CATEGORIAS[[#This Row],[PRODUCCION
ADICIONALES
ACTUAL]]</f>
        <v>161088023.76162407</v>
      </c>
      <c r="P43" s="227">
        <v>109948250.6976312</v>
      </c>
      <c r="Q43" s="227">
        <v>0</v>
      </c>
      <c r="R43" s="297">
        <f>CATEGORIAS[[#This Row],[PRODUCCION
ANTERIOR]]+CATEGORIAS[[#This Row],[PRODUCCION
ADICIONALES
ANTERIOR]]</f>
        <v>109948250.6976312</v>
      </c>
      <c r="S43" s="133">
        <v>130357996.86666667</v>
      </c>
      <c r="T43" s="133">
        <v>4110204</v>
      </c>
      <c r="U43" s="133">
        <v>4749692.874692875</v>
      </c>
      <c r="V43" s="296">
        <f>SUM(CATEGORIAS[[#This Row],[COSTO
ACUMULADO  AX]:[PROVISIONES]])</f>
        <v>139217893.74135956</v>
      </c>
      <c r="W43" s="298">
        <v>79725187.866666675</v>
      </c>
      <c r="X43" s="227">
        <v>3421363</v>
      </c>
      <c r="Y43" s="227">
        <v>2666359.5413595415</v>
      </c>
      <c r="Z43" s="297">
        <f>SUM(CATEGORIAS[[#This Row],[COSTO ACUMULADO
ANTERIOR]:[PROVISIONES
ANTERIOR]])</f>
        <v>85812910.408026218</v>
      </c>
      <c r="AA43" s="139">
        <f>CATEGORIAS[[#This Row],[PRESUPUESTO
FINAL
PROYECTADO]]-CATEGORIAS[[#This Row],[TOTAL PRODUCCION
ACTUAL]]</f>
        <v>189215112.00053266</v>
      </c>
      <c r="AB43" s="227">
        <v>0</v>
      </c>
      <c r="AC43" s="132"/>
      <c r="AD43" s="132">
        <v>211085242.02079716</v>
      </c>
      <c r="AE43" s="226">
        <f>SUM(CATEGORIAS[[#This Row],[INVENTARIO]:[PROYECCION
DE COSTO
DEL SALDO]])</f>
        <v>211085242.02079716</v>
      </c>
      <c r="AF43" s="132"/>
      <c r="AG43" s="132">
        <f>+CATEGORIAS[[#This Row],[PRESUPUESTO
FINAL
PROYECTADO]]-CATEGORIAS[[#This Row],[COSTO REAL]]-CATEGORIAS[[#This Row],[PROYECCION
TOTAL DE COSTO]]</f>
        <v>0</v>
      </c>
    </row>
    <row r="44" spans="1:33" x14ac:dyDescent="0.25">
      <c r="A44" s="274" t="str">
        <f>+IFERROR(VLOOKUP(CATEGORIAS[[#This Row],[CATEGORIA2]],[1]HOMOLOGACION!$A$1:$I$571,9,FALSE),0)</f>
        <v>1Y02</v>
      </c>
      <c r="B44" s="274" t="str">
        <f>+IFERROR(VLOOKUP(CATEGORIAS[[#This Row],[CATEGORIA2]],[1]HOMOLOGACION!$A$1:$C$571,3,FALSE),0)</f>
        <v>1F02</v>
      </c>
      <c r="C44" s="274" t="str">
        <f>+IFERROR(VLOOKUP(CATEGORIAS[[#This Row],[CATEGORIA2]],[1]HOMOLOGACION!$A$1:$D$571,4,FALSE),0)</f>
        <v xml:space="preserve">Oficina Técnica </v>
      </c>
      <c r="D44" s="144" t="s">
        <v>1763</v>
      </c>
      <c r="E44" s="275" t="s">
        <v>428</v>
      </c>
      <c r="F44" s="275" t="s">
        <v>364</v>
      </c>
      <c r="G44" s="313">
        <v>175799841.54363027</v>
      </c>
      <c r="H44" s="313">
        <v>175799841.54363027</v>
      </c>
      <c r="I44" s="130">
        <v>5384284.5</v>
      </c>
      <c r="J44" s="130"/>
      <c r="K44" s="130"/>
      <c r="L44" s="143">
        <f>CATEGORIAS[[#This Row],[ADICIONALES]]+CATEGORIAS[[#This Row],[POM]]</f>
        <v>181184126.04363027</v>
      </c>
      <c r="M44" s="131">
        <v>82104091.870426401</v>
      </c>
      <c r="N44" s="227">
        <v>0</v>
      </c>
      <c r="O44" s="296">
        <f>CATEGORIAS[[#This Row],[PRODUCCION
PARTIDAS
ORIGINALES
ACTUAL]]+CATEGORIAS[[#This Row],[PRODUCCION
ADICIONALES
ACTUAL]]</f>
        <v>82104091.870426401</v>
      </c>
      <c r="P44" s="227">
        <v>56038934.897043109</v>
      </c>
      <c r="Q44" s="227">
        <v>0</v>
      </c>
      <c r="R44" s="297">
        <f>CATEGORIAS[[#This Row],[PRODUCCION
ANTERIOR]]+CATEGORIAS[[#This Row],[PRODUCCION
ADICIONALES
ANTERIOR]]</f>
        <v>56038934.897043109</v>
      </c>
      <c r="S44" s="133">
        <v>85595198.466666669</v>
      </c>
      <c r="T44" s="133">
        <v>721354</v>
      </c>
      <c r="U44" s="133">
        <v>6355343.9803439807</v>
      </c>
      <c r="V44" s="296">
        <f>SUM(CATEGORIAS[[#This Row],[COSTO
ACUMULADO  AX]:[PROVISIONES]])</f>
        <v>92671896.447010651</v>
      </c>
      <c r="W44" s="298">
        <v>59911645.466666669</v>
      </c>
      <c r="X44" s="227">
        <v>183366</v>
      </c>
      <c r="Y44" s="227">
        <v>3794686.7321867328</v>
      </c>
      <c r="Z44" s="297">
        <f>SUM(CATEGORIAS[[#This Row],[COSTO ACUMULADO
ANTERIOR]:[PROVISIONES
ANTERIOR]])</f>
        <v>63889698.198853403</v>
      </c>
      <c r="AA44" s="139">
        <f>CATEGORIAS[[#This Row],[PRESUPUESTO
FINAL
PROYECTADO]]-CATEGORIAS[[#This Row],[TOTAL PRODUCCION
ACTUAL]]</f>
        <v>99080034.173203871</v>
      </c>
      <c r="AB44" s="227">
        <v>0</v>
      </c>
      <c r="AC44" s="132"/>
      <c r="AD44" s="132">
        <v>88512229.596619621</v>
      </c>
      <c r="AE44" s="226">
        <f>SUM(CATEGORIAS[[#This Row],[INVENTARIO]:[PROYECCION
DE COSTO
DEL SALDO]])</f>
        <v>88512229.596619621</v>
      </c>
      <c r="AF44" s="132"/>
      <c r="AG44" s="132">
        <f>+CATEGORIAS[[#This Row],[PRESUPUESTO
FINAL
PROYECTADO]]-CATEGORIAS[[#This Row],[COSTO REAL]]-CATEGORIAS[[#This Row],[PROYECCION
TOTAL DE COSTO]]</f>
        <v>0</v>
      </c>
    </row>
    <row r="45" spans="1:33" x14ac:dyDescent="0.25">
      <c r="A45" s="274" t="str">
        <f>+IFERROR(VLOOKUP(CATEGORIAS[[#This Row],[CATEGORIA2]],[1]HOMOLOGACION!$A$1:$I$571,9,FALSE),0)</f>
        <v>1Y03</v>
      </c>
      <c r="B45" s="274" t="str">
        <f>+IFERROR(VLOOKUP(CATEGORIAS[[#This Row],[CATEGORIA2]],[1]HOMOLOGACION!$A$1:$C$571,3,FALSE),0)</f>
        <v>1F03</v>
      </c>
      <c r="C45" s="274" t="str">
        <f>+IFERROR(VLOOKUP(CATEGORIAS[[#This Row],[CATEGORIA2]],[1]HOMOLOGACION!$A$1:$D$571,4,FALSE),0)</f>
        <v xml:space="preserve">Supervisión </v>
      </c>
      <c r="D45" s="144" t="s">
        <v>1764</v>
      </c>
      <c r="E45" s="275" t="s">
        <v>430</v>
      </c>
      <c r="F45" s="275" t="s">
        <v>364</v>
      </c>
      <c r="G45" s="313">
        <v>101081023.761336</v>
      </c>
      <c r="H45" s="313">
        <v>101081023.761336</v>
      </c>
      <c r="I45" s="130">
        <v>6026317.5</v>
      </c>
      <c r="J45" s="130"/>
      <c r="K45" s="130"/>
      <c r="L45" s="143">
        <f>CATEGORIAS[[#This Row],[ADICIONALES]]+CATEGORIAS[[#This Row],[POM]]</f>
        <v>107107341.261336</v>
      </c>
      <c r="M45" s="131">
        <v>47208038.348531649</v>
      </c>
      <c r="N45" s="227">
        <v>0</v>
      </c>
      <c r="O45" s="296">
        <f>CATEGORIAS[[#This Row],[PRODUCCION
PARTIDAS
ORIGINALES
ACTUAL]]+CATEGORIAS[[#This Row],[PRODUCCION
ADICIONALES
ACTUAL]]</f>
        <v>47208038.348531649</v>
      </c>
      <c r="P45" s="227">
        <v>32221149.121355485</v>
      </c>
      <c r="Q45" s="227">
        <v>0</v>
      </c>
      <c r="R45" s="297">
        <f>CATEGORIAS[[#This Row],[PRODUCCION
ANTERIOR]]+CATEGORIAS[[#This Row],[PRODUCCION
ADICIONALES
ANTERIOR]]</f>
        <v>32221149.121355485</v>
      </c>
      <c r="S45" s="133">
        <v>56856905</v>
      </c>
      <c r="T45" s="133"/>
      <c r="U45" s="133">
        <v>6629811.6298116306</v>
      </c>
      <c r="V45" s="296">
        <f>SUM(CATEGORIAS[[#This Row],[COSTO
ACUMULADO  AX]:[PROVISIONES]])</f>
        <v>63486716.62981163</v>
      </c>
      <c r="W45" s="298">
        <v>38706014</v>
      </c>
      <c r="X45" s="227"/>
      <c r="Y45" s="227">
        <v>3645577.3955773958</v>
      </c>
      <c r="Z45" s="297">
        <f>SUM(CATEGORIAS[[#This Row],[COSTO ACUMULADO
ANTERIOR]:[PROVISIONES
ANTERIOR]])</f>
        <v>42351591.395577393</v>
      </c>
      <c r="AA45" s="139">
        <f>CATEGORIAS[[#This Row],[PRESUPUESTO
FINAL
PROYECTADO]]-CATEGORIAS[[#This Row],[TOTAL PRODUCCION
ACTUAL]]</f>
        <v>59899302.91280435</v>
      </c>
      <c r="AB45" s="227">
        <v>0</v>
      </c>
      <c r="AC45" s="132"/>
      <c r="AD45" s="132">
        <v>43620624.631524369</v>
      </c>
      <c r="AE45" s="226">
        <f>SUM(CATEGORIAS[[#This Row],[INVENTARIO]:[PROYECCION
DE COSTO
DEL SALDO]])</f>
        <v>43620624.631524369</v>
      </c>
      <c r="AF45" s="132"/>
      <c r="AG45" s="132">
        <f>+CATEGORIAS[[#This Row],[PRESUPUESTO
FINAL
PROYECTADO]]-CATEGORIAS[[#This Row],[COSTO REAL]]-CATEGORIAS[[#This Row],[PROYECCION
TOTAL DE COSTO]]</f>
        <v>0</v>
      </c>
    </row>
    <row r="46" spans="1:33" x14ac:dyDescent="0.25">
      <c r="A46" s="274" t="str">
        <f>+IFERROR(VLOOKUP(CATEGORIAS[[#This Row],[CATEGORIA2]],[1]HOMOLOGACION!$A$1:$I$571,9,FALSE),0)</f>
        <v>1Y06</v>
      </c>
      <c r="B46" s="274" t="str">
        <f>+IFERROR(VLOOKUP(CATEGORIAS[[#This Row],[CATEGORIA2]],[1]HOMOLOGACION!$A$1:$C$571,3,FALSE),0)</f>
        <v>1F06</v>
      </c>
      <c r="C46" s="274" t="str">
        <f>+IFERROR(VLOOKUP(CATEGORIAS[[#This Row],[CATEGORIA2]],[1]HOMOLOGACION!$A$1:$D$571,4,FALSE),0)</f>
        <v xml:space="preserve">Administración </v>
      </c>
      <c r="D46" s="144" t="s">
        <v>1765</v>
      </c>
      <c r="E46" s="273" t="s">
        <v>432</v>
      </c>
      <c r="F46" s="275" t="s">
        <v>364</v>
      </c>
      <c r="G46" s="313">
        <v>50846869.032810956</v>
      </c>
      <c r="H46" s="313">
        <v>50846869.032810956</v>
      </c>
      <c r="I46" s="130">
        <v>5384284.5</v>
      </c>
      <c r="J46" s="130"/>
      <c r="K46" s="130"/>
      <c r="L46" s="143">
        <f>CATEGORIAS[[#This Row],[ADICIONALES]]+CATEGORIAS[[#This Row],[POM]]</f>
        <v>56231153.532810956</v>
      </c>
      <c r="M46" s="131">
        <v>23747097.663665172</v>
      </c>
      <c r="N46" s="227">
        <v>0</v>
      </c>
      <c r="O46" s="296">
        <f>CATEGORIAS[[#This Row],[PRODUCCION
PARTIDAS
ORIGINALES
ACTUAL]]+CATEGORIAS[[#This Row],[PRODUCCION
ADICIONALES
ACTUAL]]</f>
        <v>23747097.663665172</v>
      </c>
      <c r="P46" s="227">
        <v>16208230.66976998</v>
      </c>
      <c r="Q46" s="227">
        <v>0</v>
      </c>
      <c r="R46" s="297">
        <f>CATEGORIAS[[#This Row],[PRODUCCION
ANTERIOR]]+CATEGORIAS[[#This Row],[PRODUCCION
ADICIONALES
ANTERIOR]]</f>
        <v>16208230.66976998</v>
      </c>
      <c r="S46" s="133">
        <v>22187498</v>
      </c>
      <c r="T46" s="133"/>
      <c r="U46" s="133">
        <v>2752610.5651105647</v>
      </c>
      <c r="V46" s="296">
        <f>SUM(CATEGORIAS[[#This Row],[COSTO
ACUMULADO  AX]:[PROVISIONES]])</f>
        <v>24940108.565110564</v>
      </c>
      <c r="W46" s="298">
        <v>16289686</v>
      </c>
      <c r="X46" s="227"/>
      <c r="Y46" s="227">
        <v>1698914.8239148241</v>
      </c>
      <c r="Z46" s="297">
        <f>SUM(CATEGORIAS[[#This Row],[COSTO ACUMULADO
ANTERIOR]:[PROVISIONES
ANTERIOR]])</f>
        <v>17988600.823914826</v>
      </c>
      <c r="AA46" s="139">
        <f>CATEGORIAS[[#This Row],[PRESUPUESTO
FINAL
PROYECTADO]]-CATEGORIAS[[#This Row],[TOTAL PRODUCCION
ACTUAL]]</f>
        <v>32484055.869145785</v>
      </c>
      <c r="AB46" s="227">
        <v>0</v>
      </c>
      <c r="AC46" s="132"/>
      <c r="AD46" s="132">
        <v>31291044.967700392</v>
      </c>
      <c r="AE46" s="226">
        <f>SUM(CATEGORIAS[[#This Row],[INVENTARIO]:[PROYECCION
DE COSTO
DEL SALDO]])</f>
        <v>31291044.967700392</v>
      </c>
      <c r="AF46" s="132"/>
      <c r="AG46" s="132">
        <f>+CATEGORIAS[[#This Row],[PRESUPUESTO
FINAL
PROYECTADO]]-CATEGORIAS[[#This Row],[COSTO REAL]]-CATEGORIAS[[#This Row],[PROYECCION
TOTAL DE COSTO]]</f>
        <v>0</v>
      </c>
    </row>
    <row r="47" spans="1:33" x14ac:dyDescent="0.25">
      <c r="A47" s="274" t="str">
        <f>+IFERROR(VLOOKUP(CATEGORIAS[[#This Row],[CATEGORIA2]],[1]HOMOLOGACION!$A$1:$I$571,9,FALSE),0)</f>
        <v>1Y04</v>
      </c>
      <c r="B47" s="274" t="str">
        <f>+IFERROR(VLOOKUP(CATEGORIAS[[#This Row],[CATEGORIA2]],[1]HOMOLOGACION!$A$1:$C$571,3,FALSE),0)</f>
        <v>1F04</v>
      </c>
      <c r="C47" s="274" t="str">
        <f>+IFERROR(VLOOKUP(CATEGORIAS[[#This Row],[CATEGORIA2]],[1]HOMOLOGACION!$A$1:$D$571,4,FALSE),0)</f>
        <v>Prevención de Riesgos</v>
      </c>
      <c r="D47" s="144" t="s">
        <v>1766</v>
      </c>
      <c r="E47" s="275" t="s">
        <v>434</v>
      </c>
      <c r="F47" s="275" t="s">
        <v>364</v>
      </c>
      <c r="G47" s="313">
        <v>141429555.02720675</v>
      </c>
      <c r="H47" s="313">
        <v>141429555.02720675</v>
      </c>
      <c r="I47" s="130">
        <v>6026317.5</v>
      </c>
      <c r="J47" s="130"/>
      <c r="K47" s="130"/>
      <c r="L47" s="143">
        <f>CATEGORIAS[[#This Row],[ADICIONALES]]+CATEGORIAS[[#This Row],[POM]]</f>
        <v>147455872.52720675</v>
      </c>
      <c r="M47" s="131">
        <v>66052079.894881114</v>
      </c>
      <c r="N47" s="227">
        <v>0</v>
      </c>
      <c r="O47" s="296">
        <f>CATEGORIAS[[#This Row],[PRODUCCION
PARTIDAS
ORIGINALES
ACTUAL]]+CATEGORIAS[[#This Row],[PRODUCCION
ADICIONALES
ACTUAL]]</f>
        <v>66052079.894881114</v>
      </c>
      <c r="P47" s="227">
        <v>45082871.276197582</v>
      </c>
      <c r="Q47" s="227">
        <v>0</v>
      </c>
      <c r="R47" s="297">
        <f>CATEGORIAS[[#This Row],[PRODUCCION
ANTERIOR]]+CATEGORIAS[[#This Row],[PRODUCCION
ADICIONALES
ANTERIOR]]</f>
        <v>45082871.276197582</v>
      </c>
      <c r="S47" s="133">
        <v>54964509</v>
      </c>
      <c r="T47" s="227"/>
      <c r="U47" s="133">
        <v>6668714.1687141694</v>
      </c>
      <c r="V47" s="296">
        <f>SUM(CATEGORIAS[[#This Row],[COSTO
ACUMULADO  AX]:[PROVISIONES]])</f>
        <v>61633223.168714166</v>
      </c>
      <c r="W47" s="298">
        <v>34014097</v>
      </c>
      <c r="X47" s="227"/>
      <c r="Y47" s="227">
        <v>3065110.5651105652</v>
      </c>
      <c r="Z47" s="297">
        <f>SUM(CATEGORIAS[[#This Row],[COSTO ACUMULADO
ANTERIOR]:[PROVISIONES
ANTERIOR]])</f>
        <v>37079207.565110564</v>
      </c>
      <c r="AA47" s="139">
        <f>CATEGORIAS[[#This Row],[PRESUPUESTO
FINAL
PROYECTADO]]-CATEGORIAS[[#This Row],[TOTAL PRODUCCION
ACTUAL]]</f>
        <v>81403792.632325634</v>
      </c>
      <c r="AB47" s="227">
        <v>0</v>
      </c>
      <c r="AC47" s="132"/>
      <c r="AD47" s="132">
        <v>85822649.358492583</v>
      </c>
      <c r="AE47" s="226">
        <f>SUM(CATEGORIAS[[#This Row],[INVENTARIO]:[PROYECCION
DE COSTO
DEL SALDO]])</f>
        <v>85822649.358492583</v>
      </c>
      <c r="AF47" s="132"/>
      <c r="AG47" s="132">
        <f>+CATEGORIAS[[#This Row],[PRESUPUESTO
FINAL
PROYECTADO]]-CATEGORIAS[[#This Row],[COSTO REAL]]-CATEGORIAS[[#This Row],[PROYECCION
TOTAL DE COSTO]]</f>
        <v>0</v>
      </c>
    </row>
    <row r="48" spans="1:33" x14ac:dyDescent="0.25">
      <c r="A48" s="274" t="str">
        <f>+IFERROR(VLOOKUP(CATEGORIAS[[#This Row],[CATEGORIA2]],[1]HOMOLOGACION!$A$1:$I$571,9,FALSE),0)</f>
        <v>1Y05</v>
      </c>
      <c r="B48" s="274" t="str">
        <f>+IFERROR(VLOOKUP(CATEGORIAS[[#This Row],[CATEGORIA2]],[1]HOMOLOGACION!$A$1:$C$571,3,FALSE),0)</f>
        <v>1F05</v>
      </c>
      <c r="C48" s="274" t="str">
        <f>+IFERROR(VLOOKUP(CATEGORIAS[[#This Row],[CATEGORIA2]],[1]HOMOLOGACION!$A$1:$D$571,4,FALSE),0)</f>
        <v xml:space="preserve">Control De Calidad </v>
      </c>
      <c r="D48" s="144" t="s">
        <v>1767</v>
      </c>
      <c r="E48" s="273" t="s">
        <v>436</v>
      </c>
      <c r="F48" s="275" t="s">
        <v>364</v>
      </c>
      <c r="G48" s="313">
        <v>62286053.993973345</v>
      </c>
      <c r="H48" s="313">
        <v>62286053.993973345</v>
      </c>
      <c r="I48" s="130">
        <v>5384284.5</v>
      </c>
      <c r="J48" s="130"/>
      <c r="K48" s="130"/>
      <c r="L48" s="143">
        <f>CATEGORIAS[[#This Row],[ADICIONALES]]+CATEGORIAS[[#This Row],[POM]]</f>
        <v>67670338.493973345</v>
      </c>
      <c r="M48" s="131">
        <v>29089559.208154012</v>
      </c>
      <c r="N48" s="227">
        <v>0</v>
      </c>
      <c r="O48" s="296">
        <f>CATEGORIAS[[#This Row],[PRODUCCION
PARTIDAS
ORIGINALES
ACTUAL]]+CATEGORIAS[[#This Row],[PRODUCCION
ADICIONALES
ACTUAL]]</f>
        <v>29089559.208154012</v>
      </c>
      <c r="P48" s="227">
        <v>19854648.86722165</v>
      </c>
      <c r="Q48" s="227">
        <v>0</v>
      </c>
      <c r="R48" s="297">
        <f>CATEGORIAS[[#This Row],[PRODUCCION
ANTERIOR]]+CATEGORIAS[[#This Row],[PRODUCCION
ADICIONALES
ANTERIOR]]</f>
        <v>19854648.86722165</v>
      </c>
      <c r="S48" s="133">
        <v>24141241</v>
      </c>
      <c r="T48" s="133"/>
      <c r="U48" s="133">
        <v>2792792.7927927929</v>
      </c>
      <c r="V48" s="296">
        <f>SUM(CATEGORIAS[[#This Row],[COSTO
ACUMULADO  AX]:[PROVISIONES]])</f>
        <v>26934033.792792793</v>
      </c>
      <c r="W48" s="298">
        <v>16622874</v>
      </c>
      <c r="X48" s="227"/>
      <c r="Y48" s="227">
        <v>1497747.7477477479</v>
      </c>
      <c r="Z48" s="297">
        <f>SUM(CATEGORIAS[[#This Row],[COSTO ACUMULADO
ANTERIOR]:[PROVISIONES
ANTERIOR]])</f>
        <v>18120621.747747749</v>
      </c>
      <c r="AA48" s="139">
        <f>CATEGORIAS[[#This Row],[PRESUPUESTO
FINAL
PROYECTADO]]-CATEGORIAS[[#This Row],[TOTAL PRODUCCION
ACTUAL]]</f>
        <v>38580779.285819337</v>
      </c>
      <c r="AB48" s="227">
        <v>0</v>
      </c>
      <c r="AC48" s="132"/>
      <c r="AD48" s="132">
        <v>40736304.701180547</v>
      </c>
      <c r="AE48" s="226">
        <f>SUM(CATEGORIAS[[#This Row],[INVENTARIO]:[PROYECCION
DE COSTO
DEL SALDO]])</f>
        <v>40736304.701180547</v>
      </c>
      <c r="AF48" s="132"/>
      <c r="AG48" s="132">
        <f>+CATEGORIAS[[#This Row],[PRESUPUESTO
FINAL
PROYECTADO]]-CATEGORIAS[[#This Row],[COSTO REAL]]-CATEGORIAS[[#This Row],[PROYECCION
TOTAL DE COSTO]]</f>
        <v>0</v>
      </c>
    </row>
    <row r="49" spans="1:34" x14ac:dyDescent="0.25">
      <c r="A49" s="274" t="str">
        <f>+IFERROR(VLOOKUP(CATEGORIAS[[#This Row],[CATEGORIA2]],[1]HOMOLOGACION!$A$1:$I$571,9,FALSE),0)</f>
        <v>1Y07</v>
      </c>
      <c r="B49" s="274" t="str">
        <f>+IFERROR(VLOOKUP(CATEGORIAS[[#This Row],[CATEGORIA2]],[1]HOMOLOGACION!$A$1:$C$571,3,FALSE),0)</f>
        <v>1F07</v>
      </c>
      <c r="C49" s="274" t="str">
        <f>+IFERROR(VLOOKUP(CATEGORIAS[[#This Row],[CATEGORIA2]],[1]HOMOLOGACION!$A$1:$D$571,4,FALSE),0)</f>
        <v xml:space="preserve">Servicios </v>
      </c>
      <c r="D49" s="144" t="s">
        <v>1768</v>
      </c>
      <c r="E49" s="275" t="s">
        <v>438</v>
      </c>
      <c r="F49" s="275" t="s">
        <v>364</v>
      </c>
      <c r="G49" s="313">
        <v>102860837.03514537</v>
      </c>
      <c r="H49" s="313">
        <v>102860837.03514537</v>
      </c>
      <c r="I49" s="130">
        <v>5384284.5</v>
      </c>
      <c r="J49" s="130"/>
      <c r="K49" s="130"/>
      <c r="L49" s="143">
        <f>CATEGORIAS[[#This Row],[ADICIONALES]]+CATEGORIAS[[#This Row],[POM]]</f>
        <v>108245121.53514537</v>
      </c>
      <c r="M49" s="131">
        <v>48039267.496760331</v>
      </c>
      <c r="N49" s="227">
        <v>0</v>
      </c>
      <c r="O49" s="296">
        <f>CATEGORIAS[[#This Row],[PRODUCCION
PARTIDAS
ORIGINALES
ACTUAL]]+CATEGORIAS[[#This Row],[PRODUCCION
ADICIONALES
ACTUAL]]</f>
        <v>48039267.496760331</v>
      </c>
      <c r="P49" s="227">
        <v>32788492.295866504</v>
      </c>
      <c r="Q49" s="227">
        <v>0</v>
      </c>
      <c r="R49" s="297">
        <f>CATEGORIAS[[#This Row],[PRODUCCION
ANTERIOR]]+CATEGORIAS[[#This Row],[PRODUCCION
ADICIONALES
ANTERIOR]]</f>
        <v>32788492.295866504</v>
      </c>
      <c r="S49" s="133">
        <v>98070627.066666663</v>
      </c>
      <c r="T49" s="227">
        <v>254488</v>
      </c>
      <c r="U49" s="133">
        <v>11301392.301392302</v>
      </c>
      <c r="V49" s="296">
        <f>SUM(CATEGORIAS[[#This Row],[COSTO
ACUMULADO  AX]:[PROVISIONES]])</f>
        <v>109626507.36805896</v>
      </c>
      <c r="W49" s="298">
        <v>67764198.066666663</v>
      </c>
      <c r="X49" s="227">
        <v>139335</v>
      </c>
      <c r="Y49" s="227">
        <v>6414004.9140049154</v>
      </c>
      <c r="Z49" s="297">
        <f>SUM(CATEGORIAS[[#This Row],[COSTO ACUMULADO
ANTERIOR]:[PROVISIONES
ANTERIOR]])</f>
        <v>74317537.980671585</v>
      </c>
      <c r="AA49" s="139">
        <f>CATEGORIAS[[#This Row],[PRESUPUESTO
FINAL
PROYECTADO]]-CATEGORIAS[[#This Row],[TOTAL PRODUCCION
ACTUAL]]</f>
        <v>60205854.038385041</v>
      </c>
      <c r="AB49" s="227">
        <v>0</v>
      </c>
      <c r="AC49" s="132"/>
      <c r="AD49" s="132">
        <v>-1381385.8329135925</v>
      </c>
      <c r="AE49" s="226">
        <f>SUM(CATEGORIAS[[#This Row],[INVENTARIO]:[PROYECCION
DE COSTO
DEL SALDO]])</f>
        <v>-1381385.8329135925</v>
      </c>
      <c r="AF49" s="132"/>
      <c r="AG49" s="132">
        <f>+CATEGORIAS[[#This Row],[PRESUPUESTO
FINAL
PROYECTADO]]-CATEGORIAS[[#This Row],[COSTO REAL]]-CATEGORIAS[[#This Row],[PROYECCION
TOTAL DE COSTO]]</f>
        <v>0</v>
      </c>
    </row>
    <row r="50" spans="1:34" x14ac:dyDescent="0.25">
      <c r="A50" s="274" t="str">
        <f>+IFERROR(VLOOKUP(CATEGORIAS[[#This Row],[CATEGORIA2]],[1]HOMOLOGACION!$A$1:$I$571,9,FALSE),0)</f>
        <v>1Y08</v>
      </c>
      <c r="B50" s="274" t="str">
        <f>+IFERROR(VLOOKUP(CATEGORIAS[[#This Row],[CATEGORIA2]],[1]HOMOLOGACION!$A$1:$C$571,3,FALSE),0)</f>
        <v>1F08</v>
      </c>
      <c r="C50" s="274" t="str">
        <f>+IFERROR(VLOOKUP(CATEGORIAS[[#This Row],[CATEGORIA2]],[1]HOMOLOGACION!$A$1:$D$571,4,FALSE),0)</f>
        <v>Topografia</v>
      </c>
      <c r="D50" s="144" t="s">
        <v>1769</v>
      </c>
      <c r="E50" s="275" t="s">
        <v>460</v>
      </c>
      <c r="F50" s="275" t="s">
        <v>364</v>
      </c>
      <c r="G50" s="313">
        <v>47989913.093136542</v>
      </c>
      <c r="H50" s="313">
        <v>47989913.093136542</v>
      </c>
      <c r="I50" s="130">
        <v>0</v>
      </c>
      <c r="J50" s="130"/>
      <c r="K50" s="130"/>
      <c r="L50" s="143">
        <f>CATEGORIAS[[#This Row],[ADICIONALES]]+CATEGORIAS[[#This Row],[POM]]</f>
        <v>47989913.093136542</v>
      </c>
      <c r="M50" s="131">
        <v>22412808.787855387</v>
      </c>
      <c r="N50" s="227">
        <v>0</v>
      </c>
      <c r="O50" s="296">
        <f>CATEGORIAS[[#This Row],[PRODUCCION
PARTIDAS
ORIGINALES
ACTUAL]]+CATEGORIAS[[#This Row],[PRODUCCION
ADICIONALES
ACTUAL]]</f>
        <v>22412808.787855387</v>
      </c>
      <c r="P50" s="227">
        <v>15297531.510422893</v>
      </c>
      <c r="Q50" s="227">
        <v>0</v>
      </c>
      <c r="R50" s="297">
        <f>CATEGORIAS[[#This Row],[PRODUCCION
ANTERIOR]]+CATEGORIAS[[#This Row],[PRODUCCION
ADICIONALES
ANTERIOR]]</f>
        <v>15297531.510422893</v>
      </c>
      <c r="S50" s="133">
        <v>28154823</v>
      </c>
      <c r="T50" s="133"/>
      <c r="U50" s="133">
        <v>3235002.0475020478</v>
      </c>
      <c r="V50" s="296">
        <f>SUM(CATEGORIAS[[#This Row],[COSTO
ACUMULADO  AX]:[PROVISIONES]])</f>
        <v>31389825.047502048</v>
      </c>
      <c r="W50" s="298">
        <v>19050300</v>
      </c>
      <c r="X50" s="227"/>
      <c r="Y50" s="227">
        <v>1704596.6420966422</v>
      </c>
      <c r="Z50" s="297">
        <f>SUM(CATEGORIAS[[#This Row],[COSTO ACUMULADO
ANTERIOR]:[PROVISIONES
ANTERIOR]])</f>
        <v>20754896.642096642</v>
      </c>
      <c r="AA50" s="139">
        <f>CATEGORIAS[[#This Row],[PRESUPUESTO
FINAL
PROYECTADO]]-CATEGORIAS[[#This Row],[TOTAL PRODUCCION
ACTUAL]]</f>
        <v>25577104.305281155</v>
      </c>
      <c r="AB50" s="227">
        <v>0</v>
      </c>
      <c r="AC50" s="132"/>
      <c r="AD50" s="132">
        <v>16600088.045634493</v>
      </c>
      <c r="AE50" s="226">
        <f>SUM(CATEGORIAS[[#This Row],[INVENTARIO]:[PROYECCION
DE COSTO
DEL SALDO]])</f>
        <v>16600088.045634493</v>
      </c>
      <c r="AF50" s="132"/>
      <c r="AG50" s="132">
        <f>+CATEGORIAS[[#This Row],[PRESUPUESTO
FINAL
PROYECTADO]]-CATEGORIAS[[#This Row],[COSTO REAL]]-CATEGORIAS[[#This Row],[PROYECCION
TOTAL DE COSTO]]</f>
        <v>0</v>
      </c>
    </row>
    <row r="51" spans="1:34" x14ac:dyDescent="0.25">
      <c r="A51" s="274" t="str">
        <f>+IFERROR(VLOOKUP(CATEGORIAS[[#This Row],[CATEGORIA2]],[1]HOMOLOGACION!$A$1:$I$571,9,FALSE),0)</f>
        <v>1Y11</v>
      </c>
      <c r="B51" s="274" t="str">
        <f>+IFERROR(VLOOKUP(CATEGORIAS[[#This Row],[CATEGORIA2]],[1]HOMOLOGACION!$A$1:$C$571,3,FALSE),0)</f>
        <v>1F12</v>
      </c>
      <c r="C51" s="274" t="str">
        <f>+IFERROR(VLOOKUP(CATEGORIAS[[#This Row],[CATEGORIA2]],[1]HOMOLOGACION!$A$1:$D$571,4,FALSE),0)</f>
        <v>Provisiones</v>
      </c>
      <c r="D51" s="144" t="s">
        <v>1770</v>
      </c>
      <c r="E51" s="273" t="s">
        <v>462</v>
      </c>
      <c r="F51" s="275" t="s">
        <v>361</v>
      </c>
      <c r="G51" s="313">
        <v>0</v>
      </c>
      <c r="H51" s="313">
        <v>0</v>
      </c>
      <c r="I51" s="130">
        <v>0</v>
      </c>
      <c r="J51" s="130"/>
      <c r="K51" s="130"/>
      <c r="L51" s="143">
        <f>CATEGORIAS[[#This Row],[ADICIONALES]]+CATEGORIAS[[#This Row],[POM]]</f>
        <v>0</v>
      </c>
      <c r="M51" s="131">
        <v>0</v>
      </c>
      <c r="N51" s="227">
        <v>0</v>
      </c>
      <c r="O51" s="296">
        <f>CATEGORIAS[[#This Row],[PRODUCCION
PARTIDAS
ORIGINALES
ACTUAL]]+CATEGORIAS[[#This Row],[PRODUCCION
ADICIONALES
ACTUAL]]</f>
        <v>0</v>
      </c>
      <c r="P51" s="227">
        <v>0</v>
      </c>
      <c r="Q51" s="227">
        <v>0</v>
      </c>
      <c r="R51" s="297">
        <f>CATEGORIAS[[#This Row],[PRODUCCION
ANTERIOR]]+CATEGORIAS[[#This Row],[PRODUCCION
ADICIONALES
ANTERIOR]]</f>
        <v>0</v>
      </c>
      <c r="S51" s="133">
        <v>4480242</v>
      </c>
      <c r="T51" s="133">
        <v>-4480242</v>
      </c>
      <c r="U51" s="133"/>
      <c r="V51" s="296">
        <f>SUM(CATEGORIAS[[#This Row],[COSTO
ACUMULADO  AX]:[PROVISIONES]])</f>
        <v>0</v>
      </c>
      <c r="W51" s="298">
        <v>3497493</v>
      </c>
      <c r="X51" s="227">
        <v>-3497493</v>
      </c>
      <c r="Y51" s="227"/>
      <c r="Z51" s="297">
        <f>SUM(CATEGORIAS[[#This Row],[COSTO ACUMULADO
ANTERIOR]:[PROVISIONES
ANTERIOR]])</f>
        <v>0</v>
      </c>
      <c r="AA51" s="139">
        <f>CATEGORIAS[[#This Row],[PRESUPUESTO
FINAL
PROYECTADO]]-CATEGORIAS[[#This Row],[TOTAL PRODUCCION
ACTUAL]]</f>
        <v>0</v>
      </c>
      <c r="AB51" s="227">
        <v>0</v>
      </c>
      <c r="AC51" s="132"/>
      <c r="AD51" s="132"/>
      <c r="AE51" s="226">
        <f>SUM(CATEGORIAS[[#This Row],[INVENTARIO]:[PROYECCION
DE COSTO
DEL SALDO]])</f>
        <v>0</v>
      </c>
      <c r="AF51" s="132"/>
      <c r="AG51" s="132">
        <f>+CATEGORIAS[[#This Row],[PRESUPUESTO
FINAL
PROYECTADO]]-CATEGORIAS[[#This Row],[COSTO REAL]]-CATEGORIAS[[#This Row],[PROYECCION
TOTAL DE COSTO]]</f>
        <v>0</v>
      </c>
    </row>
    <row r="52" spans="1:34" x14ac:dyDescent="0.25">
      <c r="A52" s="274" t="str">
        <f>+IFERROR(VLOOKUP(CATEGORIAS[[#This Row],[CATEGORIA2]],[1]HOMOLOGACION!$A$1:$I$571,9,FALSE),0)</f>
        <v>1Y11</v>
      </c>
      <c r="B52" s="274" t="str">
        <f>+IFERROR(VLOOKUP(CATEGORIAS[[#This Row],[CATEGORIA2]],[1]HOMOLOGACION!$A$1:$C$571,3,FALSE),0)</f>
        <v>1F12</v>
      </c>
      <c r="C52" s="274" t="str">
        <f>+IFERROR(VLOOKUP(CATEGORIAS[[#This Row],[CATEGORIA2]],[1]HOMOLOGACION!$A$1:$D$571,4,FALSE),0)</f>
        <v>Provisiones</v>
      </c>
      <c r="D52" s="144" t="s">
        <v>1771</v>
      </c>
      <c r="E52" s="273" t="s">
        <v>464</v>
      </c>
      <c r="F52" s="275" t="s">
        <v>361</v>
      </c>
      <c r="G52" s="313">
        <v>0</v>
      </c>
      <c r="H52" s="313">
        <v>0</v>
      </c>
      <c r="I52" s="130">
        <v>0</v>
      </c>
      <c r="J52" s="130"/>
      <c r="K52" s="130"/>
      <c r="L52" s="143">
        <f>CATEGORIAS[[#This Row],[ADICIONALES]]+CATEGORIAS[[#This Row],[POM]]</f>
        <v>0</v>
      </c>
      <c r="M52" s="131">
        <v>0</v>
      </c>
      <c r="N52" s="227">
        <v>0</v>
      </c>
      <c r="O52" s="296">
        <f>CATEGORIAS[[#This Row],[PRODUCCION
PARTIDAS
ORIGINALES
ACTUAL]]+CATEGORIAS[[#This Row],[PRODUCCION
ADICIONALES
ACTUAL]]</f>
        <v>0</v>
      </c>
      <c r="P52" s="227">
        <v>0</v>
      </c>
      <c r="Q52" s="132">
        <v>0</v>
      </c>
      <c r="R52" s="297">
        <f>CATEGORIAS[[#This Row],[PRODUCCION
ANTERIOR]]+CATEGORIAS[[#This Row],[PRODUCCION
ADICIONALES
ANTERIOR]]</f>
        <v>0</v>
      </c>
      <c r="S52" s="133">
        <v>0</v>
      </c>
      <c r="T52" s="133"/>
      <c r="U52" s="133"/>
      <c r="V52" s="296">
        <f>SUM(CATEGORIAS[[#This Row],[COSTO
ACUMULADO  AX]:[PROVISIONES]])</f>
        <v>0</v>
      </c>
      <c r="W52" s="298">
        <v>0</v>
      </c>
      <c r="X52" s="227"/>
      <c r="Y52" s="227"/>
      <c r="Z52" s="297">
        <f>SUM(CATEGORIAS[[#This Row],[COSTO ACUMULADO
ANTERIOR]:[PROVISIONES
ANTERIOR]])</f>
        <v>0</v>
      </c>
      <c r="AA52" s="139">
        <f>CATEGORIAS[[#This Row],[PRESUPUESTO
FINAL
PROYECTADO]]-CATEGORIAS[[#This Row],[TOTAL PRODUCCION
ACTUAL]]</f>
        <v>0</v>
      </c>
      <c r="AB52" s="227">
        <v>0</v>
      </c>
      <c r="AC52" s="132"/>
      <c r="AD52" s="132"/>
      <c r="AE52" s="226">
        <f>SUM(CATEGORIAS[[#This Row],[INVENTARIO]:[PROYECCION
DE COSTO
DEL SALDO]])</f>
        <v>0</v>
      </c>
      <c r="AF52" s="132"/>
      <c r="AG52" s="132">
        <f>+CATEGORIAS[[#This Row],[PRESUPUESTO
FINAL
PROYECTADO]]-CATEGORIAS[[#This Row],[COSTO REAL]]-CATEGORIAS[[#This Row],[PROYECCION
TOTAL DE COSTO]]</f>
        <v>0</v>
      </c>
    </row>
    <row r="53" spans="1:34" x14ac:dyDescent="0.25">
      <c r="A53" s="274" t="str">
        <f>+IFERROR(VLOOKUP(CATEGORIAS[[#This Row],[CATEGORIA2]],[1]HOMOLOGACION!$A$1:$I$571,9,FALSE),0)</f>
        <v>1Y11</v>
      </c>
      <c r="B53" s="274" t="str">
        <f>+IFERROR(VLOOKUP(CATEGORIAS[[#This Row],[CATEGORIA2]],[1]HOMOLOGACION!$A$1:$C$571,3,FALSE),0)</f>
        <v>1F13</v>
      </c>
      <c r="C53" s="274" t="str">
        <f>+IFERROR(VLOOKUP(CATEGORIAS[[#This Row],[CATEGORIA2]],[1]HOMOLOGACION!$A$1:$D$571,4,FALSE),0)</f>
        <v>Otros</v>
      </c>
      <c r="D53" s="144" t="s">
        <v>2283</v>
      </c>
      <c r="E53" s="273" t="s">
        <v>2284</v>
      </c>
      <c r="F53" s="275" t="s">
        <v>361</v>
      </c>
      <c r="G53" s="313">
        <v>0</v>
      </c>
      <c r="H53" s="313">
        <v>0</v>
      </c>
      <c r="I53" s="130">
        <v>0</v>
      </c>
      <c r="J53" s="130"/>
      <c r="K53" s="130"/>
      <c r="L53" s="143">
        <f>CATEGORIAS[[#This Row],[ADICIONALES]]+CATEGORIAS[[#This Row],[POM]]</f>
        <v>0</v>
      </c>
      <c r="M53" s="131">
        <v>0</v>
      </c>
      <c r="N53" s="227">
        <v>0</v>
      </c>
      <c r="O53" s="296">
        <f>CATEGORIAS[[#This Row],[PRODUCCION
PARTIDAS
ORIGINALES
ACTUAL]]+CATEGORIAS[[#This Row],[PRODUCCION
ADICIONALES
ACTUAL]]</f>
        <v>0</v>
      </c>
      <c r="P53" s="227">
        <v>0</v>
      </c>
      <c r="Q53" s="227">
        <v>0</v>
      </c>
      <c r="R53" s="297">
        <f>CATEGORIAS[[#This Row],[PRODUCCION
ANTERIOR]]+CATEGORIAS[[#This Row],[PRODUCCION
ADICIONALES
ANTERIOR]]</f>
        <v>0</v>
      </c>
      <c r="S53" s="133">
        <v>0</v>
      </c>
      <c r="T53" s="133"/>
      <c r="U53" s="133"/>
      <c r="V53" s="296">
        <f>SUM(CATEGORIAS[[#This Row],[COSTO
ACUMULADO  AX]:[PROVISIONES]])</f>
        <v>0</v>
      </c>
      <c r="W53" s="298">
        <v>0</v>
      </c>
      <c r="X53" s="227"/>
      <c r="Y53" s="227"/>
      <c r="Z53" s="297">
        <f>SUM(CATEGORIAS[[#This Row],[COSTO ACUMULADO
ANTERIOR]:[PROVISIONES
ANTERIOR]])</f>
        <v>0</v>
      </c>
      <c r="AA53" s="139">
        <f>CATEGORIAS[[#This Row],[PRESUPUESTO
FINAL
PROYECTADO]]-CATEGORIAS[[#This Row],[TOTAL PRODUCCION
ACTUAL]]</f>
        <v>0</v>
      </c>
      <c r="AB53" s="227">
        <v>0</v>
      </c>
      <c r="AC53" s="132"/>
      <c r="AD53" s="132"/>
      <c r="AE53" s="226">
        <f>SUM(CATEGORIAS[[#This Row],[INVENTARIO]:[PROYECCION
DE COSTO
DEL SALDO]])</f>
        <v>0</v>
      </c>
      <c r="AF53" s="132"/>
      <c r="AG53" s="132">
        <f>+CATEGORIAS[[#This Row],[PRESUPUESTO
FINAL
PROYECTADO]]-CATEGORIAS[[#This Row],[COSTO REAL]]-CATEGORIAS[[#This Row],[PROYECCION
TOTAL DE COSTO]]</f>
        <v>0</v>
      </c>
    </row>
    <row r="54" spans="1:34" x14ac:dyDescent="0.25">
      <c r="A54" s="274" t="str">
        <f>+IFERROR(VLOOKUP(CATEGORIAS[[#This Row],[CATEGORIA2]],[1]HOMOLOGACION!$A$1:$I$571,9,FALSE),0)</f>
        <v>1Y11</v>
      </c>
      <c r="B54" s="274" t="str">
        <f>+IFERROR(VLOOKUP(CATEGORIAS[[#This Row],[CATEGORIA2]],[1]HOMOLOGACION!$A$1:$C$571,3,FALSE),0)</f>
        <v>1F13</v>
      </c>
      <c r="C54" s="274" t="str">
        <f>+IFERROR(VLOOKUP(CATEGORIAS[[#This Row],[CATEGORIA2]],[1]HOMOLOGACION!$A$1:$D$571,4,FALSE),0)</f>
        <v>Otros</v>
      </c>
      <c r="D54" s="144" t="s">
        <v>1772</v>
      </c>
      <c r="E54" s="273" t="s">
        <v>1773</v>
      </c>
      <c r="F54" s="275" t="s">
        <v>361</v>
      </c>
      <c r="G54" s="313">
        <v>0</v>
      </c>
      <c r="H54" s="313">
        <v>0</v>
      </c>
      <c r="I54" s="130">
        <v>0</v>
      </c>
      <c r="J54" s="130"/>
      <c r="K54" s="130"/>
      <c r="L54" s="143">
        <f>CATEGORIAS[[#This Row],[ADICIONALES]]+CATEGORIAS[[#This Row],[POM]]</f>
        <v>0</v>
      </c>
      <c r="M54" s="131">
        <v>0</v>
      </c>
      <c r="N54" s="227">
        <v>0</v>
      </c>
      <c r="O54" s="296">
        <f>CATEGORIAS[[#This Row],[PRODUCCION
PARTIDAS
ORIGINALES
ACTUAL]]+CATEGORIAS[[#This Row],[PRODUCCION
ADICIONALES
ACTUAL]]</f>
        <v>0</v>
      </c>
      <c r="P54" s="227">
        <v>0</v>
      </c>
      <c r="Q54" s="227">
        <v>0</v>
      </c>
      <c r="R54" s="297">
        <f>CATEGORIAS[[#This Row],[PRODUCCION
ANTERIOR]]+CATEGORIAS[[#This Row],[PRODUCCION
ADICIONALES
ANTERIOR]]</f>
        <v>0</v>
      </c>
      <c r="S54" s="133">
        <v>605804</v>
      </c>
      <c r="T54" s="133">
        <v>-605804</v>
      </c>
      <c r="U54" s="133"/>
      <c r="V54" s="296">
        <f>SUM(CATEGORIAS[[#This Row],[COSTO
ACUMULADO  AX]:[PROVISIONES]])</f>
        <v>0</v>
      </c>
      <c r="W54" s="298">
        <v>246571</v>
      </c>
      <c r="X54" s="227">
        <v>-246571</v>
      </c>
      <c r="Y54" s="227"/>
      <c r="Z54" s="297">
        <f>SUM(CATEGORIAS[[#This Row],[COSTO ACUMULADO
ANTERIOR]:[PROVISIONES
ANTERIOR]])</f>
        <v>0</v>
      </c>
      <c r="AA54" s="139">
        <f>CATEGORIAS[[#This Row],[PRESUPUESTO
FINAL
PROYECTADO]]-CATEGORIAS[[#This Row],[TOTAL PRODUCCION
ACTUAL]]</f>
        <v>0</v>
      </c>
      <c r="AB54" s="132">
        <v>0</v>
      </c>
      <c r="AC54" s="132"/>
      <c r="AD54" s="132"/>
      <c r="AE54" s="226">
        <f>SUM(CATEGORIAS[[#This Row],[INVENTARIO]:[PROYECCION
DE COSTO
DEL SALDO]])</f>
        <v>0</v>
      </c>
      <c r="AF54" s="132"/>
      <c r="AG54" s="132">
        <f>+CATEGORIAS[[#This Row],[PRESUPUESTO
FINAL
PROYECTADO]]-CATEGORIAS[[#This Row],[COSTO REAL]]-CATEGORIAS[[#This Row],[PROYECCION
TOTAL DE COSTO]]</f>
        <v>0</v>
      </c>
    </row>
    <row r="55" spans="1:34" x14ac:dyDescent="0.25">
      <c r="A55" s="274" t="str">
        <f>+IFERROR(VLOOKUP(CATEGORIAS[[#This Row],[CATEGORIA2]],[1]HOMOLOGACION!$A$1:$I$571,9,FALSE),0)</f>
        <v>0A02</v>
      </c>
      <c r="B55" s="274" t="str">
        <f>+IFERROR(VLOOKUP(CATEGORIAS[[#This Row],[CATEGORIA2]],[1]HOMOLOGACION!$A$1:$C$571,3,FALSE),0)</f>
        <v>0B01</v>
      </c>
      <c r="C55" s="274" t="str">
        <f>+IFERROR(VLOOKUP(CATEGORIAS[[#This Row],[CATEGORIA2]],[1]HOMOLOGACION!$A$1:$D$571,4,FALSE),0)</f>
        <v xml:space="preserve">Civil  </v>
      </c>
      <c r="D55" s="144" t="s">
        <v>1774</v>
      </c>
      <c r="E55" s="273" t="s">
        <v>271</v>
      </c>
      <c r="F55" s="275" t="s">
        <v>364</v>
      </c>
      <c r="G55" s="313">
        <v>12119810.5493</v>
      </c>
      <c r="H55" s="313">
        <v>12119810.5493</v>
      </c>
      <c r="I55" s="130">
        <v>8873088.8792100921</v>
      </c>
      <c r="J55" s="130"/>
      <c r="K55" s="130"/>
      <c r="L55" s="143">
        <f>CATEGORIAS[[#This Row],[ADICIONALES]]+CATEGORIAS[[#This Row],[POM]]</f>
        <v>20992899.428510092</v>
      </c>
      <c r="M55" s="131">
        <v>11511894.273800002</v>
      </c>
      <c r="N55" s="227">
        <v>0</v>
      </c>
      <c r="O55" s="296">
        <f>CATEGORIAS[[#This Row],[PRODUCCION
PARTIDAS
ORIGINALES
ACTUAL]]+CATEGORIAS[[#This Row],[PRODUCCION
ADICIONALES
ACTUAL]]</f>
        <v>11511894.273800002</v>
      </c>
      <c r="P55" s="227">
        <v>11335041.893300001</v>
      </c>
      <c r="Q55" s="132">
        <v>0</v>
      </c>
      <c r="R55" s="297">
        <f>CATEGORIAS[[#This Row],[PRODUCCION
ANTERIOR]]+CATEGORIAS[[#This Row],[PRODUCCION
ADICIONALES
ANTERIOR]]</f>
        <v>11335041.893300001</v>
      </c>
      <c r="S55" s="133">
        <v>10524004</v>
      </c>
      <c r="T55" s="227"/>
      <c r="U55" s="133"/>
      <c r="V55" s="296">
        <f>SUM(CATEGORIAS[[#This Row],[COSTO
ACUMULADO  AX]:[PROVISIONES]])</f>
        <v>10524004</v>
      </c>
      <c r="W55" s="298">
        <v>10189810</v>
      </c>
      <c r="X55" s="227"/>
      <c r="Y55" s="227"/>
      <c r="Z55" s="297">
        <f>SUM(CATEGORIAS[[#This Row],[COSTO ACUMULADO
ANTERIOR]:[PROVISIONES
ANTERIOR]])</f>
        <v>10189810</v>
      </c>
      <c r="AA55" s="139">
        <f>CATEGORIAS[[#This Row],[PRESUPUESTO
FINAL
PROYECTADO]]-CATEGORIAS[[#This Row],[TOTAL PRODUCCION
ACTUAL]]</f>
        <v>9481005.1547100898</v>
      </c>
      <c r="AB55" s="227">
        <v>0</v>
      </c>
      <c r="AC55" s="132"/>
      <c r="AD55" s="132">
        <v>10468895.428510092</v>
      </c>
      <c r="AE55" s="226">
        <f>SUM(CATEGORIAS[[#This Row],[INVENTARIO]:[PROYECCION
DE COSTO
DEL SALDO]])</f>
        <v>10468895.428510092</v>
      </c>
      <c r="AF55" s="132"/>
      <c r="AG55" s="132">
        <f>+CATEGORIAS[[#This Row],[PRESUPUESTO
FINAL
PROYECTADO]]-CATEGORIAS[[#This Row],[COSTO REAL]]-CATEGORIAS[[#This Row],[PROYECCION
TOTAL DE COSTO]]</f>
        <v>0</v>
      </c>
    </row>
    <row r="56" spans="1:34" x14ac:dyDescent="0.25">
      <c r="A56" s="274" t="str">
        <f>+IFERROR(VLOOKUP(CATEGORIAS[[#This Row],[CATEGORIA2]],[1]HOMOLOGACION!$A$1:$I$571,9,FALSE),0)</f>
        <v>0A02</v>
      </c>
      <c r="B56" s="274" t="str">
        <f>+IFERROR(VLOOKUP(CATEGORIAS[[#This Row],[CATEGORIA2]],[1]HOMOLOGACION!$A$1:$C$571,3,FALSE),0)</f>
        <v>0B01</v>
      </c>
      <c r="C56" s="274" t="str">
        <f>+IFERROR(VLOOKUP(CATEGORIAS[[#This Row],[CATEGORIA2]],[1]HOMOLOGACION!$A$1:$D$571,4,FALSE),0)</f>
        <v xml:space="preserve">Civil  </v>
      </c>
      <c r="D56" s="144" t="s">
        <v>1775</v>
      </c>
      <c r="E56" s="273" t="s">
        <v>467</v>
      </c>
      <c r="F56" s="275" t="s">
        <v>361</v>
      </c>
      <c r="G56" s="313">
        <v>0</v>
      </c>
      <c r="H56" s="313">
        <v>0</v>
      </c>
      <c r="I56" s="130">
        <v>0</v>
      </c>
      <c r="J56" s="130"/>
      <c r="K56" s="130"/>
      <c r="L56" s="143">
        <f>CATEGORIAS[[#This Row],[ADICIONALES]]+CATEGORIAS[[#This Row],[POM]]</f>
        <v>0</v>
      </c>
      <c r="M56" s="131">
        <v>0</v>
      </c>
      <c r="N56" s="227">
        <v>0</v>
      </c>
      <c r="O56" s="296">
        <f>CATEGORIAS[[#This Row],[PRODUCCION
PARTIDAS
ORIGINALES
ACTUAL]]+CATEGORIAS[[#This Row],[PRODUCCION
ADICIONALES
ACTUAL]]</f>
        <v>0</v>
      </c>
      <c r="P56" s="227">
        <v>0</v>
      </c>
      <c r="Q56" s="227">
        <v>0</v>
      </c>
      <c r="R56" s="297">
        <f>CATEGORIAS[[#This Row],[PRODUCCION
ANTERIOR]]+CATEGORIAS[[#This Row],[PRODUCCION
ADICIONALES
ANTERIOR]]</f>
        <v>0</v>
      </c>
      <c r="S56" s="133">
        <v>0</v>
      </c>
      <c r="T56" s="133"/>
      <c r="U56" s="133"/>
      <c r="V56" s="296">
        <f>SUM(CATEGORIAS[[#This Row],[COSTO
ACUMULADO  AX]:[PROVISIONES]])</f>
        <v>0</v>
      </c>
      <c r="W56" s="298">
        <v>0</v>
      </c>
      <c r="X56" s="227"/>
      <c r="Y56" s="227"/>
      <c r="Z56" s="297">
        <f>SUM(CATEGORIAS[[#This Row],[COSTO ACUMULADO
ANTERIOR]:[PROVISIONES
ANTERIOR]])</f>
        <v>0</v>
      </c>
      <c r="AA56" s="139">
        <f>CATEGORIAS[[#This Row],[PRESUPUESTO
FINAL
PROYECTADO]]-CATEGORIAS[[#This Row],[TOTAL PRODUCCION
ACTUAL]]</f>
        <v>0</v>
      </c>
      <c r="AB56" s="227">
        <v>0</v>
      </c>
      <c r="AC56" s="132"/>
      <c r="AD56" s="132"/>
      <c r="AE56" s="226">
        <f>SUM(CATEGORIAS[[#This Row],[INVENTARIO]:[PROYECCION
DE COSTO
DEL SALDO]])</f>
        <v>0</v>
      </c>
      <c r="AF56" s="132"/>
      <c r="AG56" s="132">
        <f>+CATEGORIAS[[#This Row],[PRESUPUESTO
FINAL
PROYECTADO]]-CATEGORIAS[[#This Row],[COSTO REAL]]-CATEGORIAS[[#This Row],[PROYECCION
TOTAL DE COSTO]]</f>
        <v>0</v>
      </c>
    </row>
    <row r="57" spans="1:34" x14ac:dyDescent="0.25">
      <c r="A57" s="274" t="str">
        <f>+IFERROR(VLOOKUP(CATEGORIAS[[#This Row],[CATEGORIA2]],[1]HOMOLOGACION!$A$1:$I$571,9,FALSE),0)</f>
        <v>0A02</v>
      </c>
      <c r="B57" s="274" t="str">
        <f>+IFERROR(VLOOKUP(CATEGORIAS[[#This Row],[CATEGORIA2]],[1]HOMOLOGACION!$A$1:$C$571,3,FALSE),0)</f>
        <v>0B01</v>
      </c>
      <c r="C57" s="274" t="str">
        <f>+IFERROR(VLOOKUP(CATEGORIAS[[#This Row],[CATEGORIA2]],[1]HOMOLOGACION!$A$1:$D$571,4,FALSE),0)</f>
        <v xml:space="preserve">Civil  </v>
      </c>
      <c r="D57" s="144" t="s">
        <v>1776</v>
      </c>
      <c r="E57" s="273" t="s">
        <v>469</v>
      </c>
      <c r="F57" s="275" t="s">
        <v>361</v>
      </c>
      <c r="G57" s="313">
        <v>0</v>
      </c>
      <c r="H57" s="313">
        <v>0</v>
      </c>
      <c r="I57" s="130">
        <v>0</v>
      </c>
      <c r="J57" s="130"/>
      <c r="K57" s="130"/>
      <c r="L57" s="143">
        <f>CATEGORIAS[[#This Row],[ADICIONALES]]+CATEGORIAS[[#This Row],[POM]]</f>
        <v>0</v>
      </c>
      <c r="M57" s="131">
        <v>0</v>
      </c>
      <c r="N57" s="227">
        <v>0</v>
      </c>
      <c r="O57" s="296">
        <f>CATEGORIAS[[#This Row],[PRODUCCION
PARTIDAS
ORIGINALES
ACTUAL]]+CATEGORIAS[[#This Row],[PRODUCCION
ADICIONALES
ACTUAL]]</f>
        <v>0</v>
      </c>
      <c r="P57" s="227">
        <v>0</v>
      </c>
      <c r="Q57" s="132">
        <v>0</v>
      </c>
      <c r="R57" s="297">
        <f>CATEGORIAS[[#This Row],[PRODUCCION
ANTERIOR]]+CATEGORIAS[[#This Row],[PRODUCCION
ADICIONALES
ANTERIOR]]</f>
        <v>0</v>
      </c>
      <c r="S57" s="133">
        <v>0</v>
      </c>
      <c r="T57" s="133"/>
      <c r="U57" s="133"/>
      <c r="V57" s="296">
        <f>SUM(CATEGORIAS[[#This Row],[COSTO
ACUMULADO  AX]:[PROVISIONES]])</f>
        <v>0</v>
      </c>
      <c r="W57" s="298">
        <v>0</v>
      </c>
      <c r="X57" s="227"/>
      <c r="Y57" s="227"/>
      <c r="Z57" s="297">
        <f>SUM(CATEGORIAS[[#This Row],[COSTO ACUMULADO
ANTERIOR]:[PROVISIONES
ANTERIOR]])</f>
        <v>0</v>
      </c>
      <c r="AA57" s="139">
        <f>CATEGORIAS[[#This Row],[PRESUPUESTO
FINAL
PROYECTADO]]-CATEGORIAS[[#This Row],[TOTAL PRODUCCION
ACTUAL]]</f>
        <v>0</v>
      </c>
      <c r="AB57" s="227">
        <v>0</v>
      </c>
      <c r="AC57" s="132"/>
      <c r="AD57" s="132"/>
      <c r="AE57" s="226">
        <f>SUM(CATEGORIAS[[#This Row],[INVENTARIO]:[PROYECCION
DE COSTO
DEL SALDO]])</f>
        <v>0</v>
      </c>
      <c r="AF57" s="132"/>
      <c r="AG57" s="132">
        <f>+CATEGORIAS[[#This Row],[PRESUPUESTO
FINAL
PROYECTADO]]-CATEGORIAS[[#This Row],[COSTO REAL]]-CATEGORIAS[[#This Row],[PROYECCION
TOTAL DE COSTO]]</f>
        <v>0</v>
      </c>
    </row>
    <row r="58" spans="1:34" x14ac:dyDescent="0.25">
      <c r="A58" s="274" t="str">
        <f>+IFERROR(VLOOKUP(CATEGORIAS[[#This Row],[CATEGORIA2]],[1]HOMOLOGACION!$A$1:$I$571,9,FALSE),0)</f>
        <v>0A02</v>
      </c>
      <c r="B58" s="274" t="str">
        <f>+IFERROR(VLOOKUP(CATEGORIAS[[#This Row],[CATEGORIA2]],[1]HOMOLOGACION!$A$1:$C$571,3,FALSE),0)</f>
        <v>0B01</v>
      </c>
      <c r="C58" s="274" t="str">
        <f>+IFERROR(VLOOKUP(CATEGORIAS[[#This Row],[CATEGORIA2]],[1]HOMOLOGACION!$A$1:$D$571,4,FALSE),0)</f>
        <v xml:space="preserve">Civil  </v>
      </c>
      <c r="D58" s="144" t="s">
        <v>1777</v>
      </c>
      <c r="E58" s="273" t="s">
        <v>471</v>
      </c>
      <c r="F58" s="275" t="s">
        <v>361</v>
      </c>
      <c r="G58" s="313">
        <v>0</v>
      </c>
      <c r="H58" s="313">
        <v>0</v>
      </c>
      <c r="I58" s="130">
        <v>0</v>
      </c>
      <c r="J58" s="130"/>
      <c r="K58" s="130"/>
      <c r="L58" s="143">
        <f>CATEGORIAS[[#This Row],[ADICIONALES]]+CATEGORIAS[[#This Row],[POM]]</f>
        <v>0</v>
      </c>
      <c r="M58" s="131">
        <v>0</v>
      </c>
      <c r="N58" s="227">
        <v>0</v>
      </c>
      <c r="O58" s="296">
        <f>CATEGORIAS[[#This Row],[PRODUCCION
PARTIDAS
ORIGINALES
ACTUAL]]+CATEGORIAS[[#This Row],[PRODUCCION
ADICIONALES
ACTUAL]]</f>
        <v>0</v>
      </c>
      <c r="P58" s="227">
        <v>0</v>
      </c>
      <c r="Q58" s="227">
        <v>0</v>
      </c>
      <c r="R58" s="297">
        <f>CATEGORIAS[[#This Row],[PRODUCCION
ANTERIOR]]+CATEGORIAS[[#This Row],[PRODUCCION
ADICIONALES
ANTERIOR]]</f>
        <v>0</v>
      </c>
      <c r="S58" s="133">
        <v>0</v>
      </c>
      <c r="T58" s="133"/>
      <c r="U58" s="133"/>
      <c r="V58" s="296">
        <f>SUM(CATEGORIAS[[#This Row],[COSTO
ACUMULADO  AX]:[PROVISIONES]])</f>
        <v>0</v>
      </c>
      <c r="W58" s="298">
        <v>0</v>
      </c>
      <c r="X58" s="227"/>
      <c r="Y58" s="227"/>
      <c r="Z58" s="297">
        <f>SUM(CATEGORIAS[[#This Row],[COSTO ACUMULADO
ANTERIOR]:[PROVISIONES
ANTERIOR]])</f>
        <v>0</v>
      </c>
      <c r="AA58" s="139">
        <f>CATEGORIAS[[#This Row],[PRESUPUESTO
FINAL
PROYECTADO]]-CATEGORIAS[[#This Row],[TOTAL PRODUCCION
ACTUAL]]</f>
        <v>0</v>
      </c>
      <c r="AB58" s="227">
        <v>0</v>
      </c>
      <c r="AC58" s="132"/>
      <c r="AD58" s="132"/>
      <c r="AE58" s="226">
        <f>SUM(CATEGORIAS[[#This Row],[INVENTARIO]:[PROYECCION
DE COSTO
DEL SALDO]])</f>
        <v>0</v>
      </c>
      <c r="AF58" s="132"/>
      <c r="AG58" s="132">
        <f>+CATEGORIAS[[#This Row],[PRESUPUESTO
FINAL
PROYECTADO]]-CATEGORIAS[[#This Row],[COSTO REAL]]-CATEGORIAS[[#This Row],[PROYECCION
TOTAL DE COSTO]]</f>
        <v>0</v>
      </c>
    </row>
    <row r="59" spans="1:34" x14ac:dyDescent="0.25">
      <c r="A59" s="274" t="str">
        <f>+IFERROR(VLOOKUP(CATEGORIAS[[#This Row],[CATEGORIA2]],[1]HOMOLOGACION!$A$1:$I$571,9,FALSE),0)</f>
        <v>0A02</v>
      </c>
      <c r="B59" s="274" t="str">
        <f>+IFERROR(VLOOKUP(CATEGORIAS[[#This Row],[CATEGORIA2]],[1]HOMOLOGACION!$A$1:$C$571,3,FALSE),0)</f>
        <v>0B01</v>
      </c>
      <c r="C59" s="274" t="str">
        <f>+IFERROR(VLOOKUP(CATEGORIAS[[#This Row],[CATEGORIA2]],[1]HOMOLOGACION!$A$1:$D$571,4,FALSE),0)</f>
        <v xml:space="preserve">Civil  </v>
      </c>
      <c r="D59" s="144" t="s">
        <v>1778</v>
      </c>
      <c r="E59" s="273" t="s">
        <v>473</v>
      </c>
      <c r="F59" s="275" t="s">
        <v>361</v>
      </c>
      <c r="G59" s="313">
        <v>0</v>
      </c>
      <c r="H59" s="313">
        <v>0</v>
      </c>
      <c r="I59" s="130">
        <v>0</v>
      </c>
      <c r="J59" s="130"/>
      <c r="K59" s="130"/>
      <c r="L59" s="143">
        <f>CATEGORIAS[[#This Row],[ADICIONALES]]+CATEGORIAS[[#This Row],[POM]]</f>
        <v>0</v>
      </c>
      <c r="M59" s="131">
        <v>0</v>
      </c>
      <c r="N59" s="227">
        <v>0</v>
      </c>
      <c r="O59" s="296">
        <f>CATEGORIAS[[#This Row],[PRODUCCION
PARTIDAS
ORIGINALES
ACTUAL]]+CATEGORIAS[[#This Row],[PRODUCCION
ADICIONALES
ACTUAL]]</f>
        <v>0</v>
      </c>
      <c r="P59" s="227">
        <v>0</v>
      </c>
      <c r="Q59" s="132">
        <v>0</v>
      </c>
      <c r="R59" s="297">
        <f>CATEGORIAS[[#This Row],[PRODUCCION
ANTERIOR]]+CATEGORIAS[[#This Row],[PRODUCCION
ADICIONALES
ANTERIOR]]</f>
        <v>0</v>
      </c>
      <c r="S59" s="133">
        <v>0</v>
      </c>
      <c r="T59" s="133"/>
      <c r="U59" s="133"/>
      <c r="V59" s="296">
        <f>SUM(CATEGORIAS[[#This Row],[COSTO
ACUMULADO  AX]:[PROVISIONES]])</f>
        <v>0</v>
      </c>
      <c r="W59" s="298">
        <v>0</v>
      </c>
      <c r="X59" s="227"/>
      <c r="Y59" s="227"/>
      <c r="Z59" s="297">
        <f>SUM(CATEGORIAS[[#This Row],[COSTO ACUMULADO
ANTERIOR]:[PROVISIONES
ANTERIOR]])</f>
        <v>0</v>
      </c>
      <c r="AA59" s="139">
        <f>CATEGORIAS[[#This Row],[PRESUPUESTO
FINAL
PROYECTADO]]-CATEGORIAS[[#This Row],[TOTAL PRODUCCION
ACTUAL]]</f>
        <v>0</v>
      </c>
      <c r="AB59" s="227">
        <v>0</v>
      </c>
      <c r="AC59" s="132"/>
      <c r="AD59" s="132"/>
      <c r="AE59" s="226">
        <f>SUM(CATEGORIAS[[#This Row],[INVENTARIO]:[PROYECCION
DE COSTO
DEL SALDO]])</f>
        <v>0</v>
      </c>
      <c r="AF59" s="132"/>
      <c r="AG59" s="132">
        <f>+CATEGORIAS[[#This Row],[PRESUPUESTO
FINAL
PROYECTADO]]-CATEGORIAS[[#This Row],[COSTO REAL]]-CATEGORIAS[[#This Row],[PROYECCION
TOTAL DE COSTO]]</f>
        <v>0</v>
      </c>
    </row>
    <row r="60" spans="1:34" x14ac:dyDescent="0.25">
      <c r="A60" s="274" t="str">
        <f>+IFERROR(VLOOKUP(CATEGORIAS[[#This Row],[CATEGORIA2]],[1]HOMOLOGACION!$A$1:$I$571,9,FALSE),0)</f>
        <v>0A02</v>
      </c>
      <c r="B60" s="274" t="str">
        <f>+IFERROR(VLOOKUP(CATEGORIAS[[#This Row],[CATEGORIA2]],[1]HOMOLOGACION!$A$1:$C$571,3,FALSE),0)</f>
        <v>0B01</v>
      </c>
      <c r="C60" s="274" t="str">
        <f>+IFERROR(VLOOKUP(CATEGORIAS[[#This Row],[CATEGORIA2]],[1]HOMOLOGACION!$A$1:$D$571,4,FALSE),0)</f>
        <v xml:space="preserve">Civil  </v>
      </c>
      <c r="D60" s="144" t="s">
        <v>1779</v>
      </c>
      <c r="E60" s="273" t="s">
        <v>475</v>
      </c>
      <c r="F60" s="275" t="s">
        <v>361</v>
      </c>
      <c r="G60" s="313">
        <v>0</v>
      </c>
      <c r="H60" s="313">
        <v>0</v>
      </c>
      <c r="I60" s="130">
        <v>0</v>
      </c>
      <c r="J60" s="130"/>
      <c r="K60" s="130"/>
      <c r="L60" s="143">
        <f>CATEGORIAS[[#This Row],[ADICIONALES]]+CATEGORIAS[[#This Row],[POM]]</f>
        <v>0</v>
      </c>
      <c r="M60" s="131">
        <v>0</v>
      </c>
      <c r="N60" s="227">
        <v>0</v>
      </c>
      <c r="O60" s="296">
        <f>CATEGORIAS[[#This Row],[PRODUCCION
PARTIDAS
ORIGINALES
ACTUAL]]+CATEGORIAS[[#This Row],[PRODUCCION
ADICIONALES
ACTUAL]]</f>
        <v>0</v>
      </c>
      <c r="P60" s="227">
        <v>0</v>
      </c>
      <c r="Q60" s="227">
        <v>0</v>
      </c>
      <c r="R60" s="297">
        <f>CATEGORIAS[[#This Row],[PRODUCCION
ANTERIOR]]+CATEGORIAS[[#This Row],[PRODUCCION
ADICIONALES
ANTERIOR]]</f>
        <v>0</v>
      </c>
      <c r="S60" s="133">
        <v>0</v>
      </c>
      <c r="T60" s="133"/>
      <c r="U60" s="133"/>
      <c r="V60" s="296">
        <f>SUM(CATEGORIAS[[#This Row],[COSTO
ACUMULADO  AX]:[PROVISIONES]])</f>
        <v>0</v>
      </c>
      <c r="W60" s="298">
        <v>0</v>
      </c>
      <c r="X60" s="227"/>
      <c r="Y60" s="227"/>
      <c r="Z60" s="297">
        <f>SUM(CATEGORIAS[[#This Row],[COSTO ACUMULADO
ANTERIOR]:[PROVISIONES
ANTERIOR]])</f>
        <v>0</v>
      </c>
      <c r="AA60" s="139">
        <f>CATEGORIAS[[#This Row],[PRESUPUESTO
FINAL
PROYECTADO]]-CATEGORIAS[[#This Row],[TOTAL PRODUCCION
ACTUAL]]</f>
        <v>0</v>
      </c>
      <c r="AB60" s="227">
        <v>0</v>
      </c>
      <c r="AC60" s="132"/>
      <c r="AD60" s="132"/>
      <c r="AE60" s="226">
        <f>SUM(CATEGORIAS[[#This Row],[INVENTARIO]:[PROYECCION
DE COSTO
DEL SALDO]])</f>
        <v>0</v>
      </c>
      <c r="AF60" s="132"/>
      <c r="AG60" s="132">
        <f>+CATEGORIAS[[#This Row],[PRESUPUESTO
FINAL
PROYECTADO]]-CATEGORIAS[[#This Row],[COSTO REAL]]-CATEGORIAS[[#This Row],[PROYECCION
TOTAL DE COSTO]]</f>
        <v>0</v>
      </c>
    </row>
    <row r="61" spans="1:34" x14ac:dyDescent="0.25">
      <c r="A61" s="274" t="str">
        <f>+IFERROR(VLOOKUP(CATEGORIAS[[#This Row],[CATEGORIA2]],[1]HOMOLOGACION!$A$1:$I$571,9,FALSE),0)</f>
        <v>0A02</v>
      </c>
      <c r="B61" s="274" t="str">
        <f>+IFERROR(VLOOKUP(CATEGORIAS[[#This Row],[CATEGORIA2]],[1]HOMOLOGACION!$A$1:$C$571,3,FALSE),0)</f>
        <v>0B01</v>
      </c>
      <c r="C61" s="274" t="str">
        <f>+IFERROR(VLOOKUP(CATEGORIAS[[#This Row],[CATEGORIA2]],[1]HOMOLOGACION!$A$1:$D$571,4,FALSE),0)</f>
        <v xml:space="preserve">Civil  </v>
      </c>
      <c r="D61" s="144" t="s">
        <v>1780</v>
      </c>
      <c r="E61" s="273" t="s">
        <v>477</v>
      </c>
      <c r="F61" s="275" t="s">
        <v>364</v>
      </c>
      <c r="G61" s="313">
        <v>325251.5</v>
      </c>
      <c r="H61" s="313">
        <v>325251.5</v>
      </c>
      <c r="I61" s="130">
        <v>322526.46770649077</v>
      </c>
      <c r="J61" s="130"/>
      <c r="K61" s="130"/>
      <c r="L61" s="143">
        <f>CATEGORIAS[[#This Row],[ADICIONALES]]+CATEGORIAS[[#This Row],[POM]]</f>
        <v>647777.96770649077</v>
      </c>
      <c r="M61" s="131">
        <v>55757.4</v>
      </c>
      <c r="N61" s="227">
        <v>0</v>
      </c>
      <c r="O61" s="296">
        <f>CATEGORIAS[[#This Row],[PRODUCCION
PARTIDAS
ORIGINALES
ACTUAL]]+CATEGORIAS[[#This Row],[PRODUCCION
ADICIONALES
ACTUAL]]</f>
        <v>55757.4</v>
      </c>
      <c r="P61" s="227">
        <v>0</v>
      </c>
      <c r="Q61" s="227">
        <v>0</v>
      </c>
      <c r="R61" s="297">
        <f>CATEGORIAS[[#This Row],[PRODUCCION
ANTERIOR]]+CATEGORIAS[[#This Row],[PRODUCCION
ADICIONALES
ANTERIOR]]</f>
        <v>0</v>
      </c>
      <c r="S61" s="133">
        <v>0</v>
      </c>
      <c r="T61" s="133"/>
      <c r="U61" s="133"/>
      <c r="V61" s="296">
        <f>SUM(CATEGORIAS[[#This Row],[COSTO
ACUMULADO  AX]:[PROVISIONES]])</f>
        <v>0</v>
      </c>
      <c r="W61" s="298">
        <v>0</v>
      </c>
      <c r="X61" s="227"/>
      <c r="Y61" s="227"/>
      <c r="Z61" s="297">
        <f>SUM(CATEGORIAS[[#This Row],[COSTO ACUMULADO
ANTERIOR]:[PROVISIONES
ANTERIOR]])</f>
        <v>0</v>
      </c>
      <c r="AA61" s="139">
        <f>CATEGORIAS[[#This Row],[PRESUPUESTO
FINAL
PROYECTADO]]-CATEGORIAS[[#This Row],[TOTAL PRODUCCION
ACTUAL]]</f>
        <v>592020.56770649075</v>
      </c>
      <c r="AB61" s="227">
        <v>0</v>
      </c>
      <c r="AC61" s="132"/>
      <c r="AD61" s="132">
        <v>647777.96770649077</v>
      </c>
      <c r="AE61" s="226">
        <f>SUM(CATEGORIAS[[#This Row],[INVENTARIO]:[PROYECCION
DE COSTO
DEL SALDO]])</f>
        <v>647777.96770649077</v>
      </c>
      <c r="AF61" s="132"/>
      <c r="AG61" s="132">
        <f>+CATEGORIAS[[#This Row],[PRESUPUESTO
FINAL
PROYECTADO]]-CATEGORIAS[[#This Row],[COSTO REAL]]-CATEGORIAS[[#This Row],[PROYECCION
TOTAL DE COSTO]]</f>
        <v>0</v>
      </c>
    </row>
    <row r="62" spans="1:34" x14ac:dyDescent="0.25">
      <c r="A62" s="274" t="str">
        <f>+IFERROR(VLOOKUP(CATEGORIAS[[#This Row],[CATEGORIA2]],[1]HOMOLOGACION!$A$1:$I$571,9,FALSE),0)</f>
        <v>0A02</v>
      </c>
      <c r="B62" s="274" t="str">
        <f>+IFERROR(VLOOKUP(CATEGORIAS[[#This Row],[CATEGORIA2]],[1]HOMOLOGACION!$A$1:$C$571,3,FALSE),0)</f>
        <v>0B01</v>
      </c>
      <c r="C62" s="274" t="str">
        <f>+IFERROR(VLOOKUP(CATEGORIAS[[#This Row],[CATEGORIA2]],[1]HOMOLOGACION!$A$1:$D$571,4,FALSE),0)</f>
        <v xml:space="preserve">Civil  </v>
      </c>
      <c r="D62" s="144" t="s">
        <v>1781</v>
      </c>
      <c r="E62" s="273" t="s">
        <v>479</v>
      </c>
      <c r="F62" s="275" t="s">
        <v>361</v>
      </c>
      <c r="G62" s="313">
        <v>0</v>
      </c>
      <c r="H62" s="313">
        <v>0</v>
      </c>
      <c r="I62" s="130">
        <v>0</v>
      </c>
      <c r="J62" s="130"/>
      <c r="K62" s="130"/>
      <c r="L62" s="143">
        <f>CATEGORIAS[[#This Row],[ADICIONALES]]+CATEGORIAS[[#This Row],[POM]]</f>
        <v>0</v>
      </c>
      <c r="M62" s="131">
        <v>0</v>
      </c>
      <c r="N62" s="227">
        <v>0</v>
      </c>
      <c r="O62" s="296">
        <f>CATEGORIAS[[#This Row],[PRODUCCION
PARTIDAS
ORIGINALES
ACTUAL]]+CATEGORIAS[[#This Row],[PRODUCCION
ADICIONALES
ACTUAL]]</f>
        <v>0</v>
      </c>
      <c r="P62" s="227">
        <v>0</v>
      </c>
      <c r="Q62" s="132">
        <v>0</v>
      </c>
      <c r="R62" s="297">
        <f>CATEGORIAS[[#This Row],[PRODUCCION
ANTERIOR]]+CATEGORIAS[[#This Row],[PRODUCCION
ADICIONALES
ANTERIOR]]</f>
        <v>0</v>
      </c>
      <c r="S62" s="133">
        <v>0</v>
      </c>
      <c r="T62" s="133"/>
      <c r="U62" s="133"/>
      <c r="V62" s="296">
        <f>SUM(CATEGORIAS[[#This Row],[COSTO
ACUMULADO  AX]:[PROVISIONES]])</f>
        <v>0</v>
      </c>
      <c r="W62" s="298">
        <v>0</v>
      </c>
      <c r="X62" s="227"/>
      <c r="Y62" s="227"/>
      <c r="Z62" s="297">
        <f>SUM(CATEGORIAS[[#This Row],[COSTO ACUMULADO
ANTERIOR]:[PROVISIONES
ANTERIOR]])</f>
        <v>0</v>
      </c>
      <c r="AA62" s="139">
        <f>CATEGORIAS[[#This Row],[PRESUPUESTO
FINAL
PROYECTADO]]-CATEGORIAS[[#This Row],[TOTAL PRODUCCION
ACTUAL]]</f>
        <v>0</v>
      </c>
      <c r="AB62" s="227">
        <v>0</v>
      </c>
      <c r="AC62" s="132"/>
      <c r="AD62" s="132"/>
      <c r="AE62" s="226">
        <f>SUM(CATEGORIAS[[#This Row],[INVENTARIO]:[PROYECCION
DE COSTO
DEL SALDO]])</f>
        <v>0</v>
      </c>
      <c r="AF62" s="132"/>
      <c r="AG62" s="132">
        <f>+CATEGORIAS[[#This Row],[PRESUPUESTO
FINAL
PROYECTADO]]-CATEGORIAS[[#This Row],[COSTO REAL]]-CATEGORIAS[[#This Row],[PROYECCION
TOTAL DE COSTO]]</f>
        <v>0</v>
      </c>
    </row>
    <row r="63" spans="1:34" x14ac:dyDescent="0.25">
      <c r="A63" s="274" t="str">
        <f>+IFERROR(VLOOKUP(CATEGORIAS[[#This Row],[CATEGORIA2]],[1]HOMOLOGACION!$A$1:$I$571,9,FALSE),0)</f>
        <v>0A02</v>
      </c>
      <c r="B63" s="274" t="str">
        <f>+IFERROR(VLOOKUP(CATEGORIAS[[#This Row],[CATEGORIA2]],[1]HOMOLOGACION!$A$1:$C$571,3,FALSE),0)</f>
        <v>0B01</v>
      </c>
      <c r="C63" s="274" t="str">
        <f>+IFERROR(VLOOKUP(CATEGORIAS[[#This Row],[CATEGORIA2]],[1]HOMOLOGACION!$A$1:$D$571,4,FALSE),0)</f>
        <v xml:space="preserve">Civil  </v>
      </c>
      <c r="D63" s="144" t="s">
        <v>1782</v>
      </c>
      <c r="E63" s="273" t="s">
        <v>284</v>
      </c>
      <c r="F63" s="275" t="s">
        <v>364</v>
      </c>
      <c r="G63" s="313">
        <v>4416803.33</v>
      </c>
      <c r="H63" s="313">
        <v>4416803.33</v>
      </c>
      <c r="I63" s="130">
        <v>5741832.7732157297</v>
      </c>
      <c r="J63" s="130"/>
      <c r="K63" s="130"/>
      <c r="L63" s="143">
        <f>CATEGORIAS[[#This Row],[ADICIONALES]]+CATEGORIAS[[#This Row],[POM]]</f>
        <v>10158636.10321573</v>
      </c>
      <c r="M63" s="131">
        <v>4169480.2749999999</v>
      </c>
      <c r="N63" s="227">
        <v>0</v>
      </c>
      <c r="O63" s="296">
        <f>CATEGORIAS[[#This Row],[PRODUCCION
PARTIDAS
ORIGINALES
ACTUAL]]+CATEGORIAS[[#This Row],[PRODUCCION
ADICIONALES
ACTUAL]]</f>
        <v>4169480.2749999999</v>
      </c>
      <c r="P63" s="227">
        <v>4117849.32</v>
      </c>
      <c r="Q63" s="227">
        <v>0</v>
      </c>
      <c r="R63" s="297">
        <f>CATEGORIAS[[#This Row],[PRODUCCION
ANTERIOR]]+CATEGORIAS[[#This Row],[PRODUCCION
ADICIONALES
ANTERIOR]]</f>
        <v>4117849.32</v>
      </c>
      <c r="S63" s="133">
        <v>0</v>
      </c>
      <c r="T63" s="298"/>
      <c r="U63" s="133"/>
      <c r="V63" s="296">
        <f>SUM(CATEGORIAS[[#This Row],[COSTO
ACUMULADO  AX]:[PROVISIONES]])</f>
        <v>0</v>
      </c>
      <c r="W63" s="298">
        <v>0</v>
      </c>
      <c r="X63" s="227"/>
      <c r="Y63" s="227"/>
      <c r="Z63" s="297">
        <f>SUM(CATEGORIAS[[#This Row],[COSTO ACUMULADO
ANTERIOR]:[PROVISIONES
ANTERIOR]])</f>
        <v>0</v>
      </c>
      <c r="AA63" s="139">
        <f>CATEGORIAS[[#This Row],[PRESUPUESTO
FINAL
PROYECTADO]]-CATEGORIAS[[#This Row],[TOTAL PRODUCCION
ACTUAL]]</f>
        <v>5989155.8282157294</v>
      </c>
      <c r="AB63" s="227">
        <v>0</v>
      </c>
      <c r="AC63" s="132"/>
      <c r="AD63" s="132">
        <v>10158636.10321573</v>
      </c>
      <c r="AE63" s="226">
        <f>SUM(CATEGORIAS[[#This Row],[INVENTARIO]:[PROYECCION
DE COSTO
DEL SALDO]])</f>
        <v>10158636.10321573</v>
      </c>
      <c r="AF63" s="132"/>
      <c r="AG63" s="132">
        <f>+CATEGORIAS[[#This Row],[PRESUPUESTO
FINAL
PROYECTADO]]-CATEGORIAS[[#This Row],[COSTO REAL]]-CATEGORIAS[[#This Row],[PROYECCION
TOTAL DE COSTO]]</f>
        <v>0</v>
      </c>
      <c r="AH63" s="229"/>
    </row>
    <row r="64" spans="1:34" x14ac:dyDescent="0.25">
      <c r="A64" s="274" t="str">
        <f>+IFERROR(VLOOKUP(CATEGORIAS[[#This Row],[CATEGORIA2]],[1]HOMOLOGACION!$A$1:$I$571,9,FALSE),0)</f>
        <v>0A02</v>
      </c>
      <c r="B64" s="274" t="str">
        <f>+IFERROR(VLOOKUP(CATEGORIAS[[#This Row],[CATEGORIA2]],[1]HOMOLOGACION!$A$1:$C$571,3,FALSE),0)</f>
        <v>0B01</v>
      </c>
      <c r="C64" s="274" t="str">
        <f>+IFERROR(VLOOKUP(CATEGORIAS[[#This Row],[CATEGORIA2]],[1]HOMOLOGACION!$A$1:$D$571,4,FALSE),0)</f>
        <v xml:space="preserve">Civil  </v>
      </c>
      <c r="D64" s="144" t="s">
        <v>1783</v>
      </c>
      <c r="E64" s="273" t="s">
        <v>481</v>
      </c>
      <c r="F64" s="275" t="s">
        <v>361</v>
      </c>
      <c r="G64" s="313">
        <v>0</v>
      </c>
      <c r="H64" s="313">
        <v>0</v>
      </c>
      <c r="I64" s="130">
        <v>0</v>
      </c>
      <c r="J64" s="130"/>
      <c r="K64" s="130"/>
      <c r="L64" s="143">
        <f>CATEGORIAS[[#This Row],[ADICIONALES]]+CATEGORIAS[[#This Row],[POM]]</f>
        <v>0</v>
      </c>
      <c r="M64" s="131">
        <v>0</v>
      </c>
      <c r="N64" s="227">
        <v>0</v>
      </c>
      <c r="O64" s="296">
        <f>CATEGORIAS[[#This Row],[PRODUCCION
PARTIDAS
ORIGINALES
ACTUAL]]+CATEGORIAS[[#This Row],[PRODUCCION
ADICIONALES
ACTUAL]]</f>
        <v>0</v>
      </c>
      <c r="P64" s="227">
        <v>0</v>
      </c>
      <c r="Q64" s="227">
        <v>0</v>
      </c>
      <c r="R64" s="297">
        <f>CATEGORIAS[[#This Row],[PRODUCCION
ANTERIOR]]+CATEGORIAS[[#This Row],[PRODUCCION
ADICIONALES
ANTERIOR]]</f>
        <v>0</v>
      </c>
      <c r="S64" s="133">
        <v>0</v>
      </c>
      <c r="T64" s="133"/>
      <c r="U64" s="133"/>
      <c r="V64" s="296">
        <f>SUM(CATEGORIAS[[#This Row],[COSTO
ACUMULADO  AX]:[PROVISIONES]])</f>
        <v>0</v>
      </c>
      <c r="W64" s="298">
        <v>0</v>
      </c>
      <c r="X64" s="227"/>
      <c r="Y64" s="227"/>
      <c r="Z64" s="297">
        <f>SUM(CATEGORIAS[[#This Row],[COSTO ACUMULADO
ANTERIOR]:[PROVISIONES
ANTERIOR]])</f>
        <v>0</v>
      </c>
      <c r="AA64" s="139">
        <f>CATEGORIAS[[#This Row],[PRESUPUESTO
FINAL
PROYECTADO]]-CATEGORIAS[[#This Row],[TOTAL PRODUCCION
ACTUAL]]</f>
        <v>0</v>
      </c>
      <c r="AB64" s="227">
        <v>0</v>
      </c>
      <c r="AC64" s="132"/>
      <c r="AD64" s="132"/>
      <c r="AE64" s="226">
        <f>SUM(CATEGORIAS[[#This Row],[INVENTARIO]:[PROYECCION
DE COSTO
DEL SALDO]])</f>
        <v>0</v>
      </c>
      <c r="AF64" s="132"/>
      <c r="AG64" s="132">
        <f>+CATEGORIAS[[#This Row],[PRESUPUESTO
FINAL
PROYECTADO]]-CATEGORIAS[[#This Row],[COSTO REAL]]-CATEGORIAS[[#This Row],[PROYECCION
TOTAL DE COSTO]]</f>
        <v>0</v>
      </c>
    </row>
    <row r="65" spans="1:33" x14ac:dyDescent="0.25">
      <c r="A65" s="274" t="str">
        <f>+IFERROR(VLOOKUP(CATEGORIAS[[#This Row],[CATEGORIA2]],[1]HOMOLOGACION!$A$1:$I$571,9,FALSE),0)</f>
        <v>0M02</v>
      </c>
      <c r="B65" s="274" t="str">
        <f>+IFERROR(VLOOKUP(CATEGORIAS[[#This Row],[CATEGORIA2]],[1]HOMOLOGACION!$A$1:$C$571,3,FALSE),0)</f>
        <v>0B10</v>
      </c>
      <c r="C65" s="274" t="str">
        <f>+IFERROR(VLOOKUP(CATEGORIAS[[#This Row],[CATEGORIA2]],[1]HOMOLOGACION!$A$1:$D$571,4,FALSE),0)</f>
        <v>Arquitectura</v>
      </c>
      <c r="D65" s="144" t="s">
        <v>1784</v>
      </c>
      <c r="E65" s="273" t="s">
        <v>483</v>
      </c>
      <c r="F65" s="275" t="s">
        <v>361</v>
      </c>
      <c r="G65" s="313">
        <v>0</v>
      </c>
      <c r="H65" s="313">
        <v>0</v>
      </c>
      <c r="I65" s="130">
        <v>0</v>
      </c>
      <c r="J65" s="130"/>
      <c r="K65" s="130"/>
      <c r="L65" s="143">
        <f>CATEGORIAS[[#This Row],[ADICIONALES]]+CATEGORIAS[[#This Row],[POM]]</f>
        <v>0</v>
      </c>
      <c r="M65" s="131">
        <v>0</v>
      </c>
      <c r="N65" s="227">
        <v>0</v>
      </c>
      <c r="O65" s="296">
        <f>CATEGORIAS[[#This Row],[PRODUCCION
PARTIDAS
ORIGINALES
ACTUAL]]+CATEGORIAS[[#This Row],[PRODUCCION
ADICIONALES
ACTUAL]]</f>
        <v>0</v>
      </c>
      <c r="P65" s="227">
        <v>0</v>
      </c>
      <c r="Q65" s="227">
        <v>0</v>
      </c>
      <c r="R65" s="297">
        <f>CATEGORIAS[[#This Row],[PRODUCCION
ANTERIOR]]+CATEGORIAS[[#This Row],[PRODUCCION
ADICIONALES
ANTERIOR]]</f>
        <v>0</v>
      </c>
      <c r="S65" s="133">
        <v>0</v>
      </c>
      <c r="T65" s="133"/>
      <c r="U65" s="133"/>
      <c r="V65" s="296">
        <f>SUM(CATEGORIAS[[#This Row],[COSTO
ACUMULADO  AX]:[PROVISIONES]])</f>
        <v>0</v>
      </c>
      <c r="W65" s="298">
        <v>0</v>
      </c>
      <c r="X65" s="227"/>
      <c r="Y65" s="227"/>
      <c r="Z65" s="297">
        <f>SUM(CATEGORIAS[[#This Row],[COSTO ACUMULADO
ANTERIOR]:[PROVISIONES
ANTERIOR]])</f>
        <v>0</v>
      </c>
      <c r="AA65" s="139">
        <f>CATEGORIAS[[#This Row],[PRESUPUESTO
FINAL
PROYECTADO]]-CATEGORIAS[[#This Row],[TOTAL PRODUCCION
ACTUAL]]</f>
        <v>0</v>
      </c>
      <c r="AB65" s="227">
        <v>0</v>
      </c>
      <c r="AC65" s="132"/>
      <c r="AD65" s="132"/>
      <c r="AE65" s="226">
        <f>SUM(CATEGORIAS[[#This Row],[INVENTARIO]:[PROYECCION
DE COSTO
DEL SALDO]])</f>
        <v>0</v>
      </c>
      <c r="AF65" s="132"/>
      <c r="AG65" s="132">
        <f>+CATEGORIAS[[#This Row],[PRESUPUESTO
FINAL
PROYECTADO]]-CATEGORIAS[[#This Row],[COSTO REAL]]-CATEGORIAS[[#This Row],[PROYECCION
TOTAL DE COSTO]]</f>
        <v>0</v>
      </c>
    </row>
    <row r="66" spans="1:33" x14ac:dyDescent="0.25">
      <c r="A66" s="274" t="str">
        <f>+IFERROR(VLOOKUP(CATEGORIAS[[#This Row],[CATEGORIA2]],[1]HOMOLOGACION!$A$1:$I$571,9,FALSE),0)</f>
        <v>0M02</v>
      </c>
      <c r="B66" s="274" t="str">
        <f>+IFERROR(VLOOKUP(CATEGORIAS[[#This Row],[CATEGORIA2]],[1]HOMOLOGACION!$A$1:$C$571,3,FALSE),0)</f>
        <v>0B10</v>
      </c>
      <c r="C66" s="274" t="str">
        <f>+IFERROR(VLOOKUP(CATEGORIAS[[#This Row],[CATEGORIA2]],[1]HOMOLOGACION!$A$1:$D$571,4,FALSE),0)</f>
        <v>Arquitectura</v>
      </c>
      <c r="D66" s="144" t="s">
        <v>1785</v>
      </c>
      <c r="E66" s="273" t="s">
        <v>485</v>
      </c>
      <c r="F66" s="275" t="s">
        <v>361</v>
      </c>
      <c r="G66" s="313">
        <v>0</v>
      </c>
      <c r="H66" s="313">
        <v>0</v>
      </c>
      <c r="I66" s="130">
        <v>0</v>
      </c>
      <c r="J66" s="130"/>
      <c r="K66" s="130"/>
      <c r="L66" s="143">
        <f>CATEGORIAS[[#This Row],[ADICIONALES]]+CATEGORIAS[[#This Row],[POM]]</f>
        <v>0</v>
      </c>
      <c r="M66" s="131">
        <v>0</v>
      </c>
      <c r="N66" s="227">
        <v>0</v>
      </c>
      <c r="O66" s="296">
        <f>CATEGORIAS[[#This Row],[PRODUCCION
PARTIDAS
ORIGINALES
ACTUAL]]+CATEGORIAS[[#This Row],[PRODUCCION
ADICIONALES
ACTUAL]]</f>
        <v>0</v>
      </c>
      <c r="P66" s="227">
        <v>0</v>
      </c>
      <c r="Q66" s="132">
        <v>0</v>
      </c>
      <c r="R66" s="297">
        <f>CATEGORIAS[[#This Row],[PRODUCCION
ANTERIOR]]+CATEGORIAS[[#This Row],[PRODUCCION
ADICIONALES
ANTERIOR]]</f>
        <v>0</v>
      </c>
      <c r="S66" s="133">
        <v>0</v>
      </c>
      <c r="T66" s="133"/>
      <c r="U66" s="133"/>
      <c r="V66" s="296">
        <f>SUM(CATEGORIAS[[#This Row],[COSTO
ACUMULADO  AX]:[PROVISIONES]])</f>
        <v>0</v>
      </c>
      <c r="W66" s="298">
        <v>0</v>
      </c>
      <c r="X66" s="227"/>
      <c r="Y66" s="227"/>
      <c r="Z66" s="297">
        <f>SUM(CATEGORIAS[[#This Row],[COSTO ACUMULADO
ANTERIOR]:[PROVISIONES
ANTERIOR]])</f>
        <v>0</v>
      </c>
      <c r="AA66" s="139">
        <f>CATEGORIAS[[#This Row],[PRESUPUESTO
FINAL
PROYECTADO]]-CATEGORIAS[[#This Row],[TOTAL PRODUCCION
ACTUAL]]</f>
        <v>0</v>
      </c>
      <c r="AB66" s="227">
        <v>0</v>
      </c>
      <c r="AC66" s="132"/>
      <c r="AD66" s="132"/>
      <c r="AE66" s="226">
        <f>SUM(CATEGORIAS[[#This Row],[INVENTARIO]:[PROYECCION
DE COSTO
DEL SALDO]])</f>
        <v>0</v>
      </c>
      <c r="AF66" s="132"/>
      <c r="AG66" s="132">
        <f>+CATEGORIAS[[#This Row],[PRESUPUESTO
FINAL
PROYECTADO]]-CATEGORIAS[[#This Row],[COSTO REAL]]-CATEGORIAS[[#This Row],[PROYECCION
TOTAL DE COSTO]]</f>
        <v>0</v>
      </c>
    </row>
    <row r="67" spans="1:33" x14ac:dyDescent="0.25">
      <c r="A67" s="274" t="str">
        <f>+IFERROR(VLOOKUP(CATEGORIAS[[#This Row],[CATEGORIA2]],[1]HOMOLOGACION!$A$1:$I$571,9,FALSE),0)</f>
        <v>0M02</v>
      </c>
      <c r="B67" s="274" t="str">
        <f>+IFERROR(VLOOKUP(CATEGORIAS[[#This Row],[CATEGORIA2]],[1]HOMOLOGACION!$A$1:$C$571,3,FALSE),0)</f>
        <v>0B10</v>
      </c>
      <c r="C67" s="274" t="str">
        <f>+IFERROR(VLOOKUP(CATEGORIAS[[#This Row],[CATEGORIA2]],[1]HOMOLOGACION!$A$1:$D$571,4,FALSE),0)</f>
        <v>Arquitectura</v>
      </c>
      <c r="D67" s="144" t="s">
        <v>1786</v>
      </c>
      <c r="E67" s="273" t="s">
        <v>487</v>
      </c>
      <c r="F67" s="275" t="s">
        <v>361</v>
      </c>
      <c r="G67" s="313">
        <v>0</v>
      </c>
      <c r="H67" s="313">
        <v>0</v>
      </c>
      <c r="I67" s="130">
        <v>0</v>
      </c>
      <c r="J67" s="130"/>
      <c r="K67" s="130"/>
      <c r="L67" s="143">
        <f>CATEGORIAS[[#This Row],[ADICIONALES]]+CATEGORIAS[[#This Row],[POM]]</f>
        <v>0</v>
      </c>
      <c r="M67" s="131">
        <v>0</v>
      </c>
      <c r="N67" s="227">
        <v>0</v>
      </c>
      <c r="O67" s="296">
        <f>CATEGORIAS[[#This Row],[PRODUCCION
PARTIDAS
ORIGINALES
ACTUAL]]+CATEGORIAS[[#This Row],[PRODUCCION
ADICIONALES
ACTUAL]]</f>
        <v>0</v>
      </c>
      <c r="P67" s="227">
        <v>0</v>
      </c>
      <c r="Q67" s="132">
        <v>0</v>
      </c>
      <c r="R67" s="297">
        <f>CATEGORIAS[[#This Row],[PRODUCCION
ANTERIOR]]+CATEGORIAS[[#This Row],[PRODUCCION
ADICIONALES
ANTERIOR]]</f>
        <v>0</v>
      </c>
      <c r="S67" s="133">
        <v>0</v>
      </c>
      <c r="T67" s="133"/>
      <c r="U67" s="133"/>
      <c r="V67" s="296">
        <f>SUM(CATEGORIAS[[#This Row],[COSTO
ACUMULADO  AX]:[PROVISIONES]])</f>
        <v>0</v>
      </c>
      <c r="W67" s="298">
        <v>0</v>
      </c>
      <c r="X67" s="227"/>
      <c r="Y67" s="227"/>
      <c r="Z67" s="297">
        <f>SUM(CATEGORIAS[[#This Row],[COSTO ACUMULADO
ANTERIOR]:[PROVISIONES
ANTERIOR]])</f>
        <v>0</v>
      </c>
      <c r="AA67" s="139">
        <f>CATEGORIAS[[#This Row],[PRESUPUESTO
FINAL
PROYECTADO]]-CATEGORIAS[[#This Row],[TOTAL PRODUCCION
ACTUAL]]</f>
        <v>0</v>
      </c>
      <c r="AB67" s="227">
        <v>0</v>
      </c>
      <c r="AC67" s="132"/>
      <c r="AD67" s="132"/>
      <c r="AE67" s="226">
        <f>SUM(CATEGORIAS[[#This Row],[INVENTARIO]:[PROYECCION
DE COSTO
DEL SALDO]])</f>
        <v>0</v>
      </c>
      <c r="AF67" s="132"/>
      <c r="AG67" s="132">
        <f>+CATEGORIAS[[#This Row],[PRESUPUESTO
FINAL
PROYECTADO]]-CATEGORIAS[[#This Row],[COSTO REAL]]-CATEGORIAS[[#This Row],[PROYECCION
TOTAL DE COSTO]]</f>
        <v>0</v>
      </c>
    </row>
    <row r="68" spans="1:33" x14ac:dyDescent="0.25">
      <c r="A68" s="274" t="str">
        <f>+IFERROR(VLOOKUP(CATEGORIAS[[#This Row],[CATEGORIA2]],[1]HOMOLOGACION!$A$1:$I$571,9,FALSE),0)</f>
        <v>0M02</v>
      </c>
      <c r="B68" s="274" t="str">
        <f>+IFERROR(VLOOKUP(CATEGORIAS[[#This Row],[CATEGORIA2]],[1]HOMOLOGACION!$A$1:$C$571,3,FALSE),0)</f>
        <v>0B10</v>
      </c>
      <c r="C68" s="274" t="str">
        <f>+IFERROR(VLOOKUP(CATEGORIAS[[#This Row],[CATEGORIA2]],[1]HOMOLOGACION!$A$1:$D$571,4,FALSE),0)</f>
        <v>Arquitectura</v>
      </c>
      <c r="D68" s="144" t="s">
        <v>1787</v>
      </c>
      <c r="E68" s="273" t="s">
        <v>489</v>
      </c>
      <c r="F68" s="275" t="s">
        <v>361</v>
      </c>
      <c r="G68" s="313">
        <v>0</v>
      </c>
      <c r="H68" s="313">
        <v>0</v>
      </c>
      <c r="I68" s="130">
        <v>0</v>
      </c>
      <c r="J68" s="130"/>
      <c r="K68" s="130"/>
      <c r="L68" s="143">
        <f>CATEGORIAS[[#This Row],[ADICIONALES]]+CATEGORIAS[[#This Row],[POM]]</f>
        <v>0</v>
      </c>
      <c r="M68" s="131">
        <v>0</v>
      </c>
      <c r="N68" s="227">
        <v>0</v>
      </c>
      <c r="O68" s="296">
        <f>CATEGORIAS[[#This Row],[PRODUCCION
PARTIDAS
ORIGINALES
ACTUAL]]+CATEGORIAS[[#This Row],[PRODUCCION
ADICIONALES
ACTUAL]]</f>
        <v>0</v>
      </c>
      <c r="P68" s="227">
        <v>0</v>
      </c>
      <c r="Q68" s="227">
        <v>0</v>
      </c>
      <c r="R68" s="297">
        <f>CATEGORIAS[[#This Row],[PRODUCCION
ANTERIOR]]+CATEGORIAS[[#This Row],[PRODUCCION
ADICIONALES
ANTERIOR]]</f>
        <v>0</v>
      </c>
      <c r="S68" s="133">
        <v>0</v>
      </c>
      <c r="T68" s="133"/>
      <c r="U68" s="133"/>
      <c r="V68" s="296">
        <f>SUM(CATEGORIAS[[#This Row],[COSTO
ACUMULADO  AX]:[PROVISIONES]])</f>
        <v>0</v>
      </c>
      <c r="W68" s="298">
        <v>0</v>
      </c>
      <c r="X68" s="227"/>
      <c r="Y68" s="227"/>
      <c r="Z68" s="297">
        <f>SUM(CATEGORIAS[[#This Row],[COSTO ACUMULADO
ANTERIOR]:[PROVISIONES
ANTERIOR]])</f>
        <v>0</v>
      </c>
      <c r="AA68" s="139">
        <f>CATEGORIAS[[#This Row],[PRESUPUESTO
FINAL
PROYECTADO]]-CATEGORIAS[[#This Row],[TOTAL PRODUCCION
ACTUAL]]</f>
        <v>0</v>
      </c>
      <c r="AB68" s="227">
        <v>0</v>
      </c>
      <c r="AC68" s="132"/>
      <c r="AD68" s="132"/>
      <c r="AE68" s="226">
        <f>SUM(CATEGORIAS[[#This Row],[INVENTARIO]:[PROYECCION
DE COSTO
DEL SALDO]])</f>
        <v>0</v>
      </c>
      <c r="AF68" s="132"/>
      <c r="AG68" s="132">
        <f>+CATEGORIAS[[#This Row],[PRESUPUESTO
FINAL
PROYECTADO]]-CATEGORIAS[[#This Row],[COSTO REAL]]-CATEGORIAS[[#This Row],[PROYECCION
TOTAL DE COSTO]]</f>
        <v>0</v>
      </c>
    </row>
    <row r="69" spans="1:33" x14ac:dyDescent="0.25">
      <c r="A69" s="274" t="str">
        <f>+IFERROR(VLOOKUP(CATEGORIAS[[#This Row],[CATEGORIA2]],[1]HOMOLOGACION!$A$1:$I$571,9,FALSE),0)</f>
        <v>0A02</v>
      </c>
      <c r="B69" s="274" t="str">
        <f>+IFERROR(VLOOKUP(CATEGORIAS[[#This Row],[CATEGORIA2]],[1]HOMOLOGACION!$A$1:$C$571,3,FALSE),0)</f>
        <v>0B01</v>
      </c>
      <c r="C69" s="274" t="str">
        <f>+IFERROR(VLOOKUP(CATEGORIAS[[#This Row],[CATEGORIA2]],[1]HOMOLOGACION!$A$1:$D$571,4,FALSE),0)</f>
        <v xml:space="preserve">Civil  </v>
      </c>
      <c r="D69" s="144" t="s">
        <v>1788</v>
      </c>
      <c r="E69" s="273" t="s">
        <v>491</v>
      </c>
      <c r="F69" s="275" t="s">
        <v>364</v>
      </c>
      <c r="G69" s="313">
        <v>2327122.5</v>
      </c>
      <c r="H69" s="313">
        <v>2327122.5</v>
      </c>
      <c r="I69" s="130">
        <v>278691.18723144877</v>
      </c>
      <c r="J69" s="130"/>
      <c r="K69" s="130"/>
      <c r="L69" s="143">
        <f>CATEGORIAS[[#This Row],[ADICIONALES]]+CATEGORIAS[[#This Row],[POM]]</f>
        <v>2605813.6872314489</v>
      </c>
      <c r="M69" s="131">
        <v>1259647.5</v>
      </c>
      <c r="N69" s="227">
        <v>0</v>
      </c>
      <c r="O69" s="296">
        <f>CATEGORIAS[[#This Row],[PRODUCCION
PARTIDAS
ORIGINALES
ACTUAL]]+CATEGORIAS[[#This Row],[PRODUCCION
ADICIONALES
ACTUAL]]</f>
        <v>1259647.5</v>
      </c>
      <c r="P69" s="227">
        <v>1224997.5</v>
      </c>
      <c r="Q69" s="227">
        <v>0</v>
      </c>
      <c r="R69" s="297">
        <f>CATEGORIAS[[#This Row],[PRODUCCION
ANTERIOR]]+CATEGORIAS[[#This Row],[PRODUCCION
ADICIONALES
ANTERIOR]]</f>
        <v>1224997.5</v>
      </c>
      <c r="S69" s="133">
        <v>58800</v>
      </c>
      <c r="T69" s="227"/>
      <c r="U69" s="133"/>
      <c r="V69" s="296">
        <f>SUM(CATEGORIAS[[#This Row],[COSTO
ACUMULADO  AX]:[PROVISIONES]])</f>
        <v>58800</v>
      </c>
      <c r="W69" s="298">
        <v>58800</v>
      </c>
      <c r="X69" s="227"/>
      <c r="Y69" s="227"/>
      <c r="Z69" s="297">
        <f>SUM(CATEGORIAS[[#This Row],[COSTO ACUMULADO
ANTERIOR]:[PROVISIONES
ANTERIOR]])</f>
        <v>58800</v>
      </c>
      <c r="AA69" s="139">
        <f>CATEGORIAS[[#This Row],[PRESUPUESTO
FINAL
PROYECTADO]]-CATEGORIAS[[#This Row],[TOTAL PRODUCCION
ACTUAL]]</f>
        <v>1346166.1872314489</v>
      </c>
      <c r="AB69" s="227">
        <v>164910</v>
      </c>
      <c r="AC69" s="132"/>
      <c r="AD69" s="132">
        <v>2382103.6872314489</v>
      </c>
      <c r="AE69" s="226">
        <f>SUM(CATEGORIAS[[#This Row],[INVENTARIO]:[PROYECCION
DE COSTO
DEL SALDO]])</f>
        <v>2547013.6872314489</v>
      </c>
      <c r="AF69" s="132"/>
      <c r="AG69" s="132">
        <f>+CATEGORIAS[[#This Row],[PRESUPUESTO
FINAL
PROYECTADO]]-CATEGORIAS[[#This Row],[COSTO REAL]]-CATEGORIAS[[#This Row],[PROYECCION
TOTAL DE COSTO]]</f>
        <v>0</v>
      </c>
    </row>
    <row r="70" spans="1:33" x14ac:dyDescent="0.25">
      <c r="A70" s="274" t="str">
        <f>+IFERROR(VLOOKUP(CATEGORIAS[[#This Row],[CATEGORIA2]],[1]HOMOLOGACION!$A$1:$I$571,9,FALSE),0)</f>
        <v>0A02</v>
      </c>
      <c r="B70" s="274" t="str">
        <f>+IFERROR(VLOOKUP(CATEGORIAS[[#This Row],[CATEGORIA2]],[1]HOMOLOGACION!$A$1:$C$571,3,FALSE),0)</f>
        <v>0B01</v>
      </c>
      <c r="C70" s="274" t="str">
        <f>+IFERROR(VLOOKUP(CATEGORIAS[[#This Row],[CATEGORIA2]],[1]HOMOLOGACION!$A$1:$D$571,4,FALSE),0)</f>
        <v xml:space="preserve">Civil  </v>
      </c>
      <c r="D70" s="144" t="s">
        <v>1789</v>
      </c>
      <c r="E70" s="273" t="s">
        <v>493</v>
      </c>
      <c r="F70" s="275" t="s">
        <v>361</v>
      </c>
      <c r="G70" s="313">
        <v>0</v>
      </c>
      <c r="H70" s="313">
        <v>0</v>
      </c>
      <c r="I70" s="130">
        <v>0</v>
      </c>
      <c r="J70" s="130"/>
      <c r="K70" s="130"/>
      <c r="L70" s="143">
        <f>CATEGORIAS[[#This Row],[ADICIONALES]]+CATEGORIAS[[#This Row],[POM]]</f>
        <v>0</v>
      </c>
      <c r="M70" s="131">
        <v>0</v>
      </c>
      <c r="N70" s="227">
        <v>0</v>
      </c>
      <c r="O70" s="296">
        <f>CATEGORIAS[[#This Row],[PRODUCCION
PARTIDAS
ORIGINALES
ACTUAL]]+CATEGORIAS[[#This Row],[PRODUCCION
ADICIONALES
ACTUAL]]</f>
        <v>0</v>
      </c>
      <c r="P70" s="227">
        <v>0</v>
      </c>
      <c r="Q70" s="227">
        <v>0</v>
      </c>
      <c r="R70" s="297">
        <f>CATEGORIAS[[#This Row],[PRODUCCION
ANTERIOR]]+CATEGORIAS[[#This Row],[PRODUCCION
ADICIONALES
ANTERIOR]]</f>
        <v>0</v>
      </c>
      <c r="S70" s="133">
        <v>0</v>
      </c>
      <c r="T70" s="133"/>
      <c r="U70" s="133"/>
      <c r="V70" s="296">
        <f>SUM(CATEGORIAS[[#This Row],[COSTO
ACUMULADO  AX]:[PROVISIONES]])</f>
        <v>0</v>
      </c>
      <c r="W70" s="298">
        <v>0</v>
      </c>
      <c r="X70" s="227"/>
      <c r="Y70" s="227"/>
      <c r="Z70" s="297">
        <f>SUM(CATEGORIAS[[#This Row],[COSTO ACUMULADO
ANTERIOR]:[PROVISIONES
ANTERIOR]])</f>
        <v>0</v>
      </c>
      <c r="AA70" s="139">
        <f>CATEGORIAS[[#This Row],[PRESUPUESTO
FINAL
PROYECTADO]]-CATEGORIAS[[#This Row],[TOTAL PRODUCCION
ACTUAL]]</f>
        <v>0</v>
      </c>
      <c r="AB70" s="227">
        <v>0</v>
      </c>
      <c r="AC70" s="132"/>
      <c r="AD70" s="132"/>
      <c r="AE70" s="226">
        <f>SUM(CATEGORIAS[[#This Row],[INVENTARIO]:[PROYECCION
DE COSTO
DEL SALDO]])</f>
        <v>0</v>
      </c>
      <c r="AF70" s="132"/>
      <c r="AG70" s="132">
        <f>+CATEGORIAS[[#This Row],[PRESUPUESTO
FINAL
PROYECTADO]]-CATEGORIAS[[#This Row],[COSTO REAL]]-CATEGORIAS[[#This Row],[PROYECCION
TOTAL DE COSTO]]</f>
        <v>0</v>
      </c>
    </row>
    <row r="71" spans="1:33" x14ac:dyDescent="0.25">
      <c r="A71" s="274" t="str">
        <f>+IFERROR(VLOOKUP(CATEGORIAS[[#This Row],[CATEGORIA2]],[1]HOMOLOGACION!$A$1:$I$571,9,FALSE),0)</f>
        <v>0A02</v>
      </c>
      <c r="B71" s="274" t="str">
        <f>+IFERROR(VLOOKUP(CATEGORIAS[[#This Row],[CATEGORIA2]],[1]HOMOLOGACION!$A$1:$C$571,3,FALSE),0)</f>
        <v>0B01</v>
      </c>
      <c r="C71" s="274" t="str">
        <f>+IFERROR(VLOOKUP(CATEGORIAS[[#This Row],[CATEGORIA2]],[1]HOMOLOGACION!$A$1:$D$571,4,FALSE),0)</f>
        <v xml:space="preserve">Civil  </v>
      </c>
      <c r="D71" s="144" t="s">
        <v>1790</v>
      </c>
      <c r="E71" s="273" t="s">
        <v>494</v>
      </c>
      <c r="F71" s="275" t="s">
        <v>364</v>
      </c>
      <c r="G71" s="313">
        <v>45413243.992399998</v>
      </c>
      <c r="H71" s="313">
        <v>45413243.992399998</v>
      </c>
      <c r="I71" s="130">
        <v>196620.74306633446</v>
      </c>
      <c r="J71" s="130"/>
      <c r="K71" s="130"/>
      <c r="L71" s="143">
        <f>CATEGORIAS[[#This Row],[ADICIONALES]]+CATEGORIAS[[#This Row],[POM]]</f>
        <v>45609864.735466331</v>
      </c>
      <c r="M71" s="131">
        <v>9334656.0004000012</v>
      </c>
      <c r="N71" s="227">
        <v>0</v>
      </c>
      <c r="O71" s="296">
        <f>CATEGORIAS[[#This Row],[PRODUCCION
PARTIDAS
ORIGINALES
ACTUAL]]+CATEGORIAS[[#This Row],[PRODUCCION
ADICIONALES
ACTUAL]]</f>
        <v>9334656.0004000012</v>
      </c>
      <c r="P71" s="227">
        <v>6308000.8903999999</v>
      </c>
      <c r="Q71" s="227">
        <v>16078.891530963847</v>
      </c>
      <c r="R71" s="297">
        <f>CATEGORIAS[[#This Row],[PRODUCCION
ANTERIOR]]+CATEGORIAS[[#This Row],[PRODUCCION
ADICIONALES
ANTERIOR]]</f>
        <v>6324079.7819309635</v>
      </c>
      <c r="S71" s="133">
        <v>11096473</v>
      </c>
      <c r="T71" s="227"/>
      <c r="U71" s="133"/>
      <c r="V71" s="296">
        <f>SUM(CATEGORIAS[[#This Row],[COSTO
ACUMULADO  AX]:[PROVISIONES]])</f>
        <v>11096473</v>
      </c>
      <c r="W71" s="298">
        <v>5288752</v>
      </c>
      <c r="X71" s="227"/>
      <c r="Y71" s="227"/>
      <c r="Z71" s="297">
        <f>SUM(CATEGORIAS[[#This Row],[COSTO ACUMULADO
ANTERIOR]:[PROVISIONES
ANTERIOR]])</f>
        <v>5288752</v>
      </c>
      <c r="AA71" s="139">
        <f>CATEGORIAS[[#This Row],[PRESUPUESTO
FINAL
PROYECTADO]]-CATEGORIAS[[#This Row],[TOTAL PRODUCCION
ACTUAL]]</f>
        <v>36275208.735066332</v>
      </c>
      <c r="AB71" s="227">
        <v>20085947</v>
      </c>
      <c r="AC71" s="132"/>
      <c r="AD71" s="132">
        <v>14427444.735466331</v>
      </c>
      <c r="AE71" s="226">
        <f>SUM(CATEGORIAS[[#This Row],[INVENTARIO]:[PROYECCION
DE COSTO
DEL SALDO]])</f>
        <v>34513391.735466331</v>
      </c>
      <c r="AF71" s="132"/>
      <c r="AG71" s="132">
        <f>+CATEGORIAS[[#This Row],[PRESUPUESTO
FINAL
PROYECTADO]]-CATEGORIAS[[#This Row],[COSTO REAL]]-CATEGORIAS[[#This Row],[PROYECCION
TOTAL DE COSTO]]</f>
        <v>0</v>
      </c>
    </row>
    <row r="72" spans="1:33" x14ac:dyDescent="0.25">
      <c r="A72" s="274" t="str">
        <f>+IFERROR(VLOOKUP(CATEGORIAS[[#This Row],[CATEGORIA2]],[1]HOMOLOGACION!$A$1:$I$571,9,FALSE),0)</f>
        <v>0A02</v>
      </c>
      <c r="B72" s="274" t="str">
        <f>+IFERROR(VLOOKUP(CATEGORIAS[[#This Row],[CATEGORIA2]],[1]HOMOLOGACION!$A$1:$C$571,3,FALSE),0)</f>
        <v>0B01</v>
      </c>
      <c r="C72" s="274" t="str">
        <f>+IFERROR(VLOOKUP(CATEGORIAS[[#This Row],[CATEGORIA2]],[1]HOMOLOGACION!$A$1:$D$571,4,FALSE),0)</f>
        <v xml:space="preserve">Civil  </v>
      </c>
      <c r="D72" s="144" t="s">
        <v>1791</v>
      </c>
      <c r="E72" s="273" t="s">
        <v>496</v>
      </c>
      <c r="F72" s="275" t="s">
        <v>361</v>
      </c>
      <c r="G72" s="313">
        <v>0</v>
      </c>
      <c r="H72" s="313">
        <v>0</v>
      </c>
      <c r="I72" s="130">
        <v>0</v>
      </c>
      <c r="J72" s="130"/>
      <c r="K72" s="130"/>
      <c r="L72" s="143">
        <f>CATEGORIAS[[#This Row],[ADICIONALES]]+CATEGORIAS[[#This Row],[POM]]</f>
        <v>0</v>
      </c>
      <c r="M72" s="131">
        <v>0</v>
      </c>
      <c r="N72" s="227">
        <v>0</v>
      </c>
      <c r="O72" s="296">
        <f>CATEGORIAS[[#This Row],[PRODUCCION
PARTIDAS
ORIGINALES
ACTUAL]]+CATEGORIAS[[#This Row],[PRODUCCION
ADICIONALES
ACTUAL]]</f>
        <v>0</v>
      </c>
      <c r="P72" s="227">
        <v>0</v>
      </c>
      <c r="Q72" s="227">
        <v>0</v>
      </c>
      <c r="R72" s="297">
        <f>CATEGORIAS[[#This Row],[PRODUCCION
ANTERIOR]]+CATEGORIAS[[#This Row],[PRODUCCION
ADICIONALES
ANTERIOR]]</f>
        <v>0</v>
      </c>
      <c r="S72" s="133">
        <v>-7</v>
      </c>
      <c r="T72" s="133"/>
      <c r="U72" s="133"/>
      <c r="V72" s="296">
        <f>SUM(CATEGORIAS[[#This Row],[COSTO
ACUMULADO  AX]:[PROVISIONES]])</f>
        <v>-7</v>
      </c>
      <c r="W72" s="298">
        <v>-7</v>
      </c>
      <c r="X72" s="227"/>
      <c r="Y72" s="227">
        <v>7</v>
      </c>
      <c r="Z72" s="297">
        <f>SUM(CATEGORIAS[[#This Row],[COSTO ACUMULADO
ANTERIOR]:[PROVISIONES
ANTERIOR]])</f>
        <v>0</v>
      </c>
      <c r="AA72" s="139">
        <f>CATEGORIAS[[#This Row],[PRESUPUESTO
FINAL
PROYECTADO]]-CATEGORIAS[[#This Row],[TOTAL PRODUCCION
ACTUAL]]</f>
        <v>0</v>
      </c>
      <c r="AB72" s="227">
        <v>0</v>
      </c>
      <c r="AC72" s="132"/>
      <c r="AD72" s="132"/>
      <c r="AE72" s="226">
        <f>SUM(CATEGORIAS[[#This Row],[INVENTARIO]:[PROYECCION
DE COSTO
DEL SALDO]])</f>
        <v>0</v>
      </c>
      <c r="AF72" s="132"/>
      <c r="AG72" s="132">
        <f>+CATEGORIAS[[#This Row],[PRESUPUESTO
FINAL
PROYECTADO]]-CATEGORIAS[[#This Row],[COSTO REAL]]-CATEGORIAS[[#This Row],[PROYECCION
TOTAL DE COSTO]]</f>
        <v>7</v>
      </c>
    </row>
    <row r="73" spans="1:33" x14ac:dyDescent="0.25">
      <c r="A73" s="274" t="str">
        <f>+IFERROR(VLOOKUP(CATEGORIAS[[#This Row],[CATEGORIA2]],[1]HOMOLOGACION!$A$1:$I$571,9,FALSE),0)</f>
        <v>0B02</v>
      </c>
      <c r="B73" s="274" t="str">
        <f>+IFERROR(VLOOKUP(CATEGORIAS[[#This Row],[CATEGORIA2]],[1]HOMOLOGACION!$A$1:$C$571,3,FALSE),0)</f>
        <v>0B02</v>
      </c>
      <c r="C73" s="274" t="str">
        <f>+IFERROR(VLOOKUP(CATEGORIAS[[#This Row],[CATEGORIA2]],[1]HOMOLOGACION!$A$1:$D$571,4,FALSE),0)</f>
        <v xml:space="preserve">Estructura </v>
      </c>
      <c r="D73" s="144" t="s">
        <v>1792</v>
      </c>
      <c r="E73" s="273" t="s">
        <v>499</v>
      </c>
      <c r="F73" s="275" t="s">
        <v>364</v>
      </c>
      <c r="G73" s="313">
        <v>16891600</v>
      </c>
      <c r="H73" s="313">
        <v>16891600</v>
      </c>
      <c r="I73" s="130">
        <v>0</v>
      </c>
      <c r="J73" s="130"/>
      <c r="K73" s="130"/>
      <c r="L73" s="143">
        <f>CATEGORIAS[[#This Row],[ADICIONALES]]+CATEGORIAS[[#This Row],[POM]]</f>
        <v>16891600</v>
      </c>
      <c r="M73" s="131">
        <v>16891600</v>
      </c>
      <c r="N73" s="227">
        <v>0</v>
      </c>
      <c r="O73" s="296">
        <f>CATEGORIAS[[#This Row],[PRODUCCION
PARTIDAS
ORIGINALES
ACTUAL]]+CATEGORIAS[[#This Row],[PRODUCCION
ADICIONALES
ACTUAL]]</f>
        <v>16891600</v>
      </c>
      <c r="P73" s="227">
        <v>16891600</v>
      </c>
      <c r="Q73" s="227">
        <v>0</v>
      </c>
      <c r="R73" s="297">
        <f>CATEGORIAS[[#This Row],[PRODUCCION
ANTERIOR]]+CATEGORIAS[[#This Row],[PRODUCCION
ADICIONALES
ANTERIOR]]</f>
        <v>16891600</v>
      </c>
      <c r="S73" s="133">
        <v>0</v>
      </c>
      <c r="T73" s="133"/>
      <c r="U73" s="133"/>
      <c r="V73" s="296">
        <f>SUM(CATEGORIAS[[#This Row],[COSTO
ACUMULADO  AX]:[PROVISIONES]])</f>
        <v>0</v>
      </c>
      <c r="W73" s="298">
        <v>0</v>
      </c>
      <c r="X73" s="227"/>
      <c r="Y73" s="227"/>
      <c r="Z73" s="297">
        <f>SUM(CATEGORIAS[[#This Row],[COSTO ACUMULADO
ANTERIOR]:[PROVISIONES
ANTERIOR]])</f>
        <v>0</v>
      </c>
      <c r="AA73" s="139">
        <f>CATEGORIAS[[#This Row],[PRESUPUESTO
FINAL
PROYECTADO]]-CATEGORIAS[[#This Row],[TOTAL PRODUCCION
ACTUAL]]</f>
        <v>0</v>
      </c>
      <c r="AB73" s="227">
        <v>0</v>
      </c>
      <c r="AC73" s="132"/>
      <c r="AD73" s="132">
        <v>16891600</v>
      </c>
      <c r="AE73" s="226">
        <f>SUM(CATEGORIAS[[#This Row],[INVENTARIO]:[PROYECCION
DE COSTO
DEL SALDO]])</f>
        <v>16891600</v>
      </c>
      <c r="AF73" s="132"/>
      <c r="AG73" s="132">
        <f>+CATEGORIAS[[#This Row],[PRESUPUESTO
FINAL
PROYECTADO]]-CATEGORIAS[[#This Row],[COSTO REAL]]-CATEGORIAS[[#This Row],[PROYECCION
TOTAL DE COSTO]]</f>
        <v>0</v>
      </c>
    </row>
    <row r="74" spans="1:33" x14ac:dyDescent="0.25">
      <c r="A74" s="274" t="str">
        <f>+IFERROR(VLOOKUP(CATEGORIAS[[#This Row],[CATEGORIA2]],[1]HOMOLOGACION!$A$1:$I$571,9,FALSE),0)</f>
        <v>0B02</v>
      </c>
      <c r="B74" s="274" t="str">
        <f>+IFERROR(VLOOKUP(CATEGORIAS[[#This Row],[CATEGORIA2]],[1]HOMOLOGACION!$A$1:$C$571,3,FALSE),0)</f>
        <v>0B02</v>
      </c>
      <c r="C74" s="274" t="str">
        <f>+IFERROR(VLOOKUP(CATEGORIAS[[#This Row],[CATEGORIA2]],[1]HOMOLOGACION!$A$1:$D$571,4,FALSE),0)</f>
        <v xml:space="preserve">Estructura </v>
      </c>
      <c r="D74" s="144" t="s">
        <v>1793</v>
      </c>
      <c r="E74" s="273" t="s">
        <v>501</v>
      </c>
      <c r="F74" s="275" t="s">
        <v>361</v>
      </c>
      <c r="G74" s="313">
        <v>0</v>
      </c>
      <c r="H74" s="313">
        <v>0</v>
      </c>
      <c r="I74" s="130">
        <v>0</v>
      </c>
      <c r="J74" s="130"/>
      <c r="K74" s="130"/>
      <c r="L74" s="143">
        <f>CATEGORIAS[[#This Row],[ADICIONALES]]+CATEGORIAS[[#This Row],[POM]]</f>
        <v>0</v>
      </c>
      <c r="M74" s="131">
        <v>0</v>
      </c>
      <c r="N74" s="227">
        <v>0</v>
      </c>
      <c r="O74" s="296">
        <f>CATEGORIAS[[#This Row],[PRODUCCION
PARTIDAS
ORIGINALES
ACTUAL]]+CATEGORIAS[[#This Row],[PRODUCCION
ADICIONALES
ACTUAL]]</f>
        <v>0</v>
      </c>
      <c r="P74" s="227">
        <v>0</v>
      </c>
      <c r="Q74" s="227">
        <v>0</v>
      </c>
      <c r="R74" s="297">
        <f>CATEGORIAS[[#This Row],[PRODUCCION
ANTERIOR]]+CATEGORIAS[[#This Row],[PRODUCCION
ADICIONALES
ANTERIOR]]</f>
        <v>0</v>
      </c>
      <c r="S74" s="133">
        <v>0</v>
      </c>
      <c r="T74" s="133"/>
      <c r="U74" s="133"/>
      <c r="V74" s="296">
        <f>SUM(CATEGORIAS[[#This Row],[COSTO
ACUMULADO  AX]:[PROVISIONES]])</f>
        <v>0</v>
      </c>
      <c r="W74" s="298">
        <v>0</v>
      </c>
      <c r="X74" s="227"/>
      <c r="Y74" s="227"/>
      <c r="Z74" s="297">
        <f>SUM(CATEGORIAS[[#This Row],[COSTO ACUMULADO
ANTERIOR]:[PROVISIONES
ANTERIOR]])</f>
        <v>0</v>
      </c>
      <c r="AA74" s="139">
        <f>CATEGORIAS[[#This Row],[PRESUPUESTO
FINAL
PROYECTADO]]-CATEGORIAS[[#This Row],[TOTAL PRODUCCION
ACTUAL]]</f>
        <v>0</v>
      </c>
      <c r="AB74" s="227">
        <v>0</v>
      </c>
      <c r="AC74" s="132"/>
      <c r="AD74" s="132"/>
      <c r="AE74" s="226">
        <f>SUM(CATEGORIAS[[#This Row],[INVENTARIO]:[PROYECCION
DE COSTO
DEL SALDO]])</f>
        <v>0</v>
      </c>
      <c r="AF74" s="132"/>
      <c r="AG74" s="132">
        <f>+CATEGORIAS[[#This Row],[PRESUPUESTO
FINAL
PROYECTADO]]-CATEGORIAS[[#This Row],[COSTO REAL]]-CATEGORIAS[[#This Row],[PROYECCION
TOTAL DE COSTO]]</f>
        <v>0</v>
      </c>
    </row>
    <row r="75" spans="1:33" x14ac:dyDescent="0.25">
      <c r="A75" s="274" t="str">
        <f>+IFERROR(VLOOKUP(CATEGORIAS[[#This Row],[CATEGORIA2]],[1]HOMOLOGACION!$A$1:$I$571,9,FALSE),0)</f>
        <v>0B02</v>
      </c>
      <c r="B75" s="274" t="str">
        <f>+IFERROR(VLOOKUP(CATEGORIAS[[#This Row],[CATEGORIA2]],[1]HOMOLOGACION!$A$1:$C$571,3,FALSE),0)</f>
        <v>0B02</v>
      </c>
      <c r="C75" s="274" t="str">
        <f>+IFERROR(VLOOKUP(CATEGORIAS[[#This Row],[CATEGORIA2]],[1]HOMOLOGACION!$A$1:$D$571,4,FALSE),0)</f>
        <v xml:space="preserve">Estructura </v>
      </c>
      <c r="D75" s="144" t="s">
        <v>1794</v>
      </c>
      <c r="E75" s="273" t="s">
        <v>503</v>
      </c>
      <c r="F75" s="275" t="s">
        <v>364</v>
      </c>
      <c r="G75" s="313">
        <v>624349.43999999994</v>
      </c>
      <c r="H75" s="313">
        <v>624349.43999999994</v>
      </c>
      <c r="I75" s="130">
        <v>0</v>
      </c>
      <c r="J75" s="130"/>
      <c r="K75" s="130"/>
      <c r="L75" s="143">
        <f>CATEGORIAS[[#This Row],[ADICIONALES]]+CATEGORIAS[[#This Row],[POM]]</f>
        <v>624349.43999999994</v>
      </c>
      <c r="M75" s="131">
        <v>134895.288</v>
      </c>
      <c r="N75" s="227">
        <v>0</v>
      </c>
      <c r="O75" s="296">
        <f>CATEGORIAS[[#This Row],[PRODUCCION
PARTIDAS
ORIGINALES
ACTUAL]]+CATEGORIAS[[#This Row],[PRODUCCION
ADICIONALES
ACTUAL]]</f>
        <v>134895.288</v>
      </c>
      <c r="P75" s="227">
        <v>115022.68799999999</v>
      </c>
      <c r="Q75" s="227">
        <v>0</v>
      </c>
      <c r="R75" s="297">
        <f>CATEGORIAS[[#This Row],[PRODUCCION
ANTERIOR]]+CATEGORIAS[[#This Row],[PRODUCCION
ADICIONALES
ANTERIOR]]</f>
        <v>115022.68799999999</v>
      </c>
      <c r="S75" s="133">
        <v>0</v>
      </c>
      <c r="T75" s="133"/>
      <c r="U75" s="133"/>
      <c r="V75" s="296">
        <f>SUM(CATEGORIAS[[#This Row],[COSTO
ACUMULADO  AX]:[PROVISIONES]])</f>
        <v>0</v>
      </c>
      <c r="W75" s="298">
        <v>0</v>
      </c>
      <c r="X75" s="227"/>
      <c r="Y75" s="227"/>
      <c r="Z75" s="297">
        <f>SUM(CATEGORIAS[[#This Row],[COSTO ACUMULADO
ANTERIOR]:[PROVISIONES
ANTERIOR]])</f>
        <v>0</v>
      </c>
      <c r="AA75" s="139">
        <f>CATEGORIAS[[#This Row],[PRESUPUESTO
FINAL
PROYECTADO]]-CATEGORIAS[[#This Row],[TOTAL PRODUCCION
ACTUAL]]</f>
        <v>489454.15199999994</v>
      </c>
      <c r="AB75" s="227">
        <v>0</v>
      </c>
      <c r="AC75" s="132"/>
      <c r="AD75" s="132">
        <v>624349.43999999994</v>
      </c>
      <c r="AE75" s="226">
        <f>SUM(CATEGORIAS[[#This Row],[INVENTARIO]:[PROYECCION
DE COSTO
DEL SALDO]])</f>
        <v>624349.43999999994</v>
      </c>
      <c r="AF75" s="132"/>
      <c r="AG75" s="132">
        <f>+CATEGORIAS[[#This Row],[PRESUPUESTO
FINAL
PROYECTADO]]-CATEGORIAS[[#This Row],[COSTO REAL]]-CATEGORIAS[[#This Row],[PROYECCION
TOTAL DE COSTO]]</f>
        <v>0</v>
      </c>
    </row>
    <row r="76" spans="1:33" x14ac:dyDescent="0.25">
      <c r="A76" s="274" t="str">
        <f>+IFERROR(VLOOKUP(CATEGORIAS[[#This Row],[CATEGORIA2]],[1]HOMOLOGACION!$A$1:$I$571,9,FALSE),0)</f>
        <v>0B02</v>
      </c>
      <c r="B76" s="274" t="str">
        <f>+IFERROR(VLOOKUP(CATEGORIAS[[#This Row],[CATEGORIA2]],[1]HOMOLOGACION!$A$1:$C$571,3,FALSE),0)</f>
        <v>0B02</v>
      </c>
      <c r="C76" s="274" t="str">
        <f>+IFERROR(VLOOKUP(CATEGORIAS[[#This Row],[CATEGORIA2]],[1]HOMOLOGACION!$A$1:$D$571,4,FALSE),0)</f>
        <v xml:space="preserve">Estructura </v>
      </c>
      <c r="D76" s="144" t="s">
        <v>1795</v>
      </c>
      <c r="E76" s="273" t="s">
        <v>505</v>
      </c>
      <c r="F76" s="275" t="s">
        <v>361</v>
      </c>
      <c r="G76" s="313">
        <v>0</v>
      </c>
      <c r="H76" s="313">
        <v>0</v>
      </c>
      <c r="I76" s="130">
        <v>0</v>
      </c>
      <c r="J76" s="130"/>
      <c r="K76" s="130"/>
      <c r="L76" s="143">
        <f>CATEGORIAS[[#This Row],[ADICIONALES]]+CATEGORIAS[[#This Row],[POM]]</f>
        <v>0</v>
      </c>
      <c r="M76" s="131">
        <v>0</v>
      </c>
      <c r="N76" s="227">
        <v>0</v>
      </c>
      <c r="O76" s="296">
        <f>CATEGORIAS[[#This Row],[PRODUCCION
PARTIDAS
ORIGINALES
ACTUAL]]+CATEGORIAS[[#This Row],[PRODUCCION
ADICIONALES
ACTUAL]]</f>
        <v>0</v>
      </c>
      <c r="P76" s="227">
        <v>0</v>
      </c>
      <c r="Q76" s="227">
        <v>0</v>
      </c>
      <c r="R76" s="297">
        <f>CATEGORIAS[[#This Row],[PRODUCCION
ANTERIOR]]+CATEGORIAS[[#This Row],[PRODUCCION
ADICIONALES
ANTERIOR]]</f>
        <v>0</v>
      </c>
      <c r="S76" s="133">
        <v>0</v>
      </c>
      <c r="T76" s="133"/>
      <c r="U76" s="133"/>
      <c r="V76" s="296">
        <f>SUM(CATEGORIAS[[#This Row],[COSTO
ACUMULADO  AX]:[PROVISIONES]])</f>
        <v>0</v>
      </c>
      <c r="W76" s="298">
        <v>0</v>
      </c>
      <c r="X76" s="227"/>
      <c r="Y76" s="227"/>
      <c r="Z76" s="297">
        <f>SUM(CATEGORIAS[[#This Row],[COSTO ACUMULADO
ANTERIOR]:[PROVISIONES
ANTERIOR]])</f>
        <v>0</v>
      </c>
      <c r="AA76" s="139">
        <f>CATEGORIAS[[#This Row],[PRESUPUESTO
FINAL
PROYECTADO]]-CATEGORIAS[[#This Row],[TOTAL PRODUCCION
ACTUAL]]</f>
        <v>0</v>
      </c>
      <c r="AB76" s="227">
        <v>0</v>
      </c>
      <c r="AC76" s="132"/>
      <c r="AD76" s="132"/>
      <c r="AE76" s="226">
        <f>SUM(CATEGORIAS[[#This Row],[INVENTARIO]:[PROYECCION
DE COSTO
DEL SALDO]])</f>
        <v>0</v>
      </c>
      <c r="AF76" s="132"/>
      <c r="AG76" s="132">
        <f>+CATEGORIAS[[#This Row],[PRESUPUESTO
FINAL
PROYECTADO]]-CATEGORIAS[[#This Row],[COSTO REAL]]-CATEGORIAS[[#This Row],[PROYECCION
TOTAL DE COSTO]]</f>
        <v>0</v>
      </c>
    </row>
    <row r="77" spans="1:33" x14ac:dyDescent="0.25">
      <c r="A77" s="274" t="str">
        <f>+IFERROR(VLOOKUP(CATEGORIAS[[#This Row],[CATEGORIA2]],[1]HOMOLOGACION!$A$1:$I$571,9,FALSE),0)</f>
        <v>0B02</v>
      </c>
      <c r="B77" s="274" t="str">
        <f>+IFERROR(VLOOKUP(CATEGORIAS[[#This Row],[CATEGORIA2]],[1]HOMOLOGACION!$A$1:$C$571,3,FALSE),0)</f>
        <v>0B02</v>
      </c>
      <c r="C77" s="274" t="str">
        <f>+IFERROR(VLOOKUP(CATEGORIAS[[#This Row],[CATEGORIA2]],[1]HOMOLOGACION!$A$1:$D$571,4,FALSE),0)</f>
        <v xml:space="preserve">Estructura </v>
      </c>
      <c r="D77" s="144" t="s">
        <v>1796</v>
      </c>
      <c r="E77" s="273" t="s">
        <v>507</v>
      </c>
      <c r="F77" s="275" t="s">
        <v>364</v>
      </c>
      <c r="G77" s="313">
        <v>6764534.7604999999</v>
      </c>
      <c r="H77" s="313">
        <v>6764534.7604999999</v>
      </c>
      <c r="I77" s="130">
        <v>0</v>
      </c>
      <c r="J77" s="130"/>
      <c r="K77" s="130"/>
      <c r="L77" s="143">
        <f>CATEGORIAS[[#This Row],[ADICIONALES]]+CATEGORIAS[[#This Row],[POM]]</f>
        <v>6764534.7604999999</v>
      </c>
      <c r="M77" s="131">
        <v>3022510.3851000001</v>
      </c>
      <c r="N77" s="227">
        <v>0</v>
      </c>
      <c r="O77" s="296">
        <f>CATEGORIAS[[#This Row],[PRODUCCION
PARTIDAS
ORIGINALES
ACTUAL]]+CATEGORIAS[[#This Row],[PRODUCCION
ADICIONALES
ACTUAL]]</f>
        <v>3022510.3851000001</v>
      </c>
      <c r="P77" s="227">
        <v>2095103.1268</v>
      </c>
      <c r="Q77" s="132">
        <v>0</v>
      </c>
      <c r="R77" s="297">
        <f>CATEGORIAS[[#This Row],[PRODUCCION
ANTERIOR]]+CATEGORIAS[[#This Row],[PRODUCCION
ADICIONALES
ANTERIOR]]</f>
        <v>2095103.1268</v>
      </c>
      <c r="S77" s="133">
        <v>388439</v>
      </c>
      <c r="T77" s="133"/>
      <c r="U77" s="133"/>
      <c r="V77" s="296">
        <f>SUM(CATEGORIAS[[#This Row],[COSTO
ACUMULADO  AX]:[PROVISIONES]])</f>
        <v>388439</v>
      </c>
      <c r="W77" s="298">
        <v>0</v>
      </c>
      <c r="X77" s="227"/>
      <c r="Y77" s="227"/>
      <c r="Z77" s="297">
        <f>SUM(CATEGORIAS[[#This Row],[COSTO ACUMULADO
ANTERIOR]:[PROVISIONES
ANTERIOR]])</f>
        <v>0</v>
      </c>
      <c r="AA77" s="139">
        <f>CATEGORIAS[[#This Row],[PRESUPUESTO
FINAL
PROYECTADO]]-CATEGORIAS[[#This Row],[TOTAL PRODUCCION
ACTUAL]]</f>
        <v>3742024.3753999998</v>
      </c>
      <c r="AB77" s="227">
        <v>433500</v>
      </c>
      <c r="AC77" s="132"/>
      <c r="AD77" s="132">
        <v>5942595.7604999999</v>
      </c>
      <c r="AE77" s="226">
        <f>SUM(CATEGORIAS[[#This Row],[INVENTARIO]:[PROYECCION
DE COSTO
DEL SALDO]])</f>
        <v>6376095.7604999999</v>
      </c>
      <c r="AF77" s="132"/>
      <c r="AG77" s="132">
        <f>+CATEGORIAS[[#This Row],[PRESUPUESTO
FINAL
PROYECTADO]]-CATEGORIAS[[#This Row],[COSTO REAL]]-CATEGORIAS[[#This Row],[PROYECCION
TOTAL DE COSTO]]</f>
        <v>0</v>
      </c>
    </row>
    <row r="78" spans="1:33" x14ac:dyDescent="0.25">
      <c r="A78" s="274" t="str">
        <f>+IFERROR(VLOOKUP(CATEGORIAS[[#This Row],[CATEGORIA2]],[1]HOMOLOGACION!$A$1:$I$571,9,FALSE),0)</f>
        <v>0B02</v>
      </c>
      <c r="B78" s="274" t="str">
        <f>+IFERROR(VLOOKUP(CATEGORIAS[[#This Row],[CATEGORIA2]],[1]HOMOLOGACION!$A$1:$C$571,3,FALSE),0)</f>
        <v>0B02</v>
      </c>
      <c r="C78" s="274" t="str">
        <f>+IFERROR(VLOOKUP(CATEGORIAS[[#This Row],[CATEGORIA2]],[1]HOMOLOGACION!$A$1:$D$571,4,FALSE),0)</f>
        <v xml:space="preserve">Estructura </v>
      </c>
      <c r="D78" s="144" t="s">
        <v>1797</v>
      </c>
      <c r="E78" s="273" t="s">
        <v>509</v>
      </c>
      <c r="F78" s="275" t="s">
        <v>361</v>
      </c>
      <c r="G78" s="313">
        <v>0</v>
      </c>
      <c r="H78" s="313">
        <v>0</v>
      </c>
      <c r="I78" s="130">
        <v>0</v>
      </c>
      <c r="J78" s="130"/>
      <c r="K78" s="130"/>
      <c r="L78" s="143">
        <f>CATEGORIAS[[#This Row],[ADICIONALES]]+CATEGORIAS[[#This Row],[POM]]</f>
        <v>0</v>
      </c>
      <c r="M78" s="131">
        <v>0</v>
      </c>
      <c r="N78" s="227">
        <v>0</v>
      </c>
      <c r="O78" s="296">
        <f>CATEGORIAS[[#This Row],[PRODUCCION
PARTIDAS
ORIGINALES
ACTUAL]]+CATEGORIAS[[#This Row],[PRODUCCION
ADICIONALES
ACTUAL]]</f>
        <v>0</v>
      </c>
      <c r="P78" s="227">
        <v>0</v>
      </c>
      <c r="Q78" s="227">
        <v>0</v>
      </c>
      <c r="R78" s="297">
        <f>CATEGORIAS[[#This Row],[PRODUCCION
ANTERIOR]]+CATEGORIAS[[#This Row],[PRODUCCION
ADICIONALES
ANTERIOR]]</f>
        <v>0</v>
      </c>
      <c r="S78" s="133">
        <v>0</v>
      </c>
      <c r="T78" s="133"/>
      <c r="U78" s="133"/>
      <c r="V78" s="296">
        <f>SUM(CATEGORIAS[[#This Row],[COSTO
ACUMULADO  AX]:[PROVISIONES]])</f>
        <v>0</v>
      </c>
      <c r="W78" s="298">
        <v>0</v>
      </c>
      <c r="X78" s="227"/>
      <c r="Y78" s="227"/>
      <c r="Z78" s="297">
        <f>SUM(CATEGORIAS[[#This Row],[COSTO ACUMULADO
ANTERIOR]:[PROVISIONES
ANTERIOR]])</f>
        <v>0</v>
      </c>
      <c r="AA78" s="139">
        <f>CATEGORIAS[[#This Row],[PRESUPUESTO
FINAL
PROYECTADO]]-CATEGORIAS[[#This Row],[TOTAL PRODUCCION
ACTUAL]]</f>
        <v>0</v>
      </c>
      <c r="AB78" s="227">
        <v>0</v>
      </c>
      <c r="AC78" s="132"/>
      <c r="AD78" s="132"/>
      <c r="AE78" s="226">
        <f>SUM(CATEGORIAS[[#This Row],[INVENTARIO]:[PROYECCION
DE COSTO
DEL SALDO]])</f>
        <v>0</v>
      </c>
      <c r="AF78" s="132"/>
      <c r="AG78" s="132">
        <f>+CATEGORIAS[[#This Row],[PRESUPUESTO
FINAL
PROYECTADO]]-CATEGORIAS[[#This Row],[COSTO REAL]]-CATEGORIAS[[#This Row],[PROYECCION
TOTAL DE COSTO]]</f>
        <v>0</v>
      </c>
    </row>
    <row r="79" spans="1:33" x14ac:dyDescent="0.25">
      <c r="A79" s="274" t="str">
        <f>+IFERROR(VLOOKUP(CATEGORIAS[[#This Row],[CATEGORIA2]],[1]HOMOLOGACION!$A$1:$I$571,9,FALSE),0)</f>
        <v>0B02</v>
      </c>
      <c r="B79" s="274" t="str">
        <f>+IFERROR(VLOOKUP(CATEGORIAS[[#This Row],[CATEGORIA2]],[1]HOMOLOGACION!$A$1:$C$571,3,FALSE),0)</f>
        <v>0B02</v>
      </c>
      <c r="C79" s="274" t="str">
        <f>+IFERROR(VLOOKUP(CATEGORIAS[[#This Row],[CATEGORIA2]],[1]HOMOLOGACION!$A$1:$D$571,4,FALSE),0)</f>
        <v xml:space="preserve">Estructura </v>
      </c>
      <c r="D79" s="144" t="s">
        <v>1798</v>
      </c>
      <c r="E79" s="273" t="s">
        <v>511</v>
      </c>
      <c r="F79" s="275" t="s">
        <v>364</v>
      </c>
      <c r="G79" s="313">
        <v>21717444</v>
      </c>
      <c r="H79" s="313">
        <v>21717444</v>
      </c>
      <c r="I79" s="130">
        <v>0</v>
      </c>
      <c r="J79" s="130"/>
      <c r="K79" s="130"/>
      <c r="L79" s="143">
        <f>CATEGORIAS[[#This Row],[ADICIONALES]]+CATEGORIAS[[#This Row],[POM]]</f>
        <v>21717444</v>
      </c>
      <c r="M79" s="131">
        <v>0</v>
      </c>
      <c r="N79" s="227">
        <v>0</v>
      </c>
      <c r="O79" s="296">
        <f>CATEGORIAS[[#This Row],[PRODUCCION
PARTIDAS
ORIGINALES
ACTUAL]]+CATEGORIAS[[#This Row],[PRODUCCION
ADICIONALES
ACTUAL]]</f>
        <v>0</v>
      </c>
      <c r="P79" s="227">
        <v>0</v>
      </c>
      <c r="Q79" s="227">
        <v>0</v>
      </c>
      <c r="R79" s="297">
        <f>CATEGORIAS[[#This Row],[PRODUCCION
ANTERIOR]]+CATEGORIAS[[#This Row],[PRODUCCION
ADICIONALES
ANTERIOR]]</f>
        <v>0</v>
      </c>
      <c r="S79" s="133">
        <v>0</v>
      </c>
      <c r="T79" s="133"/>
      <c r="U79" s="133"/>
      <c r="V79" s="296">
        <f>SUM(CATEGORIAS[[#This Row],[COSTO
ACUMULADO  AX]:[PROVISIONES]])</f>
        <v>0</v>
      </c>
      <c r="W79" s="298">
        <v>0</v>
      </c>
      <c r="X79" s="227"/>
      <c r="Y79" s="227"/>
      <c r="Z79" s="297">
        <f>SUM(CATEGORIAS[[#This Row],[COSTO ACUMULADO
ANTERIOR]:[PROVISIONES
ANTERIOR]])</f>
        <v>0</v>
      </c>
      <c r="AA79" s="139">
        <f>CATEGORIAS[[#This Row],[PRESUPUESTO
FINAL
PROYECTADO]]-CATEGORIAS[[#This Row],[TOTAL PRODUCCION
ACTUAL]]</f>
        <v>21717444</v>
      </c>
      <c r="AB79" s="227">
        <v>0</v>
      </c>
      <c r="AC79" s="132"/>
      <c r="AD79" s="132">
        <v>21717444</v>
      </c>
      <c r="AE79" s="226">
        <f>SUM(CATEGORIAS[[#This Row],[INVENTARIO]:[PROYECCION
DE COSTO
DEL SALDO]])</f>
        <v>21717444</v>
      </c>
      <c r="AF79" s="132"/>
      <c r="AG79" s="132">
        <f>+CATEGORIAS[[#This Row],[PRESUPUESTO
FINAL
PROYECTADO]]-CATEGORIAS[[#This Row],[COSTO REAL]]-CATEGORIAS[[#This Row],[PROYECCION
TOTAL DE COSTO]]</f>
        <v>0</v>
      </c>
    </row>
    <row r="80" spans="1:33" x14ac:dyDescent="0.25">
      <c r="A80" s="274" t="str">
        <f>+IFERROR(VLOOKUP(CATEGORIAS[[#This Row],[CATEGORIA2]],[1]HOMOLOGACION!$A$1:$I$571,9,FALSE),0)</f>
        <v>0B02</v>
      </c>
      <c r="B80" s="274" t="str">
        <f>+IFERROR(VLOOKUP(CATEGORIAS[[#This Row],[CATEGORIA2]],[1]HOMOLOGACION!$A$1:$C$571,3,FALSE),0)</f>
        <v>0B02</v>
      </c>
      <c r="C80" s="274" t="str">
        <f>+IFERROR(VLOOKUP(CATEGORIAS[[#This Row],[CATEGORIA2]],[1]HOMOLOGACION!$A$1:$D$571,4,FALSE),0)</f>
        <v xml:space="preserve">Estructura </v>
      </c>
      <c r="D80" s="144" t="s">
        <v>1799</v>
      </c>
      <c r="E80" s="273" t="s">
        <v>513</v>
      </c>
      <c r="F80" s="275" t="s">
        <v>361</v>
      </c>
      <c r="G80" s="313">
        <v>0</v>
      </c>
      <c r="H80" s="313">
        <v>0</v>
      </c>
      <c r="I80" s="130">
        <v>0</v>
      </c>
      <c r="J80" s="130"/>
      <c r="K80" s="130"/>
      <c r="L80" s="143">
        <f>CATEGORIAS[[#This Row],[ADICIONALES]]+CATEGORIAS[[#This Row],[POM]]</f>
        <v>0</v>
      </c>
      <c r="M80" s="131">
        <v>0</v>
      </c>
      <c r="N80" s="227">
        <v>0</v>
      </c>
      <c r="O80" s="296">
        <f>CATEGORIAS[[#This Row],[PRODUCCION
PARTIDAS
ORIGINALES
ACTUAL]]+CATEGORIAS[[#This Row],[PRODUCCION
ADICIONALES
ACTUAL]]</f>
        <v>0</v>
      </c>
      <c r="P80" s="227">
        <v>0</v>
      </c>
      <c r="Q80" s="227">
        <v>0</v>
      </c>
      <c r="R80" s="297">
        <f>CATEGORIAS[[#This Row],[PRODUCCION
ANTERIOR]]+CATEGORIAS[[#This Row],[PRODUCCION
ADICIONALES
ANTERIOR]]</f>
        <v>0</v>
      </c>
      <c r="S80" s="133">
        <v>0</v>
      </c>
      <c r="T80" s="133"/>
      <c r="U80" s="133"/>
      <c r="V80" s="296">
        <f>SUM(CATEGORIAS[[#This Row],[COSTO
ACUMULADO  AX]:[PROVISIONES]])</f>
        <v>0</v>
      </c>
      <c r="W80" s="298">
        <v>0</v>
      </c>
      <c r="X80" s="227"/>
      <c r="Y80" s="227"/>
      <c r="Z80" s="297">
        <f>SUM(CATEGORIAS[[#This Row],[COSTO ACUMULADO
ANTERIOR]:[PROVISIONES
ANTERIOR]])</f>
        <v>0</v>
      </c>
      <c r="AA80" s="139">
        <f>CATEGORIAS[[#This Row],[PRESUPUESTO
FINAL
PROYECTADO]]-CATEGORIAS[[#This Row],[TOTAL PRODUCCION
ACTUAL]]</f>
        <v>0</v>
      </c>
      <c r="AB80" s="227">
        <v>0</v>
      </c>
      <c r="AC80" s="132"/>
      <c r="AD80" s="132"/>
      <c r="AE80" s="226">
        <f>SUM(CATEGORIAS[[#This Row],[INVENTARIO]:[PROYECCION
DE COSTO
DEL SALDO]])</f>
        <v>0</v>
      </c>
      <c r="AF80" s="132"/>
      <c r="AG80" s="132">
        <f>+CATEGORIAS[[#This Row],[PRESUPUESTO
FINAL
PROYECTADO]]-CATEGORIAS[[#This Row],[COSTO REAL]]-CATEGORIAS[[#This Row],[PROYECCION
TOTAL DE COSTO]]</f>
        <v>0</v>
      </c>
    </row>
    <row r="81" spans="1:33" x14ac:dyDescent="0.25">
      <c r="A81" s="274" t="str">
        <f>+IFERROR(VLOOKUP(CATEGORIAS[[#This Row],[CATEGORIA2]],[1]HOMOLOGACION!$A$1:$I$571,9,FALSE),0)</f>
        <v>0B02</v>
      </c>
      <c r="B81" s="274" t="str">
        <f>+IFERROR(VLOOKUP(CATEGORIAS[[#This Row],[CATEGORIA2]],[1]HOMOLOGACION!$A$1:$C$571,3,FALSE),0)</f>
        <v>0B02</v>
      </c>
      <c r="C81" s="274" t="str">
        <f>+IFERROR(VLOOKUP(CATEGORIAS[[#This Row],[CATEGORIA2]],[1]HOMOLOGACION!$A$1:$D$571,4,FALSE),0)</f>
        <v xml:space="preserve">Estructura </v>
      </c>
      <c r="D81" s="144" t="s">
        <v>1800</v>
      </c>
      <c r="E81" s="273" t="s">
        <v>515</v>
      </c>
      <c r="F81" s="275" t="s">
        <v>364</v>
      </c>
      <c r="G81" s="313">
        <v>7942962.7520000003</v>
      </c>
      <c r="H81" s="313">
        <v>7942962.7520000003</v>
      </c>
      <c r="I81" s="130">
        <v>31204.185521633648</v>
      </c>
      <c r="J81" s="130"/>
      <c r="K81" s="130"/>
      <c r="L81" s="143">
        <f>CATEGORIAS[[#This Row],[ADICIONALES]]+CATEGORIAS[[#This Row],[POM]]</f>
        <v>7974166.9375216337</v>
      </c>
      <c r="M81" s="131">
        <v>3495611.9919999996</v>
      </c>
      <c r="N81" s="227">
        <v>19435.155521633649</v>
      </c>
      <c r="O81" s="296">
        <f>CATEGORIAS[[#This Row],[PRODUCCION
PARTIDAS
ORIGINALES
ACTUAL]]+CATEGORIAS[[#This Row],[PRODUCCION
ADICIONALES
ACTUAL]]</f>
        <v>3515047.1475216332</v>
      </c>
      <c r="P81" s="227">
        <v>2409357.3319999995</v>
      </c>
      <c r="Q81" s="227">
        <v>27279.986667455803</v>
      </c>
      <c r="R81" s="297">
        <f>CATEGORIAS[[#This Row],[PRODUCCION
ANTERIOR]]+CATEGORIAS[[#This Row],[PRODUCCION
ADICIONALES
ANTERIOR]]</f>
        <v>2436637.3186674551</v>
      </c>
      <c r="S81" s="133">
        <v>1398889</v>
      </c>
      <c r="T81" s="133">
        <f>430065+200000</f>
        <v>630065</v>
      </c>
      <c r="U81" s="133">
        <v>183926</v>
      </c>
      <c r="V81" s="296">
        <f>SUM(CATEGORIAS[[#This Row],[COSTO
ACUMULADO  AX]:[PROVISIONES]])</f>
        <v>2212880</v>
      </c>
      <c r="W81" s="298">
        <v>53800</v>
      </c>
      <c r="X81" s="227">
        <v>430065</v>
      </c>
      <c r="Y81" s="227">
        <v>200000</v>
      </c>
      <c r="Z81" s="297">
        <f>SUM(CATEGORIAS[[#This Row],[COSTO ACUMULADO
ANTERIOR]:[PROVISIONES
ANTERIOR]])</f>
        <v>683865</v>
      </c>
      <c r="AA81" s="139">
        <f>CATEGORIAS[[#This Row],[PRESUPUESTO
FINAL
PROYECTADO]]-CATEGORIAS[[#This Row],[TOTAL PRODUCCION
ACTUAL]]</f>
        <v>4459119.790000001</v>
      </c>
      <c r="AB81" s="227">
        <v>176182</v>
      </c>
      <c r="AC81" s="132"/>
      <c r="AD81" s="132">
        <v>5585104.9375216337</v>
      </c>
      <c r="AE81" s="226">
        <f>SUM(CATEGORIAS[[#This Row],[INVENTARIO]:[PROYECCION
DE COSTO
DEL SALDO]])</f>
        <v>5761286.9375216337</v>
      </c>
      <c r="AF81" s="132"/>
      <c r="AG81" s="132">
        <f>+CATEGORIAS[[#This Row],[PRESUPUESTO
FINAL
PROYECTADO]]-CATEGORIAS[[#This Row],[COSTO REAL]]-CATEGORIAS[[#This Row],[PROYECCION
TOTAL DE COSTO]]</f>
        <v>0</v>
      </c>
    </row>
    <row r="82" spans="1:33" x14ac:dyDescent="0.25">
      <c r="A82" s="274" t="str">
        <f>+IFERROR(VLOOKUP(CATEGORIAS[[#This Row],[CATEGORIA2]],[1]HOMOLOGACION!$A$1:$I$571,9,FALSE),0)</f>
        <v>0B02</v>
      </c>
      <c r="B82" s="274" t="str">
        <f>+IFERROR(VLOOKUP(CATEGORIAS[[#This Row],[CATEGORIA2]],[1]HOMOLOGACION!$A$1:$C$571,3,FALSE),0)</f>
        <v>0B02</v>
      </c>
      <c r="C82" s="274" t="str">
        <f>+IFERROR(VLOOKUP(CATEGORIAS[[#This Row],[CATEGORIA2]],[1]HOMOLOGACION!$A$1:$D$571,4,FALSE),0)</f>
        <v xml:space="preserve">Estructura </v>
      </c>
      <c r="D82" s="144" t="s">
        <v>1801</v>
      </c>
      <c r="E82" s="273" t="s">
        <v>517</v>
      </c>
      <c r="F82" s="275" t="s">
        <v>361</v>
      </c>
      <c r="G82" s="313">
        <v>0</v>
      </c>
      <c r="H82" s="313">
        <v>0</v>
      </c>
      <c r="I82" s="130">
        <v>0</v>
      </c>
      <c r="J82" s="130"/>
      <c r="K82" s="130"/>
      <c r="L82" s="143">
        <f>CATEGORIAS[[#This Row],[ADICIONALES]]+CATEGORIAS[[#This Row],[POM]]</f>
        <v>0</v>
      </c>
      <c r="M82" s="131">
        <v>0</v>
      </c>
      <c r="N82" s="227">
        <v>0</v>
      </c>
      <c r="O82" s="296">
        <f>CATEGORIAS[[#This Row],[PRODUCCION
PARTIDAS
ORIGINALES
ACTUAL]]+CATEGORIAS[[#This Row],[PRODUCCION
ADICIONALES
ACTUAL]]</f>
        <v>0</v>
      </c>
      <c r="P82" s="227">
        <v>0</v>
      </c>
      <c r="Q82" s="132">
        <v>0</v>
      </c>
      <c r="R82" s="297">
        <f>CATEGORIAS[[#This Row],[PRODUCCION
ANTERIOR]]+CATEGORIAS[[#This Row],[PRODUCCION
ADICIONALES
ANTERIOR]]</f>
        <v>0</v>
      </c>
      <c r="S82" s="133">
        <v>0</v>
      </c>
      <c r="T82" s="133"/>
      <c r="U82" s="133"/>
      <c r="V82" s="296">
        <f>SUM(CATEGORIAS[[#This Row],[COSTO
ACUMULADO  AX]:[PROVISIONES]])</f>
        <v>0</v>
      </c>
      <c r="W82" s="298">
        <v>0</v>
      </c>
      <c r="X82" s="227"/>
      <c r="Y82" s="227"/>
      <c r="Z82" s="297">
        <f>SUM(CATEGORIAS[[#This Row],[COSTO ACUMULADO
ANTERIOR]:[PROVISIONES
ANTERIOR]])</f>
        <v>0</v>
      </c>
      <c r="AA82" s="139">
        <f>CATEGORIAS[[#This Row],[PRESUPUESTO
FINAL
PROYECTADO]]-CATEGORIAS[[#This Row],[TOTAL PRODUCCION
ACTUAL]]</f>
        <v>0</v>
      </c>
      <c r="AB82" s="227">
        <v>0</v>
      </c>
      <c r="AC82" s="132"/>
      <c r="AD82" s="132"/>
      <c r="AE82" s="226">
        <f>SUM(CATEGORIAS[[#This Row],[INVENTARIO]:[PROYECCION
DE COSTO
DEL SALDO]])</f>
        <v>0</v>
      </c>
      <c r="AF82" s="132"/>
      <c r="AG82" s="132">
        <f>+CATEGORIAS[[#This Row],[PRESUPUESTO
FINAL
PROYECTADO]]-CATEGORIAS[[#This Row],[COSTO REAL]]-CATEGORIAS[[#This Row],[PROYECCION
TOTAL DE COSTO]]</f>
        <v>0</v>
      </c>
    </row>
    <row r="83" spans="1:33" x14ac:dyDescent="0.25">
      <c r="A83" s="274" t="str">
        <f>+IFERROR(VLOOKUP(CATEGORIAS[[#This Row],[CATEGORIA2]],[1]HOMOLOGACION!$A$1:$I$571,9,FALSE),0)</f>
        <v>0C02</v>
      </c>
      <c r="B83" s="274" t="str">
        <f>+IFERROR(VLOOKUP(CATEGORIAS[[#This Row],[CATEGORIA2]],[1]HOMOLOGACION!$A$1:$C$571,3,FALSE),0)</f>
        <v>0B04</v>
      </c>
      <c r="C83" s="274" t="str">
        <f>+IFERROR(VLOOKUP(CATEGORIAS[[#This Row],[CATEGORIA2]],[1]HOMOLOGACION!$A$1:$D$571,4,FALSE),0)</f>
        <v xml:space="preserve">Mecánica </v>
      </c>
      <c r="D83" s="144" t="s">
        <v>1802</v>
      </c>
      <c r="E83" s="273" t="s">
        <v>519</v>
      </c>
      <c r="F83" s="275" t="s">
        <v>364</v>
      </c>
      <c r="G83" s="313">
        <v>23157922.0612</v>
      </c>
      <c r="H83" s="313">
        <v>23157922.0612</v>
      </c>
      <c r="I83" s="130">
        <v>226873.20348</v>
      </c>
      <c r="J83" s="130"/>
      <c r="K83" s="130"/>
      <c r="L83" s="143">
        <f>CATEGORIAS[[#This Row],[ADICIONALES]]+CATEGORIAS[[#This Row],[POM]]</f>
        <v>23384795.264680002</v>
      </c>
      <c r="M83" s="131">
        <v>13985849.712400001</v>
      </c>
      <c r="N83" s="227">
        <v>226873.20348</v>
      </c>
      <c r="O83" s="296">
        <f>CATEGORIAS[[#This Row],[PRODUCCION
PARTIDAS
ORIGINALES
ACTUAL]]+CATEGORIAS[[#This Row],[PRODUCCION
ADICIONALES
ACTUAL]]</f>
        <v>14212722.91588</v>
      </c>
      <c r="P83" s="227">
        <v>7797780.1404999997</v>
      </c>
      <c r="Q83" s="227">
        <v>0</v>
      </c>
      <c r="R83" s="297">
        <f>CATEGORIAS[[#This Row],[PRODUCCION
ANTERIOR]]+CATEGORIAS[[#This Row],[PRODUCCION
ADICIONALES
ANTERIOR]]</f>
        <v>7797780.1404999997</v>
      </c>
      <c r="S83" s="133">
        <v>5900348</v>
      </c>
      <c r="T83" s="133"/>
      <c r="U83" s="133"/>
      <c r="V83" s="296">
        <f>SUM(CATEGORIAS[[#This Row],[COSTO
ACUMULADO  AX]:[PROVISIONES]])</f>
        <v>5900348</v>
      </c>
      <c r="W83" s="298">
        <v>2171890</v>
      </c>
      <c r="X83" s="227"/>
      <c r="Y83" s="227"/>
      <c r="Z83" s="297">
        <f>SUM(CATEGORIAS[[#This Row],[COSTO ACUMULADO
ANTERIOR]:[PROVISIONES
ANTERIOR]])</f>
        <v>2171890</v>
      </c>
      <c r="AA83" s="139">
        <f>CATEGORIAS[[#This Row],[PRESUPUESTO
FINAL
PROYECTADO]]-CATEGORIAS[[#This Row],[TOTAL PRODUCCION
ACTUAL]]</f>
        <v>9172072.3488000017</v>
      </c>
      <c r="AB83" s="227">
        <v>182162</v>
      </c>
      <c r="AC83" s="132"/>
      <c r="AD83" s="132">
        <v>17302285.264680002</v>
      </c>
      <c r="AE83" s="226">
        <f>SUM(CATEGORIAS[[#This Row],[INVENTARIO]:[PROYECCION
DE COSTO
DEL SALDO]])</f>
        <v>17484447.264680002</v>
      </c>
      <c r="AF83" s="132"/>
      <c r="AG83" s="132">
        <f>+CATEGORIAS[[#This Row],[PRESUPUESTO
FINAL
PROYECTADO]]-CATEGORIAS[[#This Row],[COSTO REAL]]-CATEGORIAS[[#This Row],[PROYECCION
TOTAL DE COSTO]]</f>
        <v>0</v>
      </c>
    </row>
    <row r="84" spans="1:33" x14ac:dyDescent="0.25">
      <c r="A84" s="274" t="str">
        <f>+IFERROR(VLOOKUP(CATEGORIAS[[#This Row],[CATEGORIA2]],[1]HOMOLOGACION!$A$1:$I$571,9,FALSE),0)</f>
        <v>0C02</v>
      </c>
      <c r="B84" s="274" t="str">
        <f>+IFERROR(VLOOKUP(CATEGORIAS[[#This Row],[CATEGORIA2]],[1]HOMOLOGACION!$A$1:$C$571,3,FALSE),0)</f>
        <v>0B04</v>
      </c>
      <c r="C84" s="274" t="str">
        <f>+IFERROR(VLOOKUP(CATEGORIAS[[#This Row],[CATEGORIA2]],[1]HOMOLOGACION!$A$1:$D$571,4,FALSE),0)</f>
        <v xml:space="preserve">Mecánica </v>
      </c>
      <c r="D84" s="144" t="s">
        <v>1803</v>
      </c>
      <c r="E84" s="273" t="s">
        <v>521</v>
      </c>
      <c r="F84" s="275" t="s">
        <v>361</v>
      </c>
      <c r="G84" s="313">
        <v>0</v>
      </c>
      <c r="H84" s="313">
        <v>0</v>
      </c>
      <c r="I84" s="130">
        <v>0</v>
      </c>
      <c r="J84" s="130"/>
      <c r="K84" s="130"/>
      <c r="L84" s="143">
        <f>CATEGORIAS[[#This Row],[ADICIONALES]]+CATEGORIAS[[#This Row],[POM]]</f>
        <v>0</v>
      </c>
      <c r="M84" s="131">
        <v>0</v>
      </c>
      <c r="N84" s="227">
        <v>0</v>
      </c>
      <c r="O84" s="296">
        <f>CATEGORIAS[[#This Row],[PRODUCCION
PARTIDAS
ORIGINALES
ACTUAL]]+CATEGORIAS[[#This Row],[PRODUCCION
ADICIONALES
ACTUAL]]</f>
        <v>0</v>
      </c>
      <c r="P84" s="227">
        <v>0</v>
      </c>
      <c r="Q84" s="132">
        <v>0</v>
      </c>
      <c r="R84" s="297">
        <f>CATEGORIAS[[#This Row],[PRODUCCION
ANTERIOR]]+CATEGORIAS[[#This Row],[PRODUCCION
ADICIONALES
ANTERIOR]]</f>
        <v>0</v>
      </c>
      <c r="S84" s="133">
        <v>0</v>
      </c>
      <c r="T84" s="133"/>
      <c r="U84" s="133"/>
      <c r="V84" s="296">
        <f>SUM(CATEGORIAS[[#This Row],[COSTO
ACUMULADO  AX]:[PROVISIONES]])</f>
        <v>0</v>
      </c>
      <c r="W84" s="298">
        <v>0</v>
      </c>
      <c r="X84" s="227"/>
      <c r="Y84" s="227"/>
      <c r="Z84" s="297">
        <f>SUM(CATEGORIAS[[#This Row],[COSTO ACUMULADO
ANTERIOR]:[PROVISIONES
ANTERIOR]])</f>
        <v>0</v>
      </c>
      <c r="AA84" s="139">
        <f>CATEGORIAS[[#This Row],[PRESUPUESTO
FINAL
PROYECTADO]]-CATEGORIAS[[#This Row],[TOTAL PRODUCCION
ACTUAL]]</f>
        <v>0</v>
      </c>
      <c r="AB84" s="227">
        <v>0</v>
      </c>
      <c r="AC84" s="132"/>
      <c r="AD84" s="132"/>
      <c r="AE84" s="226">
        <f>SUM(CATEGORIAS[[#This Row],[INVENTARIO]:[PROYECCION
DE COSTO
DEL SALDO]])</f>
        <v>0</v>
      </c>
      <c r="AF84" s="132"/>
      <c r="AG84" s="132">
        <f>+CATEGORIAS[[#This Row],[PRESUPUESTO
FINAL
PROYECTADO]]-CATEGORIAS[[#This Row],[COSTO REAL]]-CATEGORIAS[[#This Row],[PROYECCION
TOTAL DE COSTO]]</f>
        <v>0</v>
      </c>
    </row>
    <row r="85" spans="1:33" x14ac:dyDescent="0.25">
      <c r="A85" s="274" t="str">
        <f>+IFERROR(VLOOKUP(CATEGORIAS[[#This Row],[CATEGORIA2]],[1]HOMOLOGACION!$A$1:$I$571,9,FALSE),0)</f>
        <v>0C02</v>
      </c>
      <c r="B85" s="274" t="str">
        <f>+IFERROR(VLOOKUP(CATEGORIAS[[#This Row],[CATEGORIA2]],[1]HOMOLOGACION!$A$1:$C$571,3,FALSE),0)</f>
        <v>0B04</v>
      </c>
      <c r="C85" s="274" t="str">
        <f>+IFERROR(VLOOKUP(CATEGORIAS[[#This Row],[CATEGORIA2]],[1]HOMOLOGACION!$A$1:$D$571,4,FALSE),0)</f>
        <v xml:space="preserve">Mecánica </v>
      </c>
      <c r="D85" s="144" t="s">
        <v>1804</v>
      </c>
      <c r="E85" s="273" t="s">
        <v>523</v>
      </c>
      <c r="F85" s="275" t="s">
        <v>364</v>
      </c>
      <c r="G85" s="313">
        <v>17017646.699999999</v>
      </c>
      <c r="H85" s="313">
        <v>17017646.699999999</v>
      </c>
      <c r="I85" s="130">
        <v>0</v>
      </c>
      <c r="J85" s="130"/>
      <c r="K85" s="130"/>
      <c r="L85" s="143">
        <f>CATEGORIAS[[#This Row],[ADICIONALES]]+CATEGORIAS[[#This Row],[POM]]</f>
        <v>17017646.699999999</v>
      </c>
      <c r="M85" s="131">
        <v>1571247.5</v>
      </c>
      <c r="N85" s="227">
        <v>0</v>
      </c>
      <c r="O85" s="296">
        <f>CATEGORIAS[[#This Row],[PRODUCCION
PARTIDAS
ORIGINALES
ACTUAL]]+CATEGORIAS[[#This Row],[PRODUCCION
ADICIONALES
ACTUAL]]</f>
        <v>1571247.5</v>
      </c>
      <c r="P85" s="227">
        <v>0</v>
      </c>
      <c r="Q85" s="227">
        <v>0</v>
      </c>
      <c r="R85" s="297">
        <f>CATEGORIAS[[#This Row],[PRODUCCION
ANTERIOR]]+CATEGORIAS[[#This Row],[PRODUCCION
ADICIONALES
ANTERIOR]]</f>
        <v>0</v>
      </c>
      <c r="S85" s="133">
        <v>0</v>
      </c>
      <c r="T85" s="133">
        <v>1384796</v>
      </c>
      <c r="U85" s="133">
        <v>1409058</v>
      </c>
      <c r="V85" s="296">
        <f>SUM(CATEGORIAS[[#This Row],[COSTO
ACUMULADO  AX]:[PROVISIONES]])</f>
        <v>2793854</v>
      </c>
      <c r="W85" s="298">
        <v>0</v>
      </c>
      <c r="X85" s="227"/>
      <c r="Y85" s="227">
        <v>1384796</v>
      </c>
      <c r="Z85" s="297">
        <f>SUM(CATEGORIAS[[#This Row],[COSTO ACUMULADO
ANTERIOR]:[PROVISIONES
ANTERIOR]])</f>
        <v>1384796</v>
      </c>
      <c r="AA85" s="139">
        <f>CATEGORIAS[[#This Row],[PRESUPUESTO
FINAL
PROYECTADO]]-CATEGORIAS[[#This Row],[TOTAL PRODUCCION
ACTUAL]]</f>
        <v>15446399.199999999</v>
      </c>
      <c r="AB85" s="227">
        <v>0</v>
      </c>
      <c r="AC85" s="132"/>
      <c r="AD85" s="132">
        <v>14223792.699999999</v>
      </c>
      <c r="AE85" s="226">
        <f>SUM(CATEGORIAS[[#This Row],[INVENTARIO]:[PROYECCION
DE COSTO
DEL SALDO]])</f>
        <v>14223792.699999999</v>
      </c>
      <c r="AF85" s="132"/>
      <c r="AG85" s="132">
        <f>+CATEGORIAS[[#This Row],[PRESUPUESTO
FINAL
PROYECTADO]]-CATEGORIAS[[#This Row],[COSTO REAL]]-CATEGORIAS[[#This Row],[PROYECCION
TOTAL DE COSTO]]</f>
        <v>0</v>
      </c>
    </row>
    <row r="86" spans="1:33" x14ac:dyDescent="0.25">
      <c r="A86" s="274" t="str">
        <f>+IFERROR(VLOOKUP(CATEGORIAS[[#This Row],[CATEGORIA2]],[1]HOMOLOGACION!$A$1:$I$571,9,FALSE),0)</f>
        <v>0C02</v>
      </c>
      <c r="B86" s="274" t="str">
        <f>+IFERROR(VLOOKUP(CATEGORIAS[[#This Row],[CATEGORIA2]],[1]HOMOLOGACION!$A$1:$C$571,3,FALSE),0)</f>
        <v>0B04</v>
      </c>
      <c r="C86" s="274" t="str">
        <f>+IFERROR(VLOOKUP(CATEGORIAS[[#This Row],[CATEGORIA2]],[1]HOMOLOGACION!$A$1:$D$571,4,FALSE),0)</f>
        <v xml:space="preserve">Mecánica </v>
      </c>
      <c r="D86" s="144" t="s">
        <v>1805</v>
      </c>
      <c r="E86" s="273" t="s">
        <v>525</v>
      </c>
      <c r="F86" s="275" t="s">
        <v>361</v>
      </c>
      <c r="G86" s="313">
        <v>0</v>
      </c>
      <c r="H86" s="313">
        <v>0</v>
      </c>
      <c r="I86" s="130">
        <v>0</v>
      </c>
      <c r="J86" s="130"/>
      <c r="K86" s="130"/>
      <c r="L86" s="143">
        <f>CATEGORIAS[[#This Row],[ADICIONALES]]+CATEGORIAS[[#This Row],[POM]]</f>
        <v>0</v>
      </c>
      <c r="M86" s="131">
        <v>0</v>
      </c>
      <c r="N86" s="227">
        <v>0</v>
      </c>
      <c r="O86" s="296">
        <f>CATEGORIAS[[#This Row],[PRODUCCION
PARTIDAS
ORIGINALES
ACTUAL]]+CATEGORIAS[[#This Row],[PRODUCCION
ADICIONALES
ACTUAL]]</f>
        <v>0</v>
      </c>
      <c r="P86" s="227">
        <v>0</v>
      </c>
      <c r="Q86" s="227">
        <v>0</v>
      </c>
      <c r="R86" s="297">
        <f>CATEGORIAS[[#This Row],[PRODUCCION
ANTERIOR]]+CATEGORIAS[[#This Row],[PRODUCCION
ADICIONALES
ANTERIOR]]</f>
        <v>0</v>
      </c>
      <c r="S86" s="133">
        <v>0</v>
      </c>
      <c r="T86" s="133"/>
      <c r="U86" s="133"/>
      <c r="V86" s="296">
        <f>SUM(CATEGORIAS[[#This Row],[COSTO
ACUMULADO  AX]:[PROVISIONES]])</f>
        <v>0</v>
      </c>
      <c r="W86" s="298">
        <v>0</v>
      </c>
      <c r="X86" s="227"/>
      <c r="Y86" s="227"/>
      <c r="Z86" s="297">
        <f>SUM(CATEGORIAS[[#This Row],[COSTO ACUMULADO
ANTERIOR]:[PROVISIONES
ANTERIOR]])</f>
        <v>0</v>
      </c>
      <c r="AA86" s="139">
        <f>CATEGORIAS[[#This Row],[PRESUPUESTO
FINAL
PROYECTADO]]-CATEGORIAS[[#This Row],[TOTAL PRODUCCION
ACTUAL]]</f>
        <v>0</v>
      </c>
      <c r="AB86" s="227">
        <v>0</v>
      </c>
      <c r="AC86" s="132"/>
      <c r="AD86" s="132"/>
      <c r="AE86" s="226">
        <f>SUM(CATEGORIAS[[#This Row],[INVENTARIO]:[PROYECCION
DE COSTO
DEL SALDO]])</f>
        <v>0</v>
      </c>
      <c r="AF86" s="132"/>
      <c r="AG86" s="132">
        <f>+CATEGORIAS[[#This Row],[PRESUPUESTO
FINAL
PROYECTADO]]-CATEGORIAS[[#This Row],[COSTO REAL]]-CATEGORIAS[[#This Row],[PROYECCION
TOTAL DE COSTO]]</f>
        <v>0</v>
      </c>
    </row>
    <row r="87" spans="1:33" x14ac:dyDescent="0.25">
      <c r="A87" s="274" t="str">
        <f>+IFERROR(VLOOKUP(CATEGORIAS[[#This Row],[CATEGORIA2]],[1]HOMOLOGACION!$A$1:$I$571,9,FALSE),0)</f>
        <v>0C02</v>
      </c>
      <c r="B87" s="274" t="str">
        <f>+IFERROR(VLOOKUP(CATEGORIAS[[#This Row],[CATEGORIA2]],[1]HOMOLOGACION!$A$1:$C$571,3,FALSE),0)</f>
        <v>0B04</v>
      </c>
      <c r="C87" s="274" t="str">
        <f>+IFERROR(VLOOKUP(CATEGORIAS[[#This Row],[CATEGORIA2]],[1]HOMOLOGACION!$A$1:$D$571,4,FALSE),0)</f>
        <v xml:space="preserve">Mecánica </v>
      </c>
      <c r="D87" s="144" t="s">
        <v>1806</v>
      </c>
      <c r="E87" s="273" t="s">
        <v>527</v>
      </c>
      <c r="F87" s="275" t="s">
        <v>364</v>
      </c>
      <c r="G87" s="313">
        <v>6800000</v>
      </c>
      <c r="H87" s="313">
        <v>6800000</v>
      </c>
      <c r="I87" s="130">
        <v>0</v>
      </c>
      <c r="J87" s="130"/>
      <c r="K87" s="130"/>
      <c r="L87" s="143">
        <f>CATEGORIAS[[#This Row],[ADICIONALES]]+CATEGORIAS[[#This Row],[POM]]</f>
        <v>6800000</v>
      </c>
      <c r="M87" s="131">
        <v>0</v>
      </c>
      <c r="N87" s="227">
        <v>0</v>
      </c>
      <c r="O87" s="296">
        <f>CATEGORIAS[[#This Row],[PRODUCCION
PARTIDAS
ORIGINALES
ACTUAL]]+CATEGORIAS[[#This Row],[PRODUCCION
ADICIONALES
ACTUAL]]</f>
        <v>0</v>
      </c>
      <c r="P87" s="227">
        <v>0</v>
      </c>
      <c r="Q87" s="227">
        <v>0</v>
      </c>
      <c r="R87" s="297">
        <f>CATEGORIAS[[#This Row],[PRODUCCION
ANTERIOR]]+CATEGORIAS[[#This Row],[PRODUCCION
ADICIONALES
ANTERIOR]]</f>
        <v>0</v>
      </c>
      <c r="S87" s="133">
        <v>0</v>
      </c>
      <c r="T87" s="133"/>
      <c r="U87" s="133"/>
      <c r="V87" s="296">
        <f>SUM(CATEGORIAS[[#This Row],[COSTO
ACUMULADO  AX]:[PROVISIONES]])</f>
        <v>0</v>
      </c>
      <c r="W87" s="298">
        <v>0</v>
      </c>
      <c r="X87" s="227"/>
      <c r="Y87" s="227"/>
      <c r="Z87" s="297">
        <f>SUM(CATEGORIAS[[#This Row],[COSTO ACUMULADO
ANTERIOR]:[PROVISIONES
ANTERIOR]])</f>
        <v>0</v>
      </c>
      <c r="AA87" s="139">
        <f>CATEGORIAS[[#This Row],[PRESUPUESTO
FINAL
PROYECTADO]]-CATEGORIAS[[#This Row],[TOTAL PRODUCCION
ACTUAL]]</f>
        <v>6800000</v>
      </c>
      <c r="AB87" s="227">
        <v>0</v>
      </c>
      <c r="AC87" s="132"/>
      <c r="AD87" s="132">
        <v>6800000</v>
      </c>
      <c r="AE87" s="226">
        <f>SUM(CATEGORIAS[[#This Row],[INVENTARIO]:[PROYECCION
DE COSTO
DEL SALDO]])</f>
        <v>6800000</v>
      </c>
      <c r="AF87" s="132"/>
      <c r="AG87" s="132">
        <f>+CATEGORIAS[[#This Row],[PRESUPUESTO
FINAL
PROYECTADO]]-CATEGORIAS[[#This Row],[COSTO REAL]]-CATEGORIAS[[#This Row],[PROYECCION
TOTAL DE COSTO]]</f>
        <v>0</v>
      </c>
    </row>
    <row r="88" spans="1:33" x14ac:dyDescent="0.25">
      <c r="A88" s="274" t="str">
        <f>+IFERROR(VLOOKUP(CATEGORIAS[[#This Row],[CATEGORIA2]],[1]HOMOLOGACION!$A$1:$I$571,9,FALSE),0)</f>
        <v>0C02</v>
      </c>
      <c r="B88" s="274" t="str">
        <f>+IFERROR(VLOOKUP(CATEGORIAS[[#This Row],[CATEGORIA2]],[1]HOMOLOGACION!$A$1:$C$571,3,FALSE),0)</f>
        <v>0B04</v>
      </c>
      <c r="C88" s="274" t="str">
        <f>+IFERROR(VLOOKUP(CATEGORIAS[[#This Row],[CATEGORIA2]],[1]HOMOLOGACION!$A$1:$D$571,4,FALSE),0)</f>
        <v xml:space="preserve">Mecánica </v>
      </c>
      <c r="D88" s="144" t="s">
        <v>1807</v>
      </c>
      <c r="E88" s="273" t="s">
        <v>529</v>
      </c>
      <c r="F88" s="275" t="s">
        <v>361</v>
      </c>
      <c r="G88" s="313">
        <v>0</v>
      </c>
      <c r="H88" s="313">
        <v>0</v>
      </c>
      <c r="I88" s="130">
        <v>0</v>
      </c>
      <c r="J88" s="130"/>
      <c r="K88" s="130"/>
      <c r="L88" s="143">
        <f>CATEGORIAS[[#This Row],[ADICIONALES]]+CATEGORIAS[[#This Row],[POM]]</f>
        <v>0</v>
      </c>
      <c r="M88" s="131">
        <v>0</v>
      </c>
      <c r="N88" s="227">
        <v>0</v>
      </c>
      <c r="O88" s="296">
        <f>CATEGORIAS[[#This Row],[PRODUCCION
PARTIDAS
ORIGINALES
ACTUAL]]+CATEGORIAS[[#This Row],[PRODUCCION
ADICIONALES
ACTUAL]]</f>
        <v>0</v>
      </c>
      <c r="P88" s="227">
        <v>0</v>
      </c>
      <c r="Q88" s="132">
        <v>0</v>
      </c>
      <c r="R88" s="297">
        <f>CATEGORIAS[[#This Row],[PRODUCCION
ANTERIOR]]+CATEGORIAS[[#This Row],[PRODUCCION
ADICIONALES
ANTERIOR]]</f>
        <v>0</v>
      </c>
      <c r="S88" s="133">
        <v>0</v>
      </c>
      <c r="T88" s="133"/>
      <c r="U88" s="133"/>
      <c r="V88" s="296">
        <f>SUM(CATEGORIAS[[#This Row],[COSTO
ACUMULADO  AX]:[PROVISIONES]])</f>
        <v>0</v>
      </c>
      <c r="W88" s="298">
        <v>0</v>
      </c>
      <c r="X88" s="227"/>
      <c r="Y88" s="227"/>
      <c r="Z88" s="297">
        <f>SUM(CATEGORIAS[[#This Row],[COSTO ACUMULADO
ANTERIOR]:[PROVISIONES
ANTERIOR]])</f>
        <v>0</v>
      </c>
      <c r="AA88" s="139">
        <f>CATEGORIAS[[#This Row],[PRESUPUESTO
FINAL
PROYECTADO]]-CATEGORIAS[[#This Row],[TOTAL PRODUCCION
ACTUAL]]</f>
        <v>0</v>
      </c>
      <c r="AB88" s="227">
        <v>0</v>
      </c>
      <c r="AC88" s="132"/>
      <c r="AD88" s="132"/>
      <c r="AE88" s="226">
        <f>SUM(CATEGORIAS[[#This Row],[INVENTARIO]:[PROYECCION
DE COSTO
DEL SALDO]])</f>
        <v>0</v>
      </c>
      <c r="AF88" s="132"/>
      <c r="AG88" s="132">
        <f>+CATEGORIAS[[#This Row],[PRESUPUESTO
FINAL
PROYECTADO]]-CATEGORIAS[[#This Row],[COSTO REAL]]-CATEGORIAS[[#This Row],[PROYECCION
TOTAL DE COSTO]]</f>
        <v>0</v>
      </c>
    </row>
    <row r="89" spans="1:33" x14ac:dyDescent="0.25">
      <c r="A89" s="274" t="str">
        <f>+IFERROR(VLOOKUP(CATEGORIAS[[#This Row],[CATEGORIA2]],[1]HOMOLOGACION!$A$1:$I$571,9,FALSE),0)</f>
        <v>0C02</v>
      </c>
      <c r="B89" s="274" t="str">
        <f>+IFERROR(VLOOKUP(CATEGORIAS[[#This Row],[CATEGORIA2]],[1]HOMOLOGACION!$A$1:$C$571,3,FALSE),0)</f>
        <v>0B04</v>
      </c>
      <c r="C89" s="274" t="str">
        <f>+IFERROR(VLOOKUP(CATEGORIAS[[#This Row],[CATEGORIA2]],[1]HOMOLOGACION!$A$1:$D$571,4,FALSE),0)</f>
        <v xml:space="preserve">Mecánica </v>
      </c>
      <c r="D89" s="144" t="s">
        <v>1808</v>
      </c>
      <c r="E89" s="273" t="s">
        <v>531</v>
      </c>
      <c r="F89" s="275" t="s">
        <v>364</v>
      </c>
      <c r="G89" s="313">
        <v>231835.46400000001</v>
      </c>
      <c r="H89" s="313">
        <v>231835.46400000001</v>
      </c>
      <c r="I89" s="130">
        <v>0</v>
      </c>
      <c r="J89" s="130"/>
      <c r="K89" s="130"/>
      <c r="L89" s="143">
        <f>CATEGORIAS[[#This Row],[ADICIONALES]]+CATEGORIAS[[#This Row],[POM]]</f>
        <v>231835.46400000001</v>
      </c>
      <c r="M89" s="131">
        <v>100669.716</v>
      </c>
      <c r="N89" s="227">
        <v>0</v>
      </c>
      <c r="O89" s="296">
        <f>CATEGORIAS[[#This Row],[PRODUCCION
PARTIDAS
ORIGINALES
ACTUAL]]+CATEGORIAS[[#This Row],[PRODUCCION
ADICIONALES
ACTUAL]]</f>
        <v>100669.716</v>
      </c>
      <c r="P89" s="227">
        <v>94243.967999999993</v>
      </c>
      <c r="Q89" s="227">
        <v>0</v>
      </c>
      <c r="R89" s="297">
        <f>CATEGORIAS[[#This Row],[PRODUCCION
ANTERIOR]]+CATEGORIAS[[#This Row],[PRODUCCION
ADICIONALES
ANTERIOR]]</f>
        <v>94243.967999999993</v>
      </c>
      <c r="S89" s="133">
        <v>400583</v>
      </c>
      <c r="T89" s="133"/>
      <c r="U89" s="133"/>
      <c r="V89" s="296">
        <f>SUM(CATEGORIAS[[#This Row],[COSTO
ACUMULADO  AX]:[PROVISIONES]])</f>
        <v>400583</v>
      </c>
      <c r="W89" s="298">
        <v>395179</v>
      </c>
      <c r="X89" s="227"/>
      <c r="Y89" s="227"/>
      <c r="Z89" s="297">
        <f>SUM(CATEGORIAS[[#This Row],[COSTO ACUMULADO
ANTERIOR]:[PROVISIONES
ANTERIOR]])</f>
        <v>395179</v>
      </c>
      <c r="AA89" s="139">
        <f>CATEGORIAS[[#This Row],[PRESUPUESTO
FINAL
PROYECTADO]]-CATEGORIAS[[#This Row],[TOTAL PRODUCCION
ACTUAL]]</f>
        <v>131165.74800000002</v>
      </c>
      <c r="AB89" s="227">
        <v>36792</v>
      </c>
      <c r="AC89" s="132"/>
      <c r="AD89" s="132">
        <v>-205539.53599999999</v>
      </c>
      <c r="AE89" s="226">
        <f>SUM(CATEGORIAS[[#This Row],[INVENTARIO]:[PROYECCION
DE COSTO
DEL SALDO]])</f>
        <v>-168747.53599999999</v>
      </c>
      <c r="AF89" s="132"/>
      <c r="AG89" s="132">
        <f>+CATEGORIAS[[#This Row],[PRESUPUESTO
FINAL
PROYECTADO]]-CATEGORIAS[[#This Row],[COSTO REAL]]-CATEGORIAS[[#This Row],[PROYECCION
TOTAL DE COSTO]]</f>
        <v>0</v>
      </c>
    </row>
    <row r="90" spans="1:33" x14ac:dyDescent="0.25">
      <c r="A90" s="274" t="str">
        <f>+IFERROR(VLOOKUP(CATEGORIAS[[#This Row],[CATEGORIA2]],[1]HOMOLOGACION!$A$1:$I$571,9,FALSE),0)</f>
        <v>0C02</v>
      </c>
      <c r="B90" s="274" t="str">
        <f>+IFERROR(VLOOKUP(CATEGORIAS[[#This Row],[CATEGORIA2]],[1]HOMOLOGACION!$A$1:$C$571,3,FALSE),0)</f>
        <v>0B04</v>
      </c>
      <c r="C90" s="274" t="str">
        <f>+IFERROR(VLOOKUP(CATEGORIAS[[#This Row],[CATEGORIA2]],[1]HOMOLOGACION!$A$1:$D$571,4,FALSE),0)</f>
        <v xml:space="preserve">Mecánica </v>
      </c>
      <c r="D90" s="144" t="s">
        <v>1809</v>
      </c>
      <c r="E90" s="273" t="s">
        <v>533</v>
      </c>
      <c r="F90" s="275" t="s">
        <v>361</v>
      </c>
      <c r="G90" s="313">
        <v>0</v>
      </c>
      <c r="H90" s="313">
        <v>0</v>
      </c>
      <c r="I90" s="130">
        <v>0</v>
      </c>
      <c r="J90" s="130"/>
      <c r="K90" s="130"/>
      <c r="L90" s="143">
        <f>CATEGORIAS[[#This Row],[ADICIONALES]]+CATEGORIAS[[#This Row],[POM]]</f>
        <v>0</v>
      </c>
      <c r="M90" s="131">
        <v>0</v>
      </c>
      <c r="N90" s="227">
        <v>0</v>
      </c>
      <c r="O90" s="296">
        <f>CATEGORIAS[[#This Row],[PRODUCCION
PARTIDAS
ORIGINALES
ACTUAL]]+CATEGORIAS[[#This Row],[PRODUCCION
ADICIONALES
ACTUAL]]</f>
        <v>0</v>
      </c>
      <c r="P90" s="227">
        <v>0</v>
      </c>
      <c r="Q90" s="132">
        <v>0</v>
      </c>
      <c r="R90" s="297">
        <f>CATEGORIAS[[#This Row],[PRODUCCION
ANTERIOR]]+CATEGORIAS[[#This Row],[PRODUCCION
ADICIONALES
ANTERIOR]]</f>
        <v>0</v>
      </c>
      <c r="S90" s="133">
        <v>0</v>
      </c>
      <c r="T90" s="133"/>
      <c r="U90" s="133"/>
      <c r="V90" s="296">
        <f>SUM(CATEGORIAS[[#This Row],[COSTO
ACUMULADO  AX]:[PROVISIONES]])</f>
        <v>0</v>
      </c>
      <c r="W90" s="298">
        <v>0</v>
      </c>
      <c r="X90" s="227"/>
      <c r="Y90" s="227"/>
      <c r="Z90" s="297">
        <f>SUM(CATEGORIAS[[#This Row],[COSTO ACUMULADO
ANTERIOR]:[PROVISIONES
ANTERIOR]])</f>
        <v>0</v>
      </c>
      <c r="AA90" s="139">
        <f>CATEGORIAS[[#This Row],[PRESUPUESTO
FINAL
PROYECTADO]]-CATEGORIAS[[#This Row],[TOTAL PRODUCCION
ACTUAL]]</f>
        <v>0</v>
      </c>
      <c r="AB90" s="227">
        <v>0</v>
      </c>
      <c r="AC90" s="132"/>
      <c r="AD90" s="132"/>
      <c r="AE90" s="226">
        <f>SUM(CATEGORIAS[[#This Row],[INVENTARIO]:[PROYECCION
DE COSTO
DEL SALDO]])</f>
        <v>0</v>
      </c>
      <c r="AF90" s="132"/>
      <c r="AG90" s="132">
        <f>+CATEGORIAS[[#This Row],[PRESUPUESTO
FINAL
PROYECTADO]]-CATEGORIAS[[#This Row],[COSTO REAL]]-CATEGORIAS[[#This Row],[PROYECCION
TOTAL DE COSTO]]</f>
        <v>0</v>
      </c>
    </row>
    <row r="91" spans="1:33" x14ac:dyDescent="0.25">
      <c r="A91" s="274" t="str">
        <f>+IFERROR(VLOOKUP(CATEGORIAS[[#This Row],[CATEGORIA2]],[1]HOMOLOGACION!$A$1:$I$571,9,FALSE),0)</f>
        <v>0C02</v>
      </c>
      <c r="B91" s="274" t="str">
        <f>+IFERROR(VLOOKUP(CATEGORIAS[[#This Row],[CATEGORIA2]],[1]HOMOLOGACION!$A$1:$C$571,3,FALSE),0)</f>
        <v>0B04</v>
      </c>
      <c r="C91" s="274" t="str">
        <f>+IFERROR(VLOOKUP(CATEGORIAS[[#This Row],[CATEGORIA2]],[1]HOMOLOGACION!$A$1:$D$571,4,FALSE),0)</f>
        <v xml:space="preserve">Mecánica </v>
      </c>
      <c r="D91" s="144" t="s">
        <v>1810</v>
      </c>
      <c r="E91" s="273" t="s">
        <v>308</v>
      </c>
      <c r="F91" s="275" t="s">
        <v>364</v>
      </c>
      <c r="G91" s="313">
        <v>18157556.7053</v>
      </c>
      <c r="H91" s="313">
        <v>18157556.7053</v>
      </c>
      <c r="I91" s="130">
        <v>2171163.7268963475</v>
      </c>
      <c r="J91" s="130"/>
      <c r="K91" s="130"/>
      <c r="L91" s="143">
        <f>CATEGORIAS[[#This Row],[ADICIONALES]]+CATEGORIAS[[#This Row],[POM]]</f>
        <v>20328720.432196349</v>
      </c>
      <c r="M91" s="131">
        <v>5070157.62</v>
      </c>
      <c r="N91" s="227">
        <v>550984.6548463474</v>
      </c>
      <c r="O91" s="296">
        <f>CATEGORIAS[[#This Row],[PRODUCCION
PARTIDAS
ORIGINALES
ACTUAL]]+CATEGORIAS[[#This Row],[PRODUCCION
ADICIONALES
ACTUAL]]</f>
        <v>5621142.274846347</v>
      </c>
      <c r="P91" s="227">
        <v>3904093.6515000002</v>
      </c>
      <c r="Q91" s="227">
        <v>510416.43092634738</v>
      </c>
      <c r="R91" s="297">
        <f>CATEGORIAS[[#This Row],[PRODUCCION
ANTERIOR]]+CATEGORIAS[[#This Row],[PRODUCCION
ADICIONALES
ANTERIOR]]</f>
        <v>4414510.0824263478</v>
      </c>
      <c r="S91" s="133">
        <v>5124683</v>
      </c>
      <c r="T91" s="227">
        <v>999481</v>
      </c>
      <c r="U91" s="133"/>
      <c r="V91" s="296">
        <f>SUM(CATEGORIAS[[#This Row],[COSTO
ACUMULADO  AX]:[PROVISIONES]])</f>
        <v>6124164</v>
      </c>
      <c r="W91" s="298">
        <v>3872025</v>
      </c>
      <c r="X91" s="227"/>
      <c r="Y91" s="227">
        <v>999481</v>
      </c>
      <c r="Z91" s="297">
        <f>SUM(CATEGORIAS[[#This Row],[COSTO ACUMULADO
ANTERIOR]:[PROVISIONES
ANTERIOR]])</f>
        <v>4871506</v>
      </c>
      <c r="AA91" s="139">
        <f>CATEGORIAS[[#This Row],[PRESUPUESTO
FINAL
PROYECTADO]]-CATEGORIAS[[#This Row],[TOTAL PRODUCCION
ACTUAL]]</f>
        <v>14707578.157350002</v>
      </c>
      <c r="AB91" s="227">
        <v>1669380</v>
      </c>
      <c r="AC91" s="132"/>
      <c r="AD91" s="132">
        <v>12535176.432196349</v>
      </c>
      <c r="AE91" s="226">
        <f>SUM(CATEGORIAS[[#This Row],[INVENTARIO]:[PROYECCION
DE COSTO
DEL SALDO]])</f>
        <v>14204556.432196349</v>
      </c>
      <c r="AF91" s="132"/>
      <c r="AG91" s="132">
        <f>+CATEGORIAS[[#This Row],[PRESUPUESTO
FINAL
PROYECTADO]]-CATEGORIAS[[#This Row],[COSTO REAL]]-CATEGORIAS[[#This Row],[PROYECCION
TOTAL DE COSTO]]</f>
        <v>0</v>
      </c>
    </row>
    <row r="92" spans="1:33" x14ac:dyDescent="0.25">
      <c r="A92" s="274" t="str">
        <f>+IFERROR(VLOOKUP(CATEGORIAS[[#This Row],[CATEGORIA2]],[1]HOMOLOGACION!$A$1:$I$571,9,FALSE),0)</f>
        <v>0C02</v>
      </c>
      <c r="B92" s="274" t="str">
        <f>+IFERROR(VLOOKUP(CATEGORIAS[[#This Row],[CATEGORIA2]],[1]HOMOLOGACION!$A$1:$C$571,3,FALSE),0)</f>
        <v>0B04</v>
      </c>
      <c r="C92" s="274" t="str">
        <f>+IFERROR(VLOOKUP(CATEGORIAS[[#This Row],[CATEGORIA2]],[1]HOMOLOGACION!$A$1:$D$571,4,FALSE),0)</f>
        <v xml:space="preserve">Mecánica </v>
      </c>
      <c r="D92" s="144" t="s">
        <v>1811</v>
      </c>
      <c r="E92" s="273" t="s">
        <v>535</v>
      </c>
      <c r="F92" s="275" t="s">
        <v>361</v>
      </c>
      <c r="G92" s="313">
        <v>0</v>
      </c>
      <c r="H92" s="313">
        <v>0</v>
      </c>
      <c r="I92" s="130">
        <v>0</v>
      </c>
      <c r="J92" s="130"/>
      <c r="K92" s="130"/>
      <c r="L92" s="143">
        <f>CATEGORIAS[[#This Row],[ADICIONALES]]+CATEGORIAS[[#This Row],[POM]]</f>
        <v>0</v>
      </c>
      <c r="M92" s="131">
        <v>0</v>
      </c>
      <c r="N92" s="227">
        <v>0</v>
      </c>
      <c r="O92" s="296">
        <f>CATEGORIAS[[#This Row],[PRODUCCION
PARTIDAS
ORIGINALES
ACTUAL]]+CATEGORIAS[[#This Row],[PRODUCCION
ADICIONALES
ACTUAL]]</f>
        <v>0</v>
      </c>
      <c r="P92" s="227">
        <v>0</v>
      </c>
      <c r="Q92" s="227">
        <v>0</v>
      </c>
      <c r="R92" s="297">
        <f>CATEGORIAS[[#This Row],[PRODUCCION
ANTERIOR]]+CATEGORIAS[[#This Row],[PRODUCCION
ADICIONALES
ANTERIOR]]</f>
        <v>0</v>
      </c>
      <c r="S92" s="133">
        <v>0</v>
      </c>
      <c r="T92" s="133"/>
      <c r="U92" s="133"/>
      <c r="V92" s="296">
        <f>SUM(CATEGORIAS[[#This Row],[COSTO
ACUMULADO  AX]:[PROVISIONES]])</f>
        <v>0</v>
      </c>
      <c r="W92" s="298">
        <v>0</v>
      </c>
      <c r="X92" s="227"/>
      <c r="Y92" s="227"/>
      <c r="Z92" s="297">
        <f>SUM(CATEGORIAS[[#This Row],[COSTO ACUMULADO
ANTERIOR]:[PROVISIONES
ANTERIOR]])</f>
        <v>0</v>
      </c>
      <c r="AA92" s="139">
        <f>CATEGORIAS[[#This Row],[PRESUPUESTO
FINAL
PROYECTADO]]-CATEGORIAS[[#This Row],[TOTAL PRODUCCION
ACTUAL]]</f>
        <v>0</v>
      </c>
      <c r="AB92" s="227">
        <v>0</v>
      </c>
      <c r="AC92" s="132"/>
      <c r="AD92" s="132"/>
      <c r="AE92" s="226">
        <f>SUM(CATEGORIAS[[#This Row],[INVENTARIO]:[PROYECCION
DE COSTO
DEL SALDO]])</f>
        <v>0</v>
      </c>
      <c r="AF92" s="132"/>
      <c r="AG92" s="132">
        <f>+CATEGORIAS[[#This Row],[PRESUPUESTO
FINAL
PROYECTADO]]-CATEGORIAS[[#This Row],[COSTO REAL]]-CATEGORIAS[[#This Row],[PROYECCION
TOTAL DE COSTO]]</f>
        <v>0</v>
      </c>
    </row>
    <row r="93" spans="1:33" x14ac:dyDescent="0.25">
      <c r="A93" s="274" t="str">
        <f>+IFERROR(VLOOKUP(CATEGORIAS[[#This Row],[CATEGORIA2]],[1]HOMOLOGACION!$A$1:$I$571,9,FALSE),0)</f>
        <v>0D02</v>
      </c>
      <c r="B93" s="274" t="str">
        <f>+IFERROR(VLOOKUP(CATEGORIAS[[#This Row],[CATEGORIA2]],[1]HOMOLOGACION!$A$1:$C$571,3,FALSE),0)</f>
        <v>0B05</v>
      </c>
      <c r="C93" s="274" t="str">
        <f>+IFERROR(VLOOKUP(CATEGORIAS[[#This Row],[CATEGORIA2]],[1]HOMOLOGACION!$A$1:$D$571,4,FALSE),0)</f>
        <v xml:space="preserve">Cañería </v>
      </c>
      <c r="D93" s="144" t="s">
        <v>1812</v>
      </c>
      <c r="E93" s="273" t="s">
        <v>537</v>
      </c>
      <c r="F93" s="275" t="s">
        <v>364</v>
      </c>
      <c r="G93" s="313">
        <v>13760062.489500003</v>
      </c>
      <c r="H93" s="313">
        <v>13760062.489500003</v>
      </c>
      <c r="I93" s="130">
        <v>379214.86395099998</v>
      </c>
      <c r="J93" s="130"/>
      <c r="K93" s="130"/>
      <c r="L93" s="143">
        <f>CATEGORIAS[[#This Row],[ADICIONALES]]+CATEGORIAS[[#This Row],[POM]]</f>
        <v>14139277.353451002</v>
      </c>
      <c r="M93" s="131">
        <v>6482359.7422999991</v>
      </c>
      <c r="N93" s="227">
        <v>58248.133950999996</v>
      </c>
      <c r="O93" s="296">
        <f>CATEGORIAS[[#This Row],[PRODUCCION
PARTIDAS
ORIGINALES
ACTUAL]]+CATEGORIAS[[#This Row],[PRODUCCION
ADICIONALES
ACTUAL]]</f>
        <v>6540607.876250999</v>
      </c>
      <c r="P93" s="227">
        <v>3758878.9763999996</v>
      </c>
      <c r="Q93" s="227">
        <v>58248.133950999996</v>
      </c>
      <c r="R93" s="297">
        <f>CATEGORIAS[[#This Row],[PRODUCCION
ANTERIOR]]+CATEGORIAS[[#This Row],[PRODUCCION
ADICIONALES
ANTERIOR]]</f>
        <v>3817127.1103509995</v>
      </c>
      <c r="S93" s="133">
        <v>13947258</v>
      </c>
      <c r="T93" s="133"/>
      <c r="U93" s="133"/>
      <c r="V93" s="296">
        <f>SUM(CATEGORIAS[[#This Row],[COSTO
ACUMULADO  AX]:[PROVISIONES]])</f>
        <v>13947258</v>
      </c>
      <c r="W93" s="298">
        <v>4757040</v>
      </c>
      <c r="X93" s="227"/>
      <c r="Y93" s="227"/>
      <c r="Z93" s="297">
        <f>SUM(CATEGORIAS[[#This Row],[COSTO ACUMULADO
ANTERIOR]:[PROVISIONES
ANTERIOR]])</f>
        <v>4757040</v>
      </c>
      <c r="AA93" s="139">
        <f>CATEGORIAS[[#This Row],[PRESUPUESTO
FINAL
PROYECTADO]]-CATEGORIAS[[#This Row],[TOTAL PRODUCCION
ACTUAL]]</f>
        <v>7598669.4772000033</v>
      </c>
      <c r="AB93" s="227">
        <v>5299581</v>
      </c>
      <c r="AC93" s="132"/>
      <c r="AD93" s="132">
        <v>-5107561.6465489976</v>
      </c>
      <c r="AE93" s="226">
        <f>SUM(CATEGORIAS[[#This Row],[INVENTARIO]:[PROYECCION
DE COSTO
DEL SALDO]])</f>
        <v>192019.35345100239</v>
      </c>
      <c r="AF93" s="132"/>
      <c r="AG93" s="132">
        <f>+CATEGORIAS[[#This Row],[PRESUPUESTO
FINAL
PROYECTADO]]-CATEGORIAS[[#This Row],[COSTO REAL]]-CATEGORIAS[[#This Row],[PROYECCION
TOTAL DE COSTO]]</f>
        <v>0</v>
      </c>
    </row>
    <row r="94" spans="1:33" x14ac:dyDescent="0.25">
      <c r="A94" s="274" t="str">
        <f>+IFERROR(VLOOKUP(CATEGORIAS[[#This Row],[CATEGORIA2]],[1]HOMOLOGACION!$A$1:$I$571,9,FALSE),0)</f>
        <v>0D02</v>
      </c>
      <c r="B94" s="274" t="str">
        <f>+IFERROR(VLOOKUP(CATEGORIAS[[#This Row],[CATEGORIA2]],[1]HOMOLOGACION!$A$1:$C$571,3,FALSE),0)</f>
        <v>0B05</v>
      </c>
      <c r="C94" s="274" t="str">
        <f>+IFERROR(VLOOKUP(CATEGORIAS[[#This Row],[CATEGORIA2]],[1]HOMOLOGACION!$A$1:$D$571,4,FALSE),0)</f>
        <v xml:space="preserve">Cañería </v>
      </c>
      <c r="D94" s="144" t="s">
        <v>1813</v>
      </c>
      <c r="E94" s="273" t="s">
        <v>539</v>
      </c>
      <c r="F94" s="275" t="s">
        <v>361</v>
      </c>
      <c r="G94" s="313">
        <v>0</v>
      </c>
      <c r="H94" s="313">
        <v>0</v>
      </c>
      <c r="I94" s="130">
        <v>0</v>
      </c>
      <c r="J94" s="130"/>
      <c r="K94" s="130"/>
      <c r="L94" s="143">
        <f>CATEGORIAS[[#This Row],[ADICIONALES]]+CATEGORIAS[[#This Row],[POM]]</f>
        <v>0</v>
      </c>
      <c r="M94" s="131">
        <v>0</v>
      </c>
      <c r="N94" s="227">
        <v>0</v>
      </c>
      <c r="O94" s="296">
        <f>CATEGORIAS[[#This Row],[PRODUCCION
PARTIDAS
ORIGINALES
ACTUAL]]+CATEGORIAS[[#This Row],[PRODUCCION
ADICIONALES
ACTUAL]]</f>
        <v>0</v>
      </c>
      <c r="P94" s="227">
        <v>0</v>
      </c>
      <c r="Q94" s="132">
        <v>0</v>
      </c>
      <c r="R94" s="297">
        <f>CATEGORIAS[[#This Row],[PRODUCCION
ANTERIOR]]+CATEGORIAS[[#This Row],[PRODUCCION
ADICIONALES
ANTERIOR]]</f>
        <v>0</v>
      </c>
      <c r="S94" s="133">
        <v>0</v>
      </c>
      <c r="T94" s="133"/>
      <c r="U94" s="133"/>
      <c r="V94" s="296">
        <f>SUM(CATEGORIAS[[#This Row],[COSTO
ACUMULADO  AX]:[PROVISIONES]])</f>
        <v>0</v>
      </c>
      <c r="W94" s="298">
        <v>0</v>
      </c>
      <c r="X94" s="227"/>
      <c r="Y94" s="227"/>
      <c r="Z94" s="297">
        <f>SUM(CATEGORIAS[[#This Row],[COSTO ACUMULADO
ANTERIOR]:[PROVISIONES
ANTERIOR]])</f>
        <v>0</v>
      </c>
      <c r="AA94" s="139">
        <f>CATEGORIAS[[#This Row],[PRESUPUESTO
FINAL
PROYECTADO]]-CATEGORIAS[[#This Row],[TOTAL PRODUCCION
ACTUAL]]</f>
        <v>0</v>
      </c>
      <c r="AB94" s="227">
        <v>0</v>
      </c>
      <c r="AC94" s="132"/>
      <c r="AD94" s="132"/>
      <c r="AE94" s="226">
        <f>SUM(CATEGORIAS[[#This Row],[INVENTARIO]:[PROYECCION
DE COSTO
DEL SALDO]])</f>
        <v>0</v>
      </c>
      <c r="AF94" s="132"/>
      <c r="AG94" s="132">
        <f>+CATEGORIAS[[#This Row],[PRESUPUESTO
FINAL
PROYECTADO]]-CATEGORIAS[[#This Row],[COSTO REAL]]-CATEGORIAS[[#This Row],[PROYECCION
TOTAL DE COSTO]]</f>
        <v>0</v>
      </c>
    </row>
    <row r="95" spans="1:33" x14ac:dyDescent="0.25">
      <c r="A95" s="274" t="str">
        <f>+IFERROR(VLOOKUP(CATEGORIAS[[#This Row],[CATEGORIA2]],[1]HOMOLOGACION!$A$1:$I$571,9,FALSE),0)</f>
        <v>0D02</v>
      </c>
      <c r="B95" s="274" t="str">
        <f>+IFERROR(VLOOKUP(CATEGORIAS[[#This Row],[CATEGORIA2]],[1]HOMOLOGACION!$A$1:$C$571,3,FALSE),0)</f>
        <v>0B05</v>
      </c>
      <c r="C95" s="274" t="str">
        <f>+IFERROR(VLOOKUP(CATEGORIAS[[#This Row],[CATEGORIA2]],[1]HOMOLOGACION!$A$1:$D$571,4,FALSE),0)</f>
        <v xml:space="preserve">Cañería </v>
      </c>
      <c r="D95" s="144" t="s">
        <v>1814</v>
      </c>
      <c r="E95" s="273" t="s">
        <v>541</v>
      </c>
      <c r="F95" s="275" t="s">
        <v>364</v>
      </c>
      <c r="G95" s="313">
        <v>44091100</v>
      </c>
      <c r="H95" s="313">
        <v>44091100</v>
      </c>
      <c r="I95" s="130">
        <v>0</v>
      </c>
      <c r="J95" s="130"/>
      <c r="K95" s="130"/>
      <c r="L95" s="143">
        <f>CATEGORIAS[[#This Row],[ADICIONALES]]+CATEGORIAS[[#This Row],[POM]]</f>
        <v>44091100</v>
      </c>
      <c r="M95" s="131">
        <v>34208787.420000002</v>
      </c>
      <c r="N95" s="227">
        <v>0</v>
      </c>
      <c r="O95" s="296">
        <f>CATEGORIAS[[#This Row],[PRODUCCION
PARTIDAS
ORIGINALES
ACTUAL]]+CATEGORIAS[[#This Row],[PRODUCCION
ADICIONALES
ACTUAL]]</f>
        <v>34208787.420000002</v>
      </c>
      <c r="P95" s="227">
        <v>17687834.559999999</v>
      </c>
      <c r="Q95" s="227">
        <v>0</v>
      </c>
      <c r="R95" s="297">
        <f>CATEGORIAS[[#This Row],[PRODUCCION
ANTERIOR]]+CATEGORIAS[[#This Row],[PRODUCCION
ADICIONALES
ANTERIOR]]</f>
        <v>17687834.559999999</v>
      </c>
      <c r="S95" s="133">
        <v>0</v>
      </c>
      <c r="T95" s="133">
        <f>20398074+9912070</f>
        <v>30310144</v>
      </c>
      <c r="U95" s="133">
        <v>21495579</v>
      </c>
      <c r="V95" s="296">
        <f>SUM(CATEGORIAS[[#This Row],[COSTO
ACUMULADO  AX]:[PROVISIONES]])</f>
        <v>51805723</v>
      </c>
      <c r="W95" s="298">
        <v>0</v>
      </c>
      <c r="X95" s="227">
        <v>21397589</v>
      </c>
      <c r="Y95" s="227">
        <v>9912070</v>
      </c>
      <c r="Z95" s="297">
        <f>SUM(CATEGORIAS[[#This Row],[COSTO ACUMULADO
ANTERIOR]:[PROVISIONES
ANTERIOR]])</f>
        <v>31309659</v>
      </c>
      <c r="AA95" s="139">
        <f>CATEGORIAS[[#This Row],[PRESUPUESTO
FINAL
PROYECTADO]]-CATEGORIAS[[#This Row],[TOTAL PRODUCCION
ACTUAL]]</f>
        <v>9882312.5799999982</v>
      </c>
      <c r="AB95" s="227">
        <v>0</v>
      </c>
      <c r="AC95" s="132"/>
      <c r="AD95" s="132">
        <v>-7714623</v>
      </c>
      <c r="AE95" s="226">
        <f>SUM(CATEGORIAS[[#This Row],[INVENTARIO]:[PROYECCION
DE COSTO
DEL SALDO]])</f>
        <v>-7714623</v>
      </c>
      <c r="AF95" s="132"/>
      <c r="AG95" s="132">
        <f>+CATEGORIAS[[#This Row],[PRESUPUESTO
FINAL
PROYECTADO]]-CATEGORIAS[[#This Row],[COSTO REAL]]-CATEGORIAS[[#This Row],[PROYECCION
TOTAL DE COSTO]]</f>
        <v>0</v>
      </c>
    </row>
    <row r="96" spans="1:33" x14ac:dyDescent="0.25">
      <c r="A96" s="274" t="str">
        <f>+IFERROR(VLOOKUP(CATEGORIAS[[#This Row],[CATEGORIA2]],[1]HOMOLOGACION!$A$1:$I$571,9,FALSE),0)</f>
        <v>0D02</v>
      </c>
      <c r="B96" s="274" t="str">
        <f>+IFERROR(VLOOKUP(CATEGORIAS[[#This Row],[CATEGORIA2]],[1]HOMOLOGACION!$A$1:$C$571,3,FALSE),0)</f>
        <v>0B05</v>
      </c>
      <c r="C96" s="274" t="str">
        <f>+IFERROR(VLOOKUP(CATEGORIAS[[#This Row],[CATEGORIA2]],[1]HOMOLOGACION!$A$1:$D$571,4,FALSE),0)</f>
        <v xml:space="preserve">Cañería </v>
      </c>
      <c r="D96" s="144" t="s">
        <v>1815</v>
      </c>
      <c r="E96" s="273" t="s">
        <v>543</v>
      </c>
      <c r="F96" s="275" t="s">
        <v>361</v>
      </c>
      <c r="G96" s="313">
        <v>0</v>
      </c>
      <c r="H96" s="313">
        <v>0</v>
      </c>
      <c r="I96" s="130">
        <v>0</v>
      </c>
      <c r="J96" s="130"/>
      <c r="K96" s="130"/>
      <c r="L96" s="143">
        <f>CATEGORIAS[[#This Row],[ADICIONALES]]+CATEGORIAS[[#This Row],[POM]]</f>
        <v>0</v>
      </c>
      <c r="M96" s="131">
        <v>0</v>
      </c>
      <c r="N96" s="227">
        <v>0</v>
      </c>
      <c r="O96" s="296">
        <f>CATEGORIAS[[#This Row],[PRODUCCION
PARTIDAS
ORIGINALES
ACTUAL]]+CATEGORIAS[[#This Row],[PRODUCCION
ADICIONALES
ACTUAL]]</f>
        <v>0</v>
      </c>
      <c r="P96" s="227">
        <v>0</v>
      </c>
      <c r="Q96" s="132">
        <v>0</v>
      </c>
      <c r="R96" s="297">
        <f>CATEGORIAS[[#This Row],[PRODUCCION
ANTERIOR]]+CATEGORIAS[[#This Row],[PRODUCCION
ADICIONALES
ANTERIOR]]</f>
        <v>0</v>
      </c>
      <c r="S96" s="133">
        <v>30717908</v>
      </c>
      <c r="T96" s="133">
        <v>-30717908</v>
      </c>
      <c r="U96" s="133"/>
      <c r="V96" s="296">
        <f>SUM(CATEGORIAS[[#This Row],[COSTO
ACUMULADO  AX]:[PROVISIONES]])</f>
        <v>0</v>
      </c>
      <c r="W96" s="298">
        <v>30717908</v>
      </c>
      <c r="X96" s="227">
        <v>-30717908</v>
      </c>
      <c r="Y96" s="227"/>
      <c r="Z96" s="297">
        <f>SUM(CATEGORIAS[[#This Row],[COSTO ACUMULADO
ANTERIOR]:[PROVISIONES
ANTERIOR]])</f>
        <v>0</v>
      </c>
      <c r="AA96" s="139">
        <f>CATEGORIAS[[#This Row],[PRESUPUESTO
FINAL
PROYECTADO]]-CATEGORIAS[[#This Row],[TOTAL PRODUCCION
ACTUAL]]</f>
        <v>0</v>
      </c>
      <c r="AB96" s="227">
        <v>0</v>
      </c>
      <c r="AC96" s="132"/>
      <c r="AD96" s="132"/>
      <c r="AE96" s="226">
        <f>SUM(CATEGORIAS[[#This Row],[INVENTARIO]:[PROYECCION
DE COSTO
DEL SALDO]])</f>
        <v>0</v>
      </c>
      <c r="AF96" s="132"/>
      <c r="AG96" s="132">
        <f>+CATEGORIAS[[#This Row],[PRESUPUESTO
FINAL
PROYECTADO]]-CATEGORIAS[[#This Row],[COSTO REAL]]-CATEGORIAS[[#This Row],[PROYECCION
TOTAL DE COSTO]]</f>
        <v>0</v>
      </c>
    </row>
    <row r="97" spans="1:33" x14ac:dyDescent="0.25">
      <c r="A97" s="274" t="str">
        <f>+IFERROR(VLOOKUP(CATEGORIAS[[#This Row],[CATEGORIA2]],[1]HOMOLOGACION!$A$1:$I$571,9,FALSE),0)</f>
        <v>0D02</v>
      </c>
      <c r="B97" s="274" t="str">
        <f>+IFERROR(VLOOKUP(CATEGORIAS[[#This Row],[CATEGORIA2]],[1]HOMOLOGACION!$A$1:$C$571,3,FALSE),0)</f>
        <v>0B05</v>
      </c>
      <c r="C97" s="274" t="str">
        <f>+IFERROR(VLOOKUP(CATEGORIAS[[#This Row],[CATEGORIA2]],[1]HOMOLOGACION!$A$1:$D$571,4,FALSE),0)</f>
        <v xml:space="preserve">Cañería </v>
      </c>
      <c r="D97" s="144" t="s">
        <v>1816</v>
      </c>
      <c r="E97" s="273" t="s">
        <v>545</v>
      </c>
      <c r="F97" s="275" t="s">
        <v>364</v>
      </c>
      <c r="G97" s="313">
        <v>64110750.903700002</v>
      </c>
      <c r="H97" s="313">
        <v>64110750.903700002</v>
      </c>
      <c r="I97" s="130">
        <v>0</v>
      </c>
      <c r="J97" s="130"/>
      <c r="K97" s="130"/>
      <c r="L97" s="143">
        <f>CATEGORIAS[[#This Row],[ADICIONALES]]+CATEGORIAS[[#This Row],[POM]]</f>
        <v>64110750.903700002</v>
      </c>
      <c r="M97" s="131">
        <v>17315495.575400002</v>
      </c>
      <c r="N97" s="227">
        <v>0</v>
      </c>
      <c r="O97" s="296">
        <f>CATEGORIAS[[#This Row],[PRODUCCION
PARTIDAS
ORIGINALES
ACTUAL]]+CATEGORIAS[[#This Row],[PRODUCCION
ADICIONALES
ACTUAL]]</f>
        <v>17315495.575400002</v>
      </c>
      <c r="P97" s="227">
        <v>10808310.8379</v>
      </c>
      <c r="Q97" s="227">
        <v>0</v>
      </c>
      <c r="R97" s="297">
        <f>CATEGORIAS[[#This Row],[PRODUCCION
ANTERIOR]]+CATEGORIAS[[#This Row],[PRODUCCION
ADICIONALES
ANTERIOR]]</f>
        <v>10808310.8379</v>
      </c>
      <c r="S97" s="133">
        <v>2947746</v>
      </c>
      <c r="T97" s="227"/>
      <c r="U97" s="133"/>
      <c r="V97" s="296">
        <f>SUM(CATEGORIAS[[#This Row],[COSTO
ACUMULADO  AX]:[PROVISIONES]])</f>
        <v>2947746</v>
      </c>
      <c r="W97" s="298">
        <v>825278</v>
      </c>
      <c r="X97" s="227"/>
      <c r="Y97" s="227"/>
      <c r="Z97" s="297">
        <f>SUM(CATEGORIAS[[#This Row],[COSTO ACUMULADO
ANTERIOR]:[PROVISIONES
ANTERIOR]])</f>
        <v>825278</v>
      </c>
      <c r="AA97" s="139">
        <f>CATEGORIAS[[#This Row],[PRESUPUESTO
FINAL
PROYECTADO]]-CATEGORIAS[[#This Row],[TOTAL PRODUCCION
ACTUAL]]</f>
        <v>46795255.328299999</v>
      </c>
      <c r="AB97" s="227">
        <v>754845</v>
      </c>
      <c r="AC97" s="132"/>
      <c r="AD97" s="132">
        <v>60408159.903700002</v>
      </c>
      <c r="AE97" s="226">
        <f>SUM(CATEGORIAS[[#This Row],[INVENTARIO]:[PROYECCION
DE COSTO
DEL SALDO]])</f>
        <v>61163004.903700002</v>
      </c>
      <c r="AF97" s="132"/>
      <c r="AG97" s="132">
        <f>+CATEGORIAS[[#This Row],[PRESUPUESTO
FINAL
PROYECTADO]]-CATEGORIAS[[#This Row],[COSTO REAL]]-CATEGORIAS[[#This Row],[PROYECCION
TOTAL DE COSTO]]</f>
        <v>0</v>
      </c>
    </row>
    <row r="98" spans="1:33" x14ac:dyDescent="0.25">
      <c r="A98" s="274" t="str">
        <f>+IFERROR(VLOOKUP(CATEGORIAS[[#This Row],[CATEGORIA2]],[1]HOMOLOGACION!$A$1:$I$571,9,FALSE),0)</f>
        <v>0D02</v>
      </c>
      <c r="B98" s="274" t="str">
        <f>+IFERROR(VLOOKUP(CATEGORIAS[[#This Row],[CATEGORIA2]],[1]HOMOLOGACION!$A$1:$C$571,3,FALSE),0)</f>
        <v>0B05</v>
      </c>
      <c r="C98" s="274" t="str">
        <f>+IFERROR(VLOOKUP(CATEGORIAS[[#This Row],[CATEGORIA2]],[1]HOMOLOGACION!$A$1:$D$571,4,FALSE),0)</f>
        <v xml:space="preserve">Cañería </v>
      </c>
      <c r="D98" s="144" t="s">
        <v>1817</v>
      </c>
      <c r="E98" s="273" t="s">
        <v>547</v>
      </c>
      <c r="F98" s="275" t="s">
        <v>361</v>
      </c>
      <c r="G98" s="313">
        <v>0</v>
      </c>
      <c r="H98" s="313">
        <v>0</v>
      </c>
      <c r="I98" s="130">
        <v>0</v>
      </c>
      <c r="J98" s="130"/>
      <c r="K98" s="130"/>
      <c r="L98" s="143">
        <f>CATEGORIAS[[#This Row],[ADICIONALES]]+CATEGORIAS[[#This Row],[POM]]</f>
        <v>0</v>
      </c>
      <c r="M98" s="131">
        <v>0</v>
      </c>
      <c r="N98" s="227">
        <v>0</v>
      </c>
      <c r="O98" s="296">
        <f>CATEGORIAS[[#This Row],[PRODUCCION
PARTIDAS
ORIGINALES
ACTUAL]]+CATEGORIAS[[#This Row],[PRODUCCION
ADICIONALES
ACTUAL]]</f>
        <v>0</v>
      </c>
      <c r="P98" s="227">
        <v>0</v>
      </c>
      <c r="Q98" s="132">
        <v>0</v>
      </c>
      <c r="R98" s="297">
        <f>CATEGORIAS[[#This Row],[PRODUCCION
ANTERIOR]]+CATEGORIAS[[#This Row],[PRODUCCION
ADICIONALES
ANTERIOR]]</f>
        <v>0</v>
      </c>
      <c r="S98" s="133">
        <v>0</v>
      </c>
      <c r="T98" s="133"/>
      <c r="U98" s="133"/>
      <c r="V98" s="296">
        <f>SUM(CATEGORIAS[[#This Row],[COSTO
ACUMULADO  AX]:[PROVISIONES]])</f>
        <v>0</v>
      </c>
      <c r="W98" s="298">
        <v>0</v>
      </c>
      <c r="X98" s="227"/>
      <c r="Y98" s="227"/>
      <c r="Z98" s="297">
        <f>SUM(CATEGORIAS[[#This Row],[COSTO ACUMULADO
ANTERIOR]:[PROVISIONES
ANTERIOR]])</f>
        <v>0</v>
      </c>
      <c r="AA98" s="139">
        <f>CATEGORIAS[[#This Row],[PRESUPUESTO
FINAL
PROYECTADO]]-CATEGORIAS[[#This Row],[TOTAL PRODUCCION
ACTUAL]]</f>
        <v>0</v>
      </c>
      <c r="AB98" s="227">
        <v>0</v>
      </c>
      <c r="AC98" s="132"/>
      <c r="AD98" s="132"/>
      <c r="AE98" s="226">
        <f>SUM(CATEGORIAS[[#This Row],[INVENTARIO]:[PROYECCION
DE COSTO
DEL SALDO]])</f>
        <v>0</v>
      </c>
      <c r="AF98" s="132"/>
      <c r="AG98" s="132">
        <f>+CATEGORIAS[[#This Row],[PRESUPUESTO
FINAL
PROYECTADO]]-CATEGORIAS[[#This Row],[COSTO REAL]]-CATEGORIAS[[#This Row],[PROYECCION
TOTAL DE COSTO]]</f>
        <v>0</v>
      </c>
    </row>
    <row r="99" spans="1:33" x14ac:dyDescent="0.25">
      <c r="A99" s="274" t="str">
        <f>+IFERROR(VLOOKUP(CATEGORIAS[[#This Row],[CATEGORIA2]],[1]HOMOLOGACION!$A$1:$I$571,9,FALSE),0)</f>
        <v>0D02</v>
      </c>
      <c r="B99" s="274" t="str">
        <f>+IFERROR(VLOOKUP(CATEGORIAS[[#This Row],[CATEGORIA2]],[1]HOMOLOGACION!$A$1:$C$571,3,FALSE),0)</f>
        <v>0B05</v>
      </c>
      <c r="C99" s="274" t="str">
        <f>+IFERROR(VLOOKUP(CATEGORIAS[[#This Row],[CATEGORIA2]],[1]HOMOLOGACION!$A$1:$D$571,4,FALSE),0)</f>
        <v xml:space="preserve">Cañería </v>
      </c>
      <c r="D99" s="144" t="s">
        <v>1818</v>
      </c>
      <c r="E99" s="273" t="s">
        <v>549</v>
      </c>
      <c r="F99" s="275" t="s">
        <v>364</v>
      </c>
      <c r="G99" s="313">
        <v>964035.9</v>
      </c>
      <c r="H99" s="313">
        <v>964035.9</v>
      </c>
      <c r="I99" s="130">
        <v>0</v>
      </c>
      <c r="J99" s="130"/>
      <c r="K99" s="130"/>
      <c r="L99" s="143">
        <f>CATEGORIAS[[#This Row],[ADICIONALES]]+CATEGORIAS[[#This Row],[POM]]</f>
        <v>964035.9</v>
      </c>
      <c r="M99" s="131">
        <v>0</v>
      </c>
      <c r="N99" s="227">
        <v>0</v>
      </c>
      <c r="O99" s="296">
        <f>CATEGORIAS[[#This Row],[PRODUCCION
PARTIDAS
ORIGINALES
ACTUAL]]+CATEGORIAS[[#This Row],[PRODUCCION
ADICIONALES
ACTUAL]]</f>
        <v>0</v>
      </c>
      <c r="P99" s="227">
        <v>0</v>
      </c>
      <c r="Q99" s="227">
        <v>0</v>
      </c>
      <c r="R99" s="297">
        <f>CATEGORIAS[[#This Row],[PRODUCCION
ANTERIOR]]+CATEGORIAS[[#This Row],[PRODUCCION
ADICIONALES
ANTERIOR]]</f>
        <v>0</v>
      </c>
      <c r="S99" s="133">
        <v>71281583</v>
      </c>
      <c r="T99" s="133">
        <f>-19999500-15000000</f>
        <v>-34999500</v>
      </c>
      <c r="U99" s="133"/>
      <c r="V99" s="296">
        <f>SUM(CATEGORIAS[[#This Row],[COSTO
ACUMULADO  AX]:[PROVISIONES]])</f>
        <v>36282083</v>
      </c>
      <c r="W99" s="298">
        <v>2536358</v>
      </c>
      <c r="X99" s="227">
        <v>45714500</v>
      </c>
      <c r="Y99" s="227"/>
      <c r="Z99" s="297">
        <f>SUM(CATEGORIAS[[#This Row],[COSTO ACUMULADO
ANTERIOR]:[PROVISIONES
ANTERIOR]])</f>
        <v>48250858</v>
      </c>
      <c r="AA99" s="139">
        <f>CATEGORIAS[[#This Row],[PRESUPUESTO
FINAL
PROYECTADO]]-CATEGORIAS[[#This Row],[TOTAL PRODUCCION
ACTUAL]]</f>
        <v>964035.9</v>
      </c>
      <c r="AB99" s="227">
        <v>299280</v>
      </c>
      <c r="AC99" s="132"/>
      <c r="AD99" s="132">
        <v>-35617327.100000001</v>
      </c>
      <c r="AE99" s="226">
        <f>SUM(CATEGORIAS[[#This Row],[INVENTARIO]:[PROYECCION
DE COSTO
DEL SALDO]])</f>
        <v>-35318047.100000001</v>
      </c>
      <c r="AF99" s="132"/>
      <c r="AG99" s="132">
        <f>+CATEGORIAS[[#This Row],[PRESUPUESTO
FINAL
PROYECTADO]]-CATEGORIAS[[#This Row],[COSTO REAL]]-CATEGORIAS[[#This Row],[PROYECCION
TOTAL DE COSTO]]</f>
        <v>0</v>
      </c>
    </row>
    <row r="100" spans="1:33" x14ac:dyDescent="0.25">
      <c r="A100" s="274" t="str">
        <f>+IFERROR(VLOOKUP(CATEGORIAS[[#This Row],[CATEGORIA2]],[1]HOMOLOGACION!$A$1:$I$571,9,FALSE),0)</f>
        <v>0D02</v>
      </c>
      <c r="B100" s="274" t="str">
        <f>+IFERROR(VLOOKUP(CATEGORIAS[[#This Row],[CATEGORIA2]],[1]HOMOLOGACION!$A$1:$C$571,3,FALSE),0)</f>
        <v>0B05</v>
      </c>
      <c r="C100" s="274" t="str">
        <f>+IFERROR(VLOOKUP(CATEGORIAS[[#This Row],[CATEGORIA2]],[1]HOMOLOGACION!$A$1:$D$571,4,FALSE),0)</f>
        <v xml:space="preserve">Cañería </v>
      </c>
      <c r="D100" s="144" t="s">
        <v>1819</v>
      </c>
      <c r="E100" s="273" t="s">
        <v>551</v>
      </c>
      <c r="F100" s="275" t="s">
        <v>361</v>
      </c>
      <c r="G100" s="313">
        <v>0</v>
      </c>
      <c r="H100" s="313">
        <v>0</v>
      </c>
      <c r="I100" s="130">
        <v>0</v>
      </c>
      <c r="J100" s="130"/>
      <c r="K100" s="130"/>
      <c r="L100" s="143">
        <f>CATEGORIAS[[#This Row],[ADICIONALES]]+CATEGORIAS[[#This Row],[POM]]</f>
        <v>0</v>
      </c>
      <c r="M100" s="131">
        <v>0</v>
      </c>
      <c r="N100" s="227">
        <v>0</v>
      </c>
      <c r="O100" s="296">
        <f>CATEGORIAS[[#This Row],[PRODUCCION
PARTIDAS
ORIGINALES
ACTUAL]]+CATEGORIAS[[#This Row],[PRODUCCION
ADICIONALES
ACTUAL]]</f>
        <v>0</v>
      </c>
      <c r="P100" s="227">
        <v>0</v>
      </c>
      <c r="Q100" s="132">
        <v>0</v>
      </c>
      <c r="R100" s="297">
        <f>CATEGORIAS[[#This Row],[PRODUCCION
ANTERIOR]]+CATEGORIAS[[#This Row],[PRODUCCION
ADICIONALES
ANTERIOR]]</f>
        <v>0</v>
      </c>
      <c r="S100" s="133">
        <v>0</v>
      </c>
      <c r="T100" s="227"/>
      <c r="U100" s="133"/>
      <c r="V100" s="296">
        <f>SUM(CATEGORIAS[[#This Row],[COSTO
ACUMULADO  AX]:[PROVISIONES]])</f>
        <v>0</v>
      </c>
      <c r="W100" s="298">
        <v>45714500</v>
      </c>
      <c r="X100" s="227">
        <v>-45714500</v>
      </c>
      <c r="Y100" s="227"/>
      <c r="Z100" s="297">
        <f>SUM(CATEGORIAS[[#This Row],[COSTO ACUMULADO
ANTERIOR]:[PROVISIONES
ANTERIOR]])</f>
        <v>0</v>
      </c>
      <c r="AA100" s="139">
        <f>CATEGORIAS[[#This Row],[PRESUPUESTO
FINAL
PROYECTADO]]-CATEGORIAS[[#This Row],[TOTAL PRODUCCION
ACTUAL]]</f>
        <v>0</v>
      </c>
      <c r="AB100" s="227">
        <v>0</v>
      </c>
      <c r="AC100" s="132"/>
      <c r="AD100" s="132"/>
      <c r="AE100" s="226">
        <f>SUM(CATEGORIAS[[#This Row],[INVENTARIO]:[PROYECCION
DE COSTO
DEL SALDO]])</f>
        <v>0</v>
      </c>
      <c r="AF100" s="132"/>
      <c r="AG100" s="132">
        <f>+CATEGORIAS[[#This Row],[PRESUPUESTO
FINAL
PROYECTADO]]-CATEGORIAS[[#This Row],[COSTO REAL]]-CATEGORIAS[[#This Row],[PROYECCION
TOTAL DE COSTO]]</f>
        <v>0</v>
      </c>
    </row>
    <row r="101" spans="1:33" x14ac:dyDescent="0.25">
      <c r="A101" s="274" t="str">
        <f>+IFERROR(VLOOKUP(CATEGORIAS[[#This Row],[CATEGORIA2]],[1]HOMOLOGACION!$A$1:$I$571,9,FALSE),0)</f>
        <v>0D02</v>
      </c>
      <c r="B101" s="274" t="str">
        <f>+IFERROR(VLOOKUP(CATEGORIAS[[#This Row],[CATEGORIA2]],[1]HOMOLOGACION!$A$1:$C$571,3,FALSE),0)</f>
        <v>0B05</v>
      </c>
      <c r="C101" s="274" t="str">
        <f>+IFERROR(VLOOKUP(CATEGORIAS[[#This Row],[CATEGORIA2]],[1]HOMOLOGACION!$A$1:$D$571,4,FALSE),0)</f>
        <v xml:space="preserve">Cañería </v>
      </c>
      <c r="D101" s="144" t="s">
        <v>1820</v>
      </c>
      <c r="E101" s="273" t="s">
        <v>553</v>
      </c>
      <c r="F101" s="275" t="s">
        <v>364</v>
      </c>
      <c r="G101" s="313">
        <v>15072128.970799999</v>
      </c>
      <c r="H101" s="313">
        <v>15072128.970799999</v>
      </c>
      <c r="I101" s="130">
        <v>2742484.8832806218</v>
      </c>
      <c r="J101" s="130"/>
      <c r="K101" s="130"/>
      <c r="L101" s="143">
        <f>CATEGORIAS[[#This Row],[ADICIONALES]]+CATEGORIAS[[#This Row],[POM]]</f>
        <v>17814613.854080621</v>
      </c>
      <c r="M101" s="131">
        <v>6570225.7297999999</v>
      </c>
      <c r="N101" s="227">
        <v>1837394.9277521751</v>
      </c>
      <c r="O101" s="296">
        <f>CATEGORIAS[[#This Row],[PRODUCCION
PARTIDAS
ORIGINALES
ACTUAL]]+CATEGORIAS[[#This Row],[PRODUCCION
ADICIONALES
ACTUAL]]</f>
        <v>8407620.6575521752</v>
      </c>
      <c r="P101" s="227">
        <v>4129932.2923000008</v>
      </c>
      <c r="Q101" s="227">
        <v>1837394.9277521751</v>
      </c>
      <c r="R101" s="297">
        <f>CATEGORIAS[[#This Row],[PRODUCCION
ANTERIOR]]+CATEGORIAS[[#This Row],[PRODUCCION
ADICIONALES
ANTERIOR]]</f>
        <v>5967327.2200521762</v>
      </c>
      <c r="S101" s="133">
        <v>11731059</v>
      </c>
      <c r="T101" s="227">
        <v>4090254</v>
      </c>
      <c r="U101" s="133"/>
      <c r="V101" s="296">
        <f>SUM(CATEGORIAS[[#This Row],[COSTO
ACUMULADO  AX]:[PROVISIONES]])</f>
        <v>15821313</v>
      </c>
      <c r="W101" s="298">
        <v>9704324</v>
      </c>
      <c r="X101" s="227">
        <v>4090254</v>
      </c>
      <c r="Y101" s="227"/>
      <c r="Z101" s="297">
        <f>SUM(CATEGORIAS[[#This Row],[COSTO ACUMULADO
ANTERIOR]:[PROVISIONES
ANTERIOR]])</f>
        <v>13794578</v>
      </c>
      <c r="AA101" s="139">
        <f>CATEGORIAS[[#This Row],[PRESUPUESTO
FINAL
PROYECTADO]]-CATEGORIAS[[#This Row],[TOTAL PRODUCCION
ACTUAL]]</f>
        <v>9406993.1965284459</v>
      </c>
      <c r="AB101" s="227">
        <v>3798886</v>
      </c>
      <c r="AC101" s="132"/>
      <c r="AD101" s="132">
        <v>-1805585.1459193788</v>
      </c>
      <c r="AE101" s="226">
        <f>SUM(CATEGORIAS[[#This Row],[INVENTARIO]:[PROYECCION
DE COSTO
DEL SALDO]])</f>
        <v>1993300.8540806212</v>
      </c>
      <c r="AF101" s="132"/>
      <c r="AG101" s="132">
        <f>+CATEGORIAS[[#This Row],[PRESUPUESTO
FINAL
PROYECTADO]]-CATEGORIAS[[#This Row],[COSTO REAL]]-CATEGORIAS[[#This Row],[PROYECCION
TOTAL DE COSTO]]</f>
        <v>0</v>
      </c>
    </row>
    <row r="102" spans="1:33" x14ac:dyDescent="0.25">
      <c r="A102" s="274" t="str">
        <f>+IFERROR(VLOOKUP(CATEGORIAS[[#This Row],[CATEGORIA2]],[1]HOMOLOGACION!$A$1:$I$571,9,FALSE),0)</f>
        <v>0D02</v>
      </c>
      <c r="B102" s="274" t="str">
        <f>+IFERROR(VLOOKUP(CATEGORIAS[[#This Row],[CATEGORIA2]],[1]HOMOLOGACION!$A$1:$C$571,3,FALSE),0)</f>
        <v>0B05</v>
      </c>
      <c r="C102" s="274" t="str">
        <f>+IFERROR(VLOOKUP(CATEGORIAS[[#This Row],[CATEGORIA2]],[1]HOMOLOGACION!$A$1:$D$571,4,FALSE),0)</f>
        <v xml:space="preserve">Cañería </v>
      </c>
      <c r="D102" s="144" t="s">
        <v>1821</v>
      </c>
      <c r="E102" s="273" t="s">
        <v>555</v>
      </c>
      <c r="F102" s="275" t="s">
        <v>361</v>
      </c>
      <c r="G102" s="313">
        <v>0</v>
      </c>
      <c r="H102" s="313">
        <v>0</v>
      </c>
      <c r="I102" s="130">
        <v>0</v>
      </c>
      <c r="J102" s="130"/>
      <c r="K102" s="130"/>
      <c r="L102" s="143">
        <f>CATEGORIAS[[#This Row],[ADICIONALES]]+CATEGORIAS[[#This Row],[POM]]</f>
        <v>0</v>
      </c>
      <c r="M102" s="131">
        <v>0</v>
      </c>
      <c r="N102" s="227">
        <v>0</v>
      </c>
      <c r="O102" s="296">
        <f>CATEGORIAS[[#This Row],[PRODUCCION
PARTIDAS
ORIGINALES
ACTUAL]]+CATEGORIAS[[#This Row],[PRODUCCION
ADICIONALES
ACTUAL]]</f>
        <v>0</v>
      </c>
      <c r="P102" s="227">
        <v>0</v>
      </c>
      <c r="Q102" s="227">
        <v>0</v>
      </c>
      <c r="R102" s="297">
        <f>CATEGORIAS[[#This Row],[PRODUCCION
ANTERIOR]]+CATEGORIAS[[#This Row],[PRODUCCION
ADICIONALES
ANTERIOR]]</f>
        <v>0</v>
      </c>
      <c r="S102" s="133">
        <v>0</v>
      </c>
      <c r="T102" s="133"/>
      <c r="U102" s="133"/>
      <c r="V102" s="296">
        <f>SUM(CATEGORIAS[[#This Row],[COSTO
ACUMULADO  AX]:[PROVISIONES]])</f>
        <v>0</v>
      </c>
      <c r="W102" s="298">
        <v>0</v>
      </c>
      <c r="X102" s="227"/>
      <c r="Y102" s="227"/>
      <c r="Z102" s="297">
        <f>SUM(CATEGORIAS[[#This Row],[COSTO ACUMULADO
ANTERIOR]:[PROVISIONES
ANTERIOR]])</f>
        <v>0</v>
      </c>
      <c r="AA102" s="139">
        <f>CATEGORIAS[[#This Row],[PRESUPUESTO
FINAL
PROYECTADO]]-CATEGORIAS[[#This Row],[TOTAL PRODUCCION
ACTUAL]]</f>
        <v>0</v>
      </c>
      <c r="AB102" s="227">
        <v>0</v>
      </c>
      <c r="AC102" s="132"/>
      <c r="AD102" s="132"/>
      <c r="AE102" s="226">
        <f>SUM(CATEGORIAS[[#This Row],[INVENTARIO]:[PROYECCION
DE COSTO
DEL SALDO]])</f>
        <v>0</v>
      </c>
      <c r="AF102" s="132"/>
      <c r="AG102" s="132">
        <f>+CATEGORIAS[[#This Row],[PRESUPUESTO
FINAL
PROYECTADO]]-CATEGORIAS[[#This Row],[COSTO REAL]]-CATEGORIAS[[#This Row],[PROYECCION
TOTAL DE COSTO]]</f>
        <v>0</v>
      </c>
    </row>
    <row r="103" spans="1:33" x14ac:dyDescent="0.25">
      <c r="A103" s="274" t="str">
        <f>+IFERROR(VLOOKUP(CATEGORIAS[[#This Row],[CATEGORIA2]],[1]HOMOLOGACION!$A$1:$I$571,9,FALSE),0)</f>
        <v>0F02</v>
      </c>
      <c r="B103" s="274" t="str">
        <f>+IFERROR(VLOOKUP(CATEGORIAS[[#This Row],[CATEGORIA2]],[1]HOMOLOGACION!$A$1:$C$571,3,FALSE),0)</f>
        <v>0B06</v>
      </c>
      <c r="C103" s="274" t="str">
        <f>+IFERROR(VLOOKUP(CATEGORIAS[[#This Row],[CATEGORIA2]],[1]HOMOLOGACION!$A$1:$D$571,4,FALSE),0)</f>
        <v>Electricidad &amp; Instrumentación</v>
      </c>
      <c r="D103" s="144" t="s">
        <v>1822</v>
      </c>
      <c r="E103" s="273" t="s">
        <v>557</v>
      </c>
      <c r="F103" s="275" t="s">
        <v>361</v>
      </c>
      <c r="G103" s="313">
        <v>0</v>
      </c>
      <c r="H103" s="313">
        <v>0</v>
      </c>
      <c r="I103" s="130">
        <v>0</v>
      </c>
      <c r="J103" s="130"/>
      <c r="K103" s="130"/>
      <c r="L103" s="143">
        <f>CATEGORIAS[[#This Row],[ADICIONALES]]+CATEGORIAS[[#This Row],[POM]]</f>
        <v>0</v>
      </c>
      <c r="M103" s="131">
        <v>0</v>
      </c>
      <c r="N103" s="227">
        <v>0</v>
      </c>
      <c r="O103" s="296">
        <f>CATEGORIAS[[#This Row],[PRODUCCION
PARTIDAS
ORIGINALES
ACTUAL]]+CATEGORIAS[[#This Row],[PRODUCCION
ADICIONALES
ACTUAL]]</f>
        <v>0</v>
      </c>
      <c r="P103" s="227">
        <v>0</v>
      </c>
      <c r="Q103" s="227">
        <v>0</v>
      </c>
      <c r="R103" s="297">
        <f>CATEGORIAS[[#This Row],[PRODUCCION
ANTERIOR]]+CATEGORIAS[[#This Row],[PRODUCCION
ADICIONALES
ANTERIOR]]</f>
        <v>0</v>
      </c>
      <c r="S103" s="133">
        <v>0</v>
      </c>
      <c r="T103" s="133"/>
      <c r="U103" s="133"/>
      <c r="V103" s="296">
        <f>SUM(CATEGORIAS[[#This Row],[COSTO
ACUMULADO  AX]:[PROVISIONES]])</f>
        <v>0</v>
      </c>
      <c r="W103" s="298">
        <v>0</v>
      </c>
      <c r="X103" s="227"/>
      <c r="Y103" s="227"/>
      <c r="Z103" s="297">
        <f>SUM(CATEGORIAS[[#This Row],[COSTO ACUMULADO
ANTERIOR]:[PROVISIONES
ANTERIOR]])</f>
        <v>0</v>
      </c>
      <c r="AA103" s="139">
        <f>CATEGORIAS[[#This Row],[PRESUPUESTO
FINAL
PROYECTADO]]-CATEGORIAS[[#This Row],[TOTAL PRODUCCION
ACTUAL]]</f>
        <v>0</v>
      </c>
      <c r="AB103" s="227"/>
      <c r="AC103" s="132"/>
      <c r="AD103" s="132"/>
      <c r="AE103" s="226">
        <f>SUM(CATEGORIAS[[#This Row],[INVENTARIO]:[PROYECCION
DE COSTO
DEL SALDO]])</f>
        <v>0</v>
      </c>
      <c r="AF103" s="132"/>
      <c r="AG103" s="132">
        <f>+CATEGORIAS[[#This Row],[PRESUPUESTO
FINAL
PROYECTADO]]-CATEGORIAS[[#This Row],[COSTO REAL]]-CATEGORIAS[[#This Row],[PROYECCION
TOTAL DE COSTO]]</f>
        <v>0</v>
      </c>
    </row>
    <row r="104" spans="1:33" x14ac:dyDescent="0.25">
      <c r="A104" s="274" t="str">
        <f>+IFERROR(VLOOKUP(CATEGORIAS[[#This Row],[CATEGORIA2]],[1]HOMOLOGACION!$A$1:$I$571,9,FALSE),0)</f>
        <v>0F02</v>
      </c>
      <c r="B104" s="274" t="str">
        <f>+IFERROR(VLOOKUP(CATEGORIAS[[#This Row],[CATEGORIA2]],[1]HOMOLOGACION!$A$1:$C$571,3,FALSE),0)</f>
        <v>0B06</v>
      </c>
      <c r="C104" s="274" t="str">
        <f>+IFERROR(VLOOKUP(CATEGORIAS[[#This Row],[CATEGORIA2]],[1]HOMOLOGACION!$A$1:$D$571,4,FALSE),0)</f>
        <v>Electricidad &amp; Instrumentación</v>
      </c>
      <c r="D104" s="144" t="s">
        <v>1823</v>
      </c>
      <c r="E104" s="273" t="s">
        <v>559</v>
      </c>
      <c r="F104" s="275" t="s">
        <v>361</v>
      </c>
      <c r="G104" s="313">
        <v>0</v>
      </c>
      <c r="H104" s="313">
        <v>0</v>
      </c>
      <c r="I104" s="130">
        <v>0</v>
      </c>
      <c r="J104" s="130"/>
      <c r="K104" s="130"/>
      <c r="L104" s="143">
        <f>CATEGORIAS[[#This Row],[ADICIONALES]]+CATEGORIAS[[#This Row],[POM]]</f>
        <v>0</v>
      </c>
      <c r="M104" s="131">
        <v>0</v>
      </c>
      <c r="N104" s="227">
        <v>0</v>
      </c>
      <c r="O104" s="296">
        <f>CATEGORIAS[[#This Row],[PRODUCCION
PARTIDAS
ORIGINALES
ACTUAL]]+CATEGORIAS[[#This Row],[PRODUCCION
ADICIONALES
ACTUAL]]</f>
        <v>0</v>
      </c>
      <c r="P104" s="227">
        <v>0</v>
      </c>
      <c r="Q104" s="132">
        <v>0</v>
      </c>
      <c r="R104" s="297">
        <f>CATEGORIAS[[#This Row],[PRODUCCION
ANTERIOR]]+CATEGORIAS[[#This Row],[PRODUCCION
ADICIONALES
ANTERIOR]]</f>
        <v>0</v>
      </c>
      <c r="S104" s="133">
        <v>0</v>
      </c>
      <c r="T104" s="133"/>
      <c r="U104" s="133"/>
      <c r="V104" s="296">
        <f>SUM(CATEGORIAS[[#This Row],[COSTO
ACUMULADO  AX]:[PROVISIONES]])</f>
        <v>0</v>
      </c>
      <c r="W104" s="298">
        <v>0</v>
      </c>
      <c r="X104" s="227"/>
      <c r="Y104" s="227"/>
      <c r="Z104" s="297">
        <f>SUM(CATEGORIAS[[#This Row],[COSTO ACUMULADO
ANTERIOR]:[PROVISIONES
ANTERIOR]])</f>
        <v>0</v>
      </c>
      <c r="AA104" s="139">
        <f>CATEGORIAS[[#This Row],[PRESUPUESTO
FINAL
PROYECTADO]]-CATEGORIAS[[#This Row],[TOTAL PRODUCCION
ACTUAL]]</f>
        <v>0</v>
      </c>
      <c r="AB104" s="227">
        <v>0</v>
      </c>
      <c r="AC104" s="132"/>
      <c r="AD104" s="132"/>
      <c r="AE104" s="226">
        <f>SUM(CATEGORIAS[[#This Row],[INVENTARIO]:[PROYECCION
DE COSTO
DEL SALDO]])</f>
        <v>0</v>
      </c>
      <c r="AF104" s="132"/>
      <c r="AG104" s="132">
        <f>+CATEGORIAS[[#This Row],[PRESUPUESTO
FINAL
PROYECTADO]]-CATEGORIAS[[#This Row],[COSTO REAL]]-CATEGORIAS[[#This Row],[PROYECCION
TOTAL DE COSTO]]</f>
        <v>0</v>
      </c>
    </row>
    <row r="105" spans="1:33" x14ac:dyDescent="0.25">
      <c r="A105" s="274" t="str">
        <f>+IFERROR(VLOOKUP(CATEGORIAS[[#This Row],[CATEGORIA2]],[1]HOMOLOGACION!$A$1:$I$571,9,FALSE),0)</f>
        <v>0F02</v>
      </c>
      <c r="B105" s="274" t="str">
        <f>+IFERROR(VLOOKUP(CATEGORIAS[[#This Row],[CATEGORIA2]],[1]HOMOLOGACION!$A$1:$C$571,3,FALSE),0)</f>
        <v>0B06</v>
      </c>
      <c r="C105" s="274" t="str">
        <f>+IFERROR(VLOOKUP(CATEGORIAS[[#This Row],[CATEGORIA2]],[1]HOMOLOGACION!$A$1:$D$571,4,FALSE),0)</f>
        <v>Electricidad &amp; Instrumentación</v>
      </c>
      <c r="D105" s="144" t="s">
        <v>1824</v>
      </c>
      <c r="E105" s="273" t="s">
        <v>561</v>
      </c>
      <c r="F105" s="275" t="s">
        <v>361</v>
      </c>
      <c r="G105" s="313">
        <v>0</v>
      </c>
      <c r="H105" s="313">
        <v>0</v>
      </c>
      <c r="I105" s="130">
        <v>0</v>
      </c>
      <c r="J105" s="130"/>
      <c r="K105" s="130"/>
      <c r="L105" s="143">
        <f>CATEGORIAS[[#This Row],[ADICIONALES]]+CATEGORIAS[[#This Row],[POM]]</f>
        <v>0</v>
      </c>
      <c r="M105" s="131">
        <v>0</v>
      </c>
      <c r="N105" s="227">
        <v>0</v>
      </c>
      <c r="O105" s="296">
        <f>CATEGORIAS[[#This Row],[PRODUCCION
PARTIDAS
ORIGINALES
ACTUAL]]+CATEGORIAS[[#This Row],[PRODUCCION
ADICIONALES
ACTUAL]]</f>
        <v>0</v>
      </c>
      <c r="P105" s="227">
        <v>0</v>
      </c>
      <c r="Q105" s="227">
        <v>0</v>
      </c>
      <c r="R105" s="297">
        <f>CATEGORIAS[[#This Row],[PRODUCCION
ANTERIOR]]+CATEGORIAS[[#This Row],[PRODUCCION
ADICIONALES
ANTERIOR]]</f>
        <v>0</v>
      </c>
      <c r="S105" s="133">
        <v>0</v>
      </c>
      <c r="T105" s="133"/>
      <c r="U105" s="133"/>
      <c r="V105" s="296">
        <f>SUM(CATEGORIAS[[#This Row],[COSTO
ACUMULADO  AX]:[PROVISIONES]])</f>
        <v>0</v>
      </c>
      <c r="W105" s="298">
        <v>0</v>
      </c>
      <c r="X105" s="227"/>
      <c r="Y105" s="227"/>
      <c r="Z105" s="297">
        <f>SUM(CATEGORIAS[[#This Row],[COSTO ACUMULADO
ANTERIOR]:[PROVISIONES
ANTERIOR]])</f>
        <v>0</v>
      </c>
      <c r="AA105" s="139">
        <f>CATEGORIAS[[#This Row],[PRESUPUESTO
FINAL
PROYECTADO]]-CATEGORIAS[[#This Row],[TOTAL PRODUCCION
ACTUAL]]</f>
        <v>0</v>
      </c>
      <c r="AB105" s="227">
        <v>0</v>
      </c>
      <c r="AC105" s="132"/>
      <c r="AD105" s="132"/>
      <c r="AE105" s="226">
        <f>SUM(CATEGORIAS[[#This Row],[INVENTARIO]:[PROYECCION
DE COSTO
DEL SALDO]])</f>
        <v>0</v>
      </c>
      <c r="AF105" s="132"/>
      <c r="AG105" s="132">
        <f>+CATEGORIAS[[#This Row],[PRESUPUESTO
FINAL
PROYECTADO]]-CATEGORIAS[[#This Row],[COSTO REAL]]-CATEGORIAS[[#This Row],[PROYECCION
TOTAL DE COSTO]]</f>
        <v>0</v>
      </c>
    </row>
    <row r="106" spans="1:33" x14ac:dyDescent="0.25">
      <c r="A106" s="274" t="str">
        <f>+IFERROR(VLOOKUP(CATEGORIAS[[#This Row],[CATEGORIA2]],[1]HOMOLOGACION!$A$1:$I$571,9,FALSE),0)</f>
        <v>0F02</v>
      </c>
      <c r="B106" s="274" t="str">
        <f>+IFERROR(VLOOKUP(CATEGORIAS[[#This Row],[CATEGORIA2]],[1]HOMOLOGACION!$A$1:$C$571,3,FALSE),0)</f>
        <v>0B06</v>
      </c>
      <c r="C106" s="274" t="str">
        <f>+IFERROR(VLOOKUP(CATEGORIAS[[#This Row],[CATEGORIA2]],[1]HOMOLOGACION!$A$1:$D$571,4,FALSE),0)</f>
        <v>Electricidad &amp; Instrumentación</v>
      </c>
      <c r="D106" s="144" t="s">
        <v>1825</v>
      </c>
      <c r="E106" s="273" t="s">
        <v>563</v>
      </c>
      <c r="F106" s="275" t="s">
        <v>361</v>
      </c>
      <c r="G106" s="313">
        <v>0</v>
      </c>
      <c r="H106" s="313">
        <v>0</v>
      </c>
      <c r="I106" s="130">
        <v>0</v>
      </c>
      <c r="J106" s="130"/>
      <c r="K106" s="130"/>
      <c r="L106" s="143">
        <f>CATEGORIAS[[#This Row],[ADICIONALES]]+CATEGORIAS[[#This Row],[POM]]</f>
        <v>0</v>
      </c>
      <c r="M106" s="131">
        <v>0</v>
      </c>
      <c r="N106" s="227">
        <v>0</v>
      </c>
      <c r="O106" s="296">
        <f>CATEGORIAS[[#This Row],[PRODUCCION
PARTIDAS
ORIGINALES
ACTUAL]]+CATEGORIAS[[#This Row],[PRODUCCION
ADICIONALES
ACTUAL]]</f>
        <v>0</v>
      </c>
      <c r="P106" s="227">
        <v>0</v>
      </c>
      <c r="Q106" s="227">
        <v>0</v>
      </c>
      <c r="R106" s="297">
        <f>CATEGORIAS[[#This Row],[PRODUCCION
ANTERIOR]]+CATEGORIAS[[#This Row],[PRODUCCION
ADICIONALES
ANTERIOR]]</f>
        <v>0</v>
      </c>
      <c r="S106" s="133">
        <v>0</v>
      </c>
      <c r="T106" s="133"/>
      <c r="U106" s="133"/>
      <c r="V106" s="296">
        <f>SUM(CATEGORIAS[[#This Row],[COSTO
ACUMULADO  AX]:[PROVISIONES]])</f>
        <v>0</v>
      </c>
      <c r="W106" s="298">
        <v>0</v>
      </c>
      <c r="X106" s="227"/>
      <c r="Y106" s="227"/>
      <c r="Z106" s="297">
        <f>SUM(CATEGORIAS[[#This Row],[COSTO ACUMULADO
ANTERIOR]:[PROVISIONES
ANTERIOR]])</f>
        <v>0</v>
      </c>
      <c r="AA106" s="139">
        <f>CATEGORIAS[[#This Row],[PRESUPUESTO
FINAL
PROYECTADO]]-CATEGORIAS[[#This Row],[TOTAL PRODUCCION
ACTUAL]]</f>
        <v>0</v>
      </c>
      <c r="AB106" s="227">
        <v>0</v>
      </c>
      <c r="AC106" s="132"/>
      <c r="AD106" s="132"/>
      <c r="AE106" s="226">
        <f>SUM(CATEGORIAS[[#This Row],[INVENTARIO]:[PROYECCION
DE COSTO
DEL SALDO]])</f>
        <v>0</v>
      </c>
      <c r="AF106" s="132"/>
      <c r="AG106" s="132">
        <f>+CATEGORIAS[[#This Row],[PRESUPUESTO
FINAL
PROYECTADO]]-CATEGORIAS[[#This Row],[COSTO REAL]]-CATEGORIAS[[#This Row],[PROYECCION
TOTAL DE COSTO]]</f>
        <v>0</v>
      </c>
    </row>
    <row r="107" spans="1:33" x14ac:dyDescent="0.25">
      <c r="A107" s="274" t="str">
        <f>+IFERROR(VLOOKUP(CATEGORIAS[[#This Row],[CATEGORIA2]],[1]HOMOLOGACION!$A$1:$I$571,9,FALSE),0)</f>
        <v>0F02</v>
      </c>
      <c r="B107" s="274" t="str">
        <f>+IFERROR(VLOOKUP(CATEGORIAS[[#This Row],[CATEGORIA2]],[1]HOMOLOGACION!$A$1:$C$571,3,FALSE),0)</f>
        <v>0B06</v>
      </c>
      <c r="C107" s="274" t="str">
        <f>+IFERROR(VLOOKUP(CATEGORIAS[[#This Row],[CATEGORIA2]],[1]HOMOLOGACION!$A$1:$D$571,4,FALSE),0)</f>
        <v>Electricidad &amp; Instrumentación</v>
      </c>
      <c r="D107" s="144" t="s">
        <v>1826</v>
      </c>
      <c r="E107" s="273" t="s">
        <v>565</v>
      </c>
      <c r="F107" s="275" t="s">
        <v>364</v>
      </c>
      <c r="G107" s="313">
        <v>16344154</v>
      </c>
      <c r="H107" s="313">
        <v>16344154</v>
      </c>
      <c r="I107" s="130">
        <v>0</v>
      </c>
      <c r="J107" s="130"/>
      <c r="K107" s="130"/>
      <c r="L107" s="143">
        <f>CATEGORIAS[[#This Row],[ADICIONALES]]+CATEGORIAS[[#This Row],[POM]]</f>
        <v>16344154</v>
      </c>
      <c r="M107" s="131">
        <v>379750</v>
      </c>
      <c r="N107" s="227">
        <v>0</v>
      </c>
      <c r="O107" s="296">
        <f>CATEGORIAS[[#This Row],[PRODUCCION
PARTIDAS
ORIGINALES
ACTUAL]]+CATEGORIAS[[#This Row],[PRODUCCION
ADICIONALES
ACTUAL]]</f>
        <v>379750</v>
      </c>
      <c r="P107" s="227">
        <v>34320</v>
      </c>
      <c r="Q107" s="227">
        <v>0</v>
      </c>
      <c r="R107" s="297">
        <f>CATEGORIAS[[#This Row],[PRODUCCION
ANTERIOR]]+CATEGORIAS[[#This Row],[PRODUCCION
ADICIONALES
ANTERIOR]]</f>
        <v>34320</v>
      </c>
      <c r="S107" s="133">
        <v>2742500</v>
      </c>
      <c r="T107" s="133"/>
      <c r="U107" s="133"/>
      <c r="V107" s="296">
        <f>SUM(CATEGORIAS[[#This Row],[COSTO
ACUMULADO  AX]:[PROVISIONES]])</f>
        <v>2742500</v>
      </c>
      <c r="W107" s="298">
        <v>0</v>
      </c>
      <c r="X107" s="227"/>
      <c r="Y107" s="227"/>
      <c r="Z107" s="297">
        <f>SUM(CATEGORIAS[[#This Row],[COSTO ACUMULADO
ANTERIOR]:[PROVISIONES
ANTERIOR]])</f>
        <v>0</v>
      </c>
      <c r="AA107" s="139">
        <f>CATEGORIAS[[#This Row],[PRESUPUESTO
FINAL
PROYECTADO]]-CATEGORIAS[[#This Row],[TOTAL PRODUCCION
ACTUAL]]</f>
        <v>15964404</v>
      </c>
      <c r="AB107" s="227">
        <v>0</v>
      </c>
      <c r="AC107" s="132"/>
      <c r="AD107" s="132">
        <v>13601654</v>
      </c>
      <c r="AE107" s="226">
        <f>SUM(CATEGORIAS[[#This Row],[INVENTARIO]:[PROYECCION
DE COSTO
DEL SALDO]])</f>
        <v>13601654</v>
      </c>
      <c r="AF107" s="132"/>
      <c r="AG107" s="132">
        <f>+CATEGORIAS[[#This Row],[PRESUPUESTO
FINAL
PROYECTADO]]-CATEGORIAS[[#This Row],[COSTO REAL]]-CATEGORIAS[[#This Row],[PROYECCION
TOTAL DE COSTO]]</f>
        <v>0</v>
      </c>
    </row>
    <row r="108" spans="1:33" x14ac:dyDescent="0.25">
      <c r="A108" s="274" t="str">
        <f>+IFERROR(VLOOKUP(CATEGORIAS[[#This Row],[CATEGORIA2]],[1]HOMOLOGACION!$A$1:$I$571,9,FALSE),0)</f>
        <v>0F02</v>
      </c>
      <c r="B108" s="274" t="str">
        <f>+IFERROR(VLOOKUP(CATEGORIAS[[#This Row],[CATEGORIA2]],[1]HOMOLOGACION!$A$1:$C$571,3,FALSE),0)</f>
        <v>0B06</v>
      </c>
      <c r="C108" s="274" t="str">
        <f>+IFERROR(VLOOKUP(CATEGORIAS[[#This Row],[CATEGORIA2]],[1]HOMOLOGACION!$A$1:$D$571,4,FALSE),0)</f>
        <v>Electricidad &amp; Instrumentación</v>
      </c>
      <c r="D108" s="144" t="s">
        <v>1827</v>
      </c>
      <c r="E108" s="273" t="s">
        <v>567</v>
      </c>
      <c r="F108" s="275" t="s">
        <v>361</v>
      </c>
      <c r="G108" s="313">
        <v>0</v>
      </c>
      <c r="H108" s="313">
        <v>0</v>
      </c>
      <c r="I108" s="130">
        <v>0</v>
      </c>
      <c r="J108" s="130"/>
      <c r="K108" s="130"/>
      <c r="L108" s="143">
        <f>CATEGORIAS[[#This Row],[ADICIONALES]]+CATEGORIAS[[#This Row],[POM]]</f>
        <v>0</v>
      </c>
      <c r="M108" s="131">
        <v>0</v>
      </c>
      <c r="N108" s="227">
        <v>0</v>
      </c>
      <c r="O108" s="296">
        <f>CATEGORIAS[[#This Row],[PRODUCCION
PARTIDAS
ORIGINALES
ACTUAL]]+CATEGORIAS[[#This Row],[PRODUCCION
ADICIONALES
ACTUAL]]</f>
        <v>0</v>
      </c>
      <c r="P108" s="227">
        <v>0</v>
      </c>
      <c r="Q108" s="227">
        <v>0</v>
      </c>
      <c r="R108" s="297">
        <f>CATEGORIAS[[#This Row],[PRODUCCION
ANTERIOR]]+CATEGORIAS[[#This Row],[PRODUCCION
ADICIONALES
ANTERIOR]]</f>
        <v>0</v>
      </c>
      <c r="S108" s="133">
        <v>0</v>
      </c>
      <c r="T108" s="133"/>
      <c r="U108" s="133"/>
      <c r="V108" s="296">
        <f>SUM(CATEGORIAS[[#This Row],[COSTO
ACUMULADO  AX]:[PROVISIONES]])</f>
        <v>0</v>
      </c>
      <c r="W108" s="298">
        <v>0</v>
      </c>
      <c r="X108" s="227"/>
      <c r="Y108" s="227"/>
      <c r="Z108" s="297">
        <f>SUM(CATEGORIAS[[#This Row],[COSTO ACUMULADO
ANTERIOR]:[PROVISIONES
ANTERIOR]])</f>
        <v>0</v>
      </c>
      <c r="AA108" s="139">
        <f>CATEGORIAS[[#This Row],[PRESUPUESTO
FINAL
PROYECTADO]]-CATEGORIAS[[#This Row],[TOTAL PRODUCCION
ACTUAL]]</f>
        <v>0</v>
      </c>
      <c r="AB108" s="227">
        <v>0</v>
      </c>
      <c r="AC108" s="132"/>
      <c r="AD108" s="132"/>
      <c r="AE108" s="226">
        <f>SUM(CATEGORIAS[[#This Row],[INVENTARIO]:[PROYECCION
DE COSTO
DEL SALDO]])</f>
        <v>0</v>
      </c>
      <c r="AF108" s="132"/>
      <c r="AG108" s="132">
        <f>+CATEGORIAS[[#This Row],[PRESUPUESTO
FINAL
PROYECTADO]]-CATEGORIAS[[#This Row],[COSTO REAL]]-CATEGORIAS[[#This Row],[PROYECCION
TOTAL DE COSTO]]</f>
        <v>0</v>
      </c>
    </row>
    <row r="109" spans="1:33" x14ac:dyDescent="0.25">
      <c r="A109" s="274" t="str">
        <f>+IFERROR(VLOOKUP(CATEGORIAS[[#This Row],[CATEGORIA2]],[1]HOMOLOGACION!$A$1:$I$571,9,FALSE),0)</f>
        <v>0F02</v>
      </c>
      <c r="B109" s="274" t="str">
        <f>+IFERROR(VLOOKUP(CATEGORIAS[[#This Row],[CATEGORIA2]],[1]HOMOLOGACION!$A$1:$C$571,3,FALSE),0)</f>
        <v>0B06</v>
      </c>
      <c r="C109" s="274" t="str">
        <f>+IFERROR(VLOOKUP(CATEGORIAS[[#This Row],[CATEGORIA2]],[1]HOMOLOGACION!$A$1:$D$571,4,FALSE),0)</f>
        <v>Electricidad &amp; Instrumentación</v>
      </c>
      <c r="D109" s="144" t="s">
        <v>1828</v>
      </c>
      <c r="E109" s="273" t="s">
        <v>569</v>
      </c>
      <c r="F109" s="275" t="s">
        <v>364</v>
      </c>
      <c r="G109" s="313">
        <v>3230699.04</v>
      </c>
      <c r="H109" s="313">
        <v>3230699.04</v>
      </c>
      <c r="I109" s="130">
        <v>5262390.1789180283</v>
      </c>
      <c r="J109" s="130"/>
      <c r="K109" s="130"/>
      <c r="L109" s="143">
        <f>CATEGORIAS[[#This Row],[ADICIONALES]]+CATEGORIAS[[#This Row],[POM]]</f>
        <v>8493089.2189180292</v>
      </c>
      <c r="M109" s="131">
        <v>565760</v>
      </c>
      <c r="N109" s="227">
        <v>5262390.1789180283</v>
      </c>
      <c r="O109" s="296">
        <f>CATEGORIAS[[#This Row],[PRODUCCION
PARTIDAS
ORIGINALES
ACTUAL]]+CATEGORIAS[[#This Row],[PRODUCCION
ADICIONALES
ACTUAL]]</f>
        <v>5828150.1789180283</v>
      </c>
      <c r="P109" s="227">
        <v>168014.4</v>
      </c>
      <c r="Q109" s="227">
        <v>5262390.1789180283</v>
      </c>
      <c r="R109" s="297">
        <f>CATEGORIAS[[#This Row],[PRODUCCION
ANTERIOR]]+CATEGORIAS[[#This Row],[PRODUCCION
ADICIONALES
ANTERIOR]]</f>
        <v>5430404.5789180286</v>
      </c>
      <c r="S109" s="133">
        <v>3150346</v>
      </c>
      <c r="T109" s="133"/>
      <c r="U109" s="133"/>
      <c r="V109" s="296">
        <f>SUM(CATEGORIAS[[#This Row],[COSTO
ACUMULADO  AX]:[PROVISIONES]])</f>
        <v>3150346</v>
      </c>
      <c r="W109" s="298">
        <v>0</v>
      </c>
      <c r="X109" s="227"/>
      <c r="Y109" s="227"/>
      <c r="Z109" s="297">
        <f>SUM(CATEGORIAS[[#This Row],[COSTO ACUMULADO
ANTERIOR]:[PROVISIONES
ANTERIOR]])</f>
        <v>0</v>
      </c>
      <c r="AA109" s="139">
        <f>CATEGORIAS[[#This Row],[PRESUPUESTO
FINAL
PROYECTADO]]-CATEGORIAS[[#This Row],[TOTAL PRODUCCION
ACTUAL]]</f>
        <v>2664939.040000001</v>
      </c>
      <c r="AB109" s="227">
        <v>3657574</v>
      </c>
      <c r="AC109" s="132"/>
      <c r="AD109" s="132">
        <v>1685169.2189180292</v>
      </c>
      <c r="AE109" s="226">
        <f>SUM(CATEGORIAS[[#This Row],[INVENTARIO]:[PROYECCION
DE COSTO
DEL SALDO]])</f>
        <v>5342743.2189180292</v>
      </c>
      <c r="AF109" s="132"/>
      <c r="AG109" s="132">
        <f>+CATEGORIAS[[#This Row],[PRESUPUESTO
FINAL
PROYECTADO]]-CATEGORIAS[[#This Row],[COSTO REAL]]-CATEGORIAS[[#This Row],[PROYECCION
TOTAL DE COSTO]]</f>
        <v>0</v>
      </c>
    </row>
    <row r="110" spans="1:33" x14ac:dyDescent="0.25">
      <c r="A110" s="274" t="str">
        <f>+IFERROR(VLOOKUP(CATEGORIAS[[#This Row],[CATEGORIA2]],[1]HOMOLOGACION!$A$1:$I$571,9,FALSE),0)</f>
        <v>0F02</v>
      </c>
      <c r="B110" s="274" t="str">
        <f>+IFERROR(VLOOKUP(CATEGORIAS[[#This Row],[CATEGORIA2]],[1]HOMOLOGACION!$A$1:$C$571,3,FALSE),0)</f>
        <v>0B06</v>
      </c>
      <c r="C110" s="274" t="str">
        <f>+IFERROR(VLOOKUP(CATEGORIAS[[#This Row],[CATEGORIA2]],[1]HOMOLOGACION!$A$1:$D$571,4,FALSE),0)</f>
        <v>Electricidad &amp; Instrumentación</v>
      </c>
      <c r="D110" s="144" t="s">
        <v>1829</v>
      </c>
      <c r="E110" s="273" t="s">
        <v>571</v>
      </c>
      <c r="F110" s="275" t="s">
        <v>361</v>
      </c>
      <c r="G110" s="313">
        <v>0</v>
      </c>
      <c r="H110" s="313">
        <v>0</v>
      </c>
      <c r="I110" s="130">
        <v>0</v>
      </c>
      <c r="J110" s="130"/>
      <c r="K110" s="130"/>
      <c r="L110" s="143">
        <f>CATEGORIAS[[#This Row],[ADICIONALES]]+CATEGORIAS[[#This Row],[POM]]</f>
        <v>0</v>
      </c>
      <c r="M110" s="131">
        <v>0</v>
      </c>
      <c r="N110" s="227">
        <v>0</v>
      </c>
      <c r="O110" s="296">
        <f>CATEGORIAS[[#This Row],[PRODUCCION
PARTIDAS
ORIGINALES
ACTUAL]]+CATEGORIAS[[#This Row],[PRODUCCION
ADICIONALES
ACTUAL]]</f>
        <v>0</v>
      </c>
      <c r="P110" s="227">
        <v>0</v>
      </c>
      <c r="Q110" s="227">
        <v>0</v>
      </c>
      <c r="R110" s="297">
        <f>CATEGORIAS[[#This Row],[PRODUCCION
ANTERIOR]]+CATEGORIAS[[#This Row],[PRODUCCION
ADICIONALES
ANTERIOR]]</f>
        <v>0</v>
      </c>
      <c r="S110" s="133">
        <v>0</v>
      </c>
      <c r="T110" s="133"/>
      <c r="U110" s="133"/>
      <c r="V110" s="296">
        <f>SUM(CATEGORIAS[[#This Row],[COSTO
ACUMULADO  AX]:[PROVISIONES]])</f>
        <v>0</v>
      </c>
      <c r="W110" s="298">
        <v>0</v>
      </c>
      <c r="X110" s="227"/>
      <c r="Y110" s="227"/>
      <c r="Z110" s="297">
        <f>SUM(CATEGORIAS[[#This Row],[COSTO ACUMULADO
ANTERIOR]:[PROVISIONES
ANTERIOR]])</f>
        <v>0</v>
      </c>
      <c r="AA110" s="139">
        <f>CATEGORIAS[[#This Row],[PRESUPUESTO
FINAL
PROYECTADO]]-CATEGORIAS[[#This Row],[TOTAL PRODUCCION
ACTUAL]]</f>
        <v>0</v>
      </c>
      <c r="AB110" s="227">
        <v>0</v>
      </c>
      <c r="AC110" s="132"/>
      <c r="AD110" s="132"/>
      <c r="AE110" s="226">
        <f>SUM(CATEGORIAS[[#This Row],[INVENTARIO]:[PROYECCION
DE COSTO
DEL SALDO]])</f>
        <v>0</v>
      </c>
      <c r="AF110" s="132"/>
      <c r="AG110" s="132">
        <f>+CATEGORIAS[[#This Row],[PRESUPUESTO
FINAL
PROYECTADO]]-CATEGORIAS[[#This Row],[COSTO REAL]]-CATEGORIAS[[#This Row],[PROYECCION
TOTAL DE COSTO]]</f>
        <v>0</v>
      </c>
    </row>
    <row r="111" spans="1:33" x14ac:dyDescent="0.25">
      <c r="A111" s="274" t="str">
        <f>+IFERROR(VLOOKUP(CATEGORIAS[[#This Row],[CATEGORIA2]],[1]HOMOLOGACION!$A$1:$I$571,9,FALSE),0)</f>
        <v>0F02</v>
      </c>
      <c r="B111" s="274" t="str">
        <f>+IFERROR(VLOOKUP(CATEGORIAS[[#This Row],[CATEGORIA2]],[1]HOMOLOGACION!$A$1:$C$571,3,FALSE),0)</f>
        <v>0B06</v>
      </c>
      <c r="C111" s="274" t="str">
        <f>+IFERROR(VLOOKUP(CATEGORIAS[[#This Row],[CATEGORIA2]],[1]HOMOLOGACION!$A$1:$D$571,4,FALSE),0)</f>
        <v>Electricidad &amp; Instrumentación</v>
      </c>
      <c r="D111" s="144" t="s">
        <v>1830</v>
      </c>
      <c r="E111" s="273" t="s">
        <v>573</v>
      </c>
      <c r="F111" s="275" t="s">
        <v>364</v>
      </c>
      <c r="G111" s="313">
        <v>18466904.318999998</v>
      </c>
      <c r="H111" s="313">
        <v>18466904.318999998</v>
      </c>
      <c r="I111" s="130">
        <v>0</v>
      </c>
      <c r="J111" s="130"/>
      <c r="K111" s="130"/>
      <c r="L111" s="143">
        <f>CATEGORIAS[[#This Row],[ADICIONALES]]+CATEGORIAS[[#This Row],[POM]]</f>
        <v>18466904.318999998</v>
      </c>
      <c r="M111" s="131">
        <v>1966438.5149999999</v>
      </c>
      <c r="N111" s="227">
        <v>0</v>
      </c>
      <c r="O111" s="296">
        <f>CATEGORIAS[[#This Row],[PRODUCCION
PARTIDAS
ORIGINALES
ACTUAL]]+CATEGORIAS[[#This Row],[PRODUCCION
ADICIONALES
ACTUAL]]</f>
        <v>1966438.5149999999</v>
      </c>
      <c r="P111" s="227">
        <v>1513349.5634999999</v>
      </c>
      <c r="Q111" s="227">
        <v>0</v>
      </c>
      <c r="R111" s="297">
        <f>CATEGORIAS[[#This Row],[PRODUCCION
ANTERIOR]]+CATEGORIAS[[#This Row],[PRODUCCION
ADICIONALES
ANTERIOR]]</f>
        <v>1513349.5634999999</v>
      </c>
      <c r="S111" s="133">
        <v>9589839</v>
      </c>
      <c r="T111" s="133"/>
      <c r="U111" s="133"/>
      <c r="V111" s="296">
        <f>SUM(CATEGORIAS[[#This Row],[COSTO
ACUMULADO  AX]:[PROVISIONES]])</f>
        <v>9589839</v>
      </c>
      <c r="W111" s="298">
        <v>7120233</v>
      </c>
      <c r="X111" s="227"/>
      <c r="Y111" s="227"/>
      <c r="Z111" s="297">
        <f>SUM(CATEGORIAS[[#This Row],[COSTO ACUMULADO
ANTERIOR]:[PROVISIONES
ANTERIOR]])</f>
        <v>7120233</v>
      </c>
      <c r="AA111" s="139">
        <f>CATEGORIAS[[#This Row],[PRESUPUESTO
FINAL
PROYECTADO]]-CATEGORIAS[[#This Row],[TOTAL PRODUCCION
ACTUAL]]</f>
        <v>16500465.803999998</v>
      </c>
      <c r="AB111" s="227">
        <v>0</v>
      </c>
      <c r="AC111" s="132"/>
      <c r="AD111" s="132">
        <v>8877065.3189999983</v>
      </c>
      <c r="AE111" s="226">
        <f>SUM(CATEGORIAS[[#This Row],[INVENTARIO]:[PROYECCION
DE COSTO
DEL SALDO]])</f>
        <v>8877065.3189999983</v>
      </c>
      <c r="AF111" s="132"/>
      <c r="AG111" s="132">
        <f>+CATEGORIAS[[#This Row],[PRESUPUESTO
FINAL
PROYECTADO]]-CATEGORIAS[[#This Row],[COSTO REAL]]-CATEGORIAS[[#This Row],[PROYECCION
TOTAL DE COSTO]]</f>
        <v>0</v>
      </c>
    </row>
    <row r="112" spans="1:33" x14ac:dyDescent="0.25">
      <c r="A112" s="274" t="str">
        <f>+IFERROR(VLOOKUP(CATEGORIAS[[#This Row],[CATEGORIA2]],[1]HOMOLOGACION!$A$1:$I$571,9,FALSE),0)</f>
        <v>0F02</v>
      </c>
      <c r="B112" s="274" t="str">
        <f>+IFERROR(VLOOKUP(CATEGORIAS[[#This Row],[CATEGORIA2]],[1]HOMOLOGACION!$A$1:$C$571,3,FALSE),0)</f>
        <v>0B06</v>
      </c>
      <c r="C112" s="274" t="str">
        <f>+IFERROR(VLOOKUP(CATEGORIAS[[#This Row],[CATEGORIA2]],[1]HOMOLOGACION!$A$1:$D$571,4,FALSE),0)</f>
        <v>Electricidad &amp; Instrumentación</v>
      </c>
      <c r="D112" s="144" t="s">
        <v>1831</v>
      </c>
      <c r="E112" s="273" t="s">
        <v>575</v>
      </c>
      <c r="F112" s="275" t="s">
        <v>361</v>
      </c>
      <c r="G112" s="313">
        <v>0</v>
      </c>
      <c r="H112" s="313">
        <v>0</v>
      </c>
      <c r="I112" s="130">
        <v>0</v>
      </c>
      <c r="J112" s="130"/>
      <c r="K112" s="130"/>
      <c r="L112" s="143">
        <f>CATEGORIAS[[#This Row],[ADICIONALES]]+CATEGORIAS[[#This Row],[POM]]</f>
        <v>0</v>
      </c>
      <c r="M112" s="131">
        <v>0</v>
      </c>
      <c r="N112" s="227">
        <v>0</v>
      </c>
      <c r="O112" s="296">
        <f>CATEGORIAS[[#This Row],[PRODUCCION
PARTIDAS
ORIGINALES
ACTUAL]]+CATEGORIAS[[#This Row],[PRODUCCION
ADICIONALES
ACTUAL]]</f>
        <v>0</v>
      </c>
      <c r="P112" s="227">
        <v>0</v>
      </c>
      <c r="Q112" s="227">
        <v>0</v>
      </c>
      <c r="R112" s="297">
        <f>CATEGORIAS[[#This Row],[PRODUCCION
ANTERIOR]]+CATEGORIAS[[#This Row],[PRODUCCION
ADICIONALES
ANTERIOR]]</f>
        <v>0</v>
      </c>
      <c r="S112" s="133">
        <v>0</v>
      </c>
      <c r="T112" s="133"/>
      <c r="U112" s="133"/>
      <c r="V112" s="296">
        <f>SUM(CATEGORIAS[[#This Row],[COSTO
ACUMULADO  AX]:[PROVISIONES]])</f>
        <v>0</v>
      </c>
      <c r="W112" s="298">
        <v>0</v>
      </c>
      <c r="X112" s="227"/>
      <c r="Y112" s="227"/>
      <c r="Z112" s="297">
        <f>SUM(CATEGORIAS[[#This Row],[COSTO ACUMULADO
ANTERIOR]:[PROVISIONES
ANTERIOR]])</f>
        <v>0</v>
      </c>
      <c r="AA112" s="139">
        <f>CATEGORIAS[[#This Row],[PRESUPUESTO
FINAL
PROYECTADO]]-CATEGORIAS[[#This Row],[TOTAL PRODUCCION
ACTUAL]]</f>
        <v>0</v>
      </c>
      <c r="AB112" s="227">
        <v>0</v>
      </c>
      <c r="AC112" s="132"/>
      <c r="AD112" s="132"/>
      <c r="AE112" s="226">
        <f>SUM(CATEGORIAS[[#This Row],[INVENTARIO]:[PROYECCION
DE COSTO
DEL SALDO]])</f>
        <v>0</v>
      </c>
      <c r="AF112" s="132"/>
      <c r="AG112" s="132">
        <f>+CATEGORIAS[[#This Row],[PRESUPUESTO
FINAL
PROYECTADO]]-CATEGORIAS[[#This Row],[COSTO REAL]]-CATEGORIAS[[#This Row],[PROYECCION
TOTAL DE COSTO]]</f>
        <v>0</v>
      </c>
    </row>
    <row r="113" spans="1:33" x14ac:dyDescent="0.25">
      <c r="A113" s="274" t="str">
        <f>+IFERROR(VLOOKUP(CATEGORIAS[[#This Row],[CATEGORIA2]],[1]HOMOLOGACION!$A$1:$I$571,9,FALSE),0)</f>
        <v>0F02</v>
      </c>
      <c r="B113" s="274" t="str">
        <f>+IFERROR(VLOOKUP(CATEGORIAS[[#This Row],[CATEGORIA2]],[1]HOMOLOGACION!$A$1:$C$571,3,FALSE),0)</f>
        <v>0B06</v>
      </c>
      <c r="C113" s="274" t="str">
        <f>+IFERROR(VLOOKUP(CATEGORIAS[[#This Row],[CATEGORIA2]],[1]HOMOLOGACION!$A$1:$D$571,4,FALSE),0)</f>
        <v>Electricidad &amp; Instrumentación</v>
      </c>
      <c r="D113" s="144" t="s">
        <v>1832</v>
      </c>
      <c r="E113" s="273" t="s">
        <v>577</v>
      </c>
      <c r="F113" s="275" t="s">
        <v>361</v>
      </c>
      <c r="G113" s="313">
        <v>0</v>
      </c>
      <c r="H113" s="313">
        <v>0</v>
      </c>
      <c r="I113" s="130">
        <v>0</v>
      </c>
      <c r="J113" s="130"/>
      <c r="K113" s="130"/>
      <c r="L113" s="143">
        <f>CATEGORIAS[[#This Row],[ADICIONALES]]+CATEGORIAS[[#This Row],[POM]]</f>
        <v>0</v>
      </c>
      <c r="M113" s="131">
        <v>0</v>
      </c>
      <c r="N113" s="227">
        <v>0</v>
      </c>
      <c r="O113" s="296">
        <f>CATEGORIAS[[#This Row],[PRODUCCION
PARTIDAS
ORIGINALES
ACTUAL]]+CATEGORIAS[[#This Row],[PRODUCCION
ADICIONALES
ACTUAL]]</f>
        <v>0</v>
      </c>
      <c r="P113" s="227">
        <v>0</v>
      </c>
      <c r="Q113" s="132">
        <v>0</v>
      </c>
      <c r="R113" s="297">
        <f>CATEGORIAS[[#This Row],[PRODUCCION
ANTERIOR]]+CATEGORIAS[[#This Row],[PRODUCCION
ADICIONALES
ANTERIOR]]</f>
        <v>0</v>
      </c>
      <c r="S113" s="133">
        <v>0</v>
      </c>
      <c r="T113" s="133"/>
      <c r="U113" s="133"/>
      <c r="V113" s="296">
        <f>SUM(CATEGORIAS[[#This Row],[COSTO
ACUMULADO  AX]:[PROVISIONES]])</f>
        <v>0</v>
      </c>
      <c r="W113" s="298">
        <v>0</v>
      </c>
      <c r="X113" s="227"/>
      <c r="Y113" s="227"/>
      <c r="Z113" s="297">
        <f>SUM(CATEGORIAS[[#This Row],[COSTO ACUMULADO
ANTERIOR]:[PROVISIONES
ANTERIOR]])</f>
        <v>0</v>
      </c>
      <c r="AA113" s="139">
        <f>CATEGORIAS[[#This Row],[PRESUPUESTO
FINAL
PROYECTADO]]-CATEGORIAS[[#This Row],[TOTAL PRODUCCION
ACTUAL]]</f>
        <v>0</v>
      </c>
      <c r="AB113" s="227">
        <v>0</v>
      </c>
      <c r="AC113" s="132"/>
      <c r="AD113" s="132"/>
      <c r="AE113" s="226">
        <f>SUM(CATEGORIAS[[#This Row],[INVENTARIO]:[PROYECCION
DE COSTO
DEL SALDO]])</f>
        <v>0</v>
      </c>
      <c r="AF113" s="132"/>
      <c r="AG113" s="132">
        <f>+CATEGORIAS[[#This Row],[PRESUPUESTO
FINAL
PROYECTADO]]-CATEGORIAS[[#This Row],[COSTO REAL]]-CATEGORIAS[[#This Row],[PROYECCION
TOTAL DE COSTO]]</f>
        <v>0</v>
      </c>
    </row>
    <row r="114" spans="1:33" x14ac:dyDescent="0.25">
      <c r="A114" s="274" t="str">
        <f>+IFERROR(VLOOKUP(CATEGORIAS[[#This Row],[CATEGORIA2]],[1]HOMOLOGACION!$A$1:$I$571,9,FALSE),0)</f>
        <v>0F02</v>
      </c>
      <c r="B114" s="274" t="str">
        <f>+IFERROR(VLOOKUP(CATEGORIAS[[#This Row],[CATEGORIA2]],[1]HOMOLOGACION!$A$1:$C$571,3,FALSE),0)</f>
        <v>0B06</v>
      </c>
      <c r="C114" s="274" t="str">
        <f>+IFERROR(VLOOKUP(CATEGORIAS[[#This Row],[CATEGORIA2]],[1]HOMOLOGACION!$A$1:$D$571,4,FALSE),0)</f>
        <v>Electricidad &amp; Instrumentación</v>
      </c>
      <c r="D114" s="144" t="s">
        <v>1833</v>
      </c>
      <c r="E114" s="273" t="s">
        <v>579</v>
      </c>
      <c r="F114" s="275" t="s">
        <v>361</v>
      </c>
      <c r="G114" s="313">
        <v>0</v>
      </c>
      <c r="H114" s="313">
        <v>0</v>
      </c>
      <c r="I114" s="130">
        <v>0</v>
      </c>
      <c r="J114" s="130"/>
      <c r="K114" s="130"/>
      <c r="L114" s="143">
        <f>CATEGORIAS[[#This Row],[ADICIONALES]]+CATEGORIAS[[#This Row],[POM]]</f>
        <v>0</v>
      </c>
      <c r="M114" s="131">
        <v>0</v>
      </c>
      <c r="N114" s="227">
        <v>0</v>
      </c>
      <c r="O114" s="296">
        <f>CATEGORIAS[[#This Row],[PRODUCCION
PARTIDAS
ORIGINALES
ACTUAL]]+CATEGORIAS[[#This Row],[PRODUCCION
ADICIONALES
ACTUAL]]</f>
        <v>0</v>
      </c>
      <c r="P114" s="227">
        <v>0</v>
      </c>
      <c r="Q114" s="227">
        <v>0</v>
      </c>
      <c r="R114" s="297">
        <f>CATEGORIAS[[#This Row],[PRODUCCION
ANTERIOR]]+CATEGORIAS[[#This Row],[PRODUCCION
ADICIONALES
ANTERIOR]]</f>
        <v>0</v>
      </c>
      <c r="S114" s="133">
        <v>0</v>
      </c>
      <c r="T114" s="133"/>
      <c r="U114" s="133"/>
      <c r="V114" s="296">
        <f>SUM(CATEGORIAS[[#This Row],[COSTO
ACUMULADO  AX]:[PROVISIONES]])</f>
        <v>0</v>
      </c>
      <c r="W114" s="298">
        <v>0</v>
      </c>
      <c r="X114" s="227"/>
      <c r="Y114" s="227"/>
      <c r="Z114" s="297">
        <f>SUM(CATEGORIAS[[#This Row],[COSTO ACUMULADO
ANTERIOR]:[PROVISIONES
ANTERIOR]])</f>
        <v>0</v>
      </c>
      <c r="AA114" s="139">
        <f>CATEGORIAS[[#This Row],[PRESUPUESTO
FINAL
PROYECTADO]]-CATEGORIAS[[#This Row],[TOTAL PRODUCCION
ACTUAL]]</f>
        <v>0</v>
      </c>
      <c r="AB114" s="227">
        <v>0</v>
      </c>
      <c r="AC114" s="132"/>
      <c r="AD114" s="132"/>
      <c r="AE114" s="226">
        <f>SUM(CATEGORIAS[[#This Row],[INVENTARIO]:[PROYECCION
DE COSTO
DEL SALDO]])</f>
        <v>0</v>
      </c>
      <c r="AF114" s="132"/>
      <c r="AG114" s="132">
        <f>+CATEGORIAS[[#This Row],[PRESUPUESTO
FINAL
PROYECTADO]]-CATEGORIAS[[#This Row],[COSTO REAL]]-CATEGORIAS[[#This Row],[PROYECCION
TOTAL DE COSTO]]</f>
        <v>0</v>
      </c>
    </row>
    <row r="115" spans="1:33" x14ac:dyDescent="0.25">
      <c r="A115" s="274" t="str">
        <f>+IFERROR(VLOOKUP(CATEGORIAS[[#This Row],[CATEGORIA2]],[1]HOMOLOGACION!$A$1:$I$571,9,FALSE),0)</f>
        <v>0F02</v>
      </c>
      <c r="B115" s="274" t="str">
        <f>+IFERROR(VLOOKUP(CATEGORIAS[[#This Row],[CATEGORIA2]],[1]HOMOLOGACION!$A$1:$C$571,3,FALSE),0)</f>
        <v>0B06</v>
      </c>
      <c r="C115" s="274" t="str">
        <f>+IFERROR(VLOOKUP(CATEGORIAS[[#This Row],[CATEGORIA2]],[1]HOMOLOGACION!$A$1:$D$571,4,FALSE),0)</f>
        <v>Electricidad &amp; Instrumentación</v>
      </c>
      <c r="D115" s="144" t="s">
        <v>1834</v>
      </c>
      <c r="E115" s="273" t="s">
        <v>581</v>
      </c>
      <c r="F115" s="275" t="s">
        <v>364</v>
      </c>
      <c r="G115" s="313">
        <v>77202909.623500004</v>
      </c>
      <c r="H115" s="313">
        <v>77202909.623500004</v>
      </c>
      <c r="I115" s="130">
        <v>2551809.4234327208</v>
      </c>
      <c r="J115" s="130"/>
      <c r="K115" s="130"/>
      <c r="L115" s="143">
        <f>CATEGORIAS[[#This Row],[ADICIONALES]]+CATEGORIAS[[#This Row],[POM]]</f>
        <v>79754719.046932727</v>
      </c>
      <c r="M115" s="131">
        <v>17531617.478300005</v>
      </c>
      <c r="N115" s="227">
        <v>154970.89650605299</v>
      </c>
      <c r="O115" s="296">
        <f>CATEGORIAS[[#This Row],[PRODUCCION
PARTIDAS
ORIGINALES
ACTUAL]]+CATEGORIAS[[#This Row],[PRODUCCION
ADICIONALES
ACTUAL]]</f>
        <v>17686588.374806058</v>
      </c>
      <c r="P115" s="227">
        <v>9592631.8059000019</v>
      </c>
      <c r="Q115" s="132">
        <v>154970.89650605299</v>
      </c>
      <c r="R115" s="297">
        <f>CATEGORIAS[[#This Row],[PRODUCCION
ANTERIOR]]+CATEGORIAS[[#This Row],[PRODUCCION
ADICIONALES
ANTERIOR]]</f>
        <v>9747602.7024060544</v>
      </c>
      <c r="S115" s="133">
        <v>19046158</v>
      </c>
      <c r="T115" s="133">
        <f>4800034+1800000</f>
        <v>6600034</v>
      </c>
      <c r="U115" s="133"/>
      <c r="V115" s="296">
        <f>SUM(CATEGORIAS[[#This Row],[COSTO
ACUMULADO  AX]:[PROVISIONES]])</f>
        <v>25646192</v>
      </c>
      <c r="W115" s="298">
        <v>7176846</v>
      </c>
      <c r="X115" s="227">
        <v>4800000</v>
      </c>
      <c r="Y115" s="227">
        <v>1800000</v>
      </c>
      <c r="Z115" s="297">
        <f>SUM(CATEGORIAS[[#This Row],[COSTO ACUMULADO
ANTERIOR]:[PROVISIONES
ANTERIOR]])</f>
        <v>13776846</v>
      </c>
      <c r="AA115" s="139">
        <f>CATEGORIAS[[#This Row],[PRESUPUESTO
FINAL
PROYECTADO]]-CATEGORIAS[[#This Row],[TOTAL PRODUCCION
ACTUAL]]</f>
        <v>62068130.672126666</v>
      </c>
      <c r="AB115" s="227">
        <v>8807426</v>
      </c>
      <c r="AC115" s="132"/>
      <c r="AD115" s="132">
        <v>45301101.046932727</v>
      </c>
      <c r="AE115" s="226">
        <f>SUM(CATEGORIAS[[#This Row],[INVENTARIO]:[PROYECCION
DE COSTO
DEL SALDO]])</f>
        <v>54108527.046932727</v>
      </c>
      <c r="AF115" s="132"/>
      <c r="AG115" s="132">
        <f>+CATEGORIAS[[#This Row],[PRESUPUESTO
FINAL
PROYECTADO]]-CATEGORIAS[[#This Row],[COSTO REAL]]-CATEGORIAS[[#This Row],[PROYECCION
TOTAL DE COSTO]]</f>
        <v>0</v>
      </c>
    </row>
    <row r="116" spans="1:33" x14ac:dyDescent="0.25">
      <c r="A116" s="274" t="str">
        <f>+IFERROR(VLOOKUP(CATEGORIAS[[#This Row],[CATEGORIA2]],[1]HOMOLOGACION!$A$1:$I$571,9,FALSE),0)</f>
        <v>0F02</v>
      </c>
      <c r="B116" s="274" t="str">
        <f>+IFERROR(VLOOKUP(CATEGORIAS[[#This Row],[CATEGORIA2]],[1]HOMOLOGACION!$A$1:$C$571,3,FALSE),0)</f>
        <v>0B06</v>
      </c>
      <c r="C116" s="274" t="str">
        <f>+IFERROR(VLOOKUP(CATEGORIAS[[#This Row],[CATEGORIA2]],[1]HOMOLOGACION!$A$1:$D$571,4,FALSE),0)</f>
        <v>Electricidad &amp; Instrumentación</v>
      </c>
      <c r="D116" s="144" t="s">
        <v>1835</v>
      </c>
      <c r="E116" s="273" t="s">
        <v>583</v>
      </c>
      <c r="F116" s="275" t="s">
        <v>361</v>
      </c>
      <c r="G116" s="313">
        <v>0</v>
      </c>
      <c r="H116" s="313">
        <v>0</v>
      </c>
      <c r="I116" s="130">
        <v>0</v>
      </c>
      <c r="J116" s="130"/>
      <c r="K116" s="130"/>
      <c r="L116" s="143">
        <f>CATEGORIAS[[#This Row],[ADICIONALES]]+CATEGORIAS[[#This Row],[POM]]</f>
        <v>0</v>
      </c>
      <c r="M116" s="131">
        <v>0</v>
      </c>
      <c r="N116" s="227">
        <v>0</v>
      </c>
      <c r="O116" s="296">
        <f>CATEGORIAS[[#This Row],[PRODUCCION
PARTIDAS
ORIGINALES
ACTUAL]]+CATEGORIAS[[#This Row],[PRODUCCION
ADICIONALES
ACTUAL]]</f>
        <v>0</v>
      </c>
      <c r="P116" s="227">
        <v>0</v>
      </c>
      <c r="Q116" s="132">
        <v>0</v>
      </c>
      <c r="R116" s="297">
        <f>CATEGORIAS[[#This Row],[PRODUCCION
ANTERIOR]]+CATEGORIAS[[#This Row],[PRODUCCION
ADICIONALES
ANTERIOR]]</f>
        <v>0</v>
      </c>
      <c r="S116" s="133">
        <v>0</v>
      </c>
      <c r="T116" s="133"/>
      <c r="U116" s="133"/>
      <c r="V116" s="296">
        <f>SUM(CATEGORIAS[[#This Row],[COSTO
ACUMULADO  AX]:[PROVISIONES]])</f>
        <v>0</v>
      </c>
      <c r="W116" s="298">
        <v>0</v>
      </c>
      <c r="X116" s="227"/>
      <c r="Y116" s="227"/>
      <c r="Z116" s="297">
        <f>SUM(CATEGORIAS[[#This Row],[COSTO ACUMULADO
ANTERIOR]:[PROVISIONES
ANTERIOR]])</f>
        <v>0</v>
      </c>
      <c r="AA116" s="139">
        <f>CATEGORIAS[[#This Row],[PRESUPUESTO
FINAL
PROYECTADO]]-CATEGORIAS[[#This Row],[TOTAL PRODUCCION
ACTUAL]]</f>
        <v>0</v>
      </c>
      <c r="AB116" s="227">
        <v>0</v>
      </c>
      <c r="AC116" s="132"/>
      <c r="AD116" s="132"/>
      <c r="AE116" s="226">
        <f>SUM(CATEGORIAS[[#This Row],[INVENTARIO]:[PROYECCION
DE COSTO
DEL SALDO]])</f>
        <v>0</v>
      </c>
      <c r="AF116" s="132"/>
      <c r="AG116" s="132">
        <f>+CATEGORIAS[[#This Row],[PRESUPUESTO
FINAL
PROYECTADO]]-CATEGORIAS[[#This Row],[COSTO REAL]]-CATEGORIAS[[#This Row],[PROYECCION
TOTAL DE COSTO]]</f>
        <v>0</v>
      </c>
    </row>
    <row r="117" spans="1:33" x14ac:dyDescent="0.25">
      <c r="A117" s="274" t="str">
        <f>+IFERROR(VLOOKUP(CATEGORIAS[[#This Row],[CATEGORIA2]],[1]HOMOLOGACION!$A$1:$I$571,9,FALSE),0)</f>
        <v>0F02</v>
      </c>
      <c r="B117" s="274" t="str">
        <f>+IFERROR(VLOOKUP(CATEGORIAS[[#This Row],[CATEGORIA2]],[1]HOMOLOGACION!$A$1:$C$571,3,FALSE),0)</f>
        <v>0B06</v>
      </c>
      <c r="C117" s="274" t="str">
        <f>+IFERROR(VLOOKUP(CATEGORIAS[[#This Row],[CATEGORIA2]],[1]HOMOLOGACION!$A$1:$D$571,4,FALSE),0)</f>
        <v>Electricidad &amp; Instrumentación</v>
      </c>
      <c r="D117" s="144" t="s">
        <v>1836</v>
      </c>
      <c r="E117" s="273" t="s">
        <v>585</v>
      </c>
      <c r="F117" s="275" t="s">
        <v>361</v>
      </c>
      <c r="G117" s="313">
        <v>0</v>
      </c>
      <c r="H117" s="313">
        <v>0</v>
      </c>
      <c r="I117" s="130">
        <v>0</v>
      </c>
      <c r="J117" s="130"/>
      <c r="K117" s="130"/>
      <c r="L117" s="143">
        <f>CATEGORIAS[[#This Row],[ADICIONALES]]+CATEGORIAS[[#This Row],[POM]]</f>
        <v>0</v>
      </c>
      <c r="M117" s="131">
        <v>0</v>
      </c>
      <c r="N117" s="227">
        <v>0</v>
      </c>
      <c r="O117" s="296">
        <f>CATEGORIAS[[#This Row],[PRODUCCION
PARTIDAS
ORIGINALES
ACTUAL]]+CATEGORIAS[[#This Row],[PRODUCCION
ADICIONALES
ACTUAL]]</f>
        <v>0</v>
      </c>
      <c r="P117" s="227">
        <v>0</v>
      </c>
      <c r="Q117" s="227">
        <v>0</v>
      </c>
      <c r="R117" s="297">
        <f>CATEGORIAS[[#This Row],[PRODUCCION
ANTERIOR]]+CATEGORIAS[[#This Row],[PRODUCCION
ADICIONALES
ANTERIOR]]</f>
        <v>0</v>
      </c>
      <c r="S117" s="133">
        <v>0</v>
      </c>
      <c r="T117" s="133"/>
      <c r="U117" s="133"/>
      <c r="V117" s="296">
        <f>SUM(CATEGORIAS[[#This Row],[COSTO
ACUMULADO  AX]:[PROVISIONES]])</f>
        <v>0</v>
      </c>
      <c r="W117" s="298">
        <v>0</v>
      </c>
      <c r="X117" s="227"/>
      <c r="Y117" s="227"/>
      <c r="Z117" s="297">
        <f>SUM(CATEGORIAS[[#This Row],[COSTO ACUMULADO
ANTERIOR]:[PROVISIONES
ANTERIOR]])</f>
        <v>0</v>
      </c>
      <c r="AA117" s="139">
        <f>CATEGORIAS[[#This Row],[PRESUPUESTO
FINAL
PROYECTADO]]-CATEGORIAS[[#This Row],[TOTAL PRODUCCION
ACTUAL]]</f>
        <v>0</v>
      </c>
      <c r="AB117" s="227">
        <v>0</v>
      </c>
      <c r="AC117" s="132"/>
      <c r="AD117" s="132"/>
      <c r="AE117" s="226">
        <f>SUM(CATEGORIAS[[#This Row],[INVENTARIO]:[PROYECCION
DE COSTO
DEL SALDO]])</f>
        <v>0</v>
      </c>
      <c r="AF117" s="132"/>
      <c r="AG117" s="132">
        <f>+CATEGORIAS[[#This Row],[PRESUPUESTO
FINAL
PROYECTADO]]-CATEGORIAS[[#This Row],[COSTO REAL]]-CATEGORIAS[[#This Row],[PROYECCION
TOTAL DE COSTO]]</f>
        <v>0</v>
      </c>
    </row>
    <row r="118" spans="1:33" x14ac:dyDescent="0.25">
      <c r="A118" s="274" t="str">
        <f>+IFERROR(VLOOKUP(CATEGORIAS[[#This Row],[CATEGORIA2]],[1]HOMOLOGACION!$A$1:$I$571,9,FALSE),0)</f>
        <v>0F02</v>
      </c>
      <c r="B118" s="274" t="str">
        <f>+IFERROR(VLOOKUP(CATEGORIAS[[#This Row],[CATEGORIA2]],[1]HOMOLOGACION!$A$1:$C$571,3,FALSE),0)</f>
        <v>0B06</v>
      </c>
      <c r="C118" s="274" t="str">
        <f>+IFERROR(VLOOKUP(CATEGORIAS[[#This Row],[CATEGORIA2]],[1]HOMOLOGACION!$A$1:$D$571,4,FALSE),0)</f>
        <v>Electricidad &amp; Instrumentación</v>
      </c>
      <c r="D118" s="144" t="s">
        <v>1837</v>
      </c>
      <c r="E118" s="273" t="s">
        <v>587</v>
      </c>
      <c r="F118" s="275" t="s">
        <v>361</v>
      </c>
      <c r="G118" s="313">
        <v>0</v>
      </c>
      <c r="H118" s="313">
        <v>0</v>
      </c>
      <c r="I118" s="130">
        <v>0</v>
      </c>
      <c r="J118" s="130"/>
      <c r="K118" s="130"/>
      <c r="L118" s="143">
        <f>CATEGORIAS[[#This Row],[ADICIONALES]]+CATEGORIAS[[#This Row],[POM]]</f>
        <v>0</v>
      </c>
      <c r="M118" s="131">
        <v>0</v>
      </c>
      <c r="N118" s="227">
        <v>0</v>
      </c>
      <c r="O118" s="296">
        <f>CATEGORIAS[[#This Row],[PRODUCCION
PARTIDAS
ORIGINALES
ACTUAL]]+CATEGORIAS[[#This Row],[PRODUCCION
ADICIONALES
ACTUAL]]</f>
        <v>0</v>
      </c>
      <c r="P118" s="227">
        <v>0</v>
      </c>
      <c r="Q118" s="132">
        <v>0</v>
      </c>
      <c r="R118" s="297">
        <f>CATEGORIAS[[#This Row],[PRODUCCION
ANTERIOR]]+CATEGORIAS[[#This Row],[PRODUCCION
ADICIONALES
ANTERIOR]]</f>
        <v>0</v>
      </c>
      <c r="S118" s="133">
        <v>0</v>
      </c>
      <c r="T118" s="133"/>
      <c r="U118" s="133"/>
      <c r="V118" s="296">
        <f>SUM(CATEGORIAS[[#This Row],[COSTO
ACUMULADO  AX]:[PROVISIONES]])</f>
        <v>0</v>
      </c>
      <c r="W118" s="298">
        <v>0</v>
      </c>
      <c r="X118" s="227"/>
      <c r="Y118" s="227"/>
      <c r="Z118" s="297">
        <f>SUM(CATEGORIAS[[#This Row],[COSTO ACUMULADO
ANTERIOR]:[PROVISIONES
ANTERIOR]])</f>
        <v>0</v>
      </c>
      <c r="AA118" s="139">
        <f>CATEGORIAS[[#This Row],[PRESUPUESTO
FINAL
PROYECTADO]]-CATEGORIAS[[#This Row],[TOTAL PRODUCCION
ACTUAL]]</f>
        <v>0</v>
      </c>
      <c r="AB118" s="227">
        <v>0</v>
      </c>
      <c r="AC118" s="132"/>
      <c r="AD118" s="132"/>
      <c r="AE118" s="226">
        <f>SUM(CATEGORIAS[[#This Row],[INVENTARIO]:[PROYECCION
DE COSTO
DEL SALDO]])</f>
        <v>0</v>
      </c>
      <c r="AF118" s="132"/>
      <c r="AG118" s="132">
        <f>+CATEGORIAS[[#This Row],[PRESUPUESTO
FINAL
PROYECTADO]]-CATEGORIAS[[#This Row],[COSTO REAL]]-CATEGORIAS[[#This Row],[PROYECCION
TOTAL DE COSTO]]</f>
        <v>0</v>
      </c>
    </row>
    <row r="119" spans="1:33" x14ac:dyDescent="0.25">
      <c r="A119" s="274" t="str">
        <f>+IFERROR(VLOOKUP(CATEGORIAS[[#This Row],[CATEGORIA2]],[1]HOMOLOGACION!$A$1:$I$571,9,FALSE),0)</f>
        <v>0F02</v>
      </c>
      <c r="B119" s="274" t="str">
        <f>+IFERROR(VLOOKUP(CATEGORIAS[[#This Row],[CATEGORIA2]],[1]HOMOLOGACION!$A$1:$C$571,3,FALSE),0)</f>
        <v>0B06</v>
      </c>
      <c r="C119" s="274" t="str">
        <f>+IFERROR(VLOOKUP(CATEGORIAS[[#This Row],[CATEGORIA2]],[1]HOMOLOGACION!$A$1:$D$571,4,FALSE),0)</f>
        <v>Electricidad &amp; Instrumentación</v>
      </c>
      <c r="D119" s="144" t="s">
        <v>1838</v>
      </c>
      <c r="E119" s="273" t="s">
        <v>589</v>
      </c>
      <c r="F119" s="275" t="s">
        <v>361</v>
      </c>
      <c r="G119" s="313">
        <v>0</v>
      </c>
      <c r="H119" s="313">
        <v>0</v>
      </c>
      <c r="I119" s="130">
        <v>0</v>
      </c>
      <c r="J119" s="130"/>
      <c r="K119" s="130"/>
      <c r="L119" s="143">
        <f>CATEGORIAS[[#This Row],[ADICIONALES]]+CATEGORIAS[[#This Row],[POM]]</f>
        <v>0</v>
      </c>
      <c r="M119" s="131">
        <v>0</v>
      </c>
      <c r="N119" s="227">
        <v>0</v>
      </c>
      <c r="O119" s="296">
        <f>CATEGORIAS[[#This Row],[PRODUCCION
PARTIDAS
ORIGINALES
ACTUAL]]+CATEGORIAS[[#This Row],[PRODUCCION
ADICIONALES
ACTUAL]]</f>
        <v>0</v>
      </c>
      <c r="P119" s="227">
        <v>0</v>
      </c>
      <c r="Q119" s="227">
        <v>0</v>
      </c>
      <c r="R119" s="297">
        <f>CATEGORIAS[[#This Row],[PRODUCCION
ANTERIOR]]+CATEGORIAS[[#This Row],[PRODUCCION
ADICIONALES
ANTERIOR]]</f>
        <v>0</v>
      </c>
      <c r="S119" s="133">
        <v>0</v>
      </c>
      <c r="T119" s="133"/>
      <c r="U119" s="133"/>
      <c r="V119" s="296">
        <f>SUM(CATEGORIAS[[#This Row],[COSTO
ACUMULADO  AX]:[PROVISIONES]])</f>
        <v>0</v>
      </c>
      <c r="W119" s="298">
        <v>0</v>
      </c>
      <c r="X119" s="227"/>
      <c r="Y119" s="227"/>
      <c r="Z119" s="297">
        <f>SUM(CATEGORIAS[[#This Row],[COSTO ACUMULADO
ANTERIOR]:[PROVISIONES
ANTERIOR]])</f>
        <v>0</v>
      </c>
      <c r="AA119" s="139">
        <f>CATEGORIAS[[#This Row],[PRESUPUESTO
FINAL
PROYECTADO]]-CATEGORIAS[[#This Row],[TOTAL PRODUCCION
ACTUAL]]</f>
        <v>0</v>
      </c>
      <c r="AB119" s="227">
        <v>0</v>
      </c>
      <c r="AC119" s="132"/>
      <c r="AD119" s="132"/>
      <c r="AE119" s="226">
        <f>SUM(CATEGORIAS[[#This Row],[INVENTARIO]:[PROYECCION
DE COSTO
DEL SALDO]])</f>
        <v>0</v>
      </c>
      <c r="AF119" s="132"/>
      <c r="AG119" s="132">
        <f>+CATEGORIAS[[#This Row],[PRESUPUESTO
FINAL
PROYECTADO]]-CATEGORIAS[[#This Row],[COSTO REAL]]-CATEGORIAS[[#This Row],[PROYECCION
TOTAL DE COSTO]]</f>
        <v>0</v>
      </c>
    </row>
    <row r="120" spans="1:33" x14ac:dyDescent="0.25">
      <c r="A120" s="274" t="str">
        <f>+IFERROR(VLOOKUP(CATEGORIAS[[#This Row],[CATEGORIA2]],[1]HOMOLOGACION!$A$1:$I$571,9,FALSE),0)</f>
        <v>0F02</v>
      </c>
      <c r="B120" s="274" t="str">
        <f>+IFERROR(VLOOKUP(CATEGORIAS[[#This Row],[CATEGORIA2]],[1]HOMOLOGACION!$A$1:$C$571,3,FALSE),0)</f>
        <v>0B06</v>
      </c>
      <c r="C120" s="274" t="str">
        <f>+IFERROR(VLOOKUP(CATEGORIAS[[#This Row],[CATEGORIA2]],[1]HOMOLOGACION!$A$1:$D$571,4,FALSE),0)</f>
        <v>Electricidad &amp; Instrumentación</v>
      </c>
      <c r="D120" s="144" t="s">
        <v>1839</v>
      </c>
      <c r="E120" s="273" t="s">
        <v>591</v>
      </c>
      <c r="F120" s="275" t="s">
        <v>361</v>
      </c>
      <c r="G120" s="313">
        <v>0</v>
      </c>
      <c r="H120" s="313">
        <v>0</v>
      </c>
      <c r="I120" s="130">
        <v>0</v>
      </c>
      <c r="J120" s="130"/>
      <c r="K120" s="130"/>
      <c r="L120" s="143">
        <f>CATEGORIAS[[#This Row],[ADICIONALES]]+CATEGORIAS[[#This Row],[POM]]</f>
        <v>0</v>
      </c>
      <c r="M120" s="131">
        <v>0</v>
      </c>
      <c r="N120" s="227">
        <v>0</v>
      </c>
      <c r="O120" s="296">
        <f>CATEGORIAS[[#This Row],[PRODUCCION
PARTIDAS
ORIGINALES
ACTUAL]]+CATEGORIAS[[#This Row],[PRODUCCION
ADICIONALES
ACTUAL]]</f>
        <v>0</v>
      </c>
      <c r="P120" s="227">
        <v>0</v>
      </c>
      <c r="Q120" s="132">
        <v>0</v>
      </c>
      <c r="R120" s="297">
        <f>CATEGORIAS[[#This Row],[PRODUCCION
ANTERIOR]]+CATEGORIAS[[#This Row],[PRODUCCION
ADICIONALES
ANTERIOR]]</f>
        <v>0</v>
      </c>
      <c r="S120" s="133">
        <v>0</v>
      </c>
      <c r="T120" s="133"/>
      <c r="U120" s="133"/>
      <c r="V120" s="296">
        <f>SUM(CATEGORIAS[[#This Row],[COSTO
ACUMULADO  AX]:[PROVISIONES]])</f>
        <v>0</v>
      </c>
      <c r="W120" s="298">
        <v>0</v>
      </c>
      <c r="X120" s="227"/>
      <c r="Y120" s="227"/>
      <c r="Z120" s="297">
        <f>SUM(CATEGORIAS[[#This Row],[COSTO ACUMULADO
ANTERIOR]:[PROVISIONES
ANTERIOR]])</f>
        <v>0</v>
      </c>
      <c r="AA120" s="139">
        <f>CATEGORIAS[[#This Row],[PRESUPUESTO
FINAL
PROYECTADO]]-CATEGORIAS[[#This Row],[TOTAL PRODUCCION
ACTUAL]]</f>
        <v>0</v>
      </c>
      <c r="AB120" s="227">
        <v>0</v>
      </c>
      <c r="AC120" s="132"/>
      <c r="AD120" s="132"/>
      <c r="AE120" s="226">
        <f>SUM(CATEGORIAS[[#This Row],[INVENTARIO]:[PROYECCION
DE COSTO
DEL SALDO]])</f>
        <v>0</v>
      </c>
      <c r="AF120" s="132"/>
      <c r="AG120" s="132">
        <f>+CATEGORIAS[[#This Row],[PRESUPUESTO
FINAL
PROYECTADO]]-CATEGORIAS[[#This Row],[COSTO REAL]]-CATEGORIAS[[#This Row],[PROYECCION
TOTAL DE COSTO]]</f>
        <v>0</v>
      </c>
    </row>
    <row r="121" spans="1:33" x14ac:dyDescent="0.25">
      <c r="A121" s="274" t="str">
        <f>+IFERROR(VLOOKUP(CATEGORIAS[[#This Row],[CATEGORIA2]],[1]HOMOLOGACION!$A$1:$I$571,9,FALSE),0)</f>
        <v>0F02</v>
      </c>
      <c r="B121" s="274" t="str">
        <f>+IFERROR(VLOOKUP(CATEGORIAS[[#This Row],[CATEGORIA2]],[1]HOMOLOGACION!$A$1:$C$571,3,FALSE),0)</f>
        <v>0B06</v>
      </c>
      <c r="C121" s="274" t="str">
        <f>+IFERROR(VLOOKUP(CATEGORIAS[[#This Row],[CATEGORIA2]],[1]HOMOLOGACION!$A$1:$D$571,4,FALSE),0)</f>
        <v>Electricidad &amp; Instrumentación</v>
      </c>
      <c r="D121" s="144" t="s">
        <v>1840</v>
      </c>
      <c r="E121" s="273" t="s">
        <v>593</v>
      </c>
      <c r="F121" s="275" t="s">
        <v>361</v>
      </c>
      <c r="G121" s="313">
        <v>0</v>
      </c>
      <c r="H121" s="313">
        <v>0</v>
      </c>
      <c r="I121" s="130">
        <v>0</v>
      </c>
      <c r="J121" s="130"/>
      <c r="K121" s="130"/>
      <c r="L121" s="143">
        <f>CATEGORIAS[[#This Row],[ADICIONALES]]+CATEGORIAS[[#This Row],[POM]]</f>
        <v>0</v>
      </c>
      <c r="M121" s="131">
        <v>0</v>
      </c>
      <c r="N121" s="227">
        <v>0</v>
      </c>
      <c r="O121" s="296">
        <f>CATEGORIAS[[#This Row],[PRODUCCION
PARTIDAS
ORIGINALES
ACTUAL]]+CATEGORIAS[[#This Row],[PRODUCCION
ADICIONALES
ACTUAL]]</f>
        <v>0</v>
      </c>
      <c r="P121" s="227">
        <v>0</v>
      </c>
      <c r="Q121" s="227">
        <v>0</v>
      </c>
      <c r="R121" s="297">
        <f>CATEGORIAS[[#This Row],[PRODUCCION
ANTERIOR]]+CATEGORIAS[[#This Row],[PRODUCCION
ADICIONALES
ANTERIOR]]</f>
        <v>0</v>
      </c>
      <c r="S121" s="133">
        <v>0</v>
      </c>
      <c r="T121" s="133"/>
      <c r="U121" s="133"/>
      <c r="V121" s="296">
        <f>SUM(CATEGORIAS[[#This Row],[COSTO
ACUMULADO  AX]:[PROVISIONES]])</f>
        <v>0</v>
      </c>
      <c r="W121" s="298">
        <v>0</v>
      </c>
      <c r="X121" s="227"/>
      <c r="Y121" s="227"/>
      <c r="Z121" s="297">
        <f>SUM(CATEGORIAS[[#This Row],[COSTO ACUMULADO
ANTERIOR]:[PROVISIONES
ANTERIOR]])</f>
        <v>0</v>
      </c>
      <c r="AA121" s="139">
        <f>CATEGORIAS[[#This Row],[PRESUPUESTO
FINAL
PROYECTADO]]-CATEGORIAS[[#This Row],[TOTAL PRODUCCION
ACTUAL]]</f>
        <v>0</v>
      </c>
      <c r="AB121" s="227">
        <v>0</v>
      </c>
      <c r="AC121" s="132"/>
      <c r="AD121" s="132"/>
      <c r="AE121" s="226">
        <f>SUM(CATEGORIAS[[#This Row],[INVENTARIO]:[PROYECCION
DE COSTO
DEL SALDO]])</f>
        <v>0</v>
      </c>
      <c r="AF121" s="132"/>
      <c r="AG121" s="132">
        <f>+CATEGORIAS[[#This Row],[PRESUPUESTO
FINAL
PROYECTADO]]-CATEGORIAS[[#This Row],[COSTO REAL]]-CATEGORIAS[[#This Row],[PROYECCION
TOTAL DE COSTO]]</f>
        <v>0</v>
      </c>
    </row>
    <row r="122" spans="1:33" x14ac:dyDescent="0.25">
      <c r="A122" s="274" t="str">
        <f>+IFERROR(VLOOKUP(CATEGORIAS[[#This Row],[CATEGORIA2]],[1]HOMOLOGACION!$A$1:$I$571,9,FALSE),0)</f>
        <v>0F02</v>
      </c>
      <c r="B122" s="274" t="str">
        <f>+IFERROR(VLOOKUP(CATEGORIAS[[#This Row],[CATEGORIA2]],[1]HOMOLOGACION!$A$1:$C$571,3,FALSE),0)</f>
        <v>0B06</v>
      </c>
      <c r="C122" s="274" t="str">
        <f>+IFERROR(VLOOKUP(CATEGORIAS[[#This Row],[CATEGORIA2]],[1]HOMOLOGACION!$A$1:$D$571,4,FALSE),0)</f>
        <v>Electricidad &amp; Instrumentación</v>
      </c>
      <c r="D122" s="144" t="s">
        <v>1841</v>
      </c>
      <c r="E122" s="273" t="s">
        <v>595</v>
      </c>
      <c r="F122" s="275" t="s">
        <v>361</v>
      </c>
      <c r="G122" s="313">
        <v>0</v>
      </c>
      <c r="H122" s="313">
        <v>0</v>
      </c>
      <c r="I122" s="130">
        <v>0</v>
      </c>
      <c r="J122" s="130"/>
      <c r="K122" s="130"/>
      <c r="L122" s="143">
        <f>CATEGORIAS[[#This Row],[ADICIONALES]]+CATEGORIAS[[#This Row],[POM]]</f>
        <v>0</v>
      </c>
      <c r="M122" s="131">
        <v>0</v>
      </c>
      <c r="N122" s="227">
        <v>0</v>
      </c>
      <c r="O122" s="296">
        <f>CATEGORIAS[[#This Row],[PRODUCCION
PARTIDAS
ORIGINALES
ACTUAL]]+CATEGORIAS[[#This Row],[PRODUCCION
ADICIONALES
ACTUAL]]</f>
        <v>0</v>
      </c>
      <c r="P122" s="227">
        <v>0</v>
      </c>
      <c r="Q122" s="227">
        <v>0</v>
      </c>
      <c r="R122" s="297">
        <f>CATEGORIAS[[#This Row],[PRODUCCION
ANTERIOR]]+CATEGORIAS[[#This Row],[PRODUCCION
ADICIONALES
ANTERIOR]]</f>
        <v>0</v>
      </c>
      <c r="S122" s="133">
        <v>0</v>
      </c>
      <c r="T122" s="133"/>
      <c r="U122" s="133"/>
      <c r="V122" s="296">
        <f>SUM(CATEGORIAS[[#This Row],[COSTO
ACUMULADO  AX]:[PROVISIONES]])</f>
        <v>0</v>
      </c>
      <c r="W122" s="298">
        <v>0</v>
      </c>
      <c r="X122" s="227"/>
      <c r="Y122" s="227"/>
      <c r="Z122" s="297">
        <f>SUM(CATEGORIAS[[#This Row],[COSTO ACUMULADO
ANTERIOR]:[PROVISIONES
ANTERIOR]])</f>
        <v>0</v>
      </c>
      <c r="AA122" s="139">
        <f>CATEGORIAS[[#This Row],[PRESUPUESTO
FINAL
PROYECTADO]]-CATEGORIAS[[#This Row],[TOTAL PRODUCCION
ACTUAL]]</f>
        <v>0</v>
      </c>
      <c r="AB122" s="227">
        <v>0</v>
      </c>
      <c r="AC122" s="132"/>
      <c r="AD122" s="132"/>
      <c r="AE122" s="226">
        <f>SUM(CATEGORIAS[[#This Row],[INVENTARIO]:[PROYECCION
DE COSTO
DEL SALDO]])</f>
        <v>0</v>
      </c>
      <c r="AF122" s="132"/>
      <c r="AG122" s="132">
        <f>+CATEGORIAS[[#This Row],[PRESUPUESTO
FINAL
PROYECTADO]]-CATEGORIAS[[#This Row],[COSTO REAL]]-CATEGORIAS[[#This Row],[PROYECCION
TOTAL DE COSTO]]</f>
        <v>0</v>
      </c>
    </row>
    <row r="123" spans="1:33" x14ac:dyDescent="0.25">
      <c r="A123" s="274" t="str">
        <f>+IFERROR(VLOOKUP(CATEGORIAS[[#This Row],[CATEGORIA2]],[1]HOMOLOGACION!$A$1:$I$571,9,FALSE),0)</f>
        <v>0F02</v>
      </c>
      <c r="B123" s="274" t="str">
        <f>+IFERROR(VLOOKUP(CATEGORIAS[[#This Row],[CATEGORIA2]],[1]HOMOLOGACION!$A$1:$C$571,3,FALSE),0)</f>
        <v>0B06</v>
      </c>
      <c r="C123" s="274" t="str">
        <f>+IFERROR(VLOOKUP(CATEGORIAS[[#This Row],[CATEGORIA2]],[1]HOMOLOGACION!$A$1:$D$571,4,FALSE),0)</f>
        <v>Electricidad &amp; Instrumentación</v>
      </c>
      <c r="D123" s="144" t="s">
        <v>1842</v>
      </c>
      <c r="E123" s="273" t="s">
        <v>597</v>
      </c>
      <c r="F123" s="275" t="s">
        <v>361</v>
      </c>
      <c r="G123" s="313">
        <v>0</v>
      </c>
      <c r="H123" s="313">
        <v>0</v>
      </c>
      <c r="I123" s="130">
        <v>0</v>
      </c>
      <c r="J123" s="130"/>
      <c r="K123" s="130"/>
      <c r="L123" s="143">
        <f>CATEGORIAS[[#This Row],[ADICIONALES]]+CATEGORIAS[[#This Row],[POM]]</f>
        <v>0</v>
      </c>
      <c r="M123" s="131">
        <v>0</v>
      </c>
      <c r="N123" s="227">
        <v>0</v>
      </c>
      <c r="O123" s="296">
        <f>CATEGORIAS[[#This Row],[PRODUCCION
PARTIDAS
ORIGINALES
ACTUAL]]+CATEGORIAS[[#This Row],[PRODUCCION
ADICIONALES
ACTUAL]]</f>
        <v>0</v>
      </c>
      <c r="P123" s="227">
        <v>0</v>
      </c>
      <c r="Q123" s="227">
        <v>0</v>
      </c>
      <c r="R123" s="297">
        <f>CATEGORIAS[[#This Row],[PRODUCCION
ANTERIOR]]+CATEGORIAS[[#This Row],[PRODUCCION
ADICIONALES
ANTERIOR]]</f>
        <v>0</v>
      </c>
      <c r="S123" s="133">
        <v>0</v>
      </c>
      <c r="T123" s="133"/>
      <c r="U123" s="133"/>
      <c r="V123" s="296">
        <f>SUM(CATEGORIAS[[#This Row],[COSTO
ACUMULADO  AX]:[PROVISIONES]])</f>
        <v>0</v>
      </c>
      <c r="W123" s="298">
        <v>0</v>
      </c>
      <c r="X123" s="227"/>
      <c r="Y123" s="227"/>
      <c r="Z123" s="297">
        <f>SUM(CATEGORIAS[[#This Row],[COSTO ACUMULADO
ANTERIOR]:[PROVISIONES
ANTERIOR]])</f>
        <v>0</v>
      </c>
      <c r="AA123" s="139">
        <f>CATEGORIAS[[#This Row],[PRESUPUESTO
FINAL
PROYECTADO]]-CATEGORIAS[[#This Row],[TOTAL PRODUCCION
ACTUAL]]</f>
        <v>0</v>
      </c>
      <c r="AB123" s="227">
        <v>0</v>
      </c>
      <c r="AC123" s="132"/>
      <c r="AD123" s="132"/>
      <c r="AE123" s="226">
        <f>SUM(CATEGORIAS[[#This Row],[INVENTARIO]:[PROYECCION
DE COSTO
DEL SALDO]])</f>
        <v>0</v>
      </c>
      <c r="AF123" s="132"/>
      <c r="AG123" s="132">
        <f>+CATEGORIAS[[#This Row],[PRESUPUESTO
FINAL
PROYECTADO]]-CATEGORIAS[[#This Row],[COSTO REAL]]-CATEGORIAS[[#This Row],[PROYECCION
TOTAL DE COSTO]]</f>
        <v>0</v>
      </c>
    </row>
    <row r="124" spans="1:33" x14ac:dyDescent="0.25">
      <c r="A124" s="274" t="str">
        <f>+IFERROR(VLOOKUP(CATEGORIAS[[#This Row],[CATEGORIA2]],[1]HOMOLOGACION!$A$1:$I$571,9,FALSE),0)</f>
        <v>0F02</v>
      </c>
      <c r="B124" s="274" t="str">
        <f>+IFERROR(VLOOKUP(CATEGORIAS[[#This Row],[CATEGORIA2]],[1]HOMOLOGACION!$A$1:$C$571,3,FALSE),0)</f>
        <v>0B06</v>
      </c>
      <c r="C124" s="274" t="str">
        <f>+IFERROR(VLOOKUP(CATEGORIAS[[#This Row],[CATEGORIA2]],[1]HOMOLOGACION!$A$1:$D$571,4,FALSE),0)</f>
        <v>Electricidad &amp; Instrumentación</v>
      </c>
      <c r="D124" s="144" t="s">
        <v>1843</v>
      </c>
      <c r="E124" s="273" t="s">
        <v>599</v>
      </c>
      <c r="F124" s="275" t="s">
        <v>361</v>
      </c>
      <c r="G124" s="313">
        <v>0</v>
      </c>
      <c r="H124" s="313">
        <v>0</v>
      </c>
      <c r="I124" s="130">
        <v>0</v>
      </c>
      <c r="J124" s="130"/>
      <c r="K124" s="130"/>
      <c r="L124" s="143">
        <f>CATEGORIAS[[#This Row],[ADICIONALES]]+CATEGORIAS[[#This Row],[POM]]</f>
        <v>0</v>
      </c>
      <c r="M124" s="131">
        <v>0</v>
      </c>
      <c r="N124" s="227">
        <v>0</v>
      </c>
      <c r="O124" s="296">
        <f>CATEGORIAS[[#This Row],[PRODUCCION
PARTIDAS
ORIGINALES
ACTUAL]]+CATEGORIAS[[#This Row],[PRODUCCION
ADICIONALES
ACTUAL]]</f>
        <v>0</v>
      </c>
      <c r="P124" s="227">
        <v>0</v>
      </c>
      <c r="Q124" s="132">
        <v>0</v>
      </c>
      <c r="R124" s="297">
        <f>CATEGORIAS[[#This Row],[PRODUCCION
ANTERIOR]]+CATEGORIAS[[#This Row],[PRODUCCION
ADICIONALES
ANTERIOR]]</f>
        <v>0</v>
      </c>
      <c r="S124" s="133">
        <v>0</v>
      </c>
      <c r="T124" s="133"/>
      <c r="U124" s="133"/>
      <c r="V124" s="296">
        <f>SUM(CATEGORIAS[[#This Row],[COSTO
ACUMULADO  AX]:[PROVISIONES]])</f>
        <v>0</v>
      </c>
      <c r="W124" s="298">
        <v>0</v>
      </c>
      <c r="X124" s="227"/>
      <c r="Y124" s="227"/>
      <c r="Z124" s="297">
        <f>SUM(CATEGORIAS[[#This Row],[COSTO ACUMULADO
ANTERIOR]:[PROVISIONES
ANTERIOR]])</f>
        <v>0</v>
      </c>
      <c r="AA124" s="139">
        <f>CATEGORIAS[[#This Row],[PRESUPUESTO
FINAL
PROYECTADO]]-CATEGORIAS[[#This Row],[TOTAL PRODUCCION
ACTUAL]]</f>
        <v>0</v>
      </c>
      <c r="AB124" s="227">
        <v>0</v>
      </c>
      <c r="AC124" s="132"/>
      <c r="AD124" s="132"/>
      <c r="AE124" s="226">
        <f>SUM(CATEGORIAS[[#This Row],[INVENTARIO]:[PROYECCION
DE COSTO
DEL SALDO]])</f>
        <v>0</v>
      </c>
      <c r="AF124" s="132"/>
      <c r="AG124" s="132">
        <f>+CATEGORIAS[[#This Row],[PRESUPUESTO
FINAL
PROYECTADO]]-CATEGORIAS[[#This Row],[COSTO REAL]]-CATEGORIAS[[#This Row],[PROYECCION
TOTAL DE COSTO]]</f>
        <v>0</v>
      </c>
    </row>
    <row r="125" spans="1:33" x14ac:dyDescent="0.25">
      <c r="A125" s="274" t="str">
        <f>+IFERROR(VLOOKUP(CATEGORIAS[[#This Row],[CATEGORIA2]],[1]HOMOLOGACION!$A$1:$I$571,9,FALSE),0)</f>
        <v>0F02</v>
      </c>
      <c r="B125" s="274" t="str">
        <f>+IFERROR(VLOOKUP(CATEGORIAS[[#This Row],[CATEGORIA2]],[1]HOMOLOGACION!$A$1:$C$571,3,FALSE),0)</f>
        <v>0B06</v>
      </c>
      <c r="C125" s="274" t="str">
        <f>+IFERROR(VLOOKUP(CATEGORIAS[[#This Row],[CATEGORIA2]],[1]HOMOLOGACION!$A$1:$D$571,4,FALSE),0)</f>
        <v>Electricidad &amp; Instrumentación</v>
      </c>
      <c r="D125" s="144" t="s">
        <v>1844</v>
      </c>
      <c r="E125" s="273" t="s">
        <v>601</v>
      </c>
      <c r="F125" s="275" t="s">
        <v>361</v>
      </c>
      <c r="G125" s="313">
        <v>0</v>
      </c>
      <c r="H125" s="313">
        <v>0</v>
      </c>
      <c r="I125" s="130">
        <v>0</v>
      </c>
      <c r="J125" s="130"/>
      <c r="K125" s="130"/>
      <c r="L125" s="143">
        <f>CATEGORIAS[[#This Row],[ADICIONALES]]+CATEGORIAS[[#This Row],[POM]]</f>
        <v>0</v>
      </c>
      <c r="M125" s="131">
        <v>0</v>
      </c>
      <c r="N125" s="227">
        <v>0</v>
      </c>
      <c r="O125" s="296">
        <f>CATEGORIAS[[#This Row],[PRODUCCION
PARTIDAS
ORIGINALES
ACTUAL]]+CATEGORIAS[[#This Row],[PRODUCCION
ADICIONALES
ACTUAL]]</f>
        <v>0</v>
      </c>
      <c r="P125" s="227">
        <v>0</v>
      </c>
      <c r="Q125" s="227">
        <v>0</v>
      </c>
      <c r="R125" s="297">
        <f>CATEGORIAS[[#This Row],[PRODUCCION
ANTERIOR]]+CATEGORIAS[[#This Row],[PRODUCCION
ADICIONALES
ANTERIOR]]</f>
        <v>0</v>
      </c>
      <c r="S125" s="133">
        <v>0</v>
      </c>
      <c r="T125" s="133"/>
      <c r="U125" s="133"/>
      <c r="V125" s="296">
        <f>SUM(CATEGORIAS[[#This Row],[COSTO
ACUMULADO  AX]:[PROVISIONES]])</f>
        <v>0</v>
      </c>
      <c r="W125" s="298">
        <v>0</v>
      </c>
      <c r="X125" s="227"/>
      <c r="Y125" s="227"/>
      <c r="Z125" s="297">
        <f>SUM(CATEGORIAS[[#This Row],[COSTO ACUMULADO
ANTERIOR]:[PROVISIONES
ANTERIOR]])</f>
        <v>0</v>
      </c>
      <c r="AA125" s="139">
        <f>CATEGORIAS[[#This Row],[PRESUPUESTO
FINAL
PROYECTADO]]-CATEGORIAS[[#This Row],[TOTAL PRODUCCION
ACTUAL]]</f>
        <v>0</v>
      </c>
      <c r="AB125" s="227">
        <v>0</v>
      </c>
      <c r="AC125" s="132"/>
      <c r="AD125" s="132"/>
      <c r="AE125" s="226">
        <f>SUM(CATEGORIAS[[#This Row],[INVENTARIO]:[PROYECCION
DE COSTO
DEL SALDO]])</f>
        <v>0</v>
      </c>
      <c r="AF125" s="132"/>
      <c r="AG125" s="132">
        <f>+CATEGORIAS[[#This Row],[PRESUPUESTO
FINAL
PROYECTADO]]-CATEGORIAS[[#This Row],[COSTO REAL]]-CATEGORIAS[[#This Row],[PROYECCION
TOTAL DE COSTO]]</f>
        <v>0</v>
      </c>
    </row>
    <row r="126" spans="1:33" x14ac:dyDescent="0.25">
      <c r="A126" s="274" t="str">
        <f>+IFERROR(VLOOKUP(CATEGORIAS[[#This Row],[CATEGORIA2]],[1]HOMOLOGACION!$A$1:$I$571,9,FALSE),0)</f>
        <v>0F02</v>
      </c>
      <c r="B126" s="274" t="str">
        <f>+IFERROR(VLOOKUP(CATEGORIAS[[#This Row],[CATEGORIA2]],[1]HOMOLOGACION!$A$1:$C$571,3,FALSE),0)</f>
        <v>0B06</v>
      </c>
      <c r="C126" s="274" t="str">
        <f>+IFERROR(VLOOKUP(CATEGORIAS[[#This Row],[CATEGORIA2]],[1]HOMOLOGACION!$A$1:$D$571,4,FALSE),0)</f>
        <v>Electricidad &amp; Instrumentación</v>
      </c>
      <c r="D126" s="144" t="s">
        <v>1845</v>
      </c>
      <c r="E126" s="273" t="s">
        <v>603</v>
      </c>
      <c r="F126" s="275" t="s">
        <v>361</v>
      </c>
      <c r="G126" s="313">
        <v>0</v>
      </c>
      <c r="H126" s="313">
        <v>0</v>
      </c>
      <c r="I126" s="130">
        <v>0</v>
      </c>
      <c r="J126" s="130"/>
      <c r="K126" s="130"/>
      <c r="L126" s="143">
        <f>CATEGORIAS[[#This Row],[ADICIONALES]]+CATEGORIAS[[#This Row],[POM]]</f>
        <v>0</v>
      </c>
      <c r="M126" s="131">
        <v>0</v>
      </c>
      <c r="N126" s="227">
        <v>0</v>
      </c>
      <c r="O126" s="296">
        <f>CATEGORIAS[[#This Row],[PRODUCCION
PARTIDAS
ORIGINALES
ACTUAL]]+CATEGORIAS[[#This Row],[PRODUCCION
ADICIONALES
ACTUAL]]</f>
        <v>0</v>
      </c>
      <c r="P126" s="227">
        <v>0</v>
      </c>
      <c r="Q126" s="227">
        <v>0</v>
      </c>
      <c r="R126" s="297">
        <f>CATEGORIAS[[#This Row],[PRODUCCION
ANTERIOR]]+CATEGORIAS[[#This Row],[PRODUCCION
ADICIONALES
ANTERIOR]]</f>
        <v>0</v>
      </c>
      <c r="S126" s="133">
        <v>0</v>
      </c>
      <c r="T126" s="133"/>
      <c r="U126" s="133"/>
      <c r="V126" s="296">
        <f>SUM(CATEGORIAS[[#This Row],[COSTO
ACUMULADO  AX]:[PROVISIONES]])</f>
        <v>0</v>
      </c>
      <c r="W126" s="298">
        <v>0</v>
      </c>
      <c r="X126" s="227"/>
      <c r="Y126" s="227"/>
      <c r="Z126" s="297">
        <f>SUM(CATEGORIAS[[#This Row],[COSTO ACUMULADO
ANTERIOR]:[PROVISIONES
ANTERIOR]])</f>
        <v>0</v>
      </c>
      <c r="AA126" s="139">
        <f>CATEGORIAS[[#This Row],[PRESUPUESTO
FINAL
PROYECTADO]]-CATEGORIAS[[#This Row],[TOTAL PRODUCCION
ACTUAL]]</f>
        <v>0</v>
      </c>
      <c r="AB126" s="227">
        <v>0</v>
      </c>
      <c r="AC126" s="132"/>
      <c r="AD126" s="132"/>
      <c r="AE126" s="226">
        <f>SUM(CATEGORIAS[[#This Row],[INVENTARIO]:[PROYECCION
DE COSTO
DEL SALDO]])</f>
        <v>0</v>
      </c>
      <c r="AF126" s="132"/>
      <c r="AG126" s="132">
        <f>+CATEGORIAS[[#This Row],[PRESUPUESTO
FINAL
PROYECTADO]]-CATEGORIAS[[#This Row],[COSTO REAL]]-CATEGORIAS[[#This Row],[PROYECCION
TOTAL DE COSTO]]</f>
        <v>0</v>
      </c>
    </row>
    <row r="127" spans="1:33" x14ac:dyDescent="0.25">
      <c r="A127" s="274" t="str">
        <f>+IFERROR(VLOOKUP(CATEGORIAS[[#This Row],[CATEGORIA2]],[1]HOMOLOGACION!$A$1:$I$571,9,FALSE),0)</f>
        <v>0F02</v>
      </c>
      <c r="B127" s="274" t="str">
        <f>+IFERROR(VLOOKUP(CATEGORIAS[[#This Row],[CATEGORIA2]],[1]HOMOLOGACION!$A$1:$C$571,3,FALSE),0)</f>
        <v>0B06</v>
      </c>
      <c r="C127" s="274" t="str">
        <f>+IFERROR(VLOOKUP(CATEGORIAS[[#This Row],[CATEGORIA2]],[1]HOMOLOGACION!$A$1:$D$571,4,FALSE),0)</f>
        <v>Electricidad &amp; Instrumentación</v>
      </c>
      <c r="D127" s="144" t="s">
        <v>1846</v>
      </c>
      <c r="E127" s="273" t="s">
        <v>605</v>
      </c>
      <c r="F127" s="275" t="s">
        <v>361</v>
      </c>
      <c r="G127" s="313">
        <v>0</v>
      </c>
      <c r="H127" s="313">
        <v>0</v>
      </c>
      <c r="I127" s="130">
        <v>0</v>
      </c>
      <c r="J127" s="130"/>
      <c r="K127" s="130"/>
      <c r="L127" s="143">
        <f>CATEGORIAS[[#This Row],[ADICIONALES]]+CATEGORIAS[[#This Row],[POM]]</f>
        <v>0</v>
      </c>
      <c r="M127" s="131">
        <v>0</v>
      </c>
      <c r="N127" s="227">
        <v>0</v>
      </c>
      <c r="O127" s="296">
        <f>CATEGORIAS[[#This Row],[PRODUCCION
PARTIDAS
ORIGINALES
ACTUAL]]+CATEGORIAS[[#This Row],[PRODUCCION
ADICIONALES
ACTUAL]]</f>
        <v>0</v>
      </c>
      <c r="P127" s="227">
        <v>0</v>
      </c>
      <c r="Q127" s="132">
        <v>0</v>
      </c>
      <c r="R127" s="297">
        <f>CATEGORIAS[[#This Row],[PRODUCCION
ANTERIOR]]+CATEGORIAS[[#This Row],[PRODUCCION
ADICIONALES
ANTERIOR]]</f>
        <v>0</v>
      </c>
      <c r="S127" s="133">
        <v>0</v>
      </c>
      <c r="T127" s="133"/>
      <c r="U127" s="133"/>
      <c r="V127" s="296">
        <f>SUM(CATEGORIAS[[#This Row],[COSTO
ACUMULADO  AX]:[PROVISIONES]])</f>
        <v>0</v>
      </c>
      <c r="W127" s="298">
        <v>0</v>
      </c>
      <c r="X127" s="227"/>
      <c r="Y127" s="227"/>
      <c r="Z127" s="297">
        <f>SUM(CATEGORIAS[[#This Row],[COSTO ACUMULADO
ANTERIOR]:[PROVISIONES
ANTERIOR]])</f>
        <v>0</v>
      </c>
      <c r="AA127" s="139">
        <f>CATEGORIAS[[#This Row],[PRESUPUESTO
FINAL
PROYECTADO]]-CATEGORIAS[[#This Row],[TOTAL PRODUCCION
ACTUAL]]</f>
        <v>0</v>
      </c>
      <c r="AB127" s="227">
        <v>0</v>
      </c>
      <c r="AC127" s="132"/>
      <c r="AD127" s="132"/>
      <c r="AE127" s="226">
        <f>SUM(CATEGORIAS[[#This Row],[INVENTARIO]:[PROYECCION
DE COSTO
DEL SALDO]])</f>
        <v>0</v>
      </c>
      <c r="AF127" s="132"/>
      <c r="AG127" s="132">
        <f>+CATEGORIAS[[#This Row],[PRESUPUESTO
FINAL
PROYECTADO]]-CATEGORIAS[[#This Row],[COSTO REAL]]-CATEGORIAS[[#This Row],[PROYECCION
TOTAL DE COSTO]]</f>
        <v>0</v>
      </c>
    </row>
    <row r="128" spans="1:33" x14ac:dyDescent="0.25">
      <c r="A128" s="274" t="str">
        <f>+IFERROR(VLOOKUP(CATEGORIAS[[#This Row],[CATEGORIA2]],[1]HOMOLOGACION!$A$1:$I$571,9,FALSE),0)</f>
        <v>0F02</v>
      </c>
      <c r="B128" s="274" t="str">
        <f>+IFERROR(VLOOKUP(CATEGORIAS[[#This Row],[CATEGORIA2]],[1]HOMOLOGACION!$A$1:$C$571,3,FALSE),0)</f>
        <v>0B06</v>
      </c>
      <c r="C128" s="274" t="str">
        <f>+IFERROR(VLOOKUP(CATEGORIAS[[#This Row],[CATEGORIA2]],[1]HOMOLOGACION!$A$1:$D$571,4,FALSE),0)</f>
        <v>Electricidad &amp; Instrumentación</v>
      </c>
      <c r="D128" s="144" t="s">
        <v>1847</v>
      </c>
      <c r="E128" s="273" t="s">
        <v>607</v>
      </c>
      <c r="F128" s="275" t="s">
        <v>361</v>
      </c>
      <c r="G128" s="313">
        <v>0</v>
      </c>
      <c r="H128" s="313">
        <v>0</v>
      </c>
      <c r="I128" s="130">
        <v>0</v>
      </c>
      <c r="J128" s="130"/>
      <c r="K128" s="130"/>
      <c r="L128" s="143">
        <f>CATEGORIAS[[#This Row],[ADICIONALES]]+CATEGORIAS[[#This Row],[POM]]</f>
        <v>0</v>
      </c>
      <c r="M128" s="131">
        <v>0</v>
      </c>
      <c r="N128" s="227">
        <v>0</v>
      </c>
      <c r="O128" s="296">
        <f>CATEGORIAS[[#This Row],[PRODUCCION
PARTIDAS
ORIGINALES
ACTUAL]]+CATEGORIAS[[#This Row],[PRODUCCION
ADICIONALES
ACTUAL]]</f>
        <v>0</v>
      </c>
      <c r="P128" s="227">
        <v>0</v>
      </c>
      <c r="Q128" s="227">
        <v>0</v>
      </c>
      <c r="R128" s="297">
        <f>CATEGORIAS[[#This Row],[PRODUCCION
ANTERIOR]]+CATEGORIAS[[#This Row],[PRODUCCION
ADICIONALES
ANTERIOR]]</f>
        <v>0</v>
      </c>
      <c r="S128" s="133">
        <v>0</v>
      </c>
      <c r="T128" s="133"/>
      <c r="U128" s="133"/>
      <c r="V128" s="296">
        <f>SUM(CATEGORIAS[[#This Row],[COSTO
ACUMULADO  AX]:[PROVISIONES]])</f>
        <v>0</v>
      </c>
      <c r="W128" s="298">
        <v>0</v>
      </c>
      <c r="X128" s="227"/>
      <c r="Y128" s="227"/>
      <c r="Z128" s="297">
        <f>SUM(CATEGORIAS[[#This Row],[COSTO ACUMULADO
ANTERIOR]:[PROVISIONES
ANTERIOR]])</f>
        <v>0</v>
      </c>
      <c r="AA128" s="139">
        <f>CATEGORIAS[[#This Row],[PRESUPUESTO
FINAL
PROYECTADO]]-CATEGORIAS[[#This Row],[TOTAL PRODUCCION
ACTUAL]]</f>
        <v>0</v>
      </c>
      <c r="AB128" s="227">
        <v>0</v>
      </c>
      <c r="AC128" s="132"/>
      <c r="AD128" s="132"/>
      <c r="AE128" s="226">
        <f>SUM(CATEGORIAS[[#This Row],[INVENTARIO]:[PROYECCION
DE COSTO
DEL SALDO]])</f>
        <v>0</v>
      </c>
      <c r="AF128" s="132"/>
      <c r="AG128" s="132">
        <f>+CATEGORIAS[[#This Row],[PRESUPUESTO
FINAL
PROYECTADO]]-CATEGORIAS[[#This Row],[COSTO REAL]]-CATEGORIAS[[#This Row],[PROYECCION
TOTAL DE COSTO]]</f>
        <v>0</v>
      </c>
    </row>
    <row r="129" spans="1:33" x14ac:dyDescent="0.25">
      <c r="A129" s="274" t="str">
        <f>+IFERROR(VLOOKUP(CATEGORIAS[[#This Row],[CATEGORIA2]],[1]HOMOLOGACION!$A$1:$I$571,9,FALSE),0)</f>
        <v>0F02</v>
      </c>
      <c r="B129" s="274" t="str">
        <f>+IFERROR(VLOOKUP(CATEGORIAS[[#This Row],[CATEGORIA2]],[1]HOMOLOGACION!$A$1:$C$571,3,FALSE),0)</f>
        <v>0B06</v>
      </c>
      <c r="C129" s="274" t="str">
        <f>+IFERROR(VLOOKUP(CATEGORIAS[[#This Row],[CATEGORIA2]],[1]HOMOLOGACION!$A$1:$D$571,4,FALSE),0)</f>
        <v>Electricidad &amp; Instrumentación</v>
      </c>
      <c r="D129" s="144" t="s">
        <v>1848</v>
      </c>
      <c r="E129" s="273" t="s">
        <v>609</v>
      </c>
      <c r="F129" s="275" t="s">
        <v>361</v>
      </c>
      <c r="G129" s="313">
        <v>0</v>
      </c>
      <c r="H129" s="313">
        <v>0</v>
      </c>
      <c r="I129" s="130">
        <v>0</v>
      </c>
      <c r="J129" s="130"/>
      <c r="K129" s="130"/>
      <c r="L129" s="143">
        <f>CATEGORIAS[[#This Row],[ADICIONALES]]+CATEGORIAS[[#This Row],[POM]]</f>
        <v>0</v>
      </c>
      <c r="M129" s="131">
        <v>0</v>
      </c>
      <c r="N129" s="227">
        <v>0</v>
      </c>
      <c r="O129" s="296">
        <f>CATEGORIAS[[#This Row],[PRODUCCION
PARTIDAS
ORIGINALES
ACTUAL]]+CATEGORIAS[[#This Row],[PRODUCCION
ADICIONALES
ACTUAL]]</f>
        <v>0</v>
      </c>
      <c r="P129" s="227">
        <v>0</v>
      </c>
      <c r="Q129" s="132">
        <v>0</v>
      </c>
      <c r="R129" s="297">
        <f>CATEGORIAS[[#This Row],[PRODUCCION
ANTERIOR]]+CATEGORIAS[[#This Row],[PRODUCCION
ADICIONALES
ANTERIOR]]</f>
        <v>0</v>
      </c>
      <c r="S129" s="133">
        <v>0</v>
      </c>
      <c r="T129" s="133"/>
      <c r="U129" s="133"/>
      <c r="V129" s="296">
        <f>SUM(CATEGORIAS[[#This Row],[COSTO
ACUMULADO  AX]:[PROVISIONES]])</f>
        <v>0</v>
      </c>
      <c r="W129" s="298">
        <v>0</v>
      </c>
      <c r="X129" s="227"/>
      <c r="Y129" s="227"/>
      <c r="Z129" s="297">
        <f>SUM(CATEGORIAS[[#This Row],[COSTO ACUMULADO
ANTERIOR]:[PROVISIONES
ANTERIOR]])</f>
        <v>0</v>
      </c>
      <c r="AA129" s="139">
        <f>CATEGORIAS[[#This Row],[PRESUPUESTO
FINAL
PROYECTADO]]-CATEGORIAS[[#This Row],[TOTAL PRODUCCION
ACTUAL]]</f>
        <v>0</v>
      </c>
      <c r="AB129" s="227">
        <v>0</v>
      </c>
      <c r="AC129" s="132"/>
      <c r="AD129" s="132"/>
      <c r="AE129" s="226">
        <f>SUM(CATEGORIAS[[#This Row],[INVENTARIO]:[PROYECCION
DE COSTO
DEL SALDO]])</f>
        <v>0</v>
      </c>
      <c r="AF129" s="132"/>
      <c r="AG129" s="132">
        <f>+CATEGORIAS[[#This Row],[PRESUPUESTO
FINAL
PROYECTADO]]-CATEGORIAS[[#This Row],[COSTO REAL]]-CATEGORIAS[[#This Row],[PROYECCION
TOTAL DE COSTO]]</f>
        <v>0</v>
      </c>
    </row>
    <row r="130" spans="1:33" x14ac:dyDescent="0.25">
      <c r="A130" s="274" t="str">
        <f>+IFERROR(VLOOKUP(CATEGORIAS[[#This Row],[CATEGORIA2]],[1]HOMOLOGACION!$A$1:$I$571,9,FALSE),0)</f>
        <v>0F02</v>
      </c>
      <c r="B130" s="274" t="str">
        <f>+IFERROR(VLOOKUP(CATEGORIAS[[#This Row],[CATEGORIA2]],[1]HOMOLOGACION!$A$1:$C$571,3,FALSE),0)</f>
        <v>0B06</v>
      </c>
      <c r="C130" s="274" t="str">
        <f>+IFERROR(VLOOKUP(CATEGORIAS[[#This Row],[CATEGORIA2]],[1]HOMOLOGACION!$A$1:$D$571,4,FALSE),0)</f>
        <v>Electricidad &amp; Instrumentación</v>
      </c>
      <c r="D130" s="144" t="s">
        <v>1849</v>
      </c>
      <c r="E130" s="273" t="s">
        <v>611</v>
      </c>
      <c r="F130" s="275" t="s">
        <v>361</v>
      </c>
      <c r="G130" s="313">
        <v>0</v>
      </c>
      <c r="H130" s="313">
        <v>0</v>
      </c>
      <c r="I130" s="130">
        <v>0</v>
      </c>
      <c r="J130" s="130"/>
      <c r="K130" s="130"/>
      <c r="L130" s="143">
        <f>CATEGORIAS[[#This Row],[ADICIONALES]]+CATEGORIAS[[#This Row],[POM]]</f>
        <v>0</v>
      </c>
      <c r="M130" s="131">
        <v>0</v>
      </c>
      <c r="N130" s="227">
        <v>0</v>
      </c>
      <c r="O130" s="296">
        <f>CATEGORIAS[[#This Row],[PRODUCCION
PARTIDAS
ORIGINALES
ACTUAL]]+CATEGORIAS[[#This Row],[PRODUCCION
ADICIONALES
ACTUAL]]</f>
        <v>0</v>
      </c>
      <c r="P130" s="227">
        <v>0</v>
      </c>
      <c r="Q130" s="227">
        <v>0</v>
      </c>
      <c r="R130" s="297">
        <f>CATEGORIAS[[#This Row],[PRODUCCION
ANTERIOR]]+CATEGORIAS[[#This Row],[PRODUCCION
ADICIONALES
ANTERIOR]]</f>
        <v>0</v>
      </c>
      <c r="S130" s="133">
        <v>0</v>
      </c>
      <c r="T130" s="133"/>
      <c r="U130" s="133"/>
      <c r="V130" s="296">
        <f>SUM(CATEGORIAS[[#This Row],[COSTO
ACUMULADO  AX]:[PROVISIONES]])</f>
        <v>0</v>
      </c>
      <c r="W130" s="298">
        <v>0</v>
      </c>
      <c r="X130" s="227"/>
      <c r="Y130" s="227"/>
      <c r="Z130" s="297">
        <f>SUM(CATEGORIAS[[#This Row],[COSTO ACUMULADO
ANTERIOR]:[PROVISIONES
ANTERIOR]])</f>
        <v>0</v>
      </c>
      <c r="AA130" s="139">
        <f>CATEGORIAS[[#This Row],[PRESUPUESTO
FINAL
PROYECTADO]]-CATEGORIAS[[#This Row],[TOTAL PRODUCCION
ACTUAL]]</f>
        <v>0</v>
      </c>
      <c r="AB130" s="227">
        <v>0</v>
      </c>
      <c r="AC130" s="132"/>
      <c r="AD130" s="132"/>
      <c r="AE130" s="226">
        <f>SUM(CATEGORIAS[[#This Row],[INVENTARIO]:[PROYECCION
DE COSTO
DEL SALDO]])</f>
        <v>0</v>
      </c>
      <c r="AF130" s="132"/>
      <c r="AG130" s="132">
        <f>+CATEGORIAS[[#This Row],[PRESUPUESTO
FINAL
PROYECTADO]]-CATEGORIAS[[#This Row],[COSTO REAL]]-CATEGORIAS[[#This Row],[PROYECCION
TOTAL DE COSTO]]</f>
        <v>0</v>
      </c>
    </row>
    <row r="131" spans="1:33" x14ac:dyDescent="0.25">
      <c r="A131" s="274" t="str">
        <f>+IFERROR(VLOOKUP(CATEGORIAS[[#This Row],[CATEGORIA2]],[1]HOMOLOGACION!$A$1:$I$571,9,FALSE),0)</f>
        <v>0F02</v>
      </c>
      <c r="B131" s="274" t="str">
        <f>+IFERROR(VLOOKUP(CATEGORIAS[[#This Row],[CATEGORIA2]],[1]HOMOLOGACION!$A$1:$C$571,3,FALSE),0)</f>
        <v>0B06</v>
      </c>
      <c r="C131" s="274" t="str">
        <f>+IFERROR(VLOOKUP(CATEGORIAS[[#This Row],[CATEGORIA2]],[1]HOMOLOGACION!$A$1:$D$571,4,FALSE),0)</f>
        <v>Electricidad &amp; Instrumentación</v>
      </c>
      <c r="D131" s="144" t="s">
        <v>1850</v>
      </c>
      <c r="E131" s="273" t="s">
        <v>613</v>
      </c>
      <c r="F131" s="275" t="s">
        <v>361</v>
      </c>
      <c r="G131" s="313">
        <v>0</v>
      </c>
      <c r="H131" s="313">
        <v>0</v>
      </c>
      <c r="I131" s="130">
        <v>0</v>
      </c>
      <c r="J131" s="130"/>
      <c r="K131" s="130"/>
      <c r="L131" s="143">
        <f>CATEGORIAS[[#This Row],[ADICIONALES]]+CATEGORIAS[[#This Row],[POM]]</f>
        <v>0</v>
      </c>
      <c r="M131" s="131">
        <v>0</v>
      </c>
      <c r="N131" s="227">
        <v>0</v>
      </c>
      <c r="O131" s="296">
        <f>CATEGORIAS[[#This Row],[PRODUCCION
PARTIDAS
ORIGINALES
ACTUAL]]+CATEGORIAS[[#This Row],[PRODUCCION
ADICIONALES
ACTUAL]]</f>
        <v>0</v>
      </c>
      <c r="P131" s="227">
        <v>0</v>
      </c>
      <c r="Q131" s="132">
        <v>0</v>
      </c>
      <c r="R131" s="297">
        <f>CATEGORIAS[[#This Row],[PRODUCCION
ANTERIOR]]+CATEGORIAS[[#This Row],[PRODUCCION
ADICIONALES
ANTERIOR]]</f>
        <v>0</v>
      </c>
      <c r="S131" s="133">
        <v>0</v>
      </c>
      <c r="T131" s="133"/>
      <c r="U131" s="133"/>
      <c r="V131" s="296">
        <f>SUM(CATEGORIAS[[#This Row],[COSTO
ACUMULADO  AX]:[PROVISIONES]])</f>
        <v>0</v>
      </c>
      <c r="W131" s="298">
        <v>0</v>
      </c>
      <c r="X131" s="227"/>
      <c r="Y131" s="227"/>
      <c r="Z131" s="297">
        <f>SUM(CATEGORIAS[[#This Row],[COSTO ACUMULADO
ANTERIOR]:[PROVISIONES
ANTERIOR]])</f>
        <v>0</v>
      </c>
      <c r="AA131" s="139">
        <f>CATEGORIAS[[#This Row],[PRESUPUESTO
FINAL
PROYECTADO]]-CATEGORIAS[[#This Row],[TOTAL PRODUCCION
ACTUAL]]</f>
        <v>0</v>
      </c>
      <c r="AB131" s="227">
        <v>0</v>
      </c>
      <c r="AC131" s="132"/>
      <c r="AD131" s="132"/>
      <c r="AE131" s="226">
        <f>SUM(CATEGORIAS[[#This Row],[INVENTARIO]:[PROYECCION
DE COSTO
DEL SALDO]])</f>
        <v>0</v>
      </c>
      <c r="AF131" s="132"/>
      <c r="AG131" s="132">
        <f>+CATEGORIAS[[#This Row],[PRESUPUESTO
FINAL
PROYECTADO]]-CATEGORIAS[[#This Row],[COSTO REAL]]-CATEGORIAS[[#This Row],[PROYECCION
TOTAL DE COSTO]]</f>
        <v>0</v>
      </c>
    </row>
    <row r="132" spans="1:33" x14ac:dyDescent="0.25">
      <c r="A132" s="274" t="str">
        <f>+IFERROR(VLOOKUP(CATEGORIAS[[#This Row],[CATEGORIA2]],[1]HOMOLOGACION!$A$1:$I$571,9,FALSE),0)</f>
        <v>0F02</v>
      </c>
      <c r="B132" s="274" t="str">
        <f>+IFERROR(VLOOKUP(CATEGORIAS[[#This Row],[CATEGORIA2]],[1]HOMOLOGACION!$A$1:$C$571,3,FALSE),0)</f>
        <v>0B06</v>
      </c>
      <c r="C132" s="274" t="str">
        <f>+IFERROR(VLOOKUP(CATEGORIAS[[#This Row],[CATEGORIA2]],[1]HOMOLOGACION!$A$1:$D$571,4,FALSE),0)</f>
        <v>Electricidad &amp; Instrumentación</v>
      </c>
      <c r="D132" s="144" t="s">
        <v>1851</v>
      </c>
      <c r="E132" s="273" t="s">
        <v>615</v>
      </c>
      <c r="F132" s="275" t="s">
        <v>361</v>
      </c>
      <c r="G132" s="313">
        <v>0</v>
      </c>
      <c r="H132" s="313">
        <v>0</v>
      </c>
      <c r="I132" s="130">
        <v>0</v>
      </c>
      <c r="J132" s="130"/>
      <c r="K132" s="130"/>
      <c r="L132" s="143">
        <f>CATEGORIAS[[#This Row],[ADICIONALES]]+CATEGORIAS[[#This Row],[POM]]</f>
        <v>0</v>
      </c>
      <c r="M132" s="131">
        <v>0</v>
      </c>
      <c r="N132" s="227">
        <v>0</v>
      </c>
      <c r="O132" s="296">
        <f>CATEGORIAS[[#This Row],[PRODUCCION
PARTIDAS
ORIGINALES
ACTUAL]]+CATEGORIAS[[#This Row],[PRODUCCION
ADICIONALES
ACTUAL]]</f>
        <v>0</v>
      </c>
      <c r="P132" s="227">
        <v>0</v>
      </c>
      <c r="Q132" s="227">
        <v>0</v>
      </c>
      <c r="R132" s="297">
        <f>CATEGORIAS[[#This Row],[PRODUCCION
ANTERIOR]]+CATEGORIAS[[#This Row],[PRODUCCION
ADICIONALES
ANTERIOR]]</f>
        <v>0</v>
      </c>
      <c r="S132" s="133">
        <v>0</v>
      </c>
      <c r="T132" s="133"/>
      <c r="U132" s="133"/>
      <c r="V132" s="296">
        <f>SUM(CATEGORIAS[[#This Row],[COSTO
ACUMULADO  AX]:[PROVISIONES]])</f>
        <v>0</v>
      </c>
      <c r="W132" s="298">
        <v>0</v>
      </c>
      <c r="X132" s="227"/>
      <c r="Y132" s="227"/>
      <c r="Z132" s="297">
        <f>SUM(CATEGORIAS[[#This Row],[COSTO ACUMULADO
ANTERIOR]:[PROVISIONES
ANTERIOR]])</f>
        <v>0</v>
      </c>
      <c r="AA132" s="139">
        <f>CATEGORIAS[[#This Row],[PRESUPUESTO
FINAL
PROYECTADO]]-CATEGORIAS[[#This Row],[TOTAL PRODUCCION
ACTUAL]]</f>
        <v>0</v>
      </c>
      <c r="AB132" s="227">
        <v>0</v>
      </c>
      <c r="AC132" s="132"/>
      <c r="AD132" s="132"/>
      <c r="AE132" s="226">
        <f>SUM(CATEGORIAS[[#This Row],[INVENTARIO]:[PROYECCION
DE COSTO
DEL SALDO]])</f>
        <v>0</v>
      </c>
      <c r="AF132" s="132"/>
      <c r="AG132" s="132">
        <f>+CATEGORIAS[[#This Row],[PRESUPUESTO
FINAL
PROYECTADO]]-CATEGORIAS[[#This Row],[COSTO REAL]]-CATEGORIAS[[#This Row],[PROYECCION
TOTAL DE COSTO]]</f>
        <v>0</v>
      </c>
    </row>
    <row r="133" spans="1:33" x14ac:dyDescent="0.25">
      <c r="A133" s="274">
        <f>+IFERROR(VLOOKUP(CATEGORIAS[[#This Row],[CATEGORIA2]],[1]HOMOLOGACION!$A$1:$I$571,9,FALSE),0)</f>
        <v>0</v>
      </c>
      <c r="B133" s="274">
        <f>+IFERROR(VLOOKUP(CATEGORIAS[[#This Row],[CATEGORIA2]],[1]HOMOLOGACION!$A$1:$C$571,3,FALSE),0)</f>
        <v>0</v>
      </c>
      <c r="C133" s="274">
        <f>+IFERROR(VLOOKUP(CATEGORIAS[[#This Row],[CATEGORIA2]],[1]HOMOLOGACION!$A$1:$D$571,4,FALSE),0)</f>
        <v>0</v>
      </c>
      <c r="D133" s="144" t="s">
        <v>2330</v>
      </c>
      <c r="E133" s="273" t="s">
        <v>2331</v>
      </c>
      <c r="F133" s="275" t="s">
        <v>361</v>
      </c>
      <c r="G133" s="313">
        <v>0</v>
      </c>
      <c r="H133" s="313">
        <v>0</v>
      </c>
      <c r="I133" s="130">
        <v>0</v>
      </c>
      <c r="J133" s="130"/>
      <c r="K133" s="130"/>
      <c r="L133" s="143">
        <f>CATEGORIAS[[#This Row],[ADICIONALES]]+CATEGORIAS[[#This Row],[POM]]</f>
        <v>0</v>
      </c>
      <c r="M133" s="131">
        <v>0</v>
      </c>
      <c r="N133" s="227">
        <v>0</v>
      </c>
      <c r="O133" s="296">
        <f>CATEGORIAS[[#This Row],[PRODUCCION
PARTIDAS
ORIGINALES
ACTUAL]]+CATEGORIAS[[#This Row],[PRODUCCION
ADICIONALES
ACTUAL]]</f>
        <v>0</v>
      </c>
      <c r="P133" s="227">
        <v>0</v>
      </c>
      <c r="Q133" s="132">
        <v>0</v>
      </c>
      <c r="R133" s="297">
        <f>CATEGORIAS[[#This Row],[PRODUCCION
ANTERIOR]]+CATEGORIAS[[#This Row],[PRODUCCION
ADICIONALES
ANTERIOR]]</f>
        <v>0</v>
      </c>
      <c r="S133" s="133">
        <v>0</v>
      </c>
      <c r="T133" s="133"/>
      <c r="U133" s="133"/>
      <c r="V133" s="296">
        <f>SUM(CATEGORIAS[[#This Row],[COSTO
ACUMULADO  AX]:[PROVISIONES]])</f>
        <v>0</v>
      </c>
      <c r="W133" s="298">
        <v>0</v>
      </c>
      <c r="X133" s="227"/>
      <c r="Y133" s="227"/>
      <c r="Z133" s="297">
        <f>SUM(CATEGORIAS[[#This Row],[COSTO ACUMULADO
ANTERIOR]:[PROVISIONES
ANTERIOR]])</f>
        <v>0</v>
      </c>
      <c r="AA133" s="139">
        <f>CATEGORIAS[[#This Row],[PRESUPUESTO
FINAL
PROYECTADO]]-CATEGORIAS[[#This Row],[TOTAL PRODUCCION
ACTUAL]]</f>
        <v>0</v>
      </c>
      <c r="AB133" s="227">
        <v>0</v>
      </c>
      <c r="AC133" s="132"/>
      <c r="AD133" s="132"/>
      <c r="AE133" s="226">
        <f>SUM(CATEGORIAS[[#This Row],[INVENTARIO]:[PROYECCION
DE COSTO
DEL SALDO]])</f>
        <v>0</v>
      </c>
      <c r="AF133" s="132"/>
      <c r="AG133" s="132">
        <f>+CATEGORIAS[[#This Row],[PRESUPUESTO
FINAL
PROYECTADO]]-CATEGORIAS[[#This Row],[COSTO REAL]]-CATEGORIAS[[#This Row],[PROYECCION
TOTAL DE COSTO]]</f>
        <v>0</v>
      </c>
    </row>
    <row r="134" spans="1:33" x14ac:dyDescent="0.25">
      <c r="A134" s="274" t="str">
        <f>+IFERROR(VLOOKUP(CATEGORIAS[[#This Row],[CATEGORIA2]],[1]HOMOLOGACION!$A$1:$I$571,9,FALSE),0)</f>
        <v>0H02</v>
      </c>
      <c r="B134" s="274" t="str">
        <f>+IFERROR(VLOOKUP(CATEGORIAS[[#This Row],[CATEGORIA2]],[1]HOMOLOGACION!$A$1:$C$571,3,FALSE),0)</f>
        <v>0B03</v>
      </c>
      <c r="C134" s="274" t="str">
        <f>+IFERROR(VLOOKUP(CATEGORIAS[[#This Row],[CATEGORIA2]],[1]HOMOLOGACION!$A$1:$D$571,4,FALSE),0)</f>
        <v xml:space="preserve">Aislación </v>
      </c>
      <c r="D134" s="144" t="s">
        <v>1852</v>
      </c>
      <c r="E134" s="273" t="s">
        <v>617</v>
      </c>
      <c r="F134" s="275" t="s">
        <v>364</v>
      </c>
      <c r="G134" s="313">
        <v>18524724.390000001</v>
      </c>
      <c r="H134" s="313">
        <v>18524724.390000001</v>
      </c>
      <c r="I134" s="130">
        <v>0</v>
      </c>
      <c r="J134" s="130"/>
      <c r="K134" s="130"/>
      <c r="L134" s="143">
        <f>CATEGORIAS[[#This Row],[ADICIONALES]]+CATEGORIAS[[#This Row],[POM]]</f>
        <v>18524724.390000001</v>
      </c>
      <c r="M134" s="131">
        <v>15433050</v>
      </c>
      <c r="N134" s="227">
        <v>0</v>
      </c>
      <c r="O134" s="296">
        <f>CATEGORIAS[[#This Row],[PRODUCCION
PARTIDAS
ORIGINALES
ACTUAL]]+CATEGORIAS[[#This Row],[PRODUCCION
ADICIONALES
ACTUAL]]</f>
        <v>15433050</v>
      </c>
      <c r="P134" s="227">
        <v>15433050</v>
      </c>
      <c r="Q134" s="132">
        <v>0</v>
      </c>
      <c r="R134" s="297">
        <f>CATEGORIAS[[#This Row],[PRODUCCION
ANTERIOR]]+CATEGORIAS[[#This Row],[PRODUCCION
ADICIONALES
ANTERIOR]]</f>
        <v>15433050</v>
      </c>
      <c r="S134" s="133">
        <v>0</v>
      </c>
      <c r="T134" s="133"/>
      <c r="U134" s="133"/>
      <c r="V134" s="296">
        <f>SUM(CATEGORIAS[[#This Row],[COSTO
ACUMULADO  AX]:[PROVISIONES]])</f>
        <v>0</v>
      </c>
      <c r="W134" s="298">
        <v>0</v>
      </c>
      <c r="X134" s="227"/>
      <c r="Y134" s="227"/>
      <c r="Z134" s="297">
        <f>SUM(CATEGORIAS[[#This Row],[COSTO ACUMULADO
ANTERIOR]:[PROVISIONES
ANTERIOR]])</f>
        <v>0</v>
      </c>
      <c r="AA134" s="139">
        <f>CATEGORIAS[[#This Row],[PRESUPUESTO
FINAL
PROYECTADO]]-CATEGORIAS[[#This Row],[TOTAL PRODUCCION
ACTUAL]]</f>
        <v>3091674.3900000006</v>
      </c>
      <c r="AB134" s="227">
        <v>0</v>
      </c>
      <c r="AC134" s="132"/>
      <c r="AD134" s="132">
        <v>18524724.390000001</v>
      </c>
      <c r="AE134" s="226">
        <f>SUM(CATEGORIAS[[#This Row],[INVENTARIO]:[PROYECCION
DE COSTO
DEL SALDO]])</f>
        <v>18524724.390000001</v>
      </c>
      <c r="AF134" s="132"/>
      <c r="AG134" s="132">
        <f>+CATEGORIAS[[#This Row],[PRESUPUESTO
FINAL
PROYECTADO]]-CATEGORIAS[[#This Row],[COSTO REAL]]-CATEGORIAS[[#This Row],[PROYECCION
TOTAL DE COSTO]]</f>
        <v>0</v>
      </c>
    </row>
    <row r="135" spans="1:33" x14ac:dyDescent="0.25">
      <c r="A135" s="274" t="str">
        <f>+IFERROR(VLOOKUP(CATEGORIAS[[#This Row],[CATEGORIA2]],[1]HOMOLOGACION!$A$1:$I$571,9,FALSE),0)</f>
        <v>0H02</v>
      </c>
      <c r="B135" s="274" t="str">
        <f>+IFERROR(VLOOKUP(CATEGORIAS[[#This Row],[CATEGORIA2]],[1]HOMOLOGACION!$A$1:$C$571,3,FALSE),0)</f>
        <v>0B03</v>
      </c>
      <c r="C135" s="274" t="str">
        <f>+IFERROR(VLOOKUP(CATEGORIAS[[#This Row],[CATEGORIA2]],[1]HOMOLOGACION!$A$1:$D$571,4,FALSE),0)</f>
        <v xml:space="preserve">Aislación </v>
      </c>
      <c r="D135" s="144" t="s">
        <v>1853</v>
      </c>
      <c r="E135" s="273" t="s">
        <v>619</v>
      </c>
      <c r="F135" s="275" t="s">
        <v>361</v>
      </c>
      <c r="G135" s="313">
        <v>0</v>
      </c>
      <c r="H135" s="313">
        <v>0</v>
      </c>
      <c r="I135" s="130">
        <v>0</v>
      </c>
      <c r="J135" s="130"/>
      <c r="K135" s="130"/>
      <c r="L135" s="143">
        <f>CATEGORIAS[[#This Row],[ADICIONALES]]+CATEGORIAS[[#This Row],[POM]]</f>
        <v>0</v>
      </c>
      <c r="M135" s="131">
        <v>0</v>
      </c>
      <c r="N135" s="227">
        <v>0</v>
      </c>
      <c r="O135" s="296">
        <f>CATEGORIAS[[#This Row],[PRODUCCION
PARTIDAS
ORIGINALES
ACTUAL]]+CATEGORIAS[[#This Row],[PRODUCCION
ADICIONALES
ACTUAL]]</f>
        <v>0</v>
      </c>
      <c r="P135" s="227">
        <v>0</v>
      </c>
      <c r="Q135" s="227">
        <v>0</v>
      </c>
      <c r="R135" s="297">
        <f>CATEGORIAS[[#This Row],[PRODUCCION
ANTERIOR]]+CATEGORIAS[[#This Row],[PRODUCCION
ADICIONALES
ANTERIOR]]</f>
        <v>0</v>
      </c>
      <c r="S135" s="133">
        <v>0</v>
      </c>
      <c r="T135" s="133"/>
      <c r="U135" s="133"/>
      <c r="V135" s="296">
        <f>SUM(CATEGORIAS[[#This Row],[COSTO
ACUMULADO  AX]:[PROVISIONES]])</f>
        <v>0</v>
      </c>
      <c r="W135" s="298">
        <v>0</v>
      </c>
      <c r="X135" s="227"/>
      <c r="Y135" s="227"/>
      <c r="Z135" s="297">
        <f>SUM(CATEGORIAS[[#This Row],[COSTO ACUMULADO
ANTERIOR]:[PROVISIONES
ANTERIOR]])</f>
        <v>0</v>
      </c>
      <c r="AA135" s="139">
        <f>CATEGORIAS[[#This Row],[PRESUPUESTO
FINAL
PROYECTADO]]-CATEGORIAS[[#This Row],[TOTAL PRODUCCION
ACTUAL]]</f>
        <v>0</v>
      </c>
      <c r="AB135" s="227">
        <v>0</v>
      </c>
      <c r="AC135" s="132"/>
      <c r="AD135" s="132"/>
      <c r="AE135" s="226">
        <f>SUM(CATEGORIAS[[#This Row],[INVENTARIO]:[PROYECCION
DE COSTO
DEL SALDO]])</f>
        <v>0</v>
      </c>
      <c r="AF135" s="132"/>
      <c r="AG135" s="132">
        <f>+CATEGORIAS[[#This Row],[PRESUPUESTO
FINAL
PROYECTADO]]-CATEGORIAS[[#This Row],[COSTO REAL]]-CATEGORIAS[[#This Row],[PROYECCION
TOTAL DE COSTO]]</f>
        <v>0</v>
      </c>
    </row>
    <row r="136" spans="1:33" x14ac:dyDescent="0.25">
      <c r="A136" s="274" t="str">
        <f>+IFERROR(VLOOKUP(CATEGORIAS[[#This Row],[CATEGORIA2]],[1]HOMOLOGACION!$A$1:$I$571,9,FALSE),0)</f>
        <v>0H02</v>
      </c>
      <c r="B136" s="274" t="str">
        <f>+IFERROR(VLOOKUP(CATEGORIAS[[#This Row],[CATEGORIA2]],[1]HOMOLOGACION!$A$1:$C$571,3,FALSE),0)</f>
        <v>0B03</v>
      </c>
      <c r="C136" s="274" t="str">
        <f>+IFERROR(VLOOKUP(CATEGORIAS[[#This Row],[CATEGORIA2]],[1]HOMOLOGACION!$A$1:$D$571,4,FALSE),0)</f>
        <v xml:space="preserve">Aislación </v>
      </c>
      <c r="D136" s="144" t="s">
        <v>1854</v>
      </c>
      <c r="E136" s="273" t="s">
        <v>621</v>
      </c>
      <c r="F136" s="275" t="s">
        <v>361</v>
      </c>
      <c r="G136" s="313">
        <v>0</v>
      </c>
      <c r="H136" s="313">
        <v>0</v>
      </c>
      <c r="I136" s="130">
        <v>0</v>
      </c>
      <c r="J136" s="130"/>
      <c r="K136" s="130"/>
      <c r="L136" s="143">
        <f>CATEGORIAS[[#This Row],[ADICIONALES]]+CATEGORIAS[[#This Row],[POM]]</f>
        <v>0</v>
      </c>
      <c r="M136" s="131">
        <v>0</v>
      </c>
      <c r="N136" s="227">
        <v>0</v>
      </c>
      <c r="O136" s="296">
        <f>CATEGORIAS[[#This Row],[PRODUCCION
PARTIDAS
ORIGINALES
ACTUAL]]+CATEGORIAS[[#This Row],[PRODUCCION
ADICIONALES
ACTUAL]]</f>
        <v>0</v>
      </c>
      <c r="P136" s="227">
        <v>0</v>
      </c>
      <c r="Q136" s="227">
        <v>0</v>
      </c>
      <c r="R136" s="297">
        <f>CATEGORIAS[[#This Row],[PRODUCCION
ANTERIOR]]+CATEGORIAS[[#This Row],[PRODUCCION
ADICIONALES
ANTERIOR]]</f>
        <v>0</v>
      </c>
      <c r="S136" s="133">
        <v>0</v>
      </c>
      <c r="T136" s="133"/>
      <c r="U136" s="133"/>
      <c r="V136" s="296">
        <f>SUM(CATEGORIAS[[#This Row],[COSTO
ACUMULADO  AX]:[PROVISIONES]])</f>
        <v>0</v>
      </c>
      <c r="W136" s="298">
        <v>0</v>
      </c>
      <c r="X136" s="227"/>
      <c r="Y136" s="227"/>
      <c r="Z136" s="297">
        <f>SUM(CATEGORIAS[[#This Row],[COSTO ACUMULADO
ANTERIOR]:[PROVISIONES
ANTERIOR]])</f>
        <v>0</v>
      </c>
      <c r="AA136" s="139">
        <f>CATEGORIAS[[#This Row],[PRESUPUESTO
FINAL
PROYECTADO]]-CATEGORIAS[[#This Row],[TOTAL PRODUCCION
ACTUAL]]</f>
        <v>0</v>
      </c>
      <c r="AB136" s="227">
        <v>0</v>
      </c>
      <c r="AC136" s="132"/>
      <c r="AD136" s="132"/>
      <c r="AE136" s="226">
        <f>SUM(CATEGORIAS[[#This Row],[INVENTARIO]:[PROYECCION
DE COSTO
DEL SALDO]])</f>
        <v>0</v>
      </c>
      <c r="AF136" s="132"/>
      <c r="AG136" s="132">
        <f>+CATEGORIAS[[#This Row],[PRESUPUESTO
FINAL
PROYECTADO]]-CATEGORIAS[[#This Row],[COSTO REAL]]-CATEGORIAS[[#This Row],[PROYECCION
TOTAL DE COSTO]]</f>
        <v>0</v>
      </c>
    </row>
    <row r="137" spans="1:33" x14ac:dyDescent="0.25">
      <c r="A137" s="274" t="str">
        <f>+IFERROR(VLOOKUP(CATEGORIAS[[#This Row],[CATEGORIA2]],[1]HOMOLOGACION!$A$1:$I$571,9,FALSE),0)</f>
        <v>0H02</v>
      </c>
      <c r="B137" s="274" t="str">
        <f>+IFERROR(VLOOKUP(CATEGORIAS[[#This Row],[CATEGORIA2]],[1]HOMOLOGACION!$A$1:$C$571,3,FALSE),0)</f>
        <v>0B03</v>
      </c>
      <c r="C137" s="274" t="str">
        <f>+IFERROR(VLOOKUP(CATEGORIAS[[#This Row],[CATEGORIA2]],[1]HOMOLOGACION!$A$1:$D$571,4,FALSE),0)</f>
        <v xml:space="preserve">Aislación </v>
      </c>
      <c r="D137" s="144" t="s">
        <v>1855</v>
      </c>
      <c r="E137" s="273" t="s">
        <v>623</v>
      </c>
      <c r="F137" s="275" t="s">
        <v>361</v>
      </c>
      <c r="G137" s="313">
        <v>0</v>
      </c>
      <c r="H137" s="313">
        <v>0</v>
      </c>
      <c r="I137" s="130">
        <v>0</v>
      </c>
      <c r="J137" s="130"/>
      <c r="K137" s="130"/>
      <c r="L137" s="143">
        <f>CATEGORIAS[[#This Row],[ADICIONALES]]+CATEGORIAS[[#This Row],[POM]]</f>
        <v>0</v>
      </c>
      <c r="M137" s="131">
        <v>0</v>
      </c>
      <c r="N137" s="227">
        <v>0</v>
      </c>
      <c r="O137" s="296">
        <f>CATEGORIAS[[#This Row],[PRODUCCION
PARTIDAS
ORIGINALES
ACTUAL]]+CATEGORIAS[[#This Row],[PRODUCCION
ADICIONALES
ACTUAL]]</f>
        <v>0</v>
      </c>
      <c r="P137" s="227">
        <v>0</v>
      </c>
      <c r="Q137" s="132">
        <v>0</v>
      </c>
      <c r="R137" s="297">
        <f>CATEGORIAS[[#This Row],[PRODUCCION
ANTERIOR]]+CATEGORIAS[[#This Row],[PRODUCCION
ADICIONALES
ANTERIOR]]</f>
        <v>0</v>
      </c>
      <c r="S137" s="133">
        <v>0</v>
      </c>
      <c r="T137" s="133"/>
      <c r="U137" s="133"/>
      <c r="V137" s="296">
        <f>SUM(CATEGORIAS[[#This Row],[COSTO
ACUMULADO  AX]:[PROVISIONES]])</f>
        <v>0</v>
      </c>
      <c r="W137" s="298">
        <v>0</v>
      </c>
      <c r="X137" s="227"/>
      <c r="Y137" s="227"/>
      <c r="Z137" s="297">
        <f>SUM(CATEGORIAS[[#This Row],[COSTO ACUMULADO
ANTERIOR]:[PROVISIONES
ANTERIOR]])</f>
        <v>0</v>
      </c>
      <c r="AA137" s="139">
        <f>CATEGORIAS[[#This Row],[PRESUPUESTO
FINAL
PROYECTADO]]-CATEGORIAS[[#This Row],[TOTAL PRODUCCION
ACTUAL]]</f>
        <v>0</v>
      </c>
      <c r="AB137" s="227">
        <v>0</v>
      </c>
      <c r="AC137" s="132"/>
      <c r="AD137" s="132"/>
      <c r="AE137" s="226">
        <f>SUM(CATEGORIAS[[#This Row],[INVENTARIO]:[PROYECCION
DE COSTO
DEL SALDO]])</f>
        <v>0</v>
      </c>
      <c r="AF137" s="132"/>
      <c r="AG137" s="132">
        <f>+CATEGORIAS[[#This Row],[PRESUPUESTO
FINAL
PROYECTADO]]-CATEGORIAS[[#This Row],[COSTO REAL]]-CATEGORIAS[[#This Row],[PROYECCION
TOTAL DE COSTO]]</f>
        <v>0</v>
      </c>
    </row>
    <row r="138" spans="1:33" x14ac:dyDescent="0.25">
      <c r="A138" s="274" t="str">
        <f>+IFERROR(VLOOKUP(CATEGORIAS[[#This Row],[CATEGORIA2]],[1]HOMOLOGACION!$A$1:$I$571,9,FALSE),0)</f>
        <v>0H02</v>
      </c>
      <c r="B138" s="274" t="str">
        <f>+IFERROR(VLOOKUP(CATEGORIAS[[#This Row],[CATEGORIA2]],[1]HOMOLOGACION!$A$1:$C$571,3,FALSE),0)</f>
        <v>0B03</v>
      </c>
      <c r="C138" s="274" t="str">
        <f>+IFERROR(VLOOKUP(CATEGORIAS[[#This Row],[CATEGORIA2]],[1]HOMOLOGACION!$A$1:$D$571,4,FALSE),0)</f>
        <v xml:space="preserve">Aislación </v>
      </c>
      <c r="D138" s="144" t="s">
        <v>1856</v>
      </c>
      <c r="E138" s="273" t="s">
        <v>625</v>
      </c>
      <c r="F138" s="275" t="s">
        <v>361</v>
      </c>
      <c r="G138" s="313">
        <v>0</v>
      </c>
      <c r="H138" s="313">
        <v>0</v>
      </c>
      <c r="I138" s="130">
        <v>0</v>
      </c>
      <c r="J138" s="130"/>
      <c r="K138" s="130"/>
      <c r="L138" s="143">
        <f>CATEGORIAS[[#This Row],[ADICIONALES]]+CATEGORIAS[[#This Row],[POM]]</f>
        <v>0</v>
      </c>
      <c r="M138" s="131">
        <v>0</v>
      </c>
      <c r="N138" s="227">
        <v>0</v>
      </c>
      <c r="O138" s="296">
        <f>CATEGORIAS[[#This Row],[PRODUCCION
PARTIDAS
ORIGINALES
ACTUAL]]+CATEGORIAS[[#This Row],[PRODUCCION
ADICIONALES
ACTUAL]]</f>
        <v>0</v>
      </c>
      <c r="P138" s="227">
        <v>0</v>
      </c>
      <c r="Q138" s="227">
        <v>0</v>
      </c>
      <c r="R138" s="297">
        <f>CATEGORIAS[[#This Row],[PRODUCCION
ANTERIOR]]+CATEGORIAS[[#This Row],[PRODUCCION
ADICIONALES
ANTERIOR]]</f>
        <v>0</v>
      </c>
      <c r="S138" s="133">
        <v>0</v>
      </c>
      <c r="T138" s="133"/>
      <c r="U138" s="133"/>
      <c r="V138" s="296">
        <f>SUM(CATEGORIAS[[#This Row],[COSTO
ACUMULADO  AX]:[PROVISIONES]])</f>
        <v>0</v>
      </c>
      <c r="W138" s="298">
        <v>0</v>
      </c>
      <c r="X138" s="227"/>
      <c r="Y138" s="227"/>
      <c r="Z138" s="297">
        <f>SUM(CATEGORIAS[[#This Row],[COSTO ACUMULADO
ANTERIOR]:[PROVISIONES
ANTERIOR]])</f>
        <v>0</v>
      </c>
      <c r="AA138" s="139">
        <f>CATEGORIAS[[#This Row],[PRESUPUESTO
FINAL
PROYECTADO]]-CATEGORIAS[[#This Row],[TOTAL PRODUCCION
ACTUAL]]</f>
        <v>0</v>
      </c>
      <c r="AB138" s="227">
        <v>0</v>
      </c>
      <c r="AC138" s="132"/>
      <c r="AD138" s="132"/>
      <c r="AE138" s="226">
        <f>SUM(CATEGORIAS[[#This Row],[INVENTARIO]:[PROYECCION
DE COSTO
DEL SALDO]])</f>
        <v>0</v>
      </c>
      <c r="AF138" s="132"/>
      <c r="AG138" s="132">
        <f>+CATEGORIAS[[#This Row],[PRESUPUESTO
FINAL
PROYECTADO]]-CATEGORIAS[[#This Row],[COSTO REAL]]-CATEGORIAS[[#This Row],[PROYECCION
TOTAL DE COSTO]]</f>
        <v>0</v>
      </c>
    </row>
    <row r="139" spans="1:33" x14ac:dyDescent="0.25">
      <c r="A139" s="274" t="str">
        <f>+IFERROR(VLOOKUP(CATEGORIAS[[#This Row],[CATEGORIA2]],[1]HOMOLOGACION!$A$1:$I$571,9,FALSE),0)</f>
        <v>0H02</v>
      </c>
      <c r="B139" s="274" t="str">
        <f>+IFERROR(VLOOKUP(CATEGORIAS[[#This Row],[CATEGORIA2]],[1]HOMOLOGACION!$A$1:$C$571,3,FALSE),0)</f>
        <v>0B03</v>
      </c>
      <c r="C139" s="274" t="str">
        <f>+IFERROR(VLOOKUP(CATEGORIAS[[#This Row],[CATEGORIA2]],[1]HOMOLOGACION!$A$1:$D$571,4,FALSE),0)</f>
        <v xml:space="preserve">Aislación </v>
      </c>
      <c r="D139" s="144" t="s">
        <v>1857</v>
      </c>
      <c r="E139" s="273" t="s">
        <v>627</v>
      </c>
      <c r="F139" s="275" t="s">
        <v>361</v>
      </c>
      <c r="G139" s="313">
        <v>0</v>
      </c>
      <c r="H139" s="313">
        <v>0</v>
      </c>
      <c r="I139" s="130">
        <v>0</v>
      </c>
      <c r="J139" s="130"/>
      <c r="K139" s="130"/>
      <c r="L139" s="143">
        <f>CATEGORIAS[[#This Row],[ADICIONALES]]+CATEGORIAS[[#This Row],[POM]]</f>
        <v>0</v>
      </c>
      <c r="M139" s="131">
        <v>0</v>
      </c>
      <c r="N139" s="227">
        <v>0</v>
      </c>
      <c r="O139" s="296">
        <f>CATEGORIAS[[#This Row],[PRODUCCION
PARTIDAS
ORIGINALES
ACTUAL]]+CATEGORIAS[[#This Row],[PRODUCCION
ADICIONALES
ACTUAL]]</f>
        <v>0</v>
      </c>
      <c r="P139" s="227">
        <v>0</v>
      </c>
      <c r="Q139" s="132">
        <v>0</v>
      </c>
      <c r="R139" s="297">
        <f>CATEGORIAS[[#This Row],[PRODUCCION
ANTERIOR]]+CATEGORIAS[[#This Row],[PRODUCCION
ADICIONALES
ANTERIOR]]</f>
        <v>0</v>
      </c>
      <c r="S139" s="133">
        <v>0</v>
      </c>
      <c r="T139" s="133"/>
      <c r="U139" s="133"/>
      <c r="V139" s="296">
        <f>SUM(CATEGORIAS[[#This Row],[COSTO
ACUMULADO  AX]:[PROVISIONES]])</f>
        <v>0</v>
      </c>
      <c r="W139" s="298">
        <v>0</v>
      </c>
      <c r="X139" s="227"/>
      <c r="Y139" s="227"/>
      <c r="Z139" s="297">
        <f>SUM(CATEGORIAS[[#This Row],[COSTO ACUMULADO
ANTERIOR]:[PROVISIONES
ANTERIOR]])</f>
        <v>0</v>
      </c>
      <c r="AA139" s="139">
        <f>CATEGORIAS[[#This Row],[PRESUPUESTO
FINAL
PROYECTADO]]-CATEGORIAS[[#This Row],[TOTAL PRODUCCION
ACTUAL]]</f>
        <v>0</v>
      </c>
      <c r="AB139" s="227">
        <v>0</v>
      </c>
      <c r="AC139" s="132"/>
      <c r="AD139" s="132"/>
      <c r="AE139" s="226">
        <f>SUM(CATEGORIAS[[#This Row],[INVENTARIO]:[PROYECCION
DE COSTO
DEL SALDO]])</f>
        <v>0</v>
      </c>
      <c r="AF139" s="132"/>
      <c r="AG139" s="132">
        <f>+CATEGORIAS[[#This Row],[PRESUPUESTO
FINAL
PROYECTADO]]-CATEGORIAS[[#This Row],[COSTO REAL]]-CATEGORIAS[[#This Row],[PROYECCION
TOTAL DE COSTO]]</f>
        <v>0</v>
      </c>
    </row>
    <row r="140" spans="1:33" x14ac:dyDescent="0.25">
      <c r="A140" s="274" t="str">
        <f>+IFERROR(VLOOKUP(CATEGORIAS[[#This Row],[CATEGORIA2]],[1]HOMOLOGACION!$A$1:$I$571,9,FALSE),0)</f>
        <v>0I02</v>
      </c>
      <c r="B140" s="274" t="str">
        <f>+IFERROR(VLOOKUP(CATEGORIAS[[#This Row],[CATEGORIA2]],[1]HOMOLOGACION!$A$1:$C$571,3,FALSE),0)</f>
        <v>0B07</v>
      </c>
      <c r="C140" s="274" t="str">
        <f>+IFERROR(VLOOKUP(CATEGORIAS[[#This Row],[CATEGORIA2]],[1]HOMOLOGACION!$A$1:$D$571,4,FALSE),0)</f>
        <v xml:space="preserve">Caldera </v>
      </c>
      <c r="D140" s="144" t="s">
        <v>1858</v>
      </c>
      <c r="E140" s="273" t="s">
        <v>629</v>
      </c>
      <c r="F140" s="275" t="s">
        <v>361</v>
      </c>
      <c r="G140" s="313">
        <v>0</v>
      </c>
      <c r="H140" s="313">
        <v>0</v>
      </c>
      <c r="I140" s="130">
        <v>0</v>
      </c>
      <c r="J140" s="130"/>
      <c r="K140" s="130"/>
      <c r="L140" s="143">
        <f>CATEGORIAS[[#This Row],[ADICIONALES]]+CATEGORIAS[[#This Row],[POM]]</f>
        <v>0</v>
      </c>
      <c r="M140" s="131">
        <v>0</v>
      </c>
      <c r="N140" s="227">
        <v>0</v>
      </c>
      <c r="O140" s="296">
        <f>CATEGORIAS[[#This Row],[PRODUCCION
PARTIDAS
ORIGINALES
ACTUAL]]+CATEGORIAS[[#This Row],[PRODUCCION
ADICIONALES
ACTUAL]]</f>
        <v>0</v>
      </c>
      <c r="P140" s="227">
        <v>0</v>
      </c>
      <c r="Q140" s="227">
        <v>0</v>
      </c>
      <c r="R140" s="297">
        <f>CATEGORIAS[[#This Row],[PRODUCCION
ANTERIOR]]+CATEGORIAS[[#This Row],[PRODUCCION
ADICIONALES
ANTERIOR]]</f>
        <v>0</v>
      </c>
      <c r="S140" s="133">
        <v>0</v>
      </c>
      <c r="T140" s="133"/>
      <c r="U140" s="133"/>
      <c r="V140" s="296">
        <f>SUM(CATEGORIAS[[#This Row],[COSTO
ACUMULADO  AX]:[PROVISIONES]])</f>
        <v>0</v>
      </c>
      <c r="W140" s="298">
        <v>0</v>
      </c>
      <c r="X140" s="227"/>
      <c r="Y140" s="227"/>
      <c r="Z140" s="297">
        <f>SUM(CATEGORIAS[[#This Row],[COSTO ACUMULADO
ANTERIOR]:[PROVISIONES
ANTERIOR]])</f>
        <v>0</v>
      </c>
      <c r="AA140" s="139">
        <f>CATEGORIAS[[#This Row],[PRESUPUESTO
FINAL
PROYECTADO]]-CATEGORIAS[[#This Row],[TOTAL PRODUCCION
ACTUAL]]</f>
        <v>0</v>
      </c>
      <c r="AB140" s="227">
        <v>0</v>
      </c>
      <c r="AC140" s="132"/>
      <c r="AD140" s="132"/>
      <c r="AE140" s="226">
        <f>SUM(CATEGORIAS[[#This Row],[INVENTARIO]:[PROYECCION
DE COSTO
DEL SALDO]])</f>
        <v>0</v>
      </c>
      <c r="AF140" s="132"/>
      <c r="AG140" s="132">
        <f>+CATEGORIAS[[#This Row],[PRESUPUESTO
FINAL
PROYECTADO]]-CATEGORIAS[[#This Row],[COSTO REAL]]-CATEGORIAS[[#This Row],[PROYECCION
TOTAL DE COSTO]]</f>
        <v>0</v>
      </c>
    </row>
    <row r="141" spans="1:33" x14ac:dyDescent="0.25">
      <c r="A141" s="274" t="str">
        <f>+IFERROR(VLOOKUP(CATEGORIAS[[#This Row],[CATEGORIA2]],[1]HOMOLOGACION!$A$1:$I$571,9,FALSE),0)</f>
        <v>0I02</v>
      </c>
      <c r="B141" s="274" t="str">
        <f>+IFERROR(VLOOKUP(CATEGORIAS[[#This Row],[CATEGORIA2]],[1]HOMOLOGACION!$A$1:$C$571,3,FALSE),0)</f>
        <v>0B07</v>
      </c>
      <c r="C141" s="274" t="str">
        <f>+IFERROR(VLOOKUP(CATEGORIAS[[#This Row],[CATEGORIA2]],[1]HOMOLOGACION!$A$1:$D$571,4,FALSE),0)</f>
        <v xml:space="preserve">Caldera </v>
      </c>
      <c r="D141" s="144" t="s">
        <v>1859</v>
      </c>
      <c r="E141" s="273" t="s">
        <v>631</v>
      </c>
      <c r="F141" s="275" t="s">
        <v>361</v>
      </c>
      <c r="G141" s="313">
        <v>0</v>
      </c>
      <c r="H141" s="313">
        <v>0</v>
      </c>
      <c r="I141" s="130">
        <v>0</v>
      </c>
      <c r="J141" s="130"/>
      <c r="K141" s="130"/>
      <c r="L141" s="143">
        <f>CATEGORIAS[[#This Row],[ADICIONALES]]+CATEGORIAS[[#This Row],[POM]]</f>
        <v>0</v>
      </c>
      <c r="M141" s="131">
        <v>0</v>
      </c>
      <c r="N141" s="227">
        <v>0</v>
      </c>
      <c r="O141" s="296">
        <f>CATEGORIAS[[#This Row],[PRODUCCION
PARTIDAS
ORIGINALES
ACTUAL]]+CATEGORIAS[[#This Row],[PRODUCCION
ADICIONALES
ACTUAL]]</f>
        <v>0</v>
      </c>
      <c r="P141" s="227">
        <v>0</v>
      </c>
      <c r="Q141" s="227">
        <v>0</v>
      </c>
      <c r="R141" s="297">
        <f>CATEGORIAS[[#This Row],[PRODUCCION
ANTERIOR]]+CATEGORIAS[[#This Row],[PRODUCCION
ADICIONALES
ANTERIOR]]</f>
        <v>0</v>
      </c>
      <c r="S141" s="133">
        <v>0</v>
      </c>
      <c r="T141" s="133"/>
      <c r="U141" s="133"/>
      <c r="V141" s="296">
        <f>SUM(CATEGORIAS[[#This Row],[COSTO
ACUMULADO  AX]:[PROVISIONES]])</f>
        <v>0</v>
      </c>
      <c r="W141" s="298">
        <v>0</v>
      </c>
      <c r="X141" s="227"/>
      <c r="Y141" s="227"/>
      <c r="Z141" s="297">
        <f>SUM(CATEGORIAS[[#This Row],[COSTO ACUMULADO
ANTERIOR]:[PROVISIONES
ANTERIOR]])</f>
        <v>0</v>
      </c>
      <c r="AA141" s="139">
        <f>CATEGORIAS[[#This Row],[PRESUPUESTO
FINAL
PROYECTADO]]-CATEGORIAS[[#This Row],[TOTAL PRODUCCION
ACTUAL]]</f>
        <v>0</v>
      </c>
      <c r="AB141" s="227">
        <v>0</v>
      </c>
      <c r="AC141" s="132"/>
      <c r="AD141" s="132"/>
      <c r="AE141" s="226">
        <f>SUM(CATEGORIAS[[#This Row],[INVENTARIO]:[PROYECCION
DE COSTO
DEL SALDO]])</f>
        <v>0</v>
      </c>
      <c r="AF141" s="132"/>
      <c r="AG141" s="132">
        <f>+CATEGORIAS[[#This Row],[PRESUPUESTO
FINAL
PROYECTADO]]-CATEGORIAS[[#This Row],[COSTO REAL]]-CATEGORIAS[[#This Row],[PROYECCION
TOTAL DE COSTO]]</f>
        <v>0</v>
      </c>
    </row>
    <row r="142" spans="1:33" x14ac:dyDescent="0.25">
      <c r="A142" s="274" t="str">
        <f>+IFERROR(VLOOKUP(CATEGORIAS[[#This Row],[CATEGORIA2]],[1]HOMOLOGACION!$A$1:$I$571,9,FALSE),0)</f>
        <v>0I02</v>
      </c>
      <c r="B142" s="274" t="str">
        <f>+IFERROR(VLOOKUP(CATEGORIAS[[#This Row],[CATEGORIA2]],[1]HOMOLOGACION!$A$1:$C$571,3,FALSE),0)</f>
        <v>0B07</v>
      </c>
      <c r="C142" s="274" t="str">
        <f>+IFERROR(VLOOKUP(CATEGORIAS[[#This Row],[CATEGORIA2]],[1]HOMOLOGACION!$A$1:$D$571,4,FALSE),0)</f>
        <v xml:space="preserve">Caldera </v>
      </c>
      <c r="D142" s="144" t="s">
        <v>1860</v>
      </c>
      <c r="E142" s="273" t="s">
        <v>633</v>
      </c>
      <c r="F142" s="275" t="s">
        <v>361</v>
      </c>
      <c r="G142" s="313">
        <v>0</v>
      </c>
      <c r="H142" s="313">
        <v>0</v>
      </c>
      <c r="I142" s="130">
        <v>0</v>
      </c>
      <c r="J142" s="130"/>
      <c r="K142" s="130"/>
      <c r="L142" s="143">
        <f>CATEGORIAS[[#This Row],[ADICIONALES]]+CATEGORIAS[[#This Row],[POM]]</f>
        <v>0</v>
      </c>
      <c r="M142" s="131">
        <v>0</v>
      </c>
      <c r="N142" s="227">
        <v>0</v>
      </c>
      <c r="O142" s="296">
        <f>CATEGORIAS[[#This Row],[PRODUCCION
PARTIDAS
ORIGINALES
ACTUAL]]+CATEGORIAS[[#This Row],[PRODUCCION
ADICIONALES
ACTUAL]]</f>
        <v>0</v>
      </c>
      <c r="P142" s="227">
        <v>0</v>
      </c>
      <c r="Q142" s="132">
        <v>0</v>
      </c>
      <c r="R142" s="297">
        <f>CATEGORIAS[[#This Row],[PRODUCCION
ANTERIOR]]+CATEGORIAS[[#This Row],[PRODUCCION
ADICIONALES
ANTERIOR]]</f>
        <v>0</v>
      </c>
      <c r="S142" s="133">
        <v>0</v>
      </c>
      <c r="T142" s="133"/>
      <c r="U142" s="133"/>
      <c r="V142" s="296">
        <f>SUM(CATEGORIAS[[#This Row],[COSTO
ACUMULADO  AX]:[PROVISIONES]])</f>
        <v>0</v>
      </c>
      <c r="W142" s="298">
        <v>0</v>
      </c>
      <c r="X142" s="227"/>
      <c r="Y142" s="227"/>
      <c r="Z142" s="297">
        <f>SUM(CATEGORIAS[[#This Row],[COSTO ACUMULADO
ANTERIOR]:[PROVISIONES
ANTERIOR]])</f>
        <v>0</v>
      </c>
      <c r="AA142" s="139">
        <f>CATEGORIAS[[#This Row],[PRESUPUESTO
FINAL
PROYECTADO]]-CATEGORIAS[[#This Row],[TOTAL PRODUCCION
ACTUAL]]</f>
        <v>0</v>
      </c>
      <c r="AB142" s="227">
        <v>0</v>
      </c>
      <c r="AC142" s="132"/>
      <c r="AD142" s="132"/>
      <c r="AE142" s="226">
        <f>SUM(CATEGORIAS[[#This Row],[INVENTARIO]:[PROYECCION
DE COSTO
DEL SALDO]])</f>
        <v>0</v>
      </c>
      <c r="AF142" s="132"/>
      <c r="AG142" s="132">
        <f>+CATEGORIAS[[#This Row],[PRESUPUESTO
FINAL
PROYECTADO]]-CATEGORIAS[[#This Row],[COSTO REAL]]-CATEGORIAS[[#This Row],[PROYECCION
TOTAL DE COSTO]]</f>
        <v>0</v>
      </c>
    </row>
    <row r="143" spans="1:33" x14ac:dyDescent="0.25">
      <c r="A143" s="274" t="str">
        <f>+IFERROR(VLOOKUP(CATEGORIAS[[#This Row],[CATEGORIA2]],[1]HOMOLOGACION!$A$1:$I$571,9,FALSE),0)</f>
        <v>0I02</v>
      </c>
      <c r="B143" s="274" t="str">
        <f>+IFERROR(VLOOKUP(CATEGORIAS[[#This Row],[CATEGORIA2]],[1]HOMOLOGACION!$A$1:$C$571,3,FALSE),0)</f>
        <v>0B07</v>
      </c>
      <c r="C143" s="274" t="str">
        <f>+IFERROR(VLOOKUP(CATEGORIAS[[#This Row],[CATEGORIA2]],[1]HOMOLOGACION!$A$1:$D$571,4,FALSE),0)</f>
        <v xml:space="preserve">Caldera </v>
      </c>
      <c r="D143" s="144" t="s">
        <v>1861</v>
      </c>
      <c r="E143" s="273" t="s">
        <v>635</v>
      </c>
      <c r="F143" s="275" t="s">
        <v>361</v>
      </c>
      <c r="G143" s="313">
        <v>0</v>
      </c>
      <c r="H143" s="313">
        <v>0</v>
      </c>
      <c r="I143" s="130">
        <v>0</v>
      </c>
      <c r="J143" s="130"/>
      <c r="K143" s="130"/>
      <c r="L143" s="143">
        <f>CATEGORIAS[[#This Row],[ADICIONALES]]+CATEGORIAS[[#This Row],[POM]]</f>
        <v>0</v>
      </c>
      <c r="M143" s="131">
        <v>0</v>
      </c>
      <c r="N143" s="227">
        <v>0</v>
      </c>
      <c r="O143" s="296">
        <f>CATEGORIAS[[#This Row],[PRODUCCION
PARTIDAS
ORIGINALES
ACTUAL]]+CATEGORIAS[[#This Row],[PRODUCCION
ADICIONALES
ACTUAL]]</f>
        <v>0</v>
      </c>
      <c r="P143" s="227">
        <v>0</v>
      </c>
      <c r="Q143" s="227">
        <v>0</v>
      </c>
      <c r="R143" s="297">
        <f>CATEGORIAS[[#This Row],[PRODUCCION
ANTERIOR]]+CATEGORIAS[[#This Row],[PRODUCCION
ADICIONALES
ANTERIOR]]</f>
        <v>0</v>
      </c>
      <c r="S143" s="133">
        <v>0</v>
      </c>
      <c r="T143" s="133"/>
      <c r="U143" s="133"/>
      <c r="V143" s="296">
        <f>SUM(CATEGORIAS[[#This Row],[COSTO
ACUMULADO  AX]:[PROVISIONES]])</f>
        <v>0</v>
      </c>
      <c r="W143" s="298">
        <v>0</v>
      </c>
      <c r="X143" s="227"/>
      <c r="Y143" s="227"/>
      <c r="Z143" s="297">
        <f>SUM(CATEGORIAS[[#This Row],[COSTO ACUMULADO
ANTERIOR]:[PROVISIONES
ANTERIOR]])</f>
        <v>0</v>
      </c>
      <c r="AA143" s="139">
        <f>CATEGORIAS[[#This Row],[PRESUPUESTO
FINAL
PROYECTADO]]-CATEGORIAS[[#This Row],[TOTAL PRODUCCION
ACTUAL]]</f>
        <v>0</v>
      </c>
      <c r="AB143" s="227">
        <v>0</v>
      </c>
      <c r="AC143" s="132"/>
      <c r="AD143" s="132"/>
      <c r="AE143" s="226">
        <f>SUM(CATEGORIAS[[#This Row],[INVENTARIO]:[PROYECCION
DE COSTO
DEL SALDO]])</f>
        <v>0</v>
      </c>
      <c r="AF143" s="132"/>
      <c r="AG143" s="132">
        <f>+CATEGORIAS[[#This Row],[PRESUPUESTO
FINAL
PROYECTADO]]-CATEGORIAS[[#This Row],[COSTO REAL]]-CATEGORIAS[[#This Row],[PROYECCION
TOTAL DE COSTO]]</f>
        <v>0</v>
      </c>
    </row>
    <row r="144" spans="1:33" x14ac:dyDescent="0.25">
      <c r="A144" s="274" t="str">
        <f>+IFERROR(VLOOKUP(CATEGORIAS[[#This Row],[CATEGORIA2]],[1]HOMOLOGACION!$A$1:$I$571,9,FALSE),0)</f>
        <v>0I02</v>
      </c>
      <c r="B144" s="274" t="str">
        <f>+IFERROR(VLOOKUP(CATEGORIAS[[#This Row],[CATEGORIA2]],[1]HOMOLOGACION!$A$1:$C$571,3,FALSE),0)</f>
        <v>0B07</v>
      </c>
      <c r="C144" s="274" t="str">
        <f>+IFERROR(VLOOKUP(CATEGORIAS[[#This Row],[CATEGORIA2]],[1]HOMOLOGACION!$A$1:$D$571,4,FALSE),0)</f>
        <v xml:space="preserve">Caldera </v>
      </c>
      <c r="D144" s="144" t="s">
        <v>1862</v>
      </c>
      <c r="E144" s="273" t="s">
        <v>637</v>
      </c>
      <c r="F144" s="275" t="s">
        <v>361</v>
      </c>
      <c r="G144" s="313">
        <v>0</v>
      </c>
      <c r="H144" s="313">
        <v>0</v>
      </c>
      <c r="I144" s="130">
        <v>0</v>
      </c>
      <c r="J144" s="130"/>
      <c r="K144" s="130"/>
      <c r="L144" s="143">
        <f>CATEGORIAS[[#This Row],[ADICIONALES]]+CATEGORIAS[[#This Row],[POM]]</f>
        <v>0</v>
      </c>
      <c r="M144" s="131">
        <v>0</v>
      </c>
      <c r="N144" s="227">
        <v>0</v>
      </c>
      <c r="O144" s="296">
        <f>CATEGORIAS[[#This Row],[PRODUCCION
PARTIDAS
ORIGINALES
ACTUAL]]+CATEGORIAS[[#This Row],[PRODUCCION
ADICIONALES
ACTUAL]]</f>
        <v>0</v>
      </c>
      <c r="P144" s="227">
        <v>0</v>
      </c>
      <c r="Q144" s="227">
        <v>0</v>
      </c>
      <c r="R144" s="297">
        <f>CATEGORIAS[[#This Row],[PRODUCCION
ANTERIOR]]+CATEGORIAS[[#This Row],[PRODUCCION
ADICIONALES
ANTERIOR]]</f>
        <v>0</v>
      </c>
      <c r="S144" s="133">
        <v>0</v>
      </c>
      <c r="T144" s="133"/>
      <c r="U144" s="133"/>
      <c r="V144" s="296">
        <f>SUM(CATEGORIAS[[#This Row],[COSTO
ACUMULADO  AX]:[PROVISIONES]])</f>
        <v>0</v>
      </c>
      <c r="W144" s="298">
        <v>0</v>
      </c>
      <c r="X144" s="227"/>
      <c r="Y144" s="227"/>
      <c r="Z144" s="297">
        <f>SUM(CATEGORIAS[[#This Row],[COSTO ACUMULADO
ANTERIOR]:[PROVISIONES
ANTERIOR]])</f>
        <v>0</v>
      </c>
      <c r="AA144" s="139">
        <f>CATEGORIAS[[#This Row],[PRESUPUESTO
FINAL
PROYECTADO]]-CATEGORIAS[[#This Row],[TOTAL PRODUCCION
ACTUAL]]</f>
        <v>0</v>
      </c>
      <c r="AB144" s="227">
        <v>0</v>
      </c>
      <c r="AC144" s="132"/>
      <c r="AD144" s="132"/>
      <c r="AE144" s="226">
        <f>SUM(CATEGORIAS[[#This Row],[INVENTARIO]:[PROYECCION
DE COSTO
DEL SALDO]])</f>
        <v>0</v>
      </c>
      <c r="AF144" s="132"/>
      <c r="AG144" s="132">
        <f>+CATEGORIAS[[#This Row],[PRESUPUESTO
FINAL
PROYECTADO]]-CATEGORIAS[[#This Row],[COSTO REAL]]-CATEGORIAS[[#This Row],[PROYECCION
TOTAL DE COSTO]]</f>
        <v>0</v>
      </c>
    </row>
    <row r="145" spans="1:33" x14ac:dyDescent="0.25">
      <c r="A145" s="274" t="str">
        <f>+IFERROR(VLOOKUP(CATEGORIAS[[#This Row],[CATEGORIA2]],[1]HOMOLOGACION!$A$1:$I$571,9,FALSE),0)</f>
        <v>0I02</v>
      </c>
      <c r="B145" s="274" t="str">
        <f>+IFERROR(VLOOKUP(CATEGORIAS[[#This Row],[CATEGORIA2]],[1]HOMOLOGACION!$A$1:$C$571,3,FALSE),0)</f>
        <v>0B07</v>
      </c>
      <c r="C145" s="274" t="str">
        <f>+IFERROR(VLOOKUP(CATEGORIAS[[#This Row],[CATEGORIA2]],[1]HOMOLOGACION!$A$1:$D$571,4,FALSE),0)</f>
        <v xml:space="preserve">Caldera </v>
      </c>
      <c r="D145" s="144" t="s">
        <v>1863</v>
      </c>
      <c r="E145" s="273" t="s">
        <v>639</v>
      </c>
      <c r="F145" s="275" t="s">
        <v>361</v>
      </c>
      <c r="G145" s="313">
        <v>0</v>
      </c>
      <c r="H145" s="313">
        <v>0</v>
      </c>
      <c r="I145" s="130">
        <v>0</v>
      </c>
      <c r="J145" s="130"/>
      <c r="K145" s="130"/>
      <c r="L145" s="143">
        <f>CATEGORIAS[[#This Row],[ADICIONALES]]+CATEGORIAS[[#This Row],[POM]]</f>
        <v>0</v>
      </c>
      <c r="M145" s="131">
        <v>0</v>
      </c>
      <c r="N145" s="227">
        <v>0</v>
      </c>
      <c r="O145" s="296">
        <f>CATEGORIAS[[#This Row],[PRODUCCION
PARTIDAS
ORIGINALES
ACTUAL]]+CATEGORIAS[[#This Row],[PRODUCCION
ADICIONALES
ACTUAL]]</f>
        <v>0</v>
      </c>
      <c r="P145" s="227">
        <v>0</v>
      </c>
      <c r="Q145" s="132">
        <v>0</v>
      </c>
      <c r="R145" s="297">
        <f>CATEGORIAS[[#This Row],[PRODUCCION
ANTERIOR]]+CATEGORIAS[[#This Row],[PRODUCCION
ADICIONALES
ANTERIOR]]</f>
        <v>0</v>
      </c>
      <c r="S145" s="133">
        <v>0</v>
      </c>
      <c r="T145" s="133"/>
      <c r="U145" s="133"/>
      <c r="V145" s="296">
        <f>SUM(CATEGORIAS[[#This Row],[COSTO
ACUMULADO  AX]:[PROVISIONES]])</f>
        <v>0</v>
      </c>
      <c r="W145" s="298">
        <v>0</v>
      </c>
      <c r="X145" s="227"/>
      <c r="Y145" s="227"/>
      <c r="Z145" s="297">
        <f>SUM(CATEGORIAS[[#This Row],[COSTO ACUMULADO
ANTERIOR]:[PROVISIONES
ANTERIOR]])</f>
        <v>0</v>
      </c>
      <c r="AA145" s="139">
        <f>CATEGORIAS[[#This Row],[PRESUPUESTO
FINAL
PROYECTADO]]-CATEGORIAS[[#This Row],[TOTAL PRODUCCION
ACTUAL]]</f>
        <v>0</v>
      </c>
      <c r="AB145" s="227">
        <v>0</v>
      </c>
      <c r="AC145" s="132"/>
      <c r="AD145" s="132"/>
      <c r="AE145" s="226">
        <f>SUM(CATEGORIAS[[#This Row],[INVENTARIO]:[PROYECCION
DE COSTO
DEL SALDO]])</f>
        <v>0</v>
      </c>
      <c r="AF145" s="132"/>
      <c r="AG145" s="132">
        <f>+CATEGORIAS[[#This Row],[PRESUPUESTO
FINAL
PROYECTADO]]-CATEGORIAS[[#This Row],[COSTO REAL]]-CATEGORIAS[[#This Row],[PROYECCION
TOTAL DE COSTO]]</f>
        <v>0</v>
      </c>
    </row>
    <row r="146" spans="1:33" x14ac:dyDescent="0.25">
      <c r="A146" s="274" t="str">
        <f>+IFERROR(VLOOKUP(CATEGORIAS[[#This Row],[CATEGORIA2]],[1]HOMOLOGACION!$A$1:$I$571,9,FALSE),0)</f>
        <v>0J02</v>
      </c>
      <c r="B146" s="274" t="str">
        <f>+IFERROR(VLOOKUP(CATEGORIAS[[#This Row],[CATEGORIA2]],[1]HOMOLOGACION!$A$1:$C$571,3,FALSE),0)</f>
        <v>0B08</v>
      </c>
      <c r="C146" s="274" t="str">
        <f>+IFERROR(VLOOKUP(CATEGORIAS[[#This Row],[CATEGORIA2]],[1]HOMOLOGACION!$A$1:$D$571,4,FALSE),0)</f>
        <v xml:space="preserve">Ductos </v>
      </c>
      <c r="D146" s="144" t="s">
        <v>1864</v>
      </c>
      <c r="E146" s="273" t="s">
        <v>641</v>
      </c>
      <c r="F146" s="275" t="s">
        <v>361</v>
      </c>
      <c r="G146" s="313">
        <v>0</v>
      </c>
      <c r="H146" s="313">
        <v>0</v>
      </c>
      <c r="I146" s="130">
        <v>0</v>
      </c>
      <c r="J146" s="130"/>
      <c r="K146" s="130"/>
      <c r="L146" s="143">
        <f>CATEGORIAS[[#This Row],[ADICIONALES]]+CATEGORIAS[[#This Row],[POM]]</f>
        <v>0</v>
      </c>
      <c r="M146" s="131">
        <v>0</v>
      </c>
      <c r="N146" s="227">
        <v>0</v>
      </c>
      <c r="O146" s="296">
        <f>CATEGORIAS[[#This Row],[PRODUCCION
PARTIDAS
ORIGINALES
ACTUAL]]+CATEGORIAS[[#This Row],[PRODUCCION
ADICIONALES
ACTUAL]]</f>
        <v>0</v>
      </c>
      <c r="P146" s="227">
        <v>0</v>
      </c>
      <c r="Q146" s="227">
        <v>0</v>
      </c>
      <c r="R146" s="297">
        <f>CATEGORIAS[[#This Row],[PRODUCCION
ANTERIOR]]+CATEGORIAS[[#This Row],[PRODUCCION
ADICIONALES
ANTERIOR]]</f>
        <v>0</v>
      </c>
      <c r="S146" s="133">
        <v>0</v>
      </c>
      <c r="T146" s="133"/>
      <c r="U146" s="133"/>
      <c r="V146" s="296">
        <f>SUM(CATEGORIAS[[#This Row],[COSTO
ACUMULADO  AX]:[PROVISIONES]])</f>
        <v>0</v>
      </c>
      <c r="W146" s="298">
        <v>0</v>
      </c>
      <c r="X146" s="227"/>
      <c r="Y146" s="227"/>
      <c r="Z146" s="297">
        <f>SUM(CATEGORIAS[[#This Row],[COSTO ACUMULADO
ANTERIOR]:[PROVISIONES
ANTERIOR]])</f>
        <v>0</v>
      </c>
      <c r="AA146" s="139">
        <f>CATEGORIAS[[#This Row],[PRESUPUESTO
FINAL
PROYECTADO]]-CATEGORIAS[[#This Row],[TOTAL PRODUCCION
ACTUAL]]</f>
        <v>0</v>
      </c>
      <c r="AB146" s="227">
        <v>0</v>
      </c>
      <c r="AC146" s="132"/>
      <c r="AD146" s="132"/>
      <c r="AE146" s="226">
        <f>SUM(CATEGORIAS[[#This Row],[INVENTARIO]:[PROYECCION
DE COSTO
DEL SALDO]])</f>
        <v>0</v>
      </c>
      <c r="AF146" s="132"/>
      <c r="AG146" s="132">
        <f>+CATEGORIAS[[#This Row],[PRESUPUESTO
FINAL
PROYECTADO]]-CATEGORIAS[[#This Row],[COSTO REAL]]-CATEGORIAS[[#This Row],[PROYECCION
TOTAL DE COSTO]]</f>
        <v>0</v>
      </c>
    </row>
    <row r="147" spans="1:33" x14ac:dyDescent="0.25">
      <c r="A147" s="274" t="str">
        <f>+IFERROR(VLOOKUP(CATEGORIAS[[#This Row],[CATEGORIA2]],[1]HOMOLOGACION!$A$1:$I$571,9,FALSE),0)</f>
        <v>0J02</v>
      </c>
      <c r="B147" s="274" t="str">
        <f>+IFERROR(VLOOKUP(CATEGORIAS[[#This Row],[CATEGORIA2]],[1]HOMOLOGACION!$A$1:$C$571,3,FALSE),0)</f>
        <v>0B08</v>
      </c>
      <c r="C147" s="274" t="str">
        <f>+IFERROR(VLOOKUP(CATEGORIAS[[#This Row],[CATEGORIA2]],[1]HOMOLOGACION!$A$1:$D$571,4,FALSE),0)</f>
        <v xml:space="preserve">Ductos </v>
      </c>
      <c r="D147" s="144" t="s">
        <v>1865</v>
      </c>
      <c r="E147" s="273" t="s">
        <v>643</v>
      </c>
      <c r="F147" s="275" t="s">
        <v>361</v>
      </c>
      <c r="G147" s="313">
        <v>0</v>
      </c>
      <c r="H147" s="313">
        <v>0</v>
      </c>
      <c r="I147" s="130">
        <v>0</v>
      </c>
      <c r="J147" s="130"/>
      <c r="K147" s="130"/>
      <c r="L147" s="143">
        <f>CATEGORIAS[[#This Row],[ADICIONALES]]+CATEGORIAS[[#This Row],[POM]]</f>
        <v>0</v>
      </c>
      <c r="M147" s="131">
        <v>0</v>
      </c>
      <c r="N147" s="227">
        <v>0</v>
      </c>
      <c r="O147" s="296">
        <f>CATEGORIAS[[#This Row],[PRODUCCION
PARTIDAS
ORIGINALES
ACTUAL]]+CATEGORIAS[[#This Row],[PRODUCCION
ADICIONALES
ACTUAL]]</f>
        <v>0</v>
      </c>
      <c r="P147" s="227">
        <v>0</v>
      </c>
      <c r="Q147" s="227">
        <v>0</v>
      </c>
      <c r="R147" s="297">
        <f>CATEGORIAS[[#This Row],[PRODUCCION
ANTERIOR]]+CATEGORIAS[[#This Row],[PRODUCCION
ADICIONALES
ANTERIOR]]</f>
        <v>0</v>
      </c>
      <c r="S147" s="133">
        <v>0</v>
      </c>
      <c r="T147" s="133"/>
      <c r="U147" s="133"/>
      <c r="V147" s="296">
        <f>SUM(CATEGORIAS[[#This Row],[COSTO
ACUMULADO  AX]:[PROVISIONES]])</f>
        <v>0</v>
      </c>
      <c r="W147" s="298">
        <v>0</v>
      </c>
      <c r="X147" s="227"/>
      <c r="Y147" s="227"/>
      <c r="Z147" s="297">
        <f>SUM(CATEGORIAS[[#This Row],[COSTO ACUMULADO
ANTERIOR]:[PROVISIONES
ANTERIOR]])</f>
        <v>0</v>
      </c>
      <c r="AA147" s="139">
        <f>CATEGORIAS[[#This Row],[PRESUPUESTO
FINAL
PROYECTADO]]-CATEGORIAS[[#This Row],[TOTAL PRODUCCION
ACTUAL]]</f>
        <v>0</v>
      </c>
      <c r="AB147" s="227">
        <v>0</v>
      </c>
      <c r="AC147" s="132"/>
      <c r="AD147" s="132"/>
      <c r="AE147" s="226">
        <f>SUM(CATEGORIAS[[#This Row],[INVENTARIO]:[PROYECCION
DE COSTO
DEL SALDO]])</f>
        <v>0</v>
      </c>
      <c r="AF147" s="132"/>
      <c r="AG147" s="132">
        <f>+CATEGORIAS[[#This Row],[PRESUPUESTO
FINAL
PROYECTADO]]-CATEGORIAS[[#This Row],[COSTO REAL]]-CATEGORIAS[[#This Row],[PROYECCION
TOTAL DE COSTO]]</f>
        <v>0</v>
      </c>
    </row>
    <row r="148" spans="1:33" x14ac:dyDescent="0.25">
      <c r="A148" s="274" t="str">
        <f>+IFERROR(VLOOKUP(CATEGORIAS[[#This Row],[CATEGORIA2]],[1]HOMOLOGACION!$A$1:$I$571,9,FALSE),0)</f>
        <v>0J02</v>
      </c>
      <c r="B148" s="274" t="str">
        <f>+IFERROR(VLOOKUP(CATEGORIAS[[#This Row],[CATEGORIA2]],[1]HOMOLOGACION!$A$1:$C$571,3,FALSE),0)</f>
        <v>0B08</v>
      </c>
      <c r="C148" s="274" t="str">
        <f>+IFERROR(VLOOKUP(CATEGORIAS[[#This Row],[CATEGORIA2]],[1]HOMOLOGACION!$A$1:$D$571,4,FALSE),0)</f>
        <v xml:space="preserve">Ductos </v>
      </c>
      <c r="D148" s="144" t="s">
        <v>1866</v>
      </c>
      <c r="E148" s="273" t="s">
        <v>645</v>
      </c>
      <c r="F148" s="275" t="s">
        <v>361</v>
      </c>
      <c r="G148" s="313">
        <v>0</v>
      </c>
      <c r="H148" s="313">
        <v>0</v>
      </c>
      <c r="I148" s="130">
        <v>0</v>
      </c>
      <c r="J148" s="130"/>
      <c r="K148" s="130"/>
      <c r="L148" s="143">
        <f>CATEGORIAS[[#This Row],[ADICIONALES]]+CATEGORIAS[[#This Row],[POM]]</f>
        <v>0</v>
      </c>
      <c r="M148" s="131">
        <v>0</v>
      </c>
      <c r="N148" s="227">
        <v>0</v>
      </c>
      <c r="O148" s="296">
        <f>CATEGORIAS[[#This Row],[PRODUCCION
PARTIDAS
ORIGINALES
ACTUAL]]+CATEGORIAS[[#This Row],[PRODUCCION
ADICIONALES
ACTUAL]]</f>
        <v>0</v>
      </c>
      <c r="P148" s="227">
        <v>0</v>
      </c>
      <c r="Q148" s="227">
        <v>0</v>
      </c>
      <c r="R148" s="297">
        <f>CATEGORIAS[[#This Row],[PRODUCCION
ANTERIOR]]+CATEGORIAS[[#This Row],[PRODUCCION
ADICIONALES
ANTERIOR]]</f>
        <v>0</v>
      </c>
      <c r="S148" s="133">
        <v>0</v>
      </c>
      <c r="T148" s="133"/>
      <c r="U148" s="133"/>
      <c r="V148" s="296">
        <f>SUM(CATEGORIAS[[#This Row],[COSTO
ACUMULADO  AX]:[PROVISIONES]])</f>
        <v>0</v>
      </c>
      <c r="W148" s="298">
        <v>0</v>
      </c>
      <c r="X148" s="227"/>
      <c r="Y148" s="227"/>
      <c r="Z148" s="297">
        <f>SUM(CATEGORIAS[[#This Row],[COSTO ACUMULADO
ANTERIOR]:[PROVISIONES
ANTERIOR]])</f>
        <v>0</v>
      </c>
      <c r="AA148" s="139">
        <f>CATEGORIAS[[#This Row],[PRESUPUESTO
FINAL
PROYECTADO]]-CATEGORIAS[[#This Row],[TOTAL PRODUCCION
ACTUAL]]</f>
        <v>0</v>
      </c>
      <c r="AB148" s="227">
        <v>0</v>
      </c>
      <c r="AC148" s="132"/>
      <c r="AD148" s="132"/>
      <c r="AE148" s="226">
        <f>SUM(CATEGORIAS[[#This Row],[INVENTARIO]:[PROYECCION
DE COSTO
DEL SALDO]])</f>
        <v>0</v>
      </c>
      <c r="AF148" s="132"/>
      <c r="AG148" s="132">
        <f>+CATEGORIAS[[#This Row],[PRESUPUESTO
FINAL
PROYECTADO]]-CATEGORIAS[[#This Row],[COSTO REAL]]-CATEGORIAS[[#This Row],[PROYECCION
TOTAL DE COSTO]]</f>
        <v>0</v>
      </c>
    </row>
    <row r="149" spans="1:33" x14ac:dyDescent="0.25">
      <c r="A149" s="274" t="str">
        <f>+IFERROR(VLOOKUP(CATEGORIAS[[#This Row],[CATEGORIA2]],[1]HOMOLOGACION!$A$1:$I$571,9,FALSE),0)</f>
        <v>0J02</v>
      </c>
      <c r="B149" s="274" t="str">
        <f>+IFERROR(VLOOKUP(CATEGORIAS[[#This Row],[CATEGORIA2]],[1]HOMOLOGACION!$A$1:$C$571,3,FALSE),0)</f>
        <v>0B08</v>
      </c>
      <c r="C149" s="274" t="str">
        <f>+IFERROR(VLOOKUP(CATEGORIAS[[#This Row],[CATEGORIA2]],[1]HOMOLOGACION!$A$1:$D$571,4,FALSE),0)</f>
        <v xml:space="preserve">Ductos </v>
      </c>
      <c r="D149" s="144" t="s">
        <v>1867</v>
      </c>
      <c r="E149" s="273" t="s">
        <v>647</v>
      </c>
      <c r="F149" s="275" t="s">
        <v>361</v>
      </c>
      <c r="G149" s="313">
        <v>0</v>
      </c>
      <c r="H149" s="313">
        <v>0</v>
      </c>
      <c r="I149" s="130">
        <v>0</v>
      </c>
      <c r="J149" s="130"/>
      <c r="K149" s="130"/>
      <c r="L149" s="143">
        <f>CATEGORIAS[[#This Row],[ADICIONALES]]+CATEGORIAS[[#This Row],[POM]]</f>
        <v>0</v>
      </c>
      <c r="M149" s="131">
        <v>0</v>
      </c>
      <c r="N149" s="227">
        <v>0</v>
      </c>
      <c r="O149" s="296">
        <f>CATEGORIAS[[#This Row],[PRODUCCION
PARTIDAS
ORIGINALES
ACTUAL]]+CATEGORIAS[[#This Row],[PRODUCCION
ADICIONALES
ACTUAL]]</f>
        <v>0</v>
      </c>
      <c r="P149" s="227">
        <v>0</v>
      </c>
      <c r="Q149" s="132">
        <v>0</v>
      </c>
      <c r="R149" s="297">
        <f>CATEGORIAS[[#This Row],[PRODUCCION
ANTERIOR]]+CATEGORIAS[[#This Row],[PRODUCCION
ADICIONALES
ANTERIOR]]</f>
        <v>0</v>
      </c>
      <c r="S149" s="133">
        <v>0</v>
      </c>
      <c r="T149" s="133"/>
      <c r="U149" s="133"/>
      <c r="V149" s="296">
        <f>SUM(CATEGORIAS[[#This Row],[COSTO
ACUMULADO  AX]:[PROVISIONES]])</f>
        <v>0</v>
      </c>
      <c r="W149" s="298">
        <v>0</v>
      </c>
      <c r="X149" s="227"/>
      <c r="Y149" s="227"/>
      <c r="Z149" s="297">
        <f>SUM(CATEGORIAS[[#This Row],[COSTO ACUMULADO
ANTERIOR]:[PROVISIONES
ANTERIOR]])</f>
        <v>0</v>
      </c>
      <c r="AA149" s="139">
        <f>CATEGORIAS[[#This Row],[PRESUPUESTO
FINAL
PROYECTADO]]-CATEGORIAS[[#This Row],[TOTAL PRODUCCION
ACTUAL]]</f>
        <v>0</v>
      </c>
      <c r="AB149" s="227">
        <v>0</v>
      </c>
      <c r="AC149" s="132"/>
      <c r="AD149" s="132"/>
      <c r="AE149" s="226">
        <f>SUM(CATEGORIAS[[#This Row],[INVENTARIO]:[PROYECCION
DE COSTO
DEL SALDO]])</f>
        <v>0</v>
      </c>
      <c r="AF149" s="132"/>
      <c r="AG149" s="132">
        <f>+CATEGORIAS[[#This Row],[PRESUPUESTO
FINAL
PROYECTADO]]-CATEGORIAS[[#This Row],[COSTO REAL]]-CATEGORIAS[[#This Row],[PROYECCION
TOTAL DE COSTO]]</f>
        <v>0</v>
      </c>
    </row>
    <row r="150" spans="1:33" x14ac:dyDescent="0.25">
      <c r="A150" s="274" t="str">
        <f>+IFERROR(VLOOKUP(CATEGORIAS[[#This Row],[CATEGORIA2]],[1]HOMOLOGACION!$A$1:$I$571,9,FALSE),0)</f>
        <v>0J02</v>
      </c>
      <c r="B150" s="274" t="str">
        <f>+IFERROR(VLOOKUP(CATEGORIAS[[#This Row],[CATEGORIA2]],[1]HOMOLOGACION!$A$1:$C$571,3,FALSE),0)</f>
        <v>0B08</v>
      </c>
      <c r="C150" s="274" t="str">
        <f>+IFERROR(VLOOKUP(CATEGORIAS[[#This Row],[CATEGORIA2]],[1]HOMOLOGACION!$A$1:$D$571,4,FALSE),0)</f>
        <v xml:space="preserve">Ductos </v>
      </c>
      <c r="D150" s="144" t="s">
        <v>1868</v>
      </c>
      <c r="E150" s="273" t="s">
        <v>649</v>
      </c>
      <c r="F150" s="275" t="s">
        <v>361</v>
      </c>
      <c r="G150" s="313">
        <v>0</v>
      </c>
      <c r="H150" s="313">
        <v>0</v>
      </c>
      <c r="I150" s="130">
        <v>0</v>
      </c>
      <c r="J150" s="130"/>
      <c r="K150" s="130"/>
      <c r="L150" s="143">
        <f>CATEGORIAS[[#This Row],[ADICIONALES]]+CATEGORIAS[[#This Row],[POM]]</f>
        <v>0</v>
      </c>
      <c r="M150" s="131">
        <v>0</v>
      </c>
      <c r="N150" s="227">
        <v>0</v>
      </c>
      <c r="O150" s="296">
        <f>CATEGORIAS[[#This Row],[PRODUCCION
PARTIDAS
ORIGINALES
ACTUAL]]+CATEGORIAS[[#This Row],[PRODUCCION
ADICIONALES
ACTUAL]]</f>
        <v>0</v>
      </c>
      <c r="P150" s="227">
        <v>0</v>
      </c>
      <c r="Q150" s="227">
        <v>0</v>
      </c>
      <c r="R150" s="297">
        <f>CATEGORIAS[[#This Row],[PRODUCCION
ANTERIOR]]+CATEGORIAS[[#This Row],[PRODUCCION
ADICIONALES
ANTERIOR]]</f>
        <v>0</v>
      </c>
      <c r="S150" s="133">
        <v>0</v>
      </c>
      <c r="T150" s="133"/>
      <c r="U150" s="133"/>
      <c r="V150" s="296">
        <f>SUM(CATEGORIAS[[#This Row],[COSTO
ACUMULADO  AX]:[PROVISIONES]])</f>
        <v>0</v>
      </c>
      <c r="W150" s="298">
        <v>0</v>
      </c>
      <c r="X150" s="227"/>
      <c r="Y150" s="227"/>
      <c r="Z150" s="297">
        <f>SUM(CATEGORIAS[[#This Row],[COSTO ACUMULADO
ANTERIOR]:[PROVISIONES
ANTERIOR]])</f>
        <v>0</v>
      </c>
      <c r="AA150" s="139">
        <f>CATEGORIAS[[#This Row],[PRESUPUESTO
FINAL
PROYECTADO]]-CATEGORIAS[[#This Row],[TOTAL PRODUCCION
ACTUAL]]</f>
        <v>0</v>
      </c>
      <c r="AB150" s="227">
        <v>0</v>
      </c>
      <c r="AC150" s="132"/>
      <c r="AD150" s="132"/>
      <c r="AE150" s="226">
        <f>SUM(CATEGORIAS[[#This Row],[INVENTARIO]:[PROYECCION
DE COSTO
DEL SALDO]])</f>
        <v>0</v>
      </c>
      <c r="AF150" s="132"/>
      <c r="AG150" s="132">
        <f>+CATEGORIAS[[#This Row],[PRESUPUESTO
FINAL
PROYECTADO]]-CATEGORIAS[[#This Row],[COSTO REAL]]-CATEGORIAS[[#This Row],[PROYECCION
TOTAL DE COSTO]]</f>
        <v>0</v>
      </c>
    </row>
    <row r="151" spans="1:33" x14ac:dyDescent="0.25">
      <c r="A151" s="274" t="str">
        <f>+IFERROR(VLOOKUP(CATEGORIAS[[#This Row],[CATEGORIA2]],[1]HOMOLOGACION!$A$1:$I$571,9,FALSE),0)</f>
        <v>0J02</v>
      </c>
      <c r="B151" s="274" t="str">
        <f>+IFERROR(VLOOKUP(CATEGORIAS[[#This Row],[CATEGORIA2]],[1]HOMOLOGACION!$A$1:$C$571,3,FALSE),0)</f>
        <v>0B08</v>
      </c>
      <c r="C151" s="274" t="str">
        <f>+IFERROR(VLOOKUP(CATEGORIAS[[#This Row],[CATEGORIA2]],[1]HOMOLOGACION!$A$1:$D$571,4,FALSE),0)</f>
        <v xml:space="preserve">Ductos </v>
      </c>
      <c r="D151" s="144" t="s">
        <v>1869</v>
      </c>
      <c r="E151" s="273" t="s">
        <v>651</v>
      </c>
      <c r="F151" s="275" t="s">
        <v>361</v>
      </c>
      <c r="G151" s="313">
        <v>0</v>
      </c>
      <c r="H151" s="313">
        <v>0</v>
      </c>
      <c r="I151" s="130">
        <v>0</v>
      </c>
      <c r="J151" s="130"/>
      <c r="K151" s="130"/>
      <c r="L151" s="143">
        <f>CATEGORIAS[[#This Row],[ADICIONALES]]+CATEGORIAS[[#This Row],[POM]]</f>
        <v>0</v>
      </c>
      <c r="M151" s="131">
        <v>0</v>
      </c>
      <c r="N151" s="227">
        <v>0</v>
      </c>
      <c r="O151" s="296">
        <f>CATEGORIAS[[#This Row],[PRODUCCION
PARTIDAS
ORIGINALES
ACTUAL]]+CATEGORIAS[[#This Row],[PRODUCCION
ADICIONALES
ACTUAL]]</f>
        <v>0</v>
      </c>
      <c r="P151" s="227">
        <v>0</v>
      </c>
      <c r="Q151" s="132">
        <v>0</v>
      </c>
      <c r="R151" s="297">
        <f>CATEGORIAS[[#This Row],[PRODUCCION
ANTERIOR]]+CATEGORIAS[[#This Row],[PRODUCCION
ADICIONALES
ANTERIOR]]</f>
        <v>0</v>
      </c>
      <c r="S151" s="133">
        <v>0</v>
      </c>
      <c r="T151" s="133"/>
      <c r="U151" s="133"/>
      <c r="V151" s="296">
        <f>SUM(CATEGORIAS[[#This Row],[COSTO
ACUMULADO  AX]:[PROVISIONES]])</f>
        <v>0</v>
      </c>
      <c r="W151" s="298">
        <v>0</v>
      </c>
      <c r="X151" s="227"/>
      <c r="Y151" s="227"/>
      <c r="Z151" s="297">
        <f>SUM(CATEGORIAS[[#This Row],[COSTO ACUMULADO
ANTERIOR]:[PROVISIONES
ANTERIOR]])</f>
        <v>0</v>
      </c>
      <c r="AA151" s="139">
        <f>CATEGORIAS[[#This Row],[PRESUPUESTO
FINAL
PROYECTADO]]-CATEGORIAS[[#This Row],[TOTAL PRODUCCION
ACTUAL]]</f>
        <v>0</v>
      </c>
      <c r="AB151" s="227">
        <v>0</v>
      </c>
      <c r="AC151" s="132"/>
      <c r="AD151" s="132"/>
      <c r="AE151" s="226">
        <f>SUM(CATEGORIAS[[#This Row],[INVENTARIO]:[PROYECCION
DE COSTO
DEL SALDO]])</f>
        <v>0</v>
      </c>
      <c r="AF151" s="132"/>
      <c r="AG151" s="132">
        <f>+CATEGORIAS[[#This Row],[PRESUPUESTO
FINAL
PROYECTADO]]-CATEGORIAS[[#This Row],[COSTO REAL]]-CATEGORIAS[[#This Row],[PROYECCION
TOTAL DE COSTO]]</f>
        <v>0</v>
      </c>
    </row>
    <row r="152" spans="1:33" x14ac:dyDescent="0.25">
      <c r="A152" s="274" t="str">
        <f>+IFERROR(VLOOKUP(CATEGORIAS[[#This Row],[CATEGORIA2]],[1]HOMOLOGACION!$A$1:$I$571,9,FALSE),0)</f>
        <v>0J02</v>
      </c>
      <c r="B152" s="274" t="str">
        <f>+IFERROR(VLOOKUP(CATEGORIAS[[#This Row],[CATEGORIA2]],[1]HOMOLOGACION!$A$1:$C$571,3,FALSE),0)</f>
        <v>0B08</v>
      </c>
      <c r="C152" s="274" t="str">
        <f>+IFERROR(VLOOKUP(CATEGORIAS[[#This Row],[CATEGORIA2]],[1]HOMOLOGACION!$A$1:$D$571,4,FALSE),0)</f>
        <v xml:space="preserve">Ductos </v>
      </c>
      <c r="D152" s="144" t="s">
        <v>1870</v>
      </c>
      <c r="E152" s="273" t="s">
        <v>653</v>
      </c>
      <c r="F152" s="275" t="s">
        <v>361</v>
      </c>
      <c r="G152" s="313">
        <v>0</v>
      </c>
      <c r="H152" s="313">
        <v>0</v>
      </c>
      <c r="I152" s="130">
        <v>0</v>
      </c>
      <c r="J152" s="130"/>
      <c r="K152" s="130"/>
      <c r="L152" s="143">
        <f>CATEGORIAS[[#This Row],[ADICIONALES]]+CATEGORIAS[[#This Row],[POM]]</f>
        <v>0</v>
      </c>
      <c r="M152" s="131">
        <v>0</v>
      </c>
      <c r="N152" s="227">
        <v>0</v>
      </c>
      <c r="O152" s="296">
        <f>CATEGORIAS[[#This Row],[PRODUCCION
PARTIDAS
ORIGINALES
ACTUAL]]+CATEGORIAS[[#This Row],[PRODUCCION
ADICIONALES
ACTUAL]]</f>
        <v>0</v>
      </c>
      <c r="P152" s="227">
        <v>0</v>
      </c>
      <c r="Q152" s="227">
        <v>0</v>
      </c>
      <c r="R152" s="297">
        <f>CATEGORIAS[[#This Row],[PRODUCCION
ANTERIOR]]+CATEGORIAS[[#This Row],[PRODUCCION
ADICIONALES
ANTERIOR]]</f>
        <v>0</v>
      </c>
      <c r="S152" s="133">
        <v>0</v>
      </c>
      <c r="T152" s="133"/>
      <c r="U152" s="133"/>
      <c r="V152" s="296">
        <f>SUM(CATEGORIAS[[#This Row],[COSTO
ACUMULADO  AX]:[PROVISIONES]])</f>
        <v>0</v>
      </c>
      <c r="W152" s="298">
        <v>0</v>
      </c>
      <c r="X152" s="227"/>
      <c r="Y152" s="227"/>
      <c r="Z152" s="297">
        <f>SUM(CATEGORIAS[[#This Row],[COSTO ACUMULADO
ANTERIOR]:[PROVISIONES
ANTERIOR]])</f>
        <v>0</v>
      </c>
      <c r="AA152" s="139">
        <f>CATEGORIAS[[#This Row],[PRESUPUESTO
FINAL
PROYECTADO]]-CATEGORIAS[[#This Row],[TOTAL PRODUCCION
ACTUAL]]</f>
        <v>0</v>
      </c>
      <c r="AB152" s="227">
        <v>0</v>
      </c>
      <c r="AC152" s="132"/>
      <c r="AD152" s="132"/>
      <c r="AE152" s="226">
        <f>SUM(CATEGORIAS[[#This Row],[INVENTARIO]:[PROYECCION
DE COSTO
DEL SALDO]])</f>
        <v>0</v>
      </c>
      <c r="AF152" s="132"/>
      <c r="AG152" s="132">
        <f>+CATEGORIAS[[#This Row],[PRESUPUESTO
FINAL
PROYECTADO]]-CATEGORIAS[[#This Row],[COSTO REAL]]-CATEGORIAS[[#This Row],[PROYECCION
TOTAL DE COSTO]]</f>
        <v>0</v>
      </c>
    </row>
    <row r="153" spans="1:33" x14ac:dyDescent="0.25">
      <c r="A153" s="274" t="str">
        <f>+IFERROR(VLOOKUP(CATEGORIAS[[#This Row],[CATEGORIA2]],[1]HOMOLOGACION!$A$1:$I$571,9,FALSE),0)</f>
        <v>0J02</v>
      </c>
      <c r="B153" s="274" t="str">
        <f>+IFERROR(VLOOKUP(CATEGORIAS[[#This Row],[CATEGORIA2]],[1]HOMOLOGACION!$A$1:$C$571,3,FALSE),0)</f>
        <v>0B08</v>
      </c>
      <c r="C153" s="274" t="str">
        <f>+IFERROR(VLOOKUP(CATEGORIAS[[#This Row],[CATEGORIA2]],[1]HOMOLOGACION!$A$1:$D$571,4,FALSE),0)</f>
        <v xml:space="preserve">Ductos </v>
      </c>
      <c r="D153" s="144" t="s">
        <v>1871</v>
      </c>
      <c r="E153" s="273" t="s">
        <v>655</v>
      </c>
      <c r="F153" s="275" t="s">
        <v>361</v>
      </c>
      <c r="G153" s="313">
        <v>0</v>
      </c>
      <c r="H153" s="313">
        <v>0</v>
      </c>
      <c r="I153" s="130">
        <v>0</v>
      </c>
      <c r="J153" s="130"/>
      <c r="K153" s="130"/>
      <c r="L153" s="143">
        <f>CATEGORIAS[[#This Row],[ADICIONALES]]+CATEGORIAS[[#This Row],[POM]]</f>
        <v>0</v>
      </c>
      <c r="M153" s="131">
        <v>0</v>
      </c>
      <c r="N153" s="227">
        <v>0</v>
      </c>
      <c r="O153" s="296">
        <f>CATEGORIAS[[#This Row],[PRODUCCION
PARTIDAS
ORIGINALES
ACTUAL]]+CATEGORIAS[[#This Row],[PRODUCCION
ADICIONALES
ACTUAL]]</f>
        <v>0</v>
      </c>
      <c r="P153" s="227">
        <v>0</v>
      </c>
      <c r="Q153" s="132">
        <v>0</v>
      </c>
      <c r="R153" s="297">
        <f>CATEGORIAS[[#This Row],[PRODUCCION
ANTERIOR]]+CATEGORIAS[[#This Row],[PRODUCCION
ADICIONALES
ANTERIOR]]</f>
        <v>0</v>
      </c>
      <c r="S153" s="133">
        <v>0</v>
      </c>
      <c r="T153" s="133"/>
      <c r="U153" s="133"/>
      <c r="V153" s="296">
        <f>SUM(CATEGORIAS[[#This Row],[COSTO
ACUMULADO  AX]:[PROVISIONES]])</f>
        <v>0</v>
      </c>
      <c r="W153" s="298">
        <v>0</v>
      </c>
      <c r="X153" s="227"/>
      <c r="Y153" s="227"/>
      <c r="Z153" s="297">
        <f>SUM(CATEGORIAS[[#This Row],[COSTO ACUMULADO
ANTERIOR]:[PROVISIONES
ANTERIOR]])</f>
        <v>0</v>
      </c>
      <c r="AA153" s="139">
        <f>CATEGORIAS[[#This Row],[PRESUPUESTO
FINAL
PROYECTADO]]-CATEGORIAS[[#This Row],[TOTAL PRODUCCION
ACTUAL]]</f>
        <v>0</v>
      </c>
      <c r="AB153" s="227">
        <v>0</v>
      </c>
      <c r="AC153" s="132"/>
      <c r="AD153" s="132"/>
      <c r="AE153" s="226">
        <f>SUM(CATEGORIAS[[#This Row],[INVENTARIO]:[PROYECCION
DE COSTO
DEL SALDO]])</f>
        <v>0</v>
      </c>
      <c r="AF153" s="132"/>
      <c r="AG153" s="132">
        <f>+CATEGORIAS[[#This Row],[PRESUPUESTO
FINAL
PROYECTADO]]-CATEGORIAS[[#This Row],[COSTO REAL]]-CATEGORIAS[[#This Row],[PROYECCION
TOTAL DE COSTO]]</f>
        <v>0</v>
      </c>
    </row>
    <row r="154" spans="1:33" x14ac:dyDescent="0.25">
      <c r="A154" s="274" t="str">
        <f>+IFERROR(VLOOKUP(CATEGORIAS[[#This Row],[CATEGORIA2]],[1]HOMOLOGACION!$A$1:$I$571,9,FALSE),0)</f>
        <v>0J02</v>
      </c>
      <c r="B154" s="274" t="str">
        <f>+IFERROR(VLOOKUP(CATEGORIAS[[#This Row],[CATEGORIA2]],[1]HOMOLOGACION!$A$1:$C$571,3,FALSE),0)</f>
        <v>0B08</v>
      </c>
      <c r="C154" s="274" t="str">
        <f>+IFERROR(VLOOKUP(CATEGORIAS[[#This Row],[CATEGORIA2]],[1]HOMOLOGACION!$A$1:$D$571,4,FALSE),0)</f>
        <v xml:space="preserve">Ductos </v>
      </c>
      <c r="D154" s="144" t="s">
        <v>1872</v>
      </c>
      <c r="E154" s="273" t="s">
        <v>657</v>
      </c>
      <c r="F154" s="275" t="s">
        <v>361</v>
      </c>
      <c r="G154" s="313">
        <v>0</v>
      </c>
      <c r="H154" s="313">
        <v>0</v>
      </c>
      <c r="I154" s="130">
        <v>0</v>
      </c>
      <c r="J154" s="130"/>
      <c r="K154" s="130"/>
      <c r="L154" s="143">
        <f>CATEGORIAS[[#This Row],[ADICIONALES]]+CATEGORIAS[[#This Row],[POM]]</f>
        <v>0</v>
      </c>
      <c r="M154" s="131">
        <v>0</v>
      </c>
      <c r="N154" s="227">
        <v>0</v>
      </c>
      <c r="O154" s="296">
        <f>CATEGORIAS[[#This Row],[PRODUCCION
PARTIDAS
ORIGINALES
ACTUAL]]+CATEGORIAS[[#This Row],[PRODUCCION
ADICIONALES
ACTUAL]]</f>
        <v>0</v>
      </c>
      <c r="P154" s="227">
        <v>0</v>
      </c>
      <c r="Q154" s="227">
        <v>0</v>
      </c>
      <c r="R154" s="297">
        <f>CATEGORIAS[[#This Row],[PRODUCCION
ANTERIOR]]+CATEGORIAS[[#This Row],[PRODUCCION
ADICIONALES
ANTERIOR]]</f>
        <v>0</v>
      </c>
      <c r="S154" s="133">
        <v>0</v>
      </c>
      <c r="T154" s="133"/>
      <c r="U154" s="133"/>
      <c r="V154" s="296">
        <f>SUM(CATEGORIAS[[#This Row],[COSTO
ACUMULADO  AX]:[PROVISIONES]])</f>
        <v>0</v>
      </c>
      <c r="W154" s="298">
        <v>0</v>
      </c>
      <c r="X154" s="227"/>
      <c r="Y154" s="227"/>
      <c r="Z154" s="297">
        <f>SUM(CATEGORIAS[[#This Row],[COSTO ACUMULADO
ANTERIOR]:[PROVISIONES
ANTERIOR]])</f>
        <v>0</v>
      </c>
      <c r="AA154" s="139">
        <f>CATEGORIAS[[#This Row],[PRESUPUESTO
FINAL
PROYECTADO]]-CATEGORIAS[[#This Row],[TOTAL PRODUCCION
ACTUAL]]</f>
        <v>0</v>
      </c>
      <c r="AB154" s="227">
        <v>0</v>
      </c>
      <c r="AC154" s="132"/>
      <c r="AD154" s="132"/>
      <c r="AE154" s="226">
        <f>SUM(CATEGORIAS[[#This Row],[INVENTARIO]:[PROYECCION
DE COSTO
DEL SALDO]])</f>
        <v>0</v>
      </c>
      <c r="AF154" s="132"/>
      <c r="AG154" s="132">
        <f>+CATEGORIAS[[#This Row],[PRESUPUESTO
FINAL
PROYECTADO]]-CATEGORIAS[[#This Row],[COSTO REAL]]-CATEGORIAS[[#This Row],[PROYECCION
TOTAL DE COSTO]]</f>
        <v>0</v>
      </c>
    </row>
    <row r="155" spans="1:33" x14ac:dyDescent="0.25">
      <c r="A155" s="274" t="str">
        <f>+IFERROR(VLOOKUP(CATEGORIAS[[#This Row],[CATEGORIA2]],[1]HOMOLOGACION!$A$1:$I$571,9,FALSE),0)</f>
        <v>0J02</v>
      </c>
      <c r="B155" s="274" t="str">
        <f>+IFERROR(VLOOKUP(CATEGORIAS[[#This Row],[CATEGORIA2]],[1]HOMOLOGACION!$A$1:$C$571,3,FALSE),0)</f>
        <v>0B08</v>
      </c>
      <c r="C155" s="274" t="str">
        <f>+IFERROR(VLOOKUP(CATEGORIAS[[#This Row],[CATEGORIA2]],[1]HOMOLOGACION!$A$1:$D$571,4,FALSE),0)</f>
        <v xml:space="preserve">Ductos </v>
      </c>
      <c r="D155" s="144" t="s">
        <v>1873</v>
      </c>
      <c r="E155" s="273" t="s">
        <v>659</v>
      </c>
      <c r="F155" s="275" t="s">
        <v>361</v>
      </c>
      <c r="G155" s="313">
        <v>0</v>
      </c>
      <c r="H155" s="313">
        <v>0</v>
      </c>
      <c r="I155" s="130">
        <v>0</v>
      </c>
      <c r="J155" s="130"/>
      <c r="K155" s="130"/>
      <c r="L155" s="143">
        <f>CATEGORIAS[[#This Row],[ADICIONALES]]+CATEGORIAS[[#This Row],[POM]]</f>
        <v>0</v>
      </c>
      <c r="M155" s="131">
        <v>0</v>
      </c>
      <c r="N155" s="227">
        <v>0</v>
      </c>
      <c r="O155" s="296">
        <f>CATEGORIAS[[#This Row],[PRODUCCION
PARTIDAS
ORIGINALES
ACTUAL]]+CATEGORIAS[[#This Row],[PRODUCCION
ADICIONALES
ACTUAL]]</f>
        <v>0</v>
      </c>
      <c r="P155" s="227">
        <v>0</v>
      </c>
      <c r="Q155" s="132">
        <v>0</v>
      </c>
      <c r="R155" s="297">
        <f>CATEGORIAS[[#This Row],[PRODUCCION
ANTERIOR]]+CATEGORIAS[[#This Row],[PRODUCCION
ADICIONALES
ANTERIOR]]</f>
        <v>0</v>
      </c>
      <c r="S155" s="133">
        <v>0</v>
      </c>
      <c r="T155" s="133"/>
      <c r="U155" s="133"/>
      <c r="V155" s="296">
        <f>SUM(CATEGORIAS[[#This Row],[COSTO
ACUMULADO  AX]:[PROVISIONES]])</f>
        <v>0</v>
      </c>
      <c r="W155" s="298">
        <v>0</v>
      </c>
      <c r="X155" s="227"/>
      <c r="Y155" s="227"/>
      <c r="Z155" s="297">
        <f>SUM(CATEGORIAS[[#This Row],[COSTO ACUMULADO
ANTERIOR]:[PROVISIONES
ANTERIOR]])</f>
        <v>0</v>
      </c>
      <c r="AA155" s="139">
        <f>CATEGORIAS[[#This Row],[PRESUPUESTO
FINAL
PROYECTADO]]-CATEGORIAS[[#This Row],[TOTAL PRODUCCION
ACTUAL]]</f>
        <v>0</v>
      </c>
      <c r="AB155" s="227">
        <v>0</v>
      </c>
      <c r="AC155" s="132"/>
      <c r="AD155" s="132"/>
      <c r="AE155" s="226">
        <f>SUM(CATEGORIAS[[#This Row],[INVENTARIO]:[PROYECCION
DE COSTO
DEL SALDO]])</f>
        <v>0</v>
      </c>
      <c r="AF155" s="132"/>
      <c r="AG155" s="132">
        <f>+CATEGORIAS[[#This Row],[PRESUPUESTO
FINAL
PROYECTADO]]-CATEGORIAS[[#This Row],[COSTO REAL]]-CATEGORIAS[[#This Row],[PROYECCION
TOTAL DE COSTO]]</f>
        <v>0</v>
      </c>
    </row>
    <row r="156" spans="1:33" x14ac:dyDescent="0.25">
      <c r="A156" s="274" t="str">
        <f>+IFERROR(VLOOKUP(CATEGORIAS[[#This Row],[CATEGORIA2]],[1]HOMOLOGACION!$A$1:$I$571,9,FALSE),0)</f>
        <v>0N02</v>
      </c>
      <c r="B156" s="274" t="str">
        <f>+IFERROR(VLOOKUP(CATEGORIAS[[#This Row],[CATEGORIA2]],[1]HOMOLOGACION!$A$1:$C$571,3,FALSE),0)</f>
        <v>0B09</v>
      </c>
      <c r="C156" s="274" t="str">
        <f>+IFERROR(VLOOKUP(CATEGORIAS[[#This Row],[CATEGORIA2]],[1]HOMOLOGACION!$A$1:$D$571,4,FALSE),0)</f>
        <v xml:space="preserve">Estanque </v>
      </c>
      <c r="D156" s="144" t="s">
        <v>1874</v>
      </c>
      <c r="E156" s="273" t="s">
        <v>661</v>
      </c>
      <c r="F156" s="275" t="s">
        <v>361</v>
      </c>
      <c r="G156" s="313">
        <v>0</v>
      </c>
      <c r="H156" s="313">
        <v>0</v>
      </c>
      <c r="I156" s="130">
        <v>0</v>
      </c>
      <c r="J156" s="130"/>
      <c r="K156" s="130"/>
      <c r="L156" s="143">
        <f>CATEGORIAS[[#This Row],[ADICIONALES]]+CATEGORIAS[[#This Row],[POM]]</f>
        <v>0</v>
      </c>
      <c r="M156" s="131">
        <v>0</v>
      </c>
      <c r="N156" s="227">
        <v>0</v>
      </c>
      <c r="O156" s="296">
        <f>CATEGORIAS[[#This Row],[PRODUCCION
PARTIDAS
ORIGINALES
ACTUAL]]+CATEGORIAS[[#This Row],[PRODUCCION
ADICIONALES
ACTUAL]]</f>
        <v>0</v>
      </c>
      <c r="P156" s="227">
        <v>0</v>
      </c>
      <c r="Q156" s="227">
        <v>0</v>
      </c>
      <c r="R156" s="297">
        <f>CATEGORIAS[[#This Row],[PRODUCCION
ANTERIOR]]+CATEGORIAS[[#This Row],[PRODUCCION
ADICIONALES
ANTERIOR]]</f>
        <v>0</v>
      </c>
      <c r="S156" s="133">
        <v>0</v>
      </c>
      <c r="T156" s="133"/>
      <c r="U156" s="133"/>
      <c r="V156" s="296">
        <f>SUM(CATEGORIAS[[#This Row],[COSTO
ACUMULADO  AX]:[PROVISIONES]])</f>
        <v>0</v>
      </c>
      <c r="W156" s="298">
        <v>0</v>
      </c>
      <c r="X156" s="227"/>
      <c r="Y156" s="227"/>
      <c r="Z156" s="297">
        <f>SUM(CATEGORIAS[[#This Row],[COSTO ACUMULADO
ANTERIOR]:[PROVISIONES
ANTERIOR]])</f>
        <v>0</v>
      </c>
      <c r="AA156" s="139">
        <f>CATEGORIAS[[#This Row],[PRESUPUESTO
FINAL
PROYECTADO]]-CATEGORIAS[[#This Row],[TOTAL PRODUCCION
ACTUAL]]</f>
        <v>0</v>
      </c>
      <c r="AB156" s="227">
        <v>0</v>
      </c>
      <c r="AC156" s="132"/>
      <c r="AD156" s="132"/>
      <c r="AE156" s="226">
        <f>SUM(CATEGORIAS[[#This Row],[INVENTARIO]:[PROYECCION
DE COSTO
DEL SALDO]])</f>
        <v>0</v>
      </c>
      <c r="AF156" s="132"/>
      <c r="AG156" s="132">
        <f>+CATEGORIAS[[#This Row],[PRESUPUESTO
FINAL
PROYECTADO]]-CATEGORIAS[[#This Row],[COSTO REAL]]-CATEGORIAS[[#This Row],[PROYECCION
TOTAL DE COSTO]]</f>
        <v>0</v>
      </c>
    </row>
    <row r="157" spans="1:33" x14ac:dyDescent="0.25">
      <c r="A157" s="274" t="str">
        <f>+IFERROR(VLOOKUP(CATEGORIAS[[#This Row],[CATEGORIA2]],[1]HOMOLOGACION!$A$1:$I$571,9,FALSE),0)</f>
        <v>0N02</v>
      </c>
      <c r="B157" s="274" t="str">
        <f>+IFERROR(VLOOKUP(CATEGORIAS[[#This Row],[CATEGORIA2]],[1]HOMOLOGACION!$A$1:$C$571,3,FALSE),0)</f>
        <v>0B09</v>
      </c>
      <c r="C157" s="274" t="str">
        <f>+IFERROR(VLOOKUP(CATEGORIAS[[#This Row],[CATEGORIA2]],[1]HOMOLOGACION!$A$1:$D$571,4,FALSE),0)</f>
        <v xml:space="preserve">Estanque </v>
      </c>
      <c r="D157" s="144" t="s">
        <v>1875</v>
      </c>
      <c r="E157" s="273" t="s">
        <v>663</v>
      </c>
      <c r="F157" s="275" t="s">
        <v>361</v>
      </c>
      <c r="G157" s="313">
        <v>0</v>
      </c>
      <c r="H157" s="313">
        <v>0</v>
      </c>
      <c r="I157" s="130">
        <v>0</v>
      </c>
      <c r="J157" s="130"/>
      <c r="K157" s="130"/>
      <c r="L157" s="143">
        <f>CATEGORIAS[[#This Row],[ADICIONALES]]+CATEGORIAS[[#This Row],[POM]]</f>
        <v>0</v>
      </c>
      <c r="M157" s="131">
        <v>0</v>
      </c>
      <c r="N157" s="227">
        <v>0</v>
      </c>
      <c r="O157" s="296">
        <f>CATEGORIAS[[#This Row],[PRODUCCION
PARTIDAS
ORIGINALES
ACTUAL]]+CATEGORIAS[[#This Row],[PRODUCCION
ADICIONALES
ACTUAL]]</f>
        <v>0</v>
      </c>
      <c r="P157" s="227">
        <v>0</v>
      </c>
      <c r="Q157" s="132">
        <v>0</v>
      </c>
      <c r="R157" s="297">
        <f>CATEGORIAS[[#This Row],[PRODUCCION
ANTERIOR]]+CATEGORIAS[[#This Row],[PRODUCCION
ADICIONALES
ANTERIOR]]</f>
        <v>0</v>
      </c>
      <c r="S157" s="133">
        <v>0</v>
      </c>
      <c r="T157" s="133"/>
      <c r="U157" s="133"/>
      <c r="V157" s="296">
        <f>SUM(CATEGORIAS[[#This Row],[COSTO
ACUMULADO  AX]:[PROVISIONES]])</f>
        <v>0</v>
      </c>
      <c r="W157" s="298">
        <v>0</v>
      </c>
      <c r="X157" s="227"/>
      <c r="Y157" s="227"/>
      <c r="Z157" s="297">
        <f>SUM(CATEGORIAS[[#This Row],[COSTO ACUMULADO
ANTERIOR]:[PROVISIONES
ANTERIOR]])</f>
        <v>0</v>
      </c>
      <c r="AA157" s="139">
        <f>CATEGORIAS[[#This Row],[PRESUPUESTO
FINAL
PROYECTADO]]-CATEGORIAS[[#This Row],[TOTAL PRODUCCION
ACTUAL]]</f>
        <v>0</v>
      </c>
      <c r="AB157" s="227">
        <v>0</v>
      </c>
      <c r="AC157" s="132"/>
      <c r="AD157" s="132"/>
      <c r="AE157" s="226">
        <f>SUM(CATEGORIAS[[#This Row],[INVENTARIO]:[PROYECCION
DE COSTO
DEL SALDO]])</f>
        <v>0</v>
      </c>
      <c r="AF157" s="132"/>
      <c r="AG157" s="132">
        <f>+CATEGORIAS[[#This Row],[PRESUPUESTO
FINAL
PROYECTADO]]-CATEGORIAS[[#This Row],[COSTO REAL]]-CATEGORIAS[[#This Row],[PROYECCION
TOTAL DE COSTO]]</f>
        <v>0</v>
      </c>
    </row>
    <row r="158" spans="1:33" x14ac:dyDescent="0.25">
      <c r="A158" s="274" t="str">
        <f>+IFERROR(VLOOKUP(CATEGORIAS[[#This Row],[CATEGORIA2]],[1]HOMOLOGACION!$A$1:$I$571,9,FALSE),0)</f>
        <v>0N02</v>
      </c>
      <c r="B158" s="274" t="str">
        <f>+IFERROR(VLOOKUP(CATEGORIAS[[#This Row],[CATEGORIA2]],[1]HOMOLOGACION!$A$1:$C$571,3,FALSE),0)</f>
        <v>0B09</v>
      </c>
      <c r="C158" s="274" t="str">
        <f>+IFERROR(VLOOKUP(CATEGORIAS[[#This Row],[CATEGORIA2]],[1]HOMOLOGACION!$A$1:$D$571,4,FALSE),0)</f>
        <v xml:space="preserve">Estanque </v>
      </c>
      <c r="D158" s="144" t="s">
        <v>1876</v>
      </c>
      <c r="E158" s="273" t="s">
        <v>665</v>
      </c>
      <c r="F158" s="275" t="s">
        <v>361</v>
      </c>
      <c r="G158" s="313">
        <v>0</v>
      </c>
      <c r="H158" s="313">
        <v>0</v>
      </c>
      <c r="I158" s="130">
        <v>0</v>
      </c>
      <c r="J158" s="130"/>
      <c r="K158" s="130"/>
      <c r="L158" s="143">
        <f>CATEGORIAS[[#This Row],[ADICIONALES]]+CATEGORIAS[[#This Row],[POM]]</f>
        <v>0</v>
      </c>
      <c r="M158" s="131">
        <v>0</v>
      </c>
      <c r="N158" s="227">
        <v>0</v>
      </c>
      <c r="O158" s="296">
        <f>CATEGORIAS[[#This Row],[PRODUCCION
PARTIDAS
ORIGINALES
ACTUAL]]+CATEGORIAS[[#This Row],[PRODUCCION
ADICIONALES
ACTUAL]]</f>
        <v>0</v>
      </c>
      <c r="P158" s="227">
        <v>0</v>
      </c>
      <c r="Q158" s="227">
        <v>0</v>
      </c>
      <c r="R158" s="297">
        <f>CATEGORIAS[[#This Row],[PRODUCCION
ANTERIOR]]+CATEGORIAS[[#This Row],[PRODUCCION
ADICIONALES
ANTERIOR]]</f>
        <v>0</v>
      </c>
      <c r="S158" s="133">
        <v>0</v>
      </c>
      <c r="T158" s="133"/>
      <c r="U158" s="133"/>
      <c r="V158" s="296">
        <f>SUM(CATEGORIAS[[#This Row],[COSTO
ACUMULADO  AX]:[PROVISIONES]])</f>
        <v>0</v>
      </c>
      <c r="W158" s="298">
        <v>0</v>
      </c>
      <c r="X158" s="227"/>
      <c r="Y158" s="227"/>
      <c r="Z158" s="297">
        <f>SUM(CATEGORIAS[[#This Row],[COSTO ACUMULADO
ANTERIOR]:[PROVISIONES
ANTERIOR]])</f>
        <v>0</v>
      </c>
      <c r="AA158" s="139">
        <f>CATEGORIAS[[#This Row],[PRESUPUESTO
FINAL
PROYECTADO]]-CATEGORIAS[[#This Row],[TOTAL PRODUCCION
ACTUAL]]</f>
        <v>0</v>
      </c>
      <c r="AB158" s="227">
        <v>0</v>
      </c>
      <c r="AC158" s="132"/>
      <c r="AD158" s="132"/>
      <c r="AE158" s="226">
        <f>SUM(CATEGORIAS[[#This Row],[INVENTARIO]:[PROYECCION
DE COSTO
DEL SALDO]])</f>
        <v>0</v>
      </c>
      <c r="AF158" s="132"/>
      <c r="AG158" s="132">
        <f>+CATEGORIAS[[#This Row],[PRESUPUESTO
FINAL
PROYECTADO]]-CATEGORIAS[[#This Row],[COSTO REAL]]-CATEGORIAS[[#This Row],[PROYECCION
TOTAL DE COSTO]]</f>
        <v>0</v>
      </c>
    </row>
    <row r="159" spans="1:33" x14ac:dyDescent="0.25">
      <c r="A159" s="274" t="str">
        <f>+IFERROR(VLOOKUP(CATEGORIAS[[#This Row],[CATEGORIA2]],[1]HOMOLOGACION!$A$1:$I$571,9,FALSE),0)</f>
        <v>0N02</v>
      </c>
      <c r="B159" s="274" t="str">
        <f>+IFERROR(VLOOKUP(CATEGORIAS[[#This Row],[CATEGORIA2]],[1]HOMOLOGACION!$A$1:$C$571,3,FALSE),0)</f>
        <v>0B09</v>
      </c>
      <c r="C159" s="274" t="str">
        <f>+IFERROR(VLOOKUP(CATEGORIAS[[#This Row],[CATEGORIA2]],[1]HOMOLOGACION!$A$1:$D$571,4,FALSE),0)</f>
        <v xml:space="preserve">Estanque </v>
      </c>
      <c r="D159" s="144" t="s">
        <v>1877</v>
      </c>
      <c r="E159" s="273" t="s">
        <v>667</v>
      </c>
      <c r="F159" s="275" t="s">
        <v>361</v>
      </c>
      <c r="G159" s="313">
        <v>0</v>
      </c>
      <c r="H159" s="313">
        <v>0</v>
      </c>
      <c r="I159" s="130">
        <v>0</v>
      </c>
      <c r="J159" s="130"/>
      <c r="K159" s="130"/>
      <c r="L159" s="143">
        <f>CATEGORIAS[[#This Row],[ADICIONALES]]+CATEGORIAS[[#This Row],[POM]]</f>
        <v>0</v>
      </c>
      <c r="M159" s="131">
        <v>0</v>
      </c>
      <c r="N159" s="227">
        <v>0</v>
      </c>
      <c r="O159" s="296">
        <f>CATEGORIAS[[#This Row],[PRODUCCION
PARTIDAS
ORIGINALES
ACTUAL]]+CATEGORIAS[[#This Row],[PRODUCCION
ADICIONALES
ACTUAL]]</f>
        <v>0</v>
      </c>
      <c r="P159" s="227">
        <v>0</v>
      </c>
      <c r="Q159" s="132">
        <v>0</v>
      </c>
      <c r="R159" s="297">
        <f>CATEGORIAS[[#This Row],[PRODUCCION
ANTERIOR]]+CATEGORIAS[[#This Row],[PRODUCCION
ADICIONALES
ANTERIOR]]</f>
        <v>0</v>
      </c>
      <c r="S159" s="133">
        <v>0</v>
      </c>
      <c r="T159" s="133"/>
      <c r="U159" s="133"/>
      <c r="V159" s="296">
        <f>SUM(CATEGORIAS[[#This Row],[COSTO
ACUMULADO  AX]:[PROVISIONES]])</f>
        <v>0</v>
      </c>
      <c r="W159" s="298">
        <v>0</v>
      </c>
      <c r="X159" s="227"/>
      <c r="Y159" s="227"/>
      <c r="Z159" s="297">
        <f>SUM(CATEGORIAS[[#This Row],[COSTO ACUMULADO
ANTERIOR]:[PROVISIONES
ANTERIOR]])</f>
        <v>0</v>
      </c>
      <c r="AA159" s="139">
        <f>CATEGORIAS[[#This Row],[PRESUPUESTO
FINAL
PROYECTADO]]-CATEGORIAS[[#This Row],[TOTAL PRODUCCION
ACTUAL]]</f>
        <v>0</v>
      </c>
      <c r="AB159" s="227">
        <v>0</v>
      </c>
      <c r="AC159" s="132"/>
      <c r="AD159" s="132"/>
      <c r="AE159" s="226">
        <f>SUM(CATEGORIAS[[#This Row],[INVENTARIO]:[PROYECCION
DE COSTO
DEL SALDO]])</f>
        <v>0</v>
      </c>
      <c r="AF159" s="132"/>
      <c r="AG159" s="132">
        <f>+CATEGORIAS[[#This Row],[PRESUPUESTO
FINAL
PROYECTADO]]-CATEGORIAS[[#This Row],[COSTO REAL]]-CATEGORIAS[[#This Row],[PROYECCION
TOTAL DE COSTO]]</f>
        <v>0</v>
      </c>
    </row>
    <row r="160" spans="1:33" x14ac:dyDescent="0.25">
      <c r="A160" s="274" t="str">
        <f>+IFERROR(VLOOKUP(CATEGORIAS[[#This Row],[CATEGORIA2]],[1]HOMOLOGACION!$A$1:$I$571,9,FALSE),0)</f>
        <v>0N02</v>
      </c>
      <c r="B160" s="274" t="str">
        <f>+IFERROR(VLOOKUP(CATEGORIAS[[#This Row],[CATEGORIA2]],[1]HOMOLOGACION!$A$1:$C$571,3,FALSE),0)</f>
        <v>0B09</v>
      </c>
      <c r="C160" s="274" t="str">
        <f>+IFERROR(VLOOKUP(CATEGORIAS[[#This Row],[CATEGORIA2]],[1]HOMOLOGACION!$A$1:$D$571,4,FALSE),0)</f>
        <v xml:space="preserve">Estanque </v>
      </c>
      <c r="D160" s="144" t="s">
        <v>1878</v>
      </c>
      <c r="E160" s="273" t="s">
        <v>669</v>
      </c>
      <c r="F160" s="275" t="s">
        <v>361</v>
      </c>
      <c r="G160" s="313">
        <v>0</v>
      </c>
      <c r="H160" s="313">
        <v>0</v>
      </c>
      <c r="I160" s="130">
        <v>0</v>
      </c>
      <c r="J160" s="130"/>
      <c r="K160" s="130"/>
      <c r="L160" s="143">
        <f>CATEGORIAS[[#This Row],[ADICIONALES]]+CATEGORIAS[[#This Row],[POM]]</f>
        <v>0</v>
      </c>
      <c r="M160" s="131">
        <v>0</v>
      </c>
      <c r="N160" s="227">
        <v>0</v>
      </c>
      <c r="O160" s="296">
        <f>CATEGORIAS[[#This Row],[PRODUCCION
PARTIDAS
ORIGINALES
ACTUAL]]+CATEGORIAS[[#This Row],[PRODUCCION
ADICIONALES
ACTUAL]]</f>
        <v>0</v>
      </c>
      <c r="P160" s="227">
        <v>0</v>
      </c>
      <c r="Q160" s="227">
        <v>0</v>
      </c>
      <c r="R160" s="297">
        <f>CATEGORIAS[[#This Row],[PRODUCCION
ANTERIOR]]+CATEGORIAS[[#This Row],[PRODUCCION
ADICIONALES
ANTERIOR]]</f>
        <v>0</v>
      </c>
      <c r="S160" s="133">
        <v>0</v>
      </c>
      <c r="T160" s="133"/>
      <c r="U160" s="133"/>
      <c r="V160" s="296">
        <f>SUM(CATEGORIAS[[#This Row],[COSTO
ACUMULADO  AX]:[PROVISIONES]])</f>
        <v>0</v>
      </c>
      <c r="W160" s="298">
        <v>0</v>
      </c>
      <c r="X160" s="227"/>
      <c r="Y160" s="227"/>
      <c r="Z160" s="297">
        <f>SUM(CATEGORIAS[[#This Row],[COSTO ACUMULADO
ANTERIOR]:[PROVISIONES
ANTERIOR]])</f>
        <v>0</v>
      </c>
      <c r="AA160" s="139">
        <f>CATEGORIAS[[#This Row],[PRESUPUESTO
FINAL
PROYECTADO]]-CATEGORIAS[[#This Row],[TOTAL PRODUCCION
ACTUAL]]</f>
        <v>0</v>
      </c>
      <c r="AB160" s="227">
        <v>0</v>
      </c>
      <c r="AC160" s="132"/>
      <c r="AD160" s="132"/>
      <c r="AE160" s="226">
        <f>SUM(CATEGORIAS[[#This Row],[INVENTARIO]:[PROYECCION
DE COSTO
DEL SALDO]])</f>
        <v>0</v>
      </c>
      <c r="AF160" s="132"/>
      <c r="AG160" s="132">
        <f>+CATEGORIAS[[#This Row],[PRESUPUESTO
FINAL
PROYECTADO]]-CATEGORIAS[[#This Row],[COSTO REAL]]-CATEGORIAS[[#This Row],[PROYECCION
TOTAL DE COSTO]]</f>
        <v>0</v>
      </c>
    </row>
    <row r="161" spans="1:33" x14ac:dyDescent="0.25">
      <c r="A161" s="274" t="str">
        <f>+IFERROR(VLOOKUP(CATEGORIAS[[#This Row],[CATEGORIA2]],[1]HOMOLOGACION!$A$1:$I$571,9,FALSE),0)</f>
        <v>0N02</v>
      </c>
      <c r="B161" s="274" t="str">
        <f>+IFERROR(VLOOKUP(CATEGORIAS[[#This Row],[CATEGORIA2]],[1]HOMOLOGACION!$A$1:$C$571,3,FALSE),0)</f>
        <v>0B09</v>
      </c>
      <c r="C161" s="274" t="str">
        <f>+IFERROR(VLOOKUP(CATEGORIAS[[#This Row],[CATEGORIA2]],[1]HOMOLOGACION!$A$1:$D$571,4,FALSE),0)</f>
        <v xml:space="preserve">Estanque </v>
      </c>
      <c r="D161" s="144" t="s">
        <v>1879</v>
      </c>
      <c r="E161" s="273" t="s">
        <v>671</v>
      </c>
      <c r="F161" s="275" t="s">
        <v>361</v>
      </c>
      <c r="G161" s="313">
        <v>0</v>
      </c>
      <c r="H161" s="313">
        <v>0</v>
      </c>
      <c r="I161" s="130">
        <v>0</v>
      </c>
      <c r="J161" s="130"/>
      <c r="K161" s="130"/>
      <c r="L161" s="143">
        <f>CATEGORIAS[[#This Row],[ADICIONALES]]+CATEGORIAS[[#This Row],[POM]]</f>
        <v>0</v>
      </c>
      <c r="M161" s="131">
        <v>0</v>
      </c>
      <c r="N161" s="227">
        <v>0</v>
      </c>
      <c r="O161" s="296">
        <f>CATEGORIAS[[#This Row],[PRODUCCION
PARTIDAS
ORIGINALES
ACTUAL]]+CATEGORIAS[[#This Row],[PRODUCCION
ADICIONALES
ACTUAL]]</f>
        <v>0</v>
      </c>
      <c r="P161" s="227">
        <v>0</v>
      </c>
      <c r="Q161" s="132">
        <v>0</v>
      </c>
      <c r="R161" s="297">
        <f>CATEGORIAS[[#This Row],[PRODUCCION
ANTERIOR]]+CATEGORIAS[[#This Row],[PRODUCCION
ADICIONALES
ANTERIOR]]</f>
        <v>0</v>
      </c>
      <c r="S161" s="133">
        <v>0</v>
      </c>
      <c r="T161" s="133"/>
      <c r="U161" s="133"/>
      <c r="V161" s="296">
        <f>SUM(CATEGORIAS[[#This Row],[COSTO
ACUMULADO  AX]:[PROVISIONES]])</f>
        <v>0</v>
      </c>
      <c r="W161" s="298">
        <v>0</v>
      </c>
      <c r="X161" s="227"/>
      <c r="Y161" s="227"/>
      <c r="Z161" s="297">
        <f>SUM(CATEGORIAS[[#This Row],[COSTO ACUMULADO
ANTERIOR]:[PROVISIONES
ANTERIOR]])</f>
        <v>0</v>
      </c>
      <c r="AA161" s="139">
        <f>CATEGORIAS[[#This Row],[PRESUPUESTO
FINAL
PROYECTADO]]-CATEGORIAS[[#This Row],[TOTAL PRODUCCION
ACTUAL]]</f>
        <v>0</v>
      </c>
      <c r="AB161" s="227">
        <v>0</v>
      </c>
      <c r="AC161" s="132"/>
      <c r="AD161" s="132"/>
      <c r="AE161" s="226">
        <f>SUM(CATEGORIAS[[#This Row],[INVENTARIO]:[PROYECCION
DE COSTO
DEL SALDO]])</f>
        <v>0</v>
      </c>
      <c r="AF161" s="132"/>
      <c r="AG161" s="132">
        <f>+CATEGORIAS[[#This Row],[PRESUPUESTO
FINAL
PROYECTADO]]-CATEGORIAS[[#This Row],[COSTO REAL]]-CATEGORIAS[[#This Row],[PROYECCION
TOTAL DE COSTO]]</f>
        <v>0</v>
      </c>
    </row>
    <row r="162" spans="1:33" x14ac:dyDescent="0.25">
      <c r="A162" s="274" t="str">
        <f>+IFERROR(VLOOKUP(CATEGORIAS[[#This Row],[CATEGORIA2]],[1]HOMOLOGACION!$A$1:$I$571,9,FALSE),0)</f>
        <v>0N02</v>
      </c>
      <c r="B162" s="274" t="str">
        <f>+IFERROR(VLOOKUP(CATEGORIAS[[#This Row],[CATEGORIA2]],[1]HOMOLOGACION!$A$1:$C$571,3,FALSE),0)</f>
        <v>0B09</v>
      </c>
      <c r="C162" s="274" t="str">
        <f>+IFERROR(VLOOKUP(CATEGORIAS[[#This Row],[CATEGORIA2]],[1]HOMOLOGACION!$A$1:$D$571,4,FALSE),0)</f>
        <v xml:space="preserve">Estanque </v>
      </c>
      <c r="D162" s="144" t="s">
        <v>1880</v>
      </c>
      <c r="E162" s="273" t="s">
        <v>673</v>
      </c>
      <c r="F162" s="275" t="s">
        <v>361</v>
      </c>
      <c r="G162" s="313">
        <v>0</v>
      </c>
      <c r="H162" s="313">
        <v>0</v>
      </c>
      <c r="I162" s="130">
        <v>0</v>
      </c>
      <c r="J162" s="130"/>
      <c r="K162" s="130"/>
      <c r="L162" s="143">
        <f>CATEGORIAS[[#This Row],[ADICIONALES]]+CATEGORIAS[[#This Row],[POM]]</f>
        <v>0</v>
      </c>
      <c r="M162" s="131">
        <v>0</v>
      </c>
      <c r="N162" s="227">
        <v>0</v>
      </c>
      <c r="O162" s="296">
        <f>CATEGORIAS[[#This Row],[PRODUCCION
PARTIDAS
ORIGINALES
ACTUAL]]+CATEGORIAS[[#This Row],[PRODUCCION
ADICIONALES
ACTUAL]]</f>
        <v>0</v>
      </c>
      <c r="P162" s="227">
        <v>0</v>
      </c>
      <c r="Q162" s="227">
        <v>0</v>
      </c>
      <c r="R162" s="297">
        <f>CATEGORIAS[[#This Row],[PRODUCCION
ANTERIOR]]+CATEGORIAS[[#This Row],[PRODUCCION
ADICIONALES
ANTERIOR]]</f>
        <v>0</v>
      </c>
      <c r="S162" s="133">
        <v>0</v>
      </c>
      <c r="T162" s="133"/>
      <c r="U162" s="133"/>
      <c r="V162" s="296">
        <f>SUM(CATEGORIAS[[#This Row],[COSTO
ACUMULADO  AX]:[PROVISIONES]])</f>
        <v>0</v>
      </c>
      <c r="W162" s="298">
        <v>0</v>
      </c>
      <c r="X162" s="227"/>
      <c r="Y162" s="227"/>
      <c r="Z162" s="297">
        <f>SUM(CATEGORIAS[[#This Row],[COSTO ACUMULADO
ANTERIOR]:[PROVISIONES
ANTERIOR]])</f>
        <v>0</v>
      </c>
      <c r="AA162" s="139">
        <f>CATEGORIAS[[#This Row],[PRESUPUESTO
FINAL
PROYECTADO]]-CATEGORIAS[[#This Row],[TOTAL PRODUCCION
ACTUAL]]</f>
        <v>0</v>
      </c>
      <c r="AB162" s="227">
        <v>0</v>
      </c>
      <c r="AC162" s="132"/>
      <c r="AD162" s="132"/>
      <c r="AE162" s="226">
        <f>SUM(CATEGORIAS[[#This Row],[INVENTARIO]:[PROYECCION
DE COSTO
DEL SALDO]])</f>
        <v>0</v>
      </c>
      <c r="AF162" s="132"/>
      <c r="AG162" s="132">
        <f>+CATEGORIAS[[#This Row],[PRESUPUESTO
FINAL
PROYECTADO]]-CATEGORIAS[[#This Row],[COSTO REAL]]-CATEGORIAS[[#This Row],[PROYECCION
TOTAL DE COSTO]]</f>
        <v>0</v>
      </c>
    </row>
    <row r="163" spans="1:33" x14ac:dyDescent="0.25">
      <c r="A163" s="274" t="str">
        <f>+IFERROR(VLOOKUP(CATEGORIAS[[#This Row],[CATEGORIA2]],[1]HOMOLOGACION!$A$1:$I$571,9,FALSE),0)</f>
        <v>0N02</v>
      </c>
      <c r="B163" s="274" t="str">
        <f>+IFERROR(VLOOKUP(CATEGORIAS[[#This Row],[CATEGORIA2]],[1]HOMOLOGACION!$A$1:$C$571,3,FALSE),0)</f>
        <v>0B09</v>
      </c>
      <c r="C163" s="274" t="str">
        <f>+IFERROR(VLOOKUP(CATEGORIAS[[#This Row],[CATEGORIA2]],[1]HOMOLOGACION!$A$1:$D$571,4,FALSE),0)</f>
        <v xml:space="preserve">Estanque </v>
      </c>
      <c r="D163" s="144" t="s">
        <v>1881</v>
      </c>
      <c r="E163" s="273" t="s">
        <v>675</v>
      </c>
      <c r="F163" s="275" t="s">
        <v>361</v>
      </c>
      <c r="G163" s="313">
        <v>0</v>
      </c>
      <c r="H163" s="313">
        <v>0</v>
      </c>
      <c r="I163" s="130">
        <v>0</v>
      </c>
      <c r="J163" s="130"/>
      <c r="K163" s="130"/>
      <c r="L163" s="143">
        <f>CATEGORIAS[[#This Row],[ADICIONALES]]+CATEGORIAS[[#This Row],[POM]]</f>
        <v>0</v>
      </c>
      <c r="M163" s="131">
        <v>0</v>
      </c>
      <c r="N163" s="227">
        <v>0</v>
      </c>
      <c r="O163" s="296">
        <f>CATEGORIAS[[#This Row],[PRODUCCION
PARTIDAS
ORIGINALES
ACTUAL]]+CATEGORIAS[[#This Row],[PRODUCCION
ADICIONALES
ACTUAL]]</f>
        <v>0</v>
      </c>
      <c r="P163" s="227">
        <v>0</v>
      </c>
      <c r="Q163" s="132">
        <v>0</v>
      </c>
      <c r="R163" s="297">
        <f>CATEGORIAS[[#This Row],[PRODUCCION
ANTERIOR]]+CATEGORIAS[[#This Row],[PRODUCCION
ADICIONALES
ANTERIOR]]</f>
        <v>0</v>
      </c>
      <c r="S163" s="133">
        <v>0</v>
      </c>
      <c r="T163" s="133"/>
      <c r="U163" s="133"/>
      <c r="V163" s="296">
        <f>SUM(CATEGORIAS[[#This Row],[COSTO
ACUMULADO  AX]:[PROVISIONES]])</f>
        <v>0</v>
      </c>
      <c r="W163" s="298">
        <v>0</v>
      </c>
      <c r="X163" s="227"/>
      <c r="Y163" s="227"/>
      <c r="Z163" s="297">
        <f>SUM(CATEGORIAS[[#This Row],[COSTO ACUMULADO
ANTERIOR]:[PROVISIONES
ANTERIOR]])</f>
        <v>0</v>
      </c>
      <c r="AA163" s="139">
        <f>CATEGORIAS[[#This Row],[PRESUPUESTO
FINAL
PROYECTADO]]-CATEGORIAS[[#This Row],[TOTAL PRODUCCION
ACTUAL]]</f>
        <v>0</v>
      </c>
      <c r="AB163" s="227">
        <v>0</v>
      </c>
      <c r="AC163" s="132"/>
      <c r="AD163" s="132"/>
      <c r="AE163" s="226">
        <f>SUM(CATEGORIAS[[#This Row],[INVENTARIO]:[PROYECCION
DE COSTO
DEL SALDO]])</f>
        <v>0</v>
      </c>
      <c r="AF163" s="132"/>
      <c r="AG163" s="132">
        <f>+CATEGORIAS[[#This Row],[PRESUPUESTO
FINAL
PROYECTADO]]-CATEGORIAS[[#This Row],[COSTO REAL]]-CATEGORIAS[[#This Row],[PROYECCION
TOTAL DE COSTO]]</f>
        <v>0</v>
      </c>
    </row>
    <row r="164" spans="1:33" x14ac:dyDescent="0.25">
      <c r="A164" s="274" t="str">
        <f>+IFERROR(VLOOKUP(CATEGORIAS[[#This Row],[CATEGORIA2]],[1]HOMOLOGACION!$A$1:$I$571,9,FALSE),0)</f>
        <v>0Q04</v>
      </c>
      <c r="B164" s="274" t="str">
        <f>+IFERROR(VLOOKUP(CATEGORIAS[[#This Row],[CATEGORIA2]],[1]HOMOLOGACION!$A$1:$C$571,3,FALSE),0)</f>
        <v>0B11</v>
      </c>
      <c r="C164" s="274" t="str">
        <f>+IFERROR(VLOOKUP(CATEGORIAS[[#This Row],[CATEGORIA2]],[1]HOMOLOGACION!$A$1:$D$571,4,FALSE),0)</f>
        <v>Importaciones</v>
      </c>
      <c r="D164" s="144" t="s">
        <v>1882</v>
      </c>
      <c r="E164" s="273" t="s">
        <v>677</v>
      </c>
      <c r="F164" s="275" t="s">
        <v>361</v>
      </c>
      <c r="G164" s="313">
        <v>0</v>
      </c>
      <c r="H164" s="313">
        <v>0</v>
      </c>
      <c r="I164" s="130">
        <v>0</v>
      </c>
      <c r="J164" s="130"/>
      <c r="K164" s="130"/>
      <c r="L164" s="143">
        <f>CATEGORIAS[[#This Row],[ADICIONALES]]+CATEGORIAS[[#This Row],[POM]]</f>
        <v>0</v>
      </c>
      <c r="M164" s="131">
        <v>0</v>
      </c>
      <c r="N164" s="227">
        <v>0</v>
      </c>
      <c r="O164" s="296">
        <f>CATEGORIAS[[#This Row],[PRODUCCION
PARTIDAS
ORIGINALES
ACTUAL]]+CATEGORIAS[[#This Row],[PRODUCCION
ADICIONALES
ACTUAL]]</f>
        <v>0</v>
      </c>
      <c r="P164" s="227">
        <v>0</v>
      </c>
      <c r="Q164" s="227">
        <v>0</v>
      </c>
      <c r="R164" s="297">
        <f>CATEGORIAS[[#This Row],[PRODUCCION
ANTERIOR]]+CATEGORIAS[[#This Row],[PRODUCCION
ADICIONALES
ANTERIOR]]</f>
        <v>0</v>
      </c>
      <c r="S164" s="133">
        <v>0</v>
      </c>
      <c r="T164" s="133"/>
      <c r="U164" s="133"/>
      <c r="V164" s="296">
        <f>SUM(CATEGORIAS[[#This Row],[COSTO
ACUMULADO  AX]:[PROVISIONES]])</f>
        <v>0</v>
      </c>
      <c r="W164" s="298">
        <v>0</v>
      </c>
      <c r="X164" s="227"/>
      <c r="Y164" s="227"/>
      <c r="Z164" s="297">
        <f>SUM(CATEGORIAS[[#This Row],[COSTO ACUMULADO
ANTERIOR]:[PROVISIONES
ANTERIOR]])</f>
        <v>0</v>
      </c>
      <c r="AA164" s="139">
        <f>CATEGORIAS[[#This Row],[PRESUPUESTO
FINAL
PROYECTADO]]-CATEGORIAS[[#This Row],[TOTAL PRODUCCION
ACTUAL]]</f>
        <v>0</v>
      </c>
      <c r="AB164" s="227">
        <v>0</v>
      </c>
      <c r="AC164" s="132"/>
      <c r="AD164" s="132"/>
      <c r="AE164" s="226">
        <f>SUM(CATEGORIAS[[#This Row],[INVENTARIO]:[PROYECCION
DE COSTO
DEL SALDO]])</f>
        <v>0</v>
      </c>
      <c r="AF164" s="132"/>
      <c r="AG164" s="132">
        <f>+CATEGORIAS[[#This Row],[PRESUPUESTO
FINAL
PROYECTADO]]-CATEGORIAS[[#This Row],[COSTO REAL]]-CATEGORIAS[[#This Row],[PROYECCION
TOTAL DE COSTO]]</f>
        <v>0</v>
      </c>
    </row>
    <row r="165" spans="1:33" x14ac:dyDescent="0.25">
      <c r="A165" s="274" t="str">
        <f>+IFERROR(VLOOKUP(CATEGORIAS[[#This Row],[CATEGORIA2]],[1]HOMOLOGACION!$A$1:$I$571,9,FALSE),0)</f>
        <v>0Q04</v>
      </c>
      <c r="B165" s="274" t="str">
        <f>+IFERROR(VLOOKUP(CATEGORIAS[[#This Row],[CATEGORIA2]],[1]HOMOLOGACION!$A$1:$C$571,3,FALSE),0)</f>
        <v>0B11</v>
      </c>
      <c r="C165" s="274" t="str">
        <f>+IFERROR(VLOOKUP(CATEGORIAS[[#This Row],[CATEGORIA2]],[1]HOMOLOGACION!$A$1:$D$571,4,FALSE),0)</f>
        <v>Importaciones</v>
      </c>
      <c r="D165" s="144" t="s">
        <v>1883</v>
      </c>
      <c r="E165" s="273" t="s">
        <v>679</v>
      </c>
      <c r="F165" s="275" t="s">
        <v>361</v>
      </c>
      <c r="G165" s="313">
        <v>0</v>
      </c>
      <c r="H165" s="313">
        <v>0</v>
      </c>
      <c r="I165" s="130">
        <v>0</v>
      </c>
      <c r="J165" s="130"/>
      <c r="K165" s="130"/>
      <c r="L165" s="143">
        <f>CATEGORIAS[[#This Row],[ADICIONALES]]+CATEGORIAS[[#This Row],[POM]]</f>
        <v>0</v>
      </c>
      <c r="M165" s="131">
        <v>0</v>
      </c>
      <c r="N165" s="227">
        <v>0</v>
      </c>
      <c r="O165" s="296">
        <f>CATEGORIAS[[#This Row],[PRODUCCION
PARTIDAS
ORIGINALES
ACTUAL]]+CATEGORIAS[[#This Row],[PRODUCCION
ADICIONALES
ACTUAL]]</f>
        <v>0</v>
      </c>
      <c r="P165" s="227">
        <v>0</v>
      </c>
      <c r="Q165" s="132">
        <v>0</v>
      </c>
      <c r="R165" s="297">
        <f>CATEGORIAS[[#This Row],[PRODUCCION
ANTERIOR]]+CATEGORIAS[[#This Row],[PRODUCCION
ADICIONALES
ANTERIOR]]</f>
        <v>0</v>
      </c>
      <c r="S165" s="133">
        <v>0</v>
      </c>
      <c r="T165" s="133"/>
      <c r="U165" s="133"/>
      <c r="V165" s="296">
        <f>SUM(CATEGORIAS[[#This Row],[COSTO
ACUMULADO  AX]:[PROVISIONES]])</f>
        <v>0</v>
      </c>
      <c r="W165" s="298">
        <v>0</v>
      </c>
      <c r="X165" s="227"/>
      <c r="Y165" s="227"/>
      <c r="Z165" s="297">
        <f>SUM(CATEGORIAS[[#This Row],[COSTO ACUMULADO
ANTERIOR]:[PROVISIONES
ANTERIOR]])</f>
        <v>0</v>
      </c>
      <c r="AA165" s="139">
        <f>CATEGORIAS[[#This Row],[PRESUPUESTO
FINAL
PROYECTADO]]-CATEGORIAS[[#This Row],[TOTAL PRODUCCION
ACTUAL]]</f>
        <v>0</v>
      </c>
      <c r="AB165" s="227">
        <v>0</v>
      </c>
      <c r="AC165" s="132"/>
      <c r="AD165" s="132"/>
      <c r="AE165" s="226">
        <f>SUM(CATEGORIAS[[#This Row],[INVENTARIO]:[PROYECCION
DE COSTO
DEL SALDO]])</f>
        <v>0</v>
      </c>
      <c r="AF165" s="132"/>
      <c r="AG165" s="132">
        <f>+CATEGORIAS[[#This Row],[PRESUPUESTO
FINAL
PROYECTADO]]-CATEGORIAS[[#This Row],[COSTO REAL]]-CATEGORIAS[[#This Row],[PROYECCION
TOTAL DE COSTO]]</f>
        <v>0</v>
      </c>
    </row>
    <row r="166" spans="1:33" x14ac:dyDescent="0.25">
      <c r="A166" s="274">
        <f>+IFERROR(VLOOKUP(CATEGORIAS[[#This Row],[CATEGORIA2]],[1]HOMOLOGACION!$A$1:$I$571,9,FALSE),0)</f>
        <v>0</v>
      </c>
      <c r="B166" s="274">
        <f>+IFERROR(VLOOKUP(CATEGORIAS[[#This Row],[CATEGORIA2]],[1]HOMOLOGACION!$A$1:$C$571,3,FALSE),0)</f>
        <v>0</v>
      </c>
      <c r="C166" s="274">
        <f>+IFERROR(VLOOKUP(CATEGORIAS[[#This Row],[CATEGORIA2]],[1]HOMOLOGACION!$A$1:$D$571,4,FALSE),0)</f>
        <v>0</v>
      </c>
      <c r="D166" s="144" t="s">
        <v>1884</v>
      </c>
      <c r="E166" s="273" t="s">
        <v>681</v>
      </c>
      <c r="F166" s="275" t="s">
        <v>361</v>
      </c>
      <c r="G166" s="313">
        <v>0</v>
      </c>
      <c r="H166" s="313">
        <v>0</v>
      </c>
      <c r="I166" s="130">
        <v>0</v>
      </c>
      <c r="J166" s="130"/>
      <c r="K166" s="130"/>
      <c r="L166" s="143">
        <f>CATEGORIAS[[#This Row],[ADICIONALES]]+CATEGORIAS[[#This Row],[POM]]</f>
        <v>0</v>
      </c>
      <c r="M166" s="131">
        <v>0</v>
      </c>
      <c r="N166" s="227">
        <v>0</v>
      </c>
      <c r="O166" s="296">
        <f>CATEGORIAS[[#This Row],[PRODUCCION
PARTIDAS
ORIGINALES
ACTUAL]]+CATEGORIAS[[#This Row],[PRODUCCION
ADICIONALES
ACTUAL]]</f>
        <v>0</v>
      </c>
      <c r="P166" s="227">
        <v>0</v>
      </c>
      <c r="Q166" s="227">
        <v>0</v>
      </c>
      <c r="R166" s="297">
        <f>CATEGORIAS[[#This Row],[PRODUCCION
ANTERIOR]]+CATEGORIAS[[#This Row],[PRODUCCION
ADICIONALES
ANTERIOR]]</f>
        <v>0</v>
      </c>
      <c r="S166" s="133">
        <v>0</v>
      </c>
      <c r="T166" s="133"/>
      <c r="U166" s="133"/>
      <c r="V166" s="296">
        <f>SUM(CATEGORIAS[[#This Row],[COSTO
ACUMULADO  AX]:[PROVISIONES]])</f>
        <v>0</v>
      </c>
      <c r="W166" s="298">
        <v>0</v>
      </c>
      <c r="X166" s="227"/>
      <c r="Y166" s="227"/>
      <c r="Z166" s="297">
        <f>SUM(CATEGORIAS[[#This Row],[COSTO ACUMULADO
ANTERIOR]:[PROVISIONES
ANTERIOR]])</f>
        <v>0</v>
      </c>
      <c r="AA166" s="139">
        <f>CATEGORIAS[[#This Row],[PRESUPUESTO
FINAL
PROYECTADO]]-CATEGORIAS[[#This Row],[TOTAL PRODUCCION
ACTUAL]]</f>
        <v>0</v>
      </c>
      <c r="AB166" s="227">
        <v>0</v>
      </c>
      <c r="AC166" s="132"/>
      <c r="AD166" s="132"/>
      <c r="AE166" s="226">
        <f>SUM(CATEGORIAS[[#This Row],[INVENTARIO]:[PROYECCION
DE COSTO
DEL SALDO]])</f>
        <v>0</v>
      </c>
      <c r="AF166" s="132"/>
      <c r="AG166" s="132">
        <f>+CATEGORIAS[[#This Row],[PRESUPUESTO
FINAL
PROYECTADO]]-CATEGORIAS[[#This Row],[COSTO REAL]]-CATEGORIAS[[#This Row],[PROYECCION
TOTAL DE COSTO]]</f>
        <v>0</v>
      </c>
    </row>
    <row r="167" spans="1:33" x14ac:dyDescent="0.25">
      <c r="A167" s="274">
        <f>+IFERROR(VLOOKUP(CATEGORIAS[[#This Row],[CATEGORIA2]],[1]HOMOLOGACION!$A$1:$I$571,9,FALSE),0)</f>
        <v>0</v>
      </c>
      <c r="B167" s="274">
        <f>+IFERROR(VLOOKUP(CATEGORIAS[[#This Row],[CATEGORIA2]],[1]HOMOLOGACION!$A$1:$C$571,3,FALSE),0)</f>
        <v>0</v>
      </c>
      <c r="C167" s="274">
        <f>+IFERROR(VLOOKUP(CATEGORIAS[[#This Row],[CATEGORIA2]],[1]HOMOLOGACION!$A$1:$D$571,4,FALSE),0)</f>
        <v>0</v>
      </c>
      <c r="D167" s="144" t="s">
        <v>1885</v>
      </c>
      <c r="E167" s="273" t="s">
        <v>683</v>
      </c>
      <c r="F167" s="275" t="s">
        <v>361</v>
      </c>
      <c r="G167" s="313">
        <v>0</v>
      </c>
      <c r="H167" s="313">
        <v>0</v>
      </c>
      <c r="I167" s="130">
        <v>0</v>
      </c>
      <c r="J167" s="130"/>
      <c r="K167" s="130"/>
      <c r="L167" s="143">
        <f>CATEGORIAS[[#This Row],[ADICIONALES]]+CATEGORIAS[[#This Row],[POM]]</f>
        <v>0</v>
      </c>
      <c r="M167" s="131">
        <v>0</v>
      </c>
      <c r="N167" s="227">
        <v>0</v>
      </c>
      <c r="O167" s="296">
        <f>CATEGORIAS[[#This Row],[PRODUCCION
PARTIDAS
ORIGINALES
ACTUAL]]+CATEGORIAS[[#This Row],[PRODUCCION
ADICIONALES
ACTUAL]]</f>
        <v>0</v>
      </c>
      <c r="P167" s="227">
        <v>0</v>
      </c>
      <c r="Q167" s="132">
        <v>0</v>
      </c>
      <c r="R167" s="297">
        <f>CATEGORIAS[[#This Row],[PRODUCCION
ANTERIOR]]+CATEGORIAS[[#This Row],[PRODUCCION
ADICIONALES
ANTERIOR]]</f>
        <v>0</v>
      </c>
      <c r="S167" s="133">
        <v>0</v>
      </c>
      <c r="T167" s="133"/>
      <c r="U167" s="133"/>
      <c r="V167" s="296">
        <f>SUM(CATEGORIAS[[#This Row],[COSTO
ACUMULADO  AX]:[PROVISIONES]])</f>
        <v>0</v>
      </c>
      <c r="W167" s="298">
        <v>0</v>
      </c>
      <c r="X167" s="227"/>
      <c r="Y167" s="227"/>
      <c r="Z167" s="297">
        <f>SUM(CATEGORIAS[[#This Row],[COSTO ACUMULADO
ANTERIOR]:[PROVISIONES
ANTERIOR]])</f>
        <v>0</v>
      </c>
      <c r="AA167" s="139">
        <f>CATEGORIAS[[#This Row],[PRESUPUESTO
FINAL
PROYECTADO]]-CATEGORIAS[[#This Row],[TOTAL PRODUCCION
ACTUAL]]</f>
        <v>0</v>
      </c>
      <c r="AB167" s="227">
        <v>0</v>
      </c>
      <c r="AC167" s="132"/>
      <c r="AD167" s="132"/>
      <c r="AE167" s="226">
        <f>SUM(CATEGORIAS[[#This Row],[INVENTARIO]:[PROYECCION
DE COSTO
DEL SALDO]])</f>
        <v>0</v>
      </c>
      <c r="AF167" s="132"/>
      <c r="AG167" s="132">
        <f>+CATEGORIAS[[#This Row],[PRESUPUESTO
FINAL
PROYECTADO]]-CATEGORIAS[[#This Row],[COSTO REAL]]-CATEGORIAS[[#This Row],[PROYECCION
TOTAL DE COSTO]]</f>
        <v>0</v>
      </c>
    </row>
    <row r="168" spans="1:33" x14ac:dyDescent="0.25">
      <c r="A168" s="274">
        <f>+IFERROR(VLOOKUP(CATEGORIAS[[#This Row],[CATEGORIA2]],[1]HOMOLOGACION!$A$1:$I$571,9,FALSE),0)</f>
        <v>0</v>
      </c>
      <c r="B168" s="274">
        <f>+IFERROR(VLOOKUP(CATEGORIAS[[#This Row],[CATEGORIA2]],[1]HOMOLOGACION!$A$1:$C$571,3,FALSE),0)</f>
        <v>0</v>
      </c>
      <c r="C168" s="274">
        <f>+IFERROR(VLOOKUP(CATEGORIAS[[#This Row],[CATEGORIA2]],[1]HOMOLOGACION!$A$1:$D$571,4,FALSE),0)</f>
        <v>0</v>
      </c>
      <c r="D168" s="144" t="s">
        <v>1886</v>
      </c>
      <c r="E168" s="273" t="s">
        <v>685</v>
      </c>
      <c r="F168" s="275" t="s">
        <v>361</v>
      </c>
      <c r="G168" s="313">
        <v>0</v>
      </c>
      <c r="H168" s="313">
        <v>0</v>
      </c>
      <c r="I168" s="130">
        <v>0</v>
      </c>
      <c r="J168" s="130"/>
      <c r="K168" s="130"/>
      <c r="L168" s="143">
        <f>CATEGORIAS[[#This Row],[ADICIONALES]]+CATEGORIAS[[#This Row],[POM]]</f>
        <v>0</v>
      </c>
      <c r="M168" s="131">
        <v>0</v>
      </c>
      <c r="N168" s="227">
        <v>0</v>
      </c>
      <c r="O168" s="296">
        <f>CATEGORIAS[[#This Row],[PRODUCCION
PARTIDAS
ORIGINALES
ACTUAL]]+CATEGORIAS[[#This Row],[PRODUCCION
ADICIONALES
ACTUAL]]</f>
        <v>0</v>
      </c>
      <c r="P168" s="227">
        <v>0</v>
      </c>
      <c r="Q168" s="227">
        <v>0</v>
      </c>
      <c r="R168" s="297">
        <f>CATEGORIAS[[#This Row],[PRODUCCION
ANTERIOR]]+CATEGORIAS[[#This Row],[PRODUCCION
ADICIONALES
ANTERIOR]]</f>
        <v>0</v>
      </c>
      <c r="S168" s="133">
        <v>0</v>
      </c>
      <c r="T168" s="133"/>
      <c r="U168" s="133"/>
      <c r="V168" s="296">
        <f>SUM(CATEGORIAS[[#This Row],[COSTO
ACUMULADO  AX]:[PROVISIONES]])</f>
        <v>0</v>
      </c>
      <c r="W168" s="298">
        <v>0</v>
      </c>
      <c r="X168" s="227"/>
      <c r="Y168" s="227"/>
      <c r="Z168" s="297">
        <f>SUM(CATEGORIAS[[#This Row],[COSTO ACUMULADO
ANTERIOR]:[PROVISIONES
ANTERIOR]])</f>
        <v>0</v>
      </c>
      <c r="AA168" s="139">
        <f>CATEGORIAS[[#This Row],[PRESUPUESTO
FINAL
PROYECTADO]]-CATEGORIAS[[#This Row],[TOTAL PRODUCCION
ACTUAL]]</f>
        <v>0</v>
      </c>
      <c r="AB168" s="227">
        <v>0</v>
      </c>
      <c r="AC168" s="132"/>
      <c r="AD168" s="132"/>
      <c r="AE168" s="226">
        <f>SUM(CATEGORIAS[[#This Row],[INVENTARIO]:[PROYECCION
DE COSTO
DEL SALDO]])</f>
        <v>0</v>
      </c>
      <c r="AF168" s="132"/>
      <c r="AG168" s="132">
        <f>+CATEGORIAS[[#This Row],[PRESUPUESTO
FINAL
PROYECTADO]]-CATEGORIAS[[#This Row],[COSTO REAL]]-CATEGORIAS[[#This Row],[PROYECCION
TOTAL DE COSTO]]</f>
        <v>0</v>
      </c>
    </row>
    <row r="169" spans="1:33" x14ac:dyDescent="0.25">
      <c r="A169" s="274">
        <f>+IFERROR(VLOOKUP(CATEGORIAS[[#This Row],[CATEGORIA2]],[1]HOMOLOGACION!$A$1:$I$571,9,FALSE),0)</f>
        <v>0</v>
      </c>
      <c r="B169" s="274">
        <f>+IFERROR(VLOOKUP(CATEGORIAS[[#This Row],[CATEGORIA2]],[1]HOMOLOGACION!$A$1:$C$571,3,FALSE),0)</f>
        <v>0</v>
      </c>
      <c r="C169" s="274">
        <f>+IFERROR(VLOOKUP(CATEGORIAS[[#This Row],[CATEGORIA2]],[1]HOMOLOGACION!$A$1:$D$571,4,FALSE),0)</f>
        <v>0</v>
      </c>
      <c r="D169" s="144" t="s">
        <v>1887</v>
      </c>
      <c r="E169" s="273" t="s">
        <v>685</v>
      </c>
      <c r="F169" s="275" t="s">
        <v>361</v>
      </c>
      <c r="G169" s="313">
        <v>0</v>
      </c>
      <c r="H169" s="313">
        <v>0</v>
      </c>
      <c r="I169" s="130">
        <v>0</v>
      </c>
      <c r="J169" s="130"/>
      <c r="K169" s="130"/>
      <c r="L169" s="143">
        <f>CATEGORIAS[[#This Row],[ADICIONALES]]+CATEGORIAS[[#This Row],[POM]]</f>
        <v>0</v>
      </c>
      <c r="M169" s="131">
        <v>0</v>
      </c>
      <c r="N169" s="227">
        <v>0</v>
      </c>
      <c r="O169" s="296">
        <f>CATEGORIAS[[#This Row],[PRODUCCION
PARTIDAS
ORIGINALES
ACTUAL]]+CATEGORIAS[[#This Row],[PRODUCCION
ADICIONALES
ACTUAL]]</f>
        <v>0</v>
      </c>
      <c r="P169" s="227">
        <v>0</v>
      </c>
      <c r="Q169" s="132">
        <v>0</v>
      </c>
      <c r="R169" s="297">
        <f>CATEGORIAS[[#This Row],[PRODUCCION
ANTERIOR]]+CATEGORIAS[[#This Row],[PRODUCCION
ADICIONALES
ANTERIOR]]</f>
        <v>0</v>
      </c>
      <c r="S169" s="133">
        <v>0</v>
      </c>
      <c r="T169" s="133"/>
      <c r="U169" s="133"/>
      <c r="V169" s="296">
        <f>SUM(CATEGORIAS[[#This Row],[COSTO
ACUMULADO  AX]:[PROVISIONES]])</f>
        <v>0</v>
      </c>
      <c r="W169" s="298">
        <v>0</v>
      </c>
      <c r="X169" s="227"/>
      <c r="Y169" s="227"/>
      <c r="Z169" s="297">
        <f>SUM(CATEGORIAS[[#This Row],[COSTO ACUMULADO
ANTERIOR]:[PROVISIONES
ANTERIOR]])</f>
        <v>0</v>
      </c>
      <c r="AA169" s="139">
        <f>CATEGORIAS[[#This Row],[PRESUPUESTO
FINAL
PROYECTADO]]-CATEGORIAS[[#This Row],[TOTAL PRODUCCION
ACTUAL]]</f>
        <v>0</v>
      </c>
      <c r="AB169" s="227">
        <v>0</v>
      </c>
      <c r="AC169" s="132"/>
      <c r="AD169" s="132"/>
      <c r="AE169" s="226">
        <f>SUM(CATEGORIAS[[#This Row],[INVENTARIO]:[PROYECCION
DE COSTO
DEL SALDO]])</f>
        <v>0</v>
      </c>
      <c r="AF169" s="132"/>
      <c r="AG169" s="132">
        <f>+CATEGORIAS[[#This Row],[PRESUPUESTO
FINAL
PROYECTADO]]-CATEGORIAS[[#This Row],[COSTO REAL]]-CATEGORIAS[[#This Row],[PROYECCION
TOTAL DE COSTO]]</f>
        <v>0</v>
      </c>
    </row>
    <row r="170" spans="1:33" x14ac:dyDescent="0.25">
      <c r="A170" s="274" t="str">
        <f>+IFERROR(VLOOKUP(CATEGORIAS[[#This Row],[CATEGORIA2]],[1]HOMOLOGACION!$A$1:$I$571,9,FALSE),0)</f>
        <v>0Q02</v>
      </c>
      <c r="B170" s="274" t="str">
        <f>+IFERROR(VLOOKUP(CATEGORIAS[[#This Row],[CATEGORIA2]],[1]HOMOLOGACION!$A$1:$C$571,3,FALSE),0)</f>
        <v>0X01</v>
      </c>
      <c r="C170" s="274" t="str">
        <f>+IFERROR(VLOOKUP(CATEGORIAS[[#This Row],[CATEGORIA2]],[1]HOMOLOGACION!$A$1:$D$571,4,FALSE),0)</f>
        <v xml:space="preserve">Civil  </v>
      </c>
      <c r="D170" s="144" t="s">
        <v>1888</v>
      </c>
      <c r="E170" s="273" t="s">
        <v>688</v>
      </c>
      <c r="F170" s="275" t="s">
        <v>361</v>
      </c>
      <c r="G170" s="313">
        <v>0</v>
      </c>
      <c r="H170" s="313">
        <v>0</v>
      </c>
      <c r="I170" s="130">
        <v>0</v>
      </c>
      <c r="J170" s="130"/>
      <c r="K170" s="130"/>
      <c r="L170" s="143">
        <f>CATEGORIAS[[#This Row],[ADICIONALES]]+CATEGORIAS[[#This Row],[POM]]</f>
        <v>0</v>
      </c>
      <c r="M170" s="131">
        <v>0</v>
      </c>
      <c r="N170" s="227">
        <v>0</v>
      </c>
      <c r="O170" s="296">
        <f>CATEGORIAS[[#This Row],[PRODUCCION
PARTIDAS
ORIGINALES
ACTUAL]]+CATEGORIAS[[#This Row],[PRODUCCION
ADICIONALES
ACTUAL]]</f>
        <v>0</v>
      </c>
      <c r="P170" s="227">
        <v>0</v>
      </c>
      <c r="Q170" s="227">
        <v>0</v>
      </c>
      <c r="R170" s="297">
        <f>CATEGORIAS[[#This Row],[PRODUCCION
ANTERIOR]]+CATEGORIAS[[#This Row],[PRODUCCION
ADICIONALES
ANTERIOR]]</f>
        <v>0</v>
      </c>
      <c r="S170" s="133">
        <v>0</v>
      </c>
      <c r="T170" s="133"/>
      <c r="U170" s="133"/>
      <c r="V170" s="296">
        <f>SUM(CATEGORIAS[[#This Row],[COSTO
ACUMULADO  AX]:[PROVISIONES]])</f>
        <v>0</v>
      </c>
      <c r="W170" s="298">
        <v>0</v>
      </c>
      <c r="X170" s="227"/>
      <c r="Y170" s="227"/>
      <c r="Z170" s="297">
        <f>SUM(CATEGORIAS[[#This Row],[COSTO ACUMULADO
ANTERIOR]:[PROVISIONES
ANTERIOR]])</f>
        <v>0</v>
      </c>
      <c r="AA170" s="139">
        <f>CATEGORIAS[[#This Row],[PRESUPUESTO
FINAL
PROYECTADO]]-CATEGORIAS[[#This Row],[TOTAL PRODUCCION
ACTUAL]]</f>
        <v>0</v>
      </c>
      <c r="AB170" s="227">
        <v>0</v>
      </c>
      <c r="AC170" s="132"/>
      <c r="AD170" s="132"/>
      <c r="AE170" s="226">
        <f>SUM(CATEGORIAS[[#This Row],[INVENTARIO]:[PROYECCION
DE COSTO
DEL SALDO]])</f>
        <v>0</v>
      </c>
      <c r="AF170" s="132"/>
      <c r="AG170" s="132">
        <f>+CATEGORIAS[[#This Row],[PRESUPUESTO
FINAL
PROYECTADO]]-CATEGORIAS[[#This Row],[COSTO REAL]]-CATEGORIAS[[#This Row],[PROYECCION
TOTAL DE COSTO]]</f>
        <v>0</v>
      </c>
    </row>
    <row r="171" spans="1:33" x14ac:dyDescent="0.25">
      <c r="A171" s="274" t="str">
        <f>+IFERROR(VLOOKUP(CATEGORIAS[[#This Row],[CATEGORIA2]],[1]HOMOLOGACION!$A$1:$I$571,9,FALSE),0)</f>
        <v>0Q02</v>
      </c>
      <c r="B171" s="274" t="str">
        <f>+IFERROR(VLOOKUP(CATEGORIAS[[#This Row],[CATEGORIA2]],[1]HOMOLOGACION!$A$1:$C$571,3,FALSE),0)</f>
        <v>0X01</v>
      </c>
      <c r="C171" s="274" t="str">
        <f>+IFERROR(VLOOKUP(CATEGORIAS[[#This Row],[CATEGORIA2]],[1]HOMOLOGACION!$A$1:$D$571,4,FALSE),0)</f>
        <v xml:space="preserve">Civil  </v>
      </c>
      <c r="D171" s="144" t="s">
        <v>1889</v>
      </c>
      <c r="E171" s="273" t="s">
        <v>690</v>
      </c>
      <c r="F171" s="275" t="s">
        <v>361</v>
      </c>
      <c r="G171" s="313">
        <v>0</v>
      </c>
      <c r="H171" s="313">
        <v>0</v>
      </c>
      <c r="I171" s="130">
        <v>0</v>
      </c>
      <c r="J171" s="130"/>
      <c r="K171" s="130"/>
      <c r="L171" s="143">
        <f>CATEGORIAS[[#This Row],[ADICIONALES]]+CATEGORIAS[[#This Row],[POM]]</f>
        <v>0</v>
      </c>
      <c r="M171" s="131">
        <v>0</v>
      </c>
      <c r="N171" s="227">
        <v>0</v>
      </c>
      <c r="O171" s="296">
        <f>CATEGORIAS[[#This Row],[PRODUCCION
PARTIDAS
ORIGINALES
ACTUAL]]+CATEGORIAS[[#This Row],[PRODUCCION
ADICIONALES
ACTUAL]]</f>
        <v>0</v>
      </c>
      <c r="P171" s="227">
        <v>0</v>
      </c>
      <c r="Q171" s="132">
        <v>0</v>
      </c>
      <c r="R171" s="297">
        <f>CATEGORIAS[[#This Row],[PRODUCCION
ANTERIOR]]+CATEGORIAS[[#This Row],[PRODUCCION
ADICIONALES
ANTERIOR]]</f>
        <v>0</v>
      </c>
      <c r="S171" s="133">
        <v>0</v>
      </c>
      <c r="T171" s="133"/>
      <c r="U171" s="133"/>
      <c r="V171" s="296">
        <f>SUM(CATEGORIAS[[#This Row],[COSTO
ACUMULADO  AX]:[PROVISIONES]])</f>
        <v>0</v>
      </c>
      <c r="W171" s="298">
        <v>0</v>
      </c>
      <c r="X171" s="227"/>
      <c r="Y171" s="227"/>
      <c r="Z171" s="297">
        <f>SUM(CATEGORIAS[[#This Row],[COSTO ACUMULADO
ANTERIOR]:[PROVISIONES
ANTERIOR]])</f>
        <v>0</v>
      </c>
      <c r="AA171" s="139">
        <f>CATEGORIAS[[#This Row],[PRESUPUESTO
FINAL
PROYECTADO]]-CATEGORIAS[[#This Row],[TOTAL PRODUCCION
ACTUAL]]</f>
        <v>0</v>
      </c>
      <c r="AB171" s="227">
        <v>0</v>
      </c>
      <c r="AC171" s="132"/>
      <c r="AD171" s="132"/>
      <c r="AE171" s="226">
        <f>SUM(CATEGORIAS[[#This Row],[INVENTARIO]:[PROYECCION
DE COSTO
DEL SALDO]])</f>
        <v>0</v>
      </c>
      <c r="AF171" s="132"/>
      <c r="AG171" s="132">
        <f>+CATEGORIAS[[#This Row],[PRESUPUESTO
FINAL
PROYECTADO]]-CATEGORIAS[[#This Row],[COSTO REAL]]-CATEGORIAS[[#This Row],[PROYECCION
TOTAL DE COSTO]]</f>
        <v>0</v>
      </c>
    </row>
    <row r="172" spans="1:33" x14ac:dyDescent="0.25">
      <c r="A172" s="274" t="str">
        <f>+IFERROR(VLOOKUP(CATEGORIAS[[#This Row],[CATEGORIA2]],[1]HOMOLOGACION!$A$1:$I$571,9,FALSE),0)</f>
        <v>0Q02</v>
      </c>
      <c r="B172" s="274" t="str">
        <f>+IFERROR(VLOOKUP(CATEGORIAS[[#This Row],[CATEGORIA2]],[1]HOMOLOGACION!$A$1:$C$571,3,FALSE),0)</f>
        <v>0X01</v>
      </c>
      <c r="C172" s="274" t="str">
        <f>+IFERROR(VLOOKUP(CATEGORIAS[[#This Row],[CATEGORIA2]],[1]HOMOLOGACION!$A$1:$D$571,4,FALSE),0)</f>
        <v xml:space="preserve">Civil  </v>
      </c>
      <c r="D172" s="144" t="s">
        <v>1890</v>
      </c>
      <c r="E172" s="273" t="s">
        <v>692</v>
      </c>
      <c r="F172" s="275" t="s">
        <v>361</v>
      </c>
      <c r="G172" s="313">
        <v>0</v>
      </c>
      <c r="H172" s="313">
        <v>0</v>
      </c>
      <c r="I172" s="130">
        <v>0</v>
      </c>
      <c r="J172" s="130"/>
      <c r="K172" s="130"/>
      <c r="L172" s="143">
        <f>CATEGORIAS[[#This Row],[ADICIONALES]]+CATEGORIAS[[#This Row],[POM]]</f>
        <v>0</v>
      </c>
      <c r="M172" s="131">
        <v>0</v>
      </c>
      <c r="N172" s="227">
        <v>0</v>
      </c>
      <c r="O172" s="296">
        <f>CATEGORIAS[[#This Row],[PRODUCCION
PARTIDAS
ORIGINALES
ACTUAL]]+CATEGORIAS[[#This Row],[PRODUCCION
ADICIONALES
ACTUAL]]</f>
        <v>0</v>
      </c>
      <c r="P172" s="227">
        <v>0</v>
      </c>
      <c r="Q172" s="227">
        <v>0</v>
      </c>
      <c r="R172" s="297">
        <f>CATEGORIAS[[#This Row],[PRODUCCION
ANTERIOR]]+CATEGORIAS[[#This Row],[PRODUCCION
ADICIONALES
ANTERIOR]]</f>
        <v>0</v>
      </c>
      <c r="S172" s="133">
        <v>0</v>
      </c>
      <c r="T172" s="133"/>
      <c r="U172" s="133"/>
      <c r="V172" s="296">
        <f>SUM(CATEGORIAS[[#This Row],[COSTO
ACUMULADO  AX]:[PROVISIONES]])</f>
        <v>0</v>
      </c>
      <c r="W172" s="298">
        <v>0</v>
      </c>
      <c r="X172" s="227"/>
      <c r="Y172" s="227"/>
      <c r="Z172" s="297">
        <f>SUM(CATEGORIAS[[#This Row],[COSTO ACUMULADO
ANTERIOR]:[PROVISIONES
ANTERIOR]])</f>
        <v>0</v>
      </c>
      <c r="AA172" s="139">
        <f>CATEGORIAS[[#This Row],[PRESUPUESTO
FINAL
PROYECTADO]]-CATEGORIAS[[#This Row],[TOTAL PRODUCCION
ACTUAL]]</f>
        <v>0</v>
      </c>
      <c r="AB172" s="227">
        <v>0</v>
      </c>
      <c r="AC172" s="132"/>
      <c r="AD172" s="132"/>
      <c r="AE172" s="226">
        <f>SUM(CATEGORIAS[[#This Row],[INVENTARIO]:[PROYECCION
DE COSTO
DEL SALDO]])</f>
        <v>0</v>
      </c>
      <c r="AF172" s="132"/>
      <c r="AG172" s="132">
        <f>+CATEGORIAS[[#This Row],[PRESUPUESTO
FINAL
PROYECTADO]]-CATEGORIAS[[#This Row],[COSTO REAL]]-CATEGORIAS[[#This Row],[PROYECCION
TOTAL DE COSTO]]</f>
        <v>0</v>
      </c>
    </row>
    <row r="173" spans="1:33" x14ac:dyDescent="0.25">
      <c r="A173" s="274" t="str">
        <f>+IFERROR(VLOOKUP(CATEGORIAS[[#This Row],[CATEGORIA2]],[1]HOMOLOGACION!$A$1:$I$571,9,FALSE),0)</f>
        <v>0Q02</v>
      </c>
      <c r="B173" s="274" t="str">
        <f>+IFERROR(VLOOKUP(CATEGORIAS[[#This Row],[CATEGORIA2]],[1]HOMOLOGACION!$A$1:$C$571,3,FALSE),0)</f>
        <v>0X01</v>
      </c>
      <c r="C173" s="274" t="str">
        <f>+IFERROR(VLOOKUP(CATEGORIAS[[#This Row],[CATEGORIA2]],[1]HOMOLOGACION!$A$1:$D$571,4,FALSE),0)</f>
        <v xml:space="preserve">Civil  </v>
      </c>
      <c r="D173" s="144" t="s">
        <v>1891</v>
      </c>
      <c r="E173" s="273" t="s">
        <v>694</v>
      </c>
      <c r="F173" s="275" t="s">
        <v>361</v>
      </c>
      <c r="G173" s="313">
        <v>0</v>
      </c>
      <c r="H173" s="313">
        <v>0</v>
      </c>
      <c r="I173" s="130">
        <v>0</v>
      </c>
      <c r="J173" s="130"/>
      <c r="K173" s="130"/>
      <c r="L173" s="143">
        <f>CATEGORIAS[[#This Row],[ADICIONALES]]+CATEGORIAS[[#This Row],[POM]]</f>
        <v>0</v>
      </c>
      <c r="M173" s="131">
        <v>0</v>
      </c>
      <c r="N173" s="227">
        <v>0</v>
      </c>
      <c r="O173" s="296">
        <f>CATEGORIAS[[#This Row],[PRODUCCION
PARTIDAS
ORIGINALES
ACTUAL]]+CATEGORIAS[[#This Row],[PRODUCCION
ADICIONALES
ACTUAL]]</f>
        <v>0</v>
      </c>
      <c r="P173" s="227">
        <v>0</v>
      </c>
      <c r="Q173" s="132">
        <v>0</v>
      </c>
      <c r="R173" s="297">
        <f>CATEGORIAS[[#This Row],[PRODUCCION
ANTERIOR]]+CATEGORIAS[[#This Row],[PRODUCCION
ADICIONALES
ANTERIOR]]</f>
        <v>0</v>
      </c>
      <c r="S173" s="133">
        <v>0</v>
      </c>
      <c r="T173" s="133"/>
      <c r="U173" s="133"/>
      <c r="V173" s="296">
        <f>SUM(CATEGORIAS[[#This Row],[COSTO
ACUMULADO  AX]:[PROVISIONES]])</f>
        <v>0</v>
      </c>
      <c r="W173" s="298">
        <v>0</v>
      </c>
      <c r="X173" s="227"/>
      <c r="Y173" s="227"/>
      <c r="Z173" s="297">
        <f>SUM(CATEGORIAS[[#This Row],[COSTO ACUMULADO
ANTERIOR]:[PROVISIONES
ANTERIOR]])</f>
        <v>0</v>
      </c>
      <c r="AA173" s="139">
        <f>CATEGORIAS[[#This Row],[PRESUPUESTO
FINAL
PROYECTADO]]-CATEGORIAS[[#This Row],[TOTAL PRODUCCION
ACTUAL]]</f>
        <v>0</v>
      </c>
      <c r="AB173" s="227">
        <v>0</v>
      </c>
      <c r="AC173" s="132"/>
      <c r="AD173" s="132"/>
      <c r="AE173" s="226">
        <f>SUM(CATEGORIAS[[#This Row],[INVENTARIO]:[PROYECCION
DE COSTO
DEL SALDO]])</f>
        <v>0</v>
      </c>
      <c r="AF173" s="132"/>
      <c r="AG173" s="132">
        <f>+CATEGORIAS[[#This Row],[PRESUPUESTO
FINAL
PROYECTADO]]-CATEGORIAS[[#This Row],[COSTO REAL]]-CATEGORIAS[[#This Row],[PROYECCION
TOTAL DE COSTO]]</f>
        <v>0</v>
      </c>
    </row>
    <row r="174" spans="1:33" x14ac:dyDescent="0.25">
      <c r="A174" s="274" t="str">
        <f>+IFERROR(VLOOKUP(CATEGORIAS[[#This Row],[CATEGORIA2]],[1]HOMOLOGACION!$A$1:$I$571,9,FALSE),0)</f>
        <v>0Q02</v>
      </c>
      <c r="B174" s="274" t="str">
        <f>+IFERROR(VLOOKUP(CATEGORIAS[[#This Row],[CATEGORIA2]],[1]HOMOLOGACION!$A$1:$C$571,3,FALSE),0)</f>
        <v>0X01</v>
      </c>
      <c r="C174" s="274" t="str">
        <f>+IFERROR(VLOOKUP(CATEGORIAS[[#This Row],[CATEGORIA2]],[1]HOMOLOGACION!$A$1:$D$571,4,FALSE),0)</f>
        <v xml:space="preserve">Civil  </v>
      </c>
      <c r="D174" s="144" t="s">
        <v>1892</v>
      </c>
      <c r="E174" s="273" t="s">
        <v>696</v>
      </c>
      <c r="F174" s="275" t="s">
        <v>364</v>
      </c>
      <c r="G174" s="313">
        <v>1719537.1004000001</v>
      </c>
      <c r="H174" s="313">
        <v>1719537.1004000001</v>
      </c>
      <c r="I174" s="130">
        <v>0</v>
      </c>
      <c r="J174" s="130"/>
      <c r="K174" s="130"/>
      <c r="L174" s="143">
        <f>CATEGORIAS[[#This Row],[ADICIONALES]]+CATEGORIAS[[#This Row],[POM]]</f>
        <v>1719537.1004000001</v>
      </c>
      <c r="M174" s="131">
        <v>1719537.1004000001</v>
      </c>
      <c r="N174" s="227">
        <v>0</v>
      </c>
      <c r="O174" s="296">
        <f>CATEGORIAS[[#This Row],[PRODUCCION
PARTIDAS
ORIGINALES
ACTUAL]]+CATEGORIAS[[#This Row],[PRODUCCION
ADICIONALES
ACTUAL]]</f>
        <v>1719537.1004000001</v>
      </c>
      <c r="P174" s="227">
        <v>1719537.1004000001</v>
      </c>
      <c r="Q174" s="227">
        <v>0</v>
      </c>
      <c r="R174" s="297">
        <f>CATEGORIAS[[#This Row],[PRODUCCION
ANTERIOR]]+CATEGORIAS[[#This Row],[PRODUCCION
ADICIONALES
ANTERIOR]]</f>
        <v>1719537.1004000001</v>
      </c>
      <c r="S174" s="133">
        <v>0</v>
      </c>
      <c r="T174" s="133"/>
      <c r="U174" s="133"/>
      <c r="V174" s="296">
        <f>SUM(CATEGORIAS[[#This Row],[COSTO
ACUMULADO  AX]:[PROVISIONES]])</f>
        <v>0</v>
      </c>
      <c r="W174" s="298">
        <v>0</v>
      </c>
      <c r="X174" s="227"/>
      <c r="Y174" s="227"/>
      <c r="Z174" s="297">
        <f>SUM(CATEGORIAS[[#This Row],[COSTO ACUMULADO
ANTERIOR]:[PROVISIONES
ANTERIOR]])</f>
        <v>0</v>
      </c>
      <c r="AA174" s="139">
        <f>CATEGORIAS[[#This Row],[PRESUPUESTO
FINAL
PROYECTADO]]-CATEGORIAS[[#This Row],[TOTAL PRODUCCION
ACTUAL]]</f>
        <v>0</v>
      </c>
      <c r="AB174" s="227">
        <v>0</v>
      </c>
      <c r="AC174" s="132"/>
      <c r="AD174" s="132">
        <v>1719537.1004000001</v>
      </c>
      <c r="AE174" s="226">
        <f>SUM(CATEGORIAS[[#This Row],[INVENTARIO]:[PROYECCION
DE COSTO
DEL SALDO]])</f>
        <v>1719537.1004000001</v>
      </c>
      <c r="AF174" s="132"/>
      <c r="AG174" s="132">
        <f>+CATEGORIAS[[#This Row],[PRESUPUESTO
FINAL
PROYECTADO]]-CATEGORIAS[[#This Row],[COSTO REAL]]-CATEGORIAS[[#This Row],[PROYECCION
TOTAL DE COSTO]]</f>
        <v>0</v>
      </c>
    </row>
    <row r="175" spans="1:33" x14ac:dyDescent="0.25">
      <c r="A175" s="274" t="str">
        <f>+IFERROR(VLOOKUP(CATEGORIAS[[#This Row],[CATEGORIA2]],[1]HOMOLOGACION!$A$1:$I$571,9,FALSE),0)</f>
        <v>0Q02</v>
      </c>
      <c r="B175" s="274" t="str">
        <f>+IFERROR(VLOOKUP(CATEGORIAS[[#This Row],[CATEGORIA2]],[1]HOMOLOGACION!$A$1:$C$571,3,FALSE),0)</f>
        <v>0X01</v>
      </c>
      <c r="C175" s="274" t="str">
        <f>+IFERROR(VLOOKUP(CATEGORIAS[[#This Row],[CATEGORIA2]],[1]HOMOLOGACION!$A$1:$D$571,4,FALSE),0)</f>
        <v xml:space="preserve">Civil  </v>
      </c>
      <c r="D175" s="144" t="s">
        <v>1893</v>
      </c>
      <c r="E175" s="273" t="s">
        <v>698</v>
      </c>
      <c r="F175" s="275" t="s">
        <v>361</v>
      </c>
      <c r="G175" s="313">
        <v>0</v>
      </c>
      <c r="H175" s="313">
        <v>0</v>
      </c>
      <c r="I175" s="130">
        <v>0</v>
      </c>
      <c r="J175" s="130"/>
      <c r="K175" s="130"/>
      <c r="L175" s="143">
        <f>CATEGORIAS[[#This Row],[ADICIONALES]]+CATEGORIAS[[#This Row],[POM]]</f>
        <v>0</v>
      </c>
      <c r="M175" s="131">
        <v>0</v>
      </c>
      <c r="N175" s="227">
        <v>0</v>
      </c>
      <c r="O175" s="296">
        <f>CATEGORIAS[[#This Row],[PRODUCCION
PARTIDAS
ORIGINALES
ACTUAL]]+CATEGORIAS[[#This Row],[PRODUCCION
ADICIONALES
ACTUAL]]</f>
        <v>0</v>
      </c>
      <c r="P175" s="227">
        <v>0</v>
      </c>
      <c r="Q175" s="132">
        <v>0</v>
      </c>
      <c r="R175" s="297">
        <f>CATEGORIAS[[#This Row],[PRODUCCION
ANTERIOR]]+CATEGORIAS[[#This Row],[PRODUCCION
ADICIONALES
ANTERIOR]]</f>
        <v>0</v>
      </c>
      <c r="S175" s="133">
        <v>0</v>
      </c>
      <c r="T175" s="133"/>
      <c r="U175" s="133"/>
      <c r="V175" s="296">
        <f>SUM(CATEGORIAS[[#This Row],[COSTO
ACUMULADO  AX]:[PROVISIONES]])</f>
        <v>0</v>
      </c>
      <c r="W175" s="298">
        <v>0</v>
      </c>
      <c r="X175" s="227"/>
      <c r="Y175" s="227"/>
      <c r="Z175" s="297">
        <f>SUM(CATEGORIAS[[#This Row],[COSTO ACUMULADO
ANTERIOR]:[PROVISIONES
ANTERIOR]])</f>
        <v>0</v>
      </c>
      <c r="AA175" s="139">
        <f>CATEGORIAS[[#This Row],[PRESUPUESTO
FINAL
PROYECTADO]]-CATEGORIAS[[#This Row],[TOTAL PRODUCCION
ACTUAL]]</f>
        <v>0</v>
      </c>
      <c r="AB175" s="227">
        <v>0</v>
      </c>
      <c r="AC175" s="132"/>
      <c r="AD175" s="132"/>
      <c r="AE175" s="226">
        <f>SUM(CATEGORIAS[[#This Row],[INVENTARIO]:[PROYECCION
DE COSTO
DEL SALDO]])</f>
        <v>0</v>
      </c>
      <c r="AF175" s="132"/>
      <c r="AG175" s="132">
        <f>+CATEGORIAS[[#This Row],[PRESUPUESTO
FINAL
PROYECTADO]]-CATEGORIAS[[#This Row],[COSTO REAL]]-CATEGORIAS[[#This Row],[PROYECCION
TOTAL DE COSTO]]</f>
        <v>0</v>
      </c>
    </row>
    <row r="176" spans="1:33" x14ac:dyDescent="0.25">
      <c r="A176" s="274" t="str">
        <f>+IFERROR(VLOOKUP(CATEGORIAS[[#This Row],[CATEGORIA2]],[1]HOMOLOGACION!$A$1:$I$571,9,FALSE),0)</f>
        <v>0Q02</v>
      </c>
      <c r="B176" s="274" t="str">
        <f>+IFERROR(VLOOKUP(CATEGORIAS[[#This Row],[CATEGORIA2]],[1]HOMOLOGACION!$A$1:$C$571,3,FALSE),0)</f>
        <v>0X01</v>
      </c>
      <c r="C176" s="274" t="str">
        <f>+IFERROR(VLOOKUP(CATEGORIAS[[#This Row],[CATEGORIA2]],[1]HOMOLOGACION!$A$1:$D$571,4,FALSE),0)</f>
        <v xml:space="preserve">Civil  </v>
      </c>
      <c r="D176" s="144" t="s">
        <v>1894</v>
      </c>
      <c r="E176" s="273" t="s">
        <v>700</v>
      </c>
      <c r="F176" s="275" t="s">
        <v>361</v>
      </c>
      <c r="G176" s="313">
        <v>0</v>
      </c>
      <c r="H176" s="313">
        <v>0</v>
      </c>
      <c r="I176" s="130">
        <v>0</v>
      </c>
      <c r="J176" s="130"/>
      <c r="K176" s="130"/>
      <c r="L176" s="143">
        <f>CATEGORIAS[[#This Row],[ADICIONALES]]+CATEGORIAS[[#This Row],[POM]]</f>
        <v>0</v>
      </c>
      <c r="M176" s="131">
        <v>0</v>
      </c>
      <c r="N176" s="227">
        <v>0</v>
      </c>
      <c r="O176" s="296">
        <f>CATEGORIAS[[#This Row],[PRODUCCION
PARTIDAS
ORIGINALES
ACTUAL]]+CATEGORIAS[[#This Row],[PRODUCCION
ADICIONALES
ACTUAL]]</f>
        <v>0</v>
      </c>
      <c r="P176" s="227">
        <v>0</v>
      </c>
      <c r="Q176" s="227">
        <v>0</v>
      </c>
      <c r="R176" s="297">
        <f>CATEGORIAS[[#This Row],[PRODUCCION
ANTERIOR]]+CATEGORIAS[[#This Row],[PRODUCCION
ADICIONALES
ANTERIOR]]</f>
        <v>0</v>
      </c>
      <c r="S176" s="133">
        <v>0</v>
      </c>
      <c r="T176" s="133"/>
      <c r="U176" s="133"/>
      <c r="V176" s="296">
        <f>SUM(CATEGORIAS[[#This Row],[COSTO
ACUMULADO  AX]:[PROVISIONES]])</f>
        <v>0</v>
      </c>
      <c r="W176" s="298">
        <v>0</v>
      </c>
      <c r="X176" s="227"/>
      <c r="Y176" s="227"/>
      <c r="Z176" s="297">
        <f>SUM(CATEGORIAS[[#This Row],[COSTO ACUMULADO
ANTERIOR]:[PROVISIONES
ANTERIOR]])</f>
        <v>0</v>
      </c>
      <c r="AA176" s="139">
        <f>CATEGORIAS[[#This Row],[PRESUPUESTO
FINAL
PROYECTADO]]-CATEGORIAS[[#This Row],[TOTAL PRODUCCION
ACTUAL]]</f>
        <v>0</v>
      </c>
      <c r="AB176" s="227">
        <v>0</v>
      </c>
      <c r="AC176" s="132"/>
      <c r="AD176" s="132"/>
      <c r="AE176" s="226">
        <f>SUM(CATEGORIAS[[#This Row],[INVENTARIO]:[PROYECCION
DE COSTO
DEL SALDO]])</f>
        <v>0</v>
      </c>
      <c r="AF176" s="132"/>
      <c r="AG176" s="132">
        <f>+CATEGORIAS[[#This Row],[PRESUPUESTO
FINAL
PROYECTADO]]-CATEGORIAS[[#This Row],[COSTO REAL]]-CATEGORIAS[[#This Row],[PROYECCION
TOTAL DE COSTO]]</f>
        <v>0</v>
      </c>
    </row>
    <row r="177" spans="1:33" x14ac:dyDescent="0.25">
      <c r="A177" s="274" t="str">
        <f>+IFERROR(VLOOKUP(CATEGORIAS[[#This Row],[CATEGORIA2]],[1]HOMOLOGACION!$A$1:$I$571,9,FALSE),0)</f>
        <v>0Q02</v>
      </c>
      <c r="B177" s="274" t="str">
        <f>+IFERROR(VLOOKUP(CATEGORIAS[[#This Row],[CATEGORIA2]],[1]HOMOLOGACION!$A$1:$C$571,3,FALSE),0)</f>
        <v>0X01</v>
      </c>
      <c r="C177" s="274" t="str">
        <f>+IFERROR(VLOOKUP(CATEGORIAS[[#This Row],[CATEGORIA2]],[1]HOMOLOGACION!$A$1:$D$571,4,FALSE),0)</f>
        <v xml:space="preserve">Civil  </v>
      </c>
      <c r="D177" s="144" t="s">
        <v>1895</v>
      </c>
      <c r="E177" s="273" t="s">
        <v>702</v>
      </c>
      <c r="F177" s="275" t="s">
        <v>361</v>
      </c>
      <c r="G177" s="313">
        <v>0</v>
      </c>
      <c r="H177" s="313">
        <v>0</v>
      </c>
      <c r="I177" s="130">
        <v>0</v>
      </c>
      <c r="J177" s="130"/>
      <c r="K177" s="130"/>
      <c r="L177" s="143">
        <f>CATEGORIAS[[#This Row],[ADICIONALES]]+CATEGORIAS[[#This Row],[POM]]</f>
        <v>0</v>
      </c>
      <c r="M177" s="131">
        <v>0</v>
      </c>
      <c r="N177" s="227">
        <v>0</v>
      </c>
      <c r="O177" s="296">
        <f>CATEGORIAS[[#This Row],[PRODUCCION
PARTIDAS
ORIGINALES
ACTUAL]]+CATEGORIAS[[#This Row],[PRODUCCION
ADICIONALES
ACTUAL]]</f>
        <v>0</v>
      </c>
      <c r="P177" s="227">
        <v>0</v>
      </c>
      <c r="Q177" s="132">
        <v>0</v>
      </c>
      <c r="R177" s="297">
        <f>CATEGORIAS[[#This Row],[PRODUCCION
ANTERIOR]]+CATEGORIAS[[#This Row],[PRODUCCION
ADICIONALES
ANTERIOR]]</f>
        <v>0</v>
      </c>
      <c r="S177" s="133">
        <v>0</v>
      </c>
      <c r="T177" s="133"/>
      <c r="U177" s="133"/>
      <c r="V177" s="296">
        <f>SUM(CATEGORIAS[[#This Row],[COSTO
ACUMULADO  AX]:[PROVISIONES]])</f>
        <v>0</v>
      </c>
      <c r="W177" s="298">
        <v>0</v>
      </c>
      <c r="X177" s="227"/>
      <c r="Y177" s="227"/>
      <c r="Z177" s="297">
        <f>SUM(CATEGORIAS[[#This Row],[COSTO ACUMULADO
ANTERIOR]:[PROVISIONES
ANTERIOR]])</f>
        <v>0</v>
      </c>
      <c r="AA177" s="139">
        <f>CATEGORIAS[[#This Row],[PRESUPUESTO
FINAL
PROYECTADO]]-CATEGORIAS[[#This Row],[TOTAL PRODUCCION
ACTUAL]]</f>
        <v>0</v>
      </c>
      <c r="AB177" s="227">
        <v>0</v>
      </c>
      <c r="AC177" s="132"/>
      <c r="AD177" s="132"/>
      <c r="AE177" s="226">
        <f>SUM(CATEGORIAS[[#This Row],[INVENTARIO]:[PROYECCION
DE COSTO
DEL SALDO]])</f>
        <v>0</v>
      </c>
      <c r="AF177" s="132"/>
      <c r="AG177" s="132">
        <f>+CATEGORIAS[[#This Row],[PRESUPUESTO
FINAL
PROYECTADO]]-CATEGORIAS[[#This Row],[COSTO REAL]]-CATEGORIAS[[#This Row],[PROYECCION
TOTAL DE COSTO]]</f>
        <v>0</v>
      </c>
    </row>
    <row r="178" spans="1:33" x14ac:dyDescent="0.25">
      <c r="A178" s="274" t="str">
        <f>+IFERROR(VLOOKUP(CATEGORIAS[[#This Row],[CATEGORIA2]],[1]HOMOLOGACION!$A$1:$I$571,9,FALSE),0)</f>
        <v>0Q02</v>
      </c>
      <c r="B178" s="274" t="str">
        <f>+IFERROR(VLOOKUP(CATEGORIAS[[#This Row],[CATEGORIA2]],[1]HOMOLOGACION!$A$1:$C$571,3,FALSE),0)</f>
        <v>0X01</v>
      </c>
      <c r="C178" s="274" t="str">
        <f>+IFERROR(VLOOKUP(CATEGORIAS[[#This Row],[CATEGORIA2]],[1]HOMOLOGACION!$A$1:$D$571,4,FALSE),0)</f>
        <v xml:space="preserve">Civil  </v>
      </c>
      <c r="D178" s="144" t="s">
        <v>1896</v>
      </c>
      <c r="E178" s="273" t="s">
        <v>704</v>
      </c>
      <c r="F178" s="275" t="s">
        <v>361</v>
      </c>
      <c r="G178" s="313">
        <v>0</v>
      </c>
      <c r="H178" s="313">
        <v>0</v>
      </c>
      <c r="I178" s="130">
        <v>0</v>
      </c>
      <c r="J178" s="130"/>
      <c r="K178" s="130"/>
      <c r="L178" s="143">
        <f>CATEGORIAS[[#This Row],[ADICIONALES]]+CATEGORIAS[[#This Row],[POM]]</f>
        <v>0</v>
      </c>
      <c r="M178" s="131">
        <v>0</v>
      </c>
      <c r="N178" s="227">
        <v>0</v>
      </c>
      <c r="O178" s="296">
        <f>CATEGORIAS[[#This Row],[PRODUCCION
PARTIDAS
ORIGINALES
ACTUAL]]+CATEGORIAS[[#This Row],[PRODUCCION
ADICIONALES
ACTUAL]]</f>
        <v>0</v>
      </c>
      <c r="P178" s="227">
        <v>0</v>
      </c>
      <c r="Q178" s="227">
        <v>0</v>
      </c>
      <c r="R178" s="297">
        <f>CATEGORIAS[[#This Row],[PRODUCCION
ANTERIOR]]+CATEGORIAS[[#This Row],[PRODUCCION
ADICIONALES
ANTERIOR]]</f>
        <v>0</v>
      </c>
      <c r="S178" s="133">
        <v>0</v>
      </c>
      <c r="T178" s="133"/>
      <c r="U178" s="133"/>
      <c r="V178" s="296">
        <f>SUM(CATEGORIAS[[#This Row],[COSTO
ACUMULADO  AX]:[PROVISIONES]])</f>
        <v>0</v>
      </c>
      <c r="W178" s="298">
        <v>0</v>
      </c>
      <c r="X178" s="227"/>
      <c r="Y178" s="227"/>
      <c r="Z178" s="297">
        <f>SUM(CATEGORIAS[[#This Row],[COSTO ACUMULADO
ANTERIOR]:[PROVISIONES
ANTERIOR]])</f>
        <v>0</v>
      </c>
      <c r="AA178" s="139">
        <f>CATEGORIAS[[#This Row],[PRESUPUESTO
FINAL
PROYECTADO]]-CATEGORIAS[[#This Row],[TOTAL PRODUCCION
ACTUAL]]</f>
        <v>0</v>
      </c>
      <c r="AB178" s="227">
        <v>0</v>
      </c>
      <c r="AC178" s="132"/>
      <c r="AD178" s="132"/>
      <c r="AE178" s="226">
        <f>SUM(CATEGORIAS[[#This Row],[INVENTARIO]:[PROYECCION
DE COSTO
DEL SALDO]])</f>
        <v>0</v>
      </c>
      <c r="AF178" s="132"/>
      <c r="AG178" s="132">
        <f>+CATEGORIAS[[#This Row],[PRESUPUESTO
FINAL
PROYECTADO]]-CATEGORIAS[[#This Row],[COSTO REAL]]-CATEGORIAS[[#This Row],[PROYECCION
TOTAL DE COSTO]]</f>
        <v>0</v>
      </c>
    </row>
    <row r="179" spans="1:33" x14ac:dyDescent="0.25">
      <c r="A179" s="274" t="str">
        <f>+IFERROR(VLOOKUP(CATEGORIAS[[#This Row],[CATEGORIA2]],[1]HOMOLOGACION!$A$1:$I$571,9,FALSE),0)</f>
        <v>0Q02</v>
      </c>
      <c r="B179" s="274" t="str">
        <f>+IFERROR(VLOOKUP(CATEGORIAS[[#This Row],[CATEGORIA2]],[1]HOMOLOGACION!$A$1:$C$571,3,FALSE),0)</f>
        <v>0X01</v>
      </c>
      <c r="C179" s="274" t="str">
        <f>+IFERROR(VLOOKUP(CATEGORIAS[[#This Row],[CATEGORIA2]],[1]HOMOLOGACION!$A$1:$D$571,4,FALSE),0)</f>
        <v xml:space="preserve">Civil  </v>
      </c>
      <c r="D179" s="144" t="s">
        <v>1897</v>
      </c>
      <c r="E179" s="273" t="s">
        <v>706</v>
      </c>
      <c r="F179" s="275" t="s">
        <v>361</v>
      </c>
      <c r="G179" s="313">
        <v>0</v>
      </c>
      <c r="H179" s="313">
        <v>0</v>
      </c>
      <c r="I179" s="130">
        <v>0</v>
      </c>
      <c r="J179" s="130"/>
      <c r="K179" s="130"/>
      <c r="L179" s="143">
        <f>CATEGORIAS[[#This Row],[ADICIONALES]]+CATEGORIAS[[#This Row],[POM]]</f>
        <v>0</v>
      </c>
      <c r="M179" s="131">
        <v>0</v>
      </c>
      <c r="N179" s="227">
        <v>0</v>
      </c>
      <c r="O179" s="296">
        <f>CATEGORIAS[[#This Row],[PRODUCCION
PARTIDAS
ORIGINALES
ACTUAL]]+CATEGORIAS[[#This Row],[PRODUCCION
ADICIONALES
ACTUAL]]</f>
        <v>0</v>
      </c>
      <c r="P179" s="227">
        <v>0</v>
      </c>
      <c r="Q179" s="132">
        <v>0</v>
      </c>
      <c r="R179" s="297">
        <f>CATEGORIAS[[#This Row],[PRODUCCION
ANTERIOR]]+CATEGORIAS[[#This Row],[PRODUCCION
ADICIONALES
ANTERIOR]]</f>
        <v>0</v>
      </c>
      <c r="S179" s="133">
        <v>0</v>
      </c>
      <c r="T179" s="133"/>
      <c r="U179" s="133"/>
      <c r="V179" s="296">
        <f>SUM(CATEGORIAS[[#This Row],[COSTO
ACUMULADO  AX]:[PROVISIONES]])</f>
        <v>0</v>
      </c>
      <c r="W179" s="298">
        <v>0</v>
      </c>
      <c r="X179" s="227"/>
      <c r="Y179" s="227"/>
      <c r="Z179" s="297">
        <f>SUM(CATEGORIAS[[#This Row],[COSTO ACUMULADO
ANTERIOR]:[PROVISIONES
ANTERIOR]])</f>
        <v>0</v>
      </c>
      <c r="AA179" s="139">
        <f>CATEGORIAS[[#This Row],[PRESUPUESTO
FINAL
PROYECTADO]]-CATEGORIAS[[#This Row],[TOTAL PRODUCCION
ACTUAL]]</f>
        <v>0</v>
      </c>
      <c r="AB179" s="227">
        <v>0</v>
      </c>
      <c r="AC179" s="132"/>
      <c r="AD179" s="132"/>
      <c r="AE179" s="226">
        <f>SUM(CATEGORIAS[[#This Row],[INVENTARIO]:[PROYECCION
DE COSTO
DEL SALDO]])</f>
        <v>0</v>
      </c>
      <c r="AF179" s="132"/>
      <c r="AG179" s="132">
        <f>+CATEGORIAS[[#This Row],[PRESUPUESTO
FINAL
PROYECTADO]]-CATEGORIAS[[#This Row],[COSTO REAL]]-CATEGORIAS[[#This Row],[PROYECCION
TOTAL DE COSTO]]</f>
        <v>0</v>
      </c>
    </row>
    <row r="180" spans="1:33" x14ac:dyDescent="0.25">
      <c r="A180" s="274" t="str">
        <f>+IFERROR(VLOOKUP(CATEGORIAS[[#This Row],[CATEGORIA2]],[1]HOMOLOGACION!$A$1:$I$571,9,FALSE),0)</f>
        <v>0Q02</v>
      </c>
      <c r="B180" s="274" t="str">
        <f>+IFERROR(VLOOKUP(CATEGORIAS[[#This Row],[CATEGORIA2]],[1]HOMOLOGACION!$A$1:$C$571,3,FALSE),0)</f>
        <v>0X01</v>
      </c>
      <c r="C180" s="274" t="str">
        <f>+IFERROR(VLOOKUP(CATEGORIAS[[#This Row],[CATEGORIA2]],[1]HOMOLOGACION!$A$1:$D$571,4,FALSE),0)</f>
        <v xml:space="preserve">Civil  </v>
      </c>
      <c r="D180" s="144" t="s">
        <v>1898</v>
      </c>
      <c r="E180" s="273" t="s">
        <v>708</v>
      </c>
      <c r="F180" s="275" t="s">
        <v>361</v>
      </c>
      <c r="G180" s="313">
        <v>0</v>
      </c>
      <c r="H180" s="313">
        <v>0</v>
      </c>
      <c r="I180" s="130">
        <v>0</v>
      </c>
      <c r="J180" s="130"/>
      <c r="K180" s="130"/>
      <c r="L180" s="143">
        <f>CATEGORIAS[[#This Row],[ADICIONALES]]+CATEGORIAS[[#This Row],[POM]]</f>
        <v>0</v>
      </c>
      <c r="M180" s="131">
        <v>0</v>
      </c>
      <c r="N180" s="227">
        <v>0</v>
      </c>
      <c r="O180" s="296">
        <f>CATEGORIAS[[#This Row],[PRODUCCION
PARTIDAS
ORIGINALES
ACTUAL]]+CATEGORIAS[[#This Row],[PRODUCCION
ADICIONALES
ACTUAL]]</f>
        <v>0</v>
      </c>
      <c r="P180" s="227">
        <v>0</v>
      </c>
      <c r="Q180" s="227">
        <v>0</v>
      </c>
      <c r="R180" s="297">
        <f>CATEGORIAS[[#This Row],[PRODUCCION
ANTERIOR]]+CATEGORIAS[[#This Row],[PRODUCCION
ADICIONALES
ANTERIOR]]</f>
        <v>0</v>
      </c>
      <c r="S180" s="133">
        <v>0</v>
      </c>
      <c r="T180" s="133"/>
      <c r="U180" s="133"/>
      <c r="V180" s="296">
        <f>SUM(CATEGORIAS[[#This Row],[COSTO
ACUMULADO  AX]:[PROVISIONES]])</f>
        <v>0</v>
      </c>
      <c r="W180" s="298">
        <v>0</v>
      </c>
      <c r="X180" s="227"/>
      <c r="Y180" s="227"/>
      <c r="Z180" s="297">
        <f>SUM(CATEGORIAS[[#This Row],[COSTO ACUMULADO
ANTERIOR]:[PROVISIONES
ANTERIOR]])</f>
        <v>0</v>
      </c>
      <c r="AA180" s="139">
        <f>CATEGORIAS[[#This Row],[PRESUPUESTO
FINAL
PROYECTADO]]-CATEGORIAS[[#This Row],[TOTAL PRODUCCION
ACTUAL]]</f>
        <v>0</v>
      </c>
      <c r="AB180" s="227">
        <v>0</v>
      </c>
      <c r="AC180" s="132"/>
      <c r="AD180" s="132"/>
      <c r="AE180" s="226">
        <f>SUM(CATEGORIAS[[#This Row],[INVENTARIO]:[PROYECCION
DE COSTO
DEL SALDO]])</f>
        <v>0</v>
      </c>
      <c r="AF180" s="132"/>
      <c r="AG180" s="132">
        <f>+CATEGORIAS[[#This Row],[PRESUPUESTO
FINAL
PROYECTADO]]-CATEGORIAS[[#This Row],[COSTO REAL]]-CATEGORIAS[[#This Row],[PROYECCION
TOTAL DE COSTO]]</f>
        <v>0</v>
      </c>
    </row>
    <row r="181" spans="1:33" x14ac:dyDescent="0.25">
      <c r="A181" s="274" t="str">
        <f>+IFERROR(VLOOKUP(CATEGORIAS[[#This Row],[CATEGORIA2]],[1]HOMOLOGACION!$A$1:$I$571,9,FALSE),0)</f>
        <v>0Q02</v>
      </c>
      <c r="B181" s="274" t="str">
        <f>+IFERROR(VLOOKUP(CATEGORIAS[[#This Row],[CATEGORIA2]],[1]HOMOLOGACION!$A$1:$C$571,3,FALSE),0)</f>
        <v>0X01</v>
      </c>
      <c r="C181" s="274" t="str">
        <f>+IFERROR(VLOOKUP(CATEGORIAS[[#This Row],[CATEGORIA2]],[1]HOMOLOGACION!$A$1:$D$571,4,FALSE),0)</f>
        <v xml:space="preserve">Civil  </v>
      </c>
      <c r="D181" s="144" t="s">
        <v>1899</v>
      </c>
      <c r="E181" s="273" t="s">
        <v>710</v>
      </c>
      <c r="F181" s="275" t="s">
        <v>361</v>
      </c>
      <c r="G181" s="313">
        <v>0</v>
      </c>
      <c r="H181" s="313">
        <v>0</v>
      </c>
      <c r="I181" s="130">
        <v>0</v>
      </c>
      <c r="J181" s="130"/>
      <c r="K181" s="130"/>
      <c r="L181" s="143">
        <f>CATEGORIAS[[#This Row],[ADICIONALES]]+CATEGORIAS[[#This Row],[POM]]</f>
        <v>0</v>
      </c>
      <c r="M181" s="131">
        <v>0</v>
      </c>
      <c r="N181" s="227">
        <v>0</v>
      </c>
      <c r="O181" s="296">
        <f>CATEGORIAS[[#This Row],[PRODUCCION
PARTIDAS
ORIGINALES
ACTUAL]]+CATEGORIAS[[#This Row],[PRODUCCION
ADICIONALES
ACTUAL]]</f>
        <v>0</v>
      </c>
      <c r="P181" s="227">
        <v>0</v>
      </c>
      <c r="Q181" s="132">
        <v>0</v>
      </c>
      <c r="R181" s="297">
        <f>CATEGORIAS[[#This Row],[PRODUCCION
ANTERIOR]]+CATEGORIAS[[#This Row],[PRODUCCION
ADICIONALES
ANTERIOR]]</f>
        <v>0</v>
      </c>
      <c r="S181" s="133">
        <v>0</v>
      </c>
      <c r="T181" s="133"/>
      <c r="U181" s="133"/>
      <c r="V181" s="296">
        <f>SUM(CATEGORIAS[[#This Row],[COSTO
ACUMULADO  AX]:[PROVISIONES]])</f>
        <v>0</v>
      </c>
      <c r="W181" s="298">
        <v>0</v>
      </c>
      <c r="X181" s="227"/>
      <c r="Y181" s="227"/>
      <c r="Z181" s="297">
        <f>SUM(CATEGORIAS[[#This Row],[COSTO ACUMULADO
ANTERIOR]:[PROVISIONES
ANTERIOR]])</f>
        <v>0</v>
      </c>
      <c r="AA181" s="139">
        <f>CATEGORIAS[[#This Row],[PRESUPUESTO
FINAL
PROYECTADO]]-CATEGORIAS[[#This Row],[TOTAL PRODUCCION
ACTUAL]]</f>
        <v>0</v>
      </c>
      <c r="AB181" s="227">
        <v>0</v>
      </c>
      <c r="AC181" s="132"/>
      <c r="AD181" s="132"/>
      <c r="AE181" s="226">
        <f>SUM(CATEGORIAS[[#This Row],[INVENTARIO]:[PROYECCION
DE COSTO
DEL SALDO]])</f>
        <v>0</v>
      </c>
      <c r="AF181" s="132"/>
      <c r="AG181" s="132">
        <f>+CATEGORIAS[[#This Row],[PRESUPUESTO
FINAL
PROYECTADO]]-CATEGORIAS[[#This Row],[COSTO REAL]]-CATEGORIAS[[#This Row],[PROYECCION
TOTAL DE COSTO]]</f>
        <v>0</v>
      </c>
    </row>
    <row r="182" spans="1:33" x14ac:dyDescent="0.25">
      <c r="A182" s="274" t="str">
        <f>+IFERROR(VLOOKUP(CATEGORIAS[[#This Row],[CATEGORIA2]],[1]HOMOLOGACION!$A$1:$I$571,9,FALSE),0)</f>
        <v>0Q02</v>
      </c>
      <c r="B182" s="274" t="str">
        <f>+IFERROR(VLOOKUP(CATEGORIAS[[#This Row],[CATEGORIA2]],[1]HOMOLOGACION!$A$1:$C$571,3,FALSE),0)</f>
        <v>0X01</v>
      </c>
      <c r="C182" s="274" t="str">
        <f>+IFERROR(VLOOKUP(CATEGORIAS[[#This Row],[CATEGORIA2]],[1]HOMOLOGACION!$A$1:$D$571,4,FALSE),0)</f>
        <v xml:space="preserve">Civil  </v>
      </c>
      <c r="D182" s="144" t="s">
        <v>1900</v>
      </c>
      <c r="E182" s="273" t="s">
        <v>711</v>
      </c>
      <c r="F182" s="275" t="s">
        <v>364</v>
      </c>
      <c r="G182" s="313">
        <v>601189.05599999998</v>
      </c>
      <c r="H182" s="313">
        <v>601189.05599999998</v>
      </c>
      <c r="I182" s="130">
        <v>0</v>
      </c>
      <c r="J182" s="130"/>
      <c r="K182" s="130"/>
      <c r="L182" s="143">
        <f>CATEGORIAS[[#This Row],[ADICIONALES]]+CATEGORIAS[[#This Row],[POM]]</f>
        <v>601189.05599999998</v>
      </c>
      <c r="M182" s="131">
        <v>597088.51199999999</v>
      </c>
      <c r="N182" s="227">
        <v>0</v>
      </c>
      <c r="O182" s="296">
        <f>CATEGORIAS[[#This Row],[PRODUCCION
PARTIDAS
ORIGINALES
ACTUAL]]+CATEGORIAS[[#This Row],[PRODUCCION
ADICIONALES
ACTUAL]]</f>
        <v>597088.51199999999</v>
      </c>
      <c r="P182" s="227">
        <v>595591.48800000001</v>
      </c>
      <c r="Q182" s="227">
        <v>0</v>
      </c>
      <c r="R182" s="297">
        <f>CATEGORIAS[[#This Row],[PRODUCCION
ANTERIOR]]+CATEGORIAS[[#This Row],[PRODUCCION
ADICIONALES
ANTERIOR]]</f>
        <v>595591.48800000001</v>
      </c>
      <c r="S182" s="133">
        <v>0</v>
      </c>
      <c r="T182" s="133">
        <v>1974682</v>
      </c>
      <c r="U182" s="133"/>
      <c r="V182" s="296">
        <f>SUM(CATEGORIAS[[#This Row],[COSTO
ACUMULADO  AX]:[PROVISIONES]])</f>
        <v>1974682</v>
      </c>
      <c r="W182" s="298">
        <v>0</v>
      </c>
      <c r="X182" s="227"/>
      <c r="Y182" s="227">
        <v>4671906.3603999997</v>
      </c>
      <c r="Z182" s="297">
        <f>SUM(CATEGORIAS[[#This Row],[COSTO ACUMULADO
ANTERIOR]:[PROVISIONES
ANTERIOR]])</f>
        <v>4671906.3603999997</v>
      </c>
      <c r="AA182" s="139">
        <f>CATEGORIAS[[#This Row],[PRESUPUESTO
FINAL
PROYECTADO]]-CATEGORIAS[[#This Row],[TOTAL PRODUCCION
ACTUAL]]</f>
        <v>4100.5439999999944</v>
      </c>
      <c r="AB182" s="227">
        <v>140000</v>
      </c>
      <c r="AC182" s="132"/>
      <c r="AD182" s="132">
        <v>-1513492.9440000001</v>
      </c>
      <c r="AE182" s="226">
        <f>SUM(CATEGORIAS[[#This Row],[INVENTARIO]:[PROYECCION
DE COSTO
DEL SALDO]])</f>
        <v>-1373492.9440000001</v>
      </c>
      <c r="AF182" s="132"/>
      <c r="AG182" s="132">
        <f>+CATEGORIAS[[#This Row],[PRESUPUESTO
FINAL
PROYECTADO]]-CATEGORIAS[[#This Row],[COSTO REAL]]-CATEGORIAS[[#This Row],[PROYECCION
TOTAL DE COSTO]]</f>
        <v>0</v>
      </c>
    </row>
    <row r="183" spans="1:33" x14ac:dyDescent="0.25">
      <c r="A183" s="274" t="str">
        <f>+IFERROR(VLOOKUP(CATEGORIAS[[#This Row],[CATEGORIA2]],[1]HOMOLOGACION!$A$1:$I$571,9,FALSE),0)</f>
        <v>0Q02</v>
      </c>
      <c r="B183" s="274" t="str">
        <f>+IFERROR(VLOOKUP(CATEGORIAS[[#This Row],[CATEGORIA2]],[1]HOMOLOGACION!$A$1:$C$571,3,FALSE),0)</f>
        <v>0X01</v>
      </c>
      <c r="C183" s="274" t="str">
        <f>+IFERROR(VLOOKUP(CATEGORIAS[[#This Row],[CATEGORIA2]],[1]HOMOLOGACION!$A$1:$D$571,4,FALSE),0)</f>
        <v xml:space="preserve">Civil  </v>
      </c>
      <c r="D183" s="144" t="s">
        <v>1901</v>
      </c>
      <c r="E183" s="273" t="s">
        <v>713</v>
      </c>
      <c r="F183" s="275" t="s">
        <v>361</v>
      </c>
      <c r="G183" s="313">
        <v>0</v>
      </c>
      <c r="H183" s="313">
        <v>0</v>
      </c>
      <c r="I183" s="130">
        <v>0</v>
      </c>
      <c r="J183" s="130"/>
      <c r="K183" s="130"/>
      <c r="L183" s="143">
        <f>CATEGORIAS[[#This Row],[ADICIONALES]]+CATEGORIAS[[#This Row],[POM]]</f>
        <v>0</v>
      </c>
      <c r="M183" s="131">
        <v>0</v>
      </c>
      <c r="N183" s="227">
        <v>0</v>
      </c>
      <c r="O183" s="296">
        <f>CATEGORIAS[[#This Row],[PRODUCCION
PARTIDAS
ORIGINALES
ACTUAL]]+CATEGORIAS[[#This Row],[PRODUCCION
ADICIONALES
ACTUAL]]</f>
        <v>0</v>
      </c>
      <c r="P183" s="227">
        <v>0</v>
      </c>
      <c r="Q183" s="132">
        <v>0</v>
      </c>
      <c r="R183" s="297">
        <f>CATEGORIAS[[#This Row],[PRODUCCION
ANTERIOR]]+CATEGORIAS[[#This Row],[PRODUCCION
ADICIONALES
ANTERIOR]]</f>
        <v>0</v>
      </c>
      <c r="S183" s="133">
        <v>1974682</v>
      </c>
      <c r="T183" s="133">
        <v>-1974682</v>
      </c>
      <c r="U183" s="133"/>
      <c r="V183" s="296">
        <f>SUM(CATEGORIAS[[#This Row],[COSTO
ACUMULADO  AX]:[PROVISIONES]])</f>
        <v>0</v>
      </c>
      <c r="W183" s="298">
        <v>0</v>
      </c>
      <c r="X183" s="227"/>
      <c r="Y183" s="227"/>
      <c r="Z183" s="297">
        <f>SUM(CATEGORIAS[[#This Row],[COSTO ACUMULADO
ANTERIOR]:[PROVISIONES
ANTERIOR]])</f>
        <v>0</v>
      </c>
      <c r="AA183" s="139">
        <f>CATEGORIAS[[#This Row],[PRESUPUESTO
FINAL
PROYECTADO]]-CATEGORIAS[[#This Row],[TOTAL PRODUCCION
ACTUAL]]</f>
        <v>0</v>
      </c>
      <c r="AB183" s="227">
        <v>0</v>
      </c>
      <c r="AC183" s="132"/>
      <c r="AD183" s="132"/>
      <c r="AE183" s="226">
        <f>SUM(CATEGORIAS[[#This Row],[INVENTARIO]:[PROYECCION
DE COSTO
DEL SALDO]])</f>
        <v>0</v>
      </c>
      <c r="AF183" s="132"/>
      <c r="AG183" s="132">
        <f>+CATEGORIAS[[#This Row],[PRESUPUESTO
FINAL
PROYECTADO]]-CATEGORIAS[[#This Row],[COSTO REAL]]-CATEGORIAS[[#This Row],[PROYECCION
TOTAL DE COSTO]]</f>
        <v>0</v>
      </c>
    </row>
    <row r="184" spans="1:33" x14ac:dyDescent="0.25">
      <c r="A184" s="274" t="str">
        <f>+IFERROR(VLOOKUP(CATEGORIAS[[#This Row],[CATEGORIA2]],[1]HOMOLOGACION!$A$1:$I$571,9,FALSE),0)</f>
        <v>0Q02</v>
      </c>
      <c r="B184" s="274" t="str">
        <f>+IFERROR(VLOOKUP(CATEGORIAS[[#This Row],[CATEGORIA2]],[1]HOMOLOGACION!$A$1:$C$571,3,FALSE),0)</f>
        <v>0X01</v>
      </c>
      <c r="C184" s="274" t="str">
        <f>+IFERROR(VLOOKUP(CATEGORIAS[[#This Row],[CATEGORIA2]],[1]HOMOLOGACION!$A$1:$D$571,4,FALSE),0)</f>
        <v xml:space="preserve">Civil  </v>
      </c>
      <c r="D184" s="144" t="s">
        <v>1902</v>
      </c>
      <c r="E184" s="273" t="s">
        <v>715</v>
      </c>
      <c r="F184" s="275" t="s">
        <v>361</v>
      </c>
      <c r="G184" s="313">
        <v>0</v>
      </c>
      <c r="H184" s="313">
        <v>0</v>
      </c>
      <c r="I184" s="130">
        <v>0</v>
      </c>
      <c r="J184" s="130"/>
      <c r="K184" s="130"/>
      <c r="L184" s="143">
        <f>CATEGORIAS[[#This Row],[ADICIONALES]]+CATEGORIAS[[#This Row],[POM]]</f>
        <v>0</v>
      </c>
      <c r="M184" s="131">
        <v>0</v>
      </c>
      <c r="N184" s="227">
        <v>0</v>
      </c>
      <c r="O184" s="296">
        <f>CATEGORIAS[[#This Row],[PRODUCCION
PARTIDAS
ORIGINALES
ACTUAL]]+CATEGORIAS[[#This Row],[PRODUCCION
ADICIONALES
ACTUAL]]</f>
        <v>0</v>
      </c>
      <c r="P184" s="227">
        <v>0</v>
      </c>
      <c r="Q184" s="132">
        <v>0</v>
      </c>
      <c r="R184" s="297">
        <f>CATEGORIAS[[#This Row],[PRODUCCION
ANTERIOR]]+CATEGORIAS[[#This Row],[PRODUCCION
ADICIONALES
ANTERIOR]]</f>
        <v>0</v>
      </c>
      <c r="S184" s="133">
        <v>0</v>
      </c>
      <c r="T184" s="133"/>
      <c r="U184" s="133"/>
      <c r="V184" s="296">
        <f>SUM(CATEGORIAS[[#This Row],[COSTO
ACUMULADO  AX]:[PROVISIONES]])</f>
        <v>0</v>
      </c>
      <c r="W184" s="298">
        <v>0</v>
      </c>
      <c r="X184" s="227"/>
      <c r="Y184" s="227"/>
      <c r="Z184" s="297">
        <f>SUM(CATEGORIAS[[#This Row],[COSTO ACUMULADO
ANTERIOR]:[PROVISIONES
ANTERIOR]])</f>
        <v>0</v>
      </c>
      <c r="AA184" s="139">
        <f>CATEGORIAS[[#This Row],[PRESUPUESTO
FINAL
PROYECTADO]]-CATEGORIAS[[#This Row],[TOTAL PRODUCCION
ACTUAL]]</f>
        <v>0</v>
      </c>
      <c r="AB184" s="227">
        <v>0</v>
      </c>
      <c r="AC184" s="132"/>
      <c r="AD184" s="132"/>
      <c r="AE184" s="226">
        <f>SUM(CATEGORIAS[[#This Row],[INVENTARIO]:[PROYECCION
DE COSTO
DEL SALDO]])</f>
        <v>0</v>
      </c>
      <c r="AF184" s="132"/>
      <c r="AG184" s="132">
        <f>+CATEGORIAS[[#This Row],[PRESUPUESTO
FINAL
PROYECTADO]]-CATEGORIAS[[#This Row],[COSTO REAL]]-CATEGORIAS[[#This Row],[PROYECCION
TOTAL DE COSTO]]</f>
        <v>0</v>
      </c>
    </row>
    <row r="185" spans="1:33" x14ac:dyDescent="0.25">
      <c r="A185" s="274" t="str">
        <f>+IFERROR(VLOOKUP(CATEGORIAS[[#This Row],[CATEGORIA2]],[1]HOMOLOGACION!$A$1:$I$571,9,FALSE),0)</f>
        <v>0Q02</v>
      </c>
      <c r="B185" s="274" t="str">
        <f>+IFERROR(VLOOKUP(CATEGORIAS[[#This Row],[CATEGORIA2]],[1]HOMOLOGACION!$A$1:$C$571,3,FALSE),0)</f>
        <v>0X01</v>
      </c>
      <c r="C185" s="274" t="str">
        <f>+IFERROR(VLOOKUP(CATEGORIAS[[#This Row],[CATEGORIA2]],[1]HOMOLOGACION!$A$1:$D$571,4,FALSE),0)</f>
        <v xml:space="preserve">Civil  </v>
      </c>
      <c r="D185" s="144" t="s">
        <v>1903</v>
      </c>
      <c r="E185" s="273" t="s">
        <v>717</v>
      </c>
      <c r="F185" s="275" t="s">
        <v>361</v>
      </c>
      <c r="G185" s="313">
        <v>0</v>
      </c>
      <c r="H185" s="313">
        <v>0</v>
      </c>
      <c r="I185" s="130">
        <v>0</v>
      </c>
      <c r="J185" s="130"/>
      <c r="K185" s="130"/>
      <c r="L185" s="143">
        <f>CATEGORIAS[[#This Row],[ADICIONALES]]+CATEGORIAS[[#This Row],[POM]]</f>
        <v>0</v>
      </c>
      <c r="M185" s="131">
        <v>0</v>
      </c>
      <c r="N185" s="227">
        <v>0</v>
      </c>
      <c r="O185" s="296">
        <f>CATEGORIAS[[#This Row],[PRODUCCION
PARTIDAS
ORIGINALES
ACTUAL]]+CATEGORIAS[[#This Row],[PRODUCCION
ADICIONALES
ACTUAL]]</f>
        <v>0</v>
      </c>
      <c r="P185" s="227">
        <v>0</v>
      </c>
      <c r="Q185" s="227">
        <v>0</v>
      </c>
      <c r="R185" s="297">
        <f>CATEGORIAS[[#This Row],[PRODUCCION
ANTERIOR]]+CATEGORIAS[[#This Row],[PRODUCCION
ADICIONALES
ANTERIOR]]</f>
        <v>0</v>
      </c>
      <c r="S185" s="133">
        <v>0</v>
      </c>
      <c r="T185" s="133"/>
      <c r="U185" s="133"/>
      <c r="V185" s="296">
        <f>SUM(CATEGORIAS[[#This Row],[COSTO
ACUMULADO  AX]:[PROVISIONES]])</f>
        <v>0</v>
      </c>
      <c r="W185" s="298">
        <v>0</v>
      </c>
      <c r="X185" s="227"/>
      <c r="Y185" s="227"/>
      <c r="Z185" s="297">
        <f>SUM(CATEGORIAS[[#This Row],[COSTO ACUMULADO
ANTERIOR]:[PROVISIONES
ANTERIOR]])</f>
        <v>0</v>
      </c>
      <c r="AA185" s="139">
        <f>CATEGORIAS[[#This Row],[PRESUPUESTO
FINAL
PROYECTADO]]-CATEGORIAS[[#This Row],[TOTAL PRODUCCION
ACTUAL]]</f>
        <v>0</v>
      </c>
      <c r="AB185" s="227">
        <v>0</v>
      </c>
      <c r="AC185" s="132"/>
      <c r="AD185" s="132"/>
      <c r="AE185" s="226">
        <f>SUM(CATEGORIAS[[#This Row],[INVENTARIO]:[PROYECCION
DE COSTO
DEL SALDO]])</f>
        <v>0</v>
      </c>
      <c r="AF185" s="132"/>
      <c r="AG185" s="132">
        <f>+CATEGORIAS[[#This Row],[PRESUPUESTO
FINAL
PROYECTADO]]-CATEGORIAS[[#This Row],[COSTO REAL]]-CATEGORIAS[[#This Row],[PROYECCION
TOTAL DE COSTO]]</f>
        <v>0</v>
      </c>
    </row>
    <row r="186" spans="1:33" x14ac:dyDescent="0.25">
      <c r="A186" s="274" t="str">
        <f>+IFERROR(VLOOKUP(CATEGORIAS[[#This Row],[CATEGORIA2]],[1]HOMOLOGACION!$A$1:$I$571,9,FALSE),0)</f>
        <v>0Q02</v>
      </c>
      <c r="B186" s="274" t="str">
        <f>+IFERROR(VLOOKUP(CATEGORIAS[[#This Row],[CATEGORIA2]],[1]HOMOLOGACION!$A$1:$C$571,3,FALSE),0)</f>
        <v>0X01</v>
      </c>
      <c r="C186" s="274" t="str">
        <f>+IFERROR(VLOOKUP(CATEGORIAS[[#This Row],[CATEGORIA2]],[1]HOMOLOGACION!$A$1:$D$571,4,FALSE),0)</f>
        <v xml:space="preserve">Civil  </v>
      </c>
      <c r="D186" s="144" t="s">
        <v>1904</v>
      </c>
      <c r="E186" s="273" t="s">
        <v>719</v>
      </c>
      <c r="F186" s="275" t="s">
        <v>364</v>
      </c>
      <c r="G186" s="313">
        <v>12904640</v>
      </c>
      <c r="H186" s="313">
        <v>12904640</v>
      </c>
      <c r="I186" s="130">
        <v>0</v>
      </c>
      <c r="J186" s="130"/>
      <c r="K186" s="130"/>
      <c r="L186" s="143">
        <f>CATEGORIAS[[#This Row],[ADICIONALES]]+CATEGORIAS[[#This Row],[POM]]</f>
        <v>12904640</v>
      </c>
      <c r="M186" s="131">
        <v>12904640</v>
      </c>
      <c r="N186" s="227">
        <v>0</v>
      </c>
      <c r="O186" s="296">
        <f>CATEGORIAS[[#This Row],[PRODUCCION
PARTIDAS
ORIGINALES
ACTUAL]]+CATEGORIAS[[#This Row],[PRODUCCION
ADICIONALES
ACTUAL]]</f>
        <v>12904640</v>
      </c>
      <c r="P186" s="227">
        <v>12904640</v>
      </c>
      <c r="Q186" s="227">
        <v>0</v>
      </c>
      <c r="R186" s="297">
        <f>CATEGORIAS[[#This Row],[PRODUCCION
ANTERIOR]]+CATEGORIAS[[#This Row],[PRODUCCION
ADICIONALES
ANTERIOR]]</f>
        <v>12904640</v>
      </c>
      <c r="S186" s="133">
        <v>0</v>
      </c>
      <c r="T186" s="133"/>
      <c r="U186" s="133"/>
      <c r="V186" s="296">
        <f>SUM(CATEGORIAS[[#This Row],[COSTO
ACUMULADO  AX]:[PROVISIONES]])</f>
        <v>0</v>
      </c>
      <c r="W186" s="298">
        <v>0</v>
      </c>
      <c r="X186" s="227"/>
      <c r="Y186" s="227"/>
      <c r="Z186" s="297">
        <f>SUM(CATEGORIAS[[#This Row],[COSTO ACUMULADO
ANTERIOR]:[PROVISIONES
ANTERIOR]])</f>
        <v>0</v>
      </c>
      <c r="AA186" s="139">
        <f>CATEGORIAS[[#This Row],[PRESUPUESTO
FINAL
PROYECTADO]]-CATEGORIAS[[#This Row],[TOTAL PRODUCCION
ACTUAL]]</f>
        <v>0</v>
      </c>
      <c r="AB186" s="227">
        <v>0</v>
      </c>
      <c r="AC186" s="132"/>
      <c r="AD186" s="132">
        <v>12904640</v>
      </c>
      <c r="AE186" s="226">
        <f>SUM(CATEGORIAS[[#This Row],[INVENTARIO]:[PROYECCION
DE COSTO
DEL SALDO]])</f>
        <v>12904640</v>
      </c>
      <c r="AF186" s="132"/>
      <c r="AG186" s="132">
        <f>+CATEGORIAS[[#This Row],[PRESUPUESTO
FINAL
PROYECTADO]]-CATEGORIAS[[#This Row],[COSTO REAL]]-CATEGORIAS[[#This Row],[PROYECCION
TOTAL DE COSTO]]</f>
        <v>0</v>
      </c>
    </row>
    <row r="187" spans="1:33" x14ac:dyDescent="0.25">
      <c r="A187" s="274" t="str">
        <f>+IFERROR(VLOOKUP(CATEGORIAS[[#This Row],[CATEGORIA2]],[1]HOMOLOGACION!$A$1:$I$571,9,FALSE),0)</f>
        <v>0Q02</v>
      </c>
      <c r="B187" s="274" t="str">
        <f>+IFERROR(VLOOKUP(CATEGORIAS[[#This Row],[CATEGORIA2]],[1]HOMOLOGACION!$A$1:$C$571,3,FALSE),0)</f>
        <v>0X01</v>
      </c>
      <c r="C187" s="274" t="str">
        <f>+IFERROR(VLOOKUP(CATEGORIAS[[#This Row],[CATEGORIA2]],[1]HOMOLOGACION!$A$1:$D$571,4,FALSE),0)</f>
        <v xml:space="preserve">Civil  </v>
      </c>
      <c r="D187" s="144" t="s">
        <v>1905</v>
      </c>
      <c r="E187" s="273" t="s">
        <v>721</v>
      </c>
      <c r="F187" s="275" t="s">
        <v>361</v>
      </c>
      <c r="G187" s="313">
        <v>0</v>
      </c>
      <c r="H187" s="313">
        <v>0</v>
      </c>
      <c r="I187" s="130">
        <v>0</v>
      </c>
      <c r="J187" s="130"/>
      <c r="K187" s="130"/>
      <c r="L187" s="143">
        <f>CATEGORIAS[[#This Row],[ADICIONALES]]+CATEGORIAS[[#This Row],[POM]]</f>
        <v>0</v>
      </c>
      <c r="M187" s="131">
        <v>0</v>
      </c>
      <c r="N187" s="227">
        <v>0</v>
      </c>
      <c r="O187" s="296">
        <f>CATEGORIAS[[#This Row],[PRODUCCION
PARTIDAS
ORIGINALES
ACTUAL]]+CATEGORIAS[[#This Row],[PRODUCCION
ADICIONALES
ACTUAL]]</f>
        <v>0</v>
      </c>
      <c r="P187" s="227">
        <v>0</v>
      </c>
      <c r="Q187" s="227">
        <v>0</v>
      </c>
      <c r="R187" s="297">
        <f>CATEGORIAS[[#This Row],[PRODUCCION
ANTERIOR]]+CATEGORIAS[[#This Row],[PRODUCCION
ADICIONALES
ANTERIOR]]</f>
        <v>0</v>
      </c>
      <c r="S187" s="133">
        <v>0</v>
      </c>
      <c r="T187" s="133"/>
      <c r="U187" s="133"/>
      <c r="V187" s="296">
        <f>SUM(CATEGORIAS[[#This Row],[COSTO
ACUMULADO  AX]:[PROVISIONES]])</f>
        <v>0</v>
      </c>
      <c r="W187" s="298">
        <v>0</v>
      </c>
      <c r="X187" s="227"/>
      <c r="Y187" s="227"/>
      <c r="Z187" s="297">
        <f>SUM(CATEGORIAS[[#This Row],[COSTO ACUMULADO
ANTERIOR]:[PROVISIONES
ANTERIOR]])</f>
        <v>0</v>
      </c>
      <c r="AA187" s="139">
        <f>CATEGORIAS[[#This Row],[PRESUPUESTO
FINAL
PROYECTADO]]-CATEGORIAS[[#This Row],[TOTAL PRODUCCION
ACTUAL]]</f>
        <v>0</v>
      </c>
      <c r="AB187" s="227">
        <v>0</v>
      </c>
      <c r="AC187" s="132"/>
      <c r="AD187" s="132"/>
      <c r="AE187" s="226">
        <f>SUM(CATEGORIAS[[#This Row],[INVENTARIO]:[PROYECCION
DE COSTO
DEL SALDO]])</f>
        <v>0</v>
      </c>
      <c r="AF187" s="132"/>
      <c r="AG187" s="132">
        <f>+CATEGORIAS[[#This Row],[PRESUPUESTO
FINAL
PROYECTADO]]-CATEGORIAS[[#This Row],[COSTO REAL]]-CATEGORIAS[[#This Row],[PROYECCION
TOTAL DE COSTO]]</f>
        <v>0</v>
      </c>
    </row>
    <row r="188" spans="1:33" x14ac:dyDescent="0.25">
      <c r="A188" s="274" t="str">
        <f>+IFERROR(VLOOKUP(CATEGORIAS[[#This Row],[CATEGORIA2]],[1]HOMOLOGACION!$A$1:$I$571,9,FALSE),0)</f>
        <v>0Q02</v>
      </c>
      <c r="B188" s="274" t="str">
        <f>+IFERROR(VLOOKUP(CATEGORIAS[[#This Row],[CATEGORIA2]],[1]HOMOLOGACION!$A$1:$C$571,3,FALSE),0)</f>
        <v>0X01</v>
      </c>
      <c r="C188" s="274" t="str">
        <f>+IFERROR(VLOOKUP(CATEGORIAS[[#This Row],[CATEGORIA2]],[1]HOMOLOGACION!$A$1:$D$571,4,FALSE),0)</f>
        <v xml:space="preserve">Civil  </v>
      </c>
      <c r="D188" s="144" t="s">
        <v>1906</v>
      </c>
      <c r="E188" s="273" t="s">
        <v>723</v>
      </c>
      <c r="F188" s="275" t="s">
        <v>361</v>
      </c>
      <c r="G188" s="313">
        <v>0</v>
      </c>
      <c r="H188" s="313">
        <v>0</v>
      </c>
      <c r="I188" s="130">
        <v>0</v>
      </c>
      <c r="J188" s="130"/>
      <c r="K188" s="130"/>
      <c r="L188" s="143">
        <f>CATEGORIAS[[#This Row],[ADICIONALES]]+CATEGORIAS[[#This Row],[POM]]</f>
        <v>0</v>
      </c>
      <c r="M188" s="131">
        <v>0</v>
      </c>
      <c r="N188" s="227">
        <v>0</v>
      </c>
      <c r="O188" s="296">
        <f>CATEGORIAS[[#This Row],[PRODUCCION
PARTIDAS
ORIGINALES
ACTUAL]]+CATEGORIAS[[#This Row],[PRODUCCION
ADICIONALES
ACTUAL]]</f>
        <v>0</v>
      </c>
      <c r="P188" s="227">
        <v>0</v>
      </c>
      <c r="Q188" s="132">
        <v>0</v>
      </c>
      <c r="R188" s="297">
        <f>CATEGORIAS[[#This Row],[PRODUCCION
ANTERIOR]]+CATEGORIAS[[#This Row],[PRODUCCION
ADICIONALES
ANTERIOR]]</f>
        <v>0</v>
      </c>
      <c r="S188" s="133">
        <v>0</v>
      </c>
      <c r="T188" s="133"/>
      <c r="U188" s="227"/>
      <c r="V188" s="296">
        <f>SUM(CATEGORIAS[[#This Row],[COSTO
ACUMULADO  AX]:[PROVISIONES]])</f>
        <v>0</v>
      </c>
      <c r="W188" s="298">
        <v>0</v>
      </c>
      <c r="X188" s="227"/>
      <c r="Y188" s="227"/>
      <c r="Z188" s="297">
        <f>SUM(CATEGORIAS[[#This Row],[COSTO ACUMULADO
ANTERIOR]:[PROVISIONES
ANTERIOR]])</f>
        <v>0</v>
      </c>
      <c r="AA188" s="139">
        <f>CATEGORIAS[[#This Row],[PRESUPUESTO
FINAL
PROYECTADO]]-CATEGORIAS[[#This Row],[TOTAL PRODUCCION
ACTUAL]]</f>
        <v>0</v>
      </c>
      <c r="AB188" s="227">
        <v>0</v>
      </c>
      <c r="AC188" s="132"/>
      <c r="AD188" s="132"/>
      <c r="AE188" s="226">
        <f>SUM(CATEGORIAS[[#This Row],[INVENTARIO]:[PROYECCION
DE COSTO
DEL SALDO]])</f>
        <v>0</v>
      </c>
      <c r="AF188" s="132"/>
      <c r="AG188" s="132">
        <f>+CATEGORIAS[[#This Row],[PRESUPUESTO
FINAL
PROYECTADO]]-CATEGORIAS[[#This Row],[COSTO REAL]]-CATEGORIAS[[#This Row],[PROYECCION
TOTAL DE COSTO]]</f>
        <v>0</v>
      </c>
    </row>
    <row r="189" spans="1:33" x14ac:dyDescent="0.25">
      <c r="A189" s="274" t="str">
        <f>+IFERROR(VLOOKUP(CATEGORIAS[[#This Row],[CATEGORIA2]],[1]HOMOLOGACION!$A$1:$I$571,9,FALSE),0)</f>
        <v>0Q02</v>
      </c>
      <c r="B189" s="274" t="str">
        <f>+IFERROR(VLOOKUP(CATEGORIAS[[#This Row],[CATEGORIA2]],[1]HOMOLOGACION!$A$1:$C$571,3,FALSE),0)</f>
        <v>0X01</v>
      </c>
      <c r="C189" s="274" t="str">
        <f>+IFERROR(VLOOKUP(CATEGORIAS[[#This Row],[CATEGORIA2]],[1]HOMOLOGACION!$A$1:$D$571,4,FALSE),0)</f>
        <v xml:space="preserve">Civil  </v>
      </c>
      <c r="D189" s="144" t="s">
        <v>1907</v>
      </c>
      <c r="E189" s="273" t="s">
        <v>725</v>
      </c>
      <c r="F189" s="275" t="s">
        <v>361</v>
      </c>
      <c r="G189" s="313">
        <v>0</v>
      </c>
      <c r="H189" s="313">
        <v>0</v>
      </c>
      <c r="I189" s="130">
        <v>0</v>
      </c>
      <c r="J189" s="130"/>
      <c r="K189" s="130"/>
      <c r="L189" s="143">
        <f>CATEGORIAS[[#This Row],[ADICIONALES]]+CATEGORIAS[[#This Row],[POM]]</f>
        <v>0</v>
      </c>
      <c r="M189" s="131">
        <v>0</v>
      </c>
      <c r="N189" s="227">
        <v>0</v>
      </c>
      <c r="O189" s="296">
        <f>CATEGORIAS[[#This Row],[PRODUCCION
PARTIDAS
ORIGINALES
ACTUAL]]+CATEGORIAS[[#This Row],[PRODUCCION
ADICIONALES
ACTUAL]]</f>
        <v>0</v>
      </c>
      <c r="P189" s="227">
        <v>0</v>
      </c>
      <c r="Q189" s="227">
        <v>0</v>
      </c>
      <c r="R189" s="297">
        <f>CATEGORIAS[[#This Row],[PRODUCCION
ANTERIOR]]+CATEGORIAS[[#This Row],[PRODUCCION
ADICIONALES
ANTERIOR]]</f>
        <v>0</v>
      </c>
      <c r="S189" s="133">
        <v>0</v>
      </c>
      <c r="T189" s="133"/>
      <c r="U189" s="133"/>
      <c r="V189" s="296">
        <f>SUM(CATEGORIAS[[#This Row],[COSTO
ACUMULADO  AX]:[PROVISIONES]])</f>
        <v>0</v>
      </c>
      <c r="W189" s="298">
        <v>0</v>
      </c>
      <c r="X189" s="227"/>
      <c r="Y189" s="227"/>
      <c r="Z189" s="297">
        <f>SUM(CATEGORIAS[[#This Row],[COSTO ACUMULADO
ANTERIOR]:[PROVISIONES
ANTERIOR]])</f>
        <v>0</v>
      </c>
      <c r="AA189" s="139">
        <f>CATEGORIAS[[#This Row],[PRESUPUESTO
FINAL
PROYECTADO]]-CATEGORIAS[[#This Row],[TOTAL PRODUCCION
ACTUAL]]</f>
        <v>0</v>
      </c>
      <c r="AB189" s="227">
        <v>0</v>
      </c>
      <c r="AC189" s="132"/>
      <c r="AD189" s="132"/>
      <c r="AE189" s="226">
        <f>SUM(CATEGORIAS[[#This Row],[INVENTARIO]:[PROYECCION
DE COSTO
DEL SALDO]])</f>
        <v>0</v>
      </c>
      <c r="AF189" s="132"/>
      <c r="AG189" s="132">
        <f>+CATEGORIAS[[#This Row],[PRESUPUESTO
FINAL
PROYECTADO]]-CATEGORIAS[[#This Row],[COSTO REAL]]-CATEGORIAS[[#This Row],[PROYECCION
TOTAL DE COSTO]]</f>
        <v>0</v>
      </c>
    </row>
    <row r="190" spans="1:33" x14ac:dyDescent="0.25">
      <c r="A190" s="274" t="str">
        <f>+IFERROR(VLOOKUP(CATEGORIAS[[#This Row],[CATEGORIA2]],[1]HOMOLOGACION!$A$1:$I$571,9,FALSE),0)</f>
        <v>0Q02</v>
      </c>
      <c r="B190" s="274" t="str">
        <f>+IFERROR(VLOOKUP(CATEGORIAS[[#This Row],[CATEGORIA2]],[1]HOMOLOGACION!$A$1:$C$571,3,FALSE),0)</f>
        <v>0X04</v>
      </c>
      <c r="C190" s="274" t="str">
        <f>+IFERROR(VLOOKUP(CATEGORIAS[[#This Row],[CATEGORIA2]],[1]HOMOLOGACION!$A$1:$D$571,4,FALSE),0)</f>
        <v xml:space="preserve">Estructura </v>
      </c>
      <c r="D190" s="144" t="s">
        <v>1908</v>
      </c>
      <c r="E190" s="273" t="s">
        <v>727</v>
      </c>
      <c r="F190" s="275" t="s">
        <v>361</v>
      </c>
      <c r="G190" s="313">
        <v>0</v>
      </c>
      <c r="H190" s="313">
        <v>0</v>
      </c>
      <c r="I190" s="130">
        <v>0</v>
      </c>
      <c r="J190" s="130"/>
      <c r="K190" s="130"/>
      <c r="L190" s="143">
        <f>CATEGORIAS[[#This Row],[ADICIONALES]]+CATEGORIAS[[#This Row],[POM]]</f>
        <v>0</v>
      </c>
      <c r="M190" s="131">
        <v>0</v>
      </c>
      <c r="N190" s="227">
        <v>0</v>
      </c>
      <c r="O190" s="296">
        <f>CATEGORIAS[[#This Row],[PRODUCCION
PARTIDAS
ORIGINALES
ACTUAL]]+CATEGORIAS[[#This Row],[PRODUCCION
ADICIONALES
ACTUAL]]</f>
        <v>0</v>
      </c>
      <c r="P190" s="227">
        <v>0</v>
      </c>
      <c r="Q190" s="227">
        <v>0</v>
      </c>
      <c r="R190" s="297">
        <f>CATEGORIAS[[#This Row],[PRODUCCION
ANTERIOR]]+CATEGORIAS[[#This Row],[PRODUCCION
ADICIONALES
ANTERIOR]]</f>
        <v>0</v>
      </c>
      <c r="S190" s="133">
        <v>0</v>
      </c>
      <c r="T190" s="133"/>
      <c r="U190" s="133"/>
      <c r="V190" s="296">
        <f>SUM(CATEGORIAS[[#This Row],[COSTO
ACUMULADO  AX]:[PROVISIONES]])</f>
        <v>0</v>
      </c>
      <c r="W190" s="298">
        <v>0</v>
      </c>
      <c r="X190" s="227"/>
      <c r="Y190" s="227"/>
      <c r="Z190" s="297">
        <f>SUM(CATEGORIAS[[#This Row],[COSTO ACUMULADO
ANTERIOR]:[PROVISIONES
ANTERIOR]])</f>
        <v>0</v>
      </c>
      <c r="AA190" s="139">
        <f>CATEGORIAS[[#This Row],[PRESUPUESTO
FINAL
PROYECTADO]]-CATEGORIAS[[#This Row],[TOTAL PRODUCCION
ACTUAL]]</f>
        <v>0</v>
      </c>
      <c r="AB190" s="227">
        <v>0</v>
      </c>
      <c r="AC190" s="132"/>
      <c r="AD190" s="132"/>
      <c r="AE190" s="226">
        <f>SUM(CATEGORIAS[[#This Row],[INVENTARIO]:[PROYECCION
DE COSTO
DEL SALDO]])</f>
        <v>0</v>
      </c>
      <c r="AF190" s="132"/>
      <c r="AG190" s="132">
        <f>+CATEGORIAS[[#This Row],[PRESUPUESTO
FINAL
PROYECTADO]]-CATEGORIAS[[#This Row],[COSTO REAL]]-CATEGORIAS[[#This Row],[PROYECCION
TOTAL DE COSTO]]</f>
        <v>0</v>
      </c>
    </row>
    <row r="191" spans="1:33" x14ac:dyDescent="0.25">
      <c r="A191" s="274" t="str">
        <f>+IFERROR(VLOOKUP(CATEGORIAS[[#This Row],[CATEGORIA2]],[1]HOMOLOGACION!$A$1:$I$571,9,FALSE),0)</f>
        <v>0Q02</v>
      </c>
      <c r="B191" s="274" t="str">
        <f>+IFERROR(VLOOKUP(CATEGORIAS[[#This Row],[CATEGORIA2]],[1]HOMOLOGACION!$A$1:$C$571,3,FALSE),0)</f>
        <v>0X04</v>
      </c>
      <c r="C191" s="274" t="str">
        <f>+IFERROR(VLOOKUP(CATEGORIAS[[#This Row],[CATEGORIA2]],[1]HOMOLOGACION!$A$1:$D$571,4,FALSE),0)</f>
        <v xml:space="preserve">Estructura </v>
      </c>
      <c r="D191" s="144" t="s">
        <v>1909</v>
      </c>
      <c r="E191" s="273" t="s">
        <v>729</v>
      </c>
      <c r="F191" s="275" t="s">
        <v>361</v>
      </c>
      <c r="G191" s="313">
        <v>0</v>
      </c>
      <c r="H191" s="313">
        <v>0</v>
      </c>
      <c r="I191" s="130">
        <v>0</v>
      </c>
      <c r="J191" s="130"/>
      <c r="K191" s="130"/>
      <c r="L191" s="143">
        <f>CATEGORIAS[[#This Row],[ADICIONALES]]+CATEGORIAS[[#This Row],[POM]]</f>
        <v>0</v>
      </c>
      <c r="M191" s="131">
        <v>0</v>
      </c>
      <c r="N191" s="227">
        <v>0</v>
      </c>
      <c r="O191" s="296">
        <f>CATEGORIAS[[#This Row],[PRODUCCION
PARTIDAS
ORIGINALES
ACTUAL]]+CATEGORIAS[[#This Row],[PRODUCCION
ADICIONALES
ACTUAL]]</f>
        <v>0</v>
      </c>
      <c r="P191" s="227">
        <v>0</v>
      </c>
      <c r="Q191" s="227">
        <v>0</v>
      </c>
      <c r="R191" s="297">
        <f>CATEGORIAS[[#This Row],[PRODUCCION
ANTERIOR]]+CATEGORIAS[[#This Row],[PRODUCCION
ADICIONALES
ANTERIOR]]</f>
        <v>0</v>
      </c>
      <c r="S191" s="133">
        <v>0</v>
      </c>
      <c r="T191" s="133"/>
      <c r="U191" s="133"/>
      <c r="V191" s="296">
        <f>SUM(CATEGORIAS[[#This Row],[COSTO
ACUMULADO  AX]:[PROVISIONES]])</f>
        <v>0</v>
      </c>
      <c r="W191" s="298">
        <v>0</v>
      </c>
      <c r="X191" s="227"/>
      <c r="Y191" s="227"/>
      <c r="Z191" s="297">
        <f>SUM(CATEGORIAS[[#This Row],[COSTO ACUMULADO
ANTERIOR]:[PROVISIONES
ANTERIOR]])</f>
        <v>0</v>
      </c>
      <c r="AA191" s="139">
        <f>CATEGORIAS[[#This Row],[PRESUPUESTO
FINAL
PROYECTADO]]-CATEGORIAS[[#This Row],[TOTAL PRODUCCION
ACTUAL]]</f>
        <v>0</v>
      </c>
      <c r="AB191" s="227">
        <v>0</v>
      </c>
      <c r="AC191" s="132"/>
      <c r="AD191" s="132"/>
      <c r="AE191" s="226">
        <f>SUM(CATEGORIAS[[#This Row],[INVENTARIO]:[PROYECCION
DE COSTO
DEL SALDO]])</f>
        <v>0</v>
      </c>
      <c r="AF191" s="132"/>
      <c r="AG191" s="132">
        <f>+CATEGORIAS[[#This Row],[PRESUPUESTO
FINAL
PROYECTADO]]-CATEGORIAS[[#This Row],[COSTO REAL]]-CATEGORIAS[[#This Row],[PROYECCION
TOTAL DE COSTO]]</f>
        <v>0</v>
      </c>
    </row>
    <row r="192" spans="1:33" x14ac:dyDescent="0.25">
      <c r="A192" s="274" t="str">
        <f>+IFERROR(VLOOKUP(CATEGORIAS[[#This Row],[CATEGORIA2]],[1]HOMOLOGACION!$A$1:$I$571,9,FALSE),0)</f>
        <v>0Q02</v>
      </c>
      <c r="B192" s="274" t="str">
        <f>+IFERROR(VLOOKUP(CATEGORIAS[[#This Row],[CATEGORIA2]],[1]HOMOLOGACION!$A$1:$C$571,3,FALSE),0)</f>
        <v>0X04</v>
      </c>
      <c r="C192" s="274" t="str">
        <f>+IFERROR(VLOOKUP(CATEGORIAS[[#This Row],[CATEGORIA2]],[1]HOMOLOGACION!$A$1:$D$571,4,FALSE),0)</f>
        <v xml:space="preserve">Estructura </v>
      </c>
      <c r="D192" s="144" t="s">
        <v>1910</v>
      </c>
      <c r="E192" s="273" t="s">
        <v>731</v>
      </c>
      <c r="F192" s="275" t="s">
        <v>361</v>
      </c>
      <c r="G192" s="313">
        <v>0</v>
      </c>
      <c r="H192" s="313">
        <v>0</v>
      </c>
      <c r="I192" s="130">
        <v>0</v>
      </c>
      <c r="J192" s="130"/>
      <c r="K192" s="130"/>
      <c r="L192" s="143">
        <f>CATEGORIAS[[#This Row],[ADICIONALES]]+CATEGORIAS[[#This Row],[POM]]</f>
        <v>0</v>
      </c>
      <c r="M192" s="131">
        <v>0</v>
      </c>
      <c r="N192" s="227">
        <v>0</v>
      </c>
      <c r="O192" s="296">
        <f>CATEGORIAS[[#This Row],[PRODUCCION
PARTIDAS
ORIGINALES
ACTUAL]]+CATEGORIAS[[#This Row],[PRODUCCION
ADICIONALES
ACTUAL]]</f>
        <v>0</v>
      </c>
      <c r="P192" s="227">
        <v>0</v>
      </c>
      <c r="Q192" s="227">
        <v>0</v>
      </c>
      <c r="R192" s="297">
        <f>CATEGORIAS[[#This Row],[PRODUCCION
ANTERIOR]]+CATEGORIAS[[#This Row],[PRODUCCION
ADICIONALES
ANTERIOR]]</f>
        <v>0</v>
      </c>
      <c r="S192" s="133">
        <v>0</v>
      </c>
      <c r="T192" s="133"/>
      <c r="U192" s="133"/>
      <c r="V192" s="296">
        <f>SUM(CATEGORIAS[[#This Row],[COSTO
ACUMULADO  AX]:[PROVISIONES]])</f>
        <v>0</v>
      </c>
      <c r="W192" s="298">
        <v>0</v>
      </c>
      <c r="X192" s="227"/>
      <c r="Y192" s="227"/>
      <c r="Z192" s="297">
        <f>SUM(CATEGORIAS[[#This Row],[COSTO ACUMULADO
ANTERIOR]:[PROVISIONES
ANTERIOR]])</f>
        <v>0</v>
      </c>
      <c r="AA192" s="139">
        <f>CATEGORIAS[[#This Row],[PRESUPUESTO
FINAL
PROYECTADO]]-CATEGORIAS[[#This Row],[TOTAL PRODUCCION
ACTUAL]]</f>
        <v>0</v>
      </c>
      <c r="AB192" s="227">
        <v>0</v>
      </c>
      <c r="AC192" s="132"/>
      <c r="AD192" s="132"/>
      <c r="AE192" s="226">
        <f>SUM(CATEGORIAS[[#This Row],[INVENTARIO]:[PROYECCION
DE COSTO
DEL SALDO]])</f>
        <v>0</v>
      </c>
      <c r="AF192" s="132"/>
      <c r="AG192" s="132">
        <f>+CATEGORIAS[[#This Row],[PRESUPUESTO
FINAL
PROYECTADO]]-CATEGORIAS[[#This Row],[COSTO REAL]]-CATEGORIAS[[#This Row],[PROYECCION
TOTAL DE COSTO]]</f>
        <v>0</v>
      </c>
    </row>
    <row r="193" spans="1:33" x14ac:dyDescent="0.25">
      <c r="A193" s="274" t="str">
        <f>+IFERROR(VLOOKUP(CATEGORIAS[[#This Row],[CATEGORIA2]],[1]HOMOLOGACION!$A$1:$I$571,9,FALSE),0)</f>
        <v>0Q02</v>
      </c>
      <c r="B193" s="274" t="str">
        <f>+IFERROR(VLOOKUP(CATEGORIAS[[#This Row],[CATEGORIA2]],[1]HOMOLOGACION!$A$1:$C$571,3,FALSE),0)</f>
        <v>0X04</v>
      </c>
      <c r="C193" s="274" t="str">
        <f>+IFERROR(VLOOKUP(CATEGORIAS[[#This Row],[CATEGORIA2]],[1]HOMOLOGACION!$A$1:$D$571,4,FALSE),0)</f>
        <v xml:space="preserve">Estructura </v>
      </c>
      <c r="D193" s="144" t="s">
        <v>1911</v>
      </c>
      <c r="E193" s="273" t="s">
        <v>733</v>
      </c>
      <c r="F193" s="275" t="s">
        <v>361</v>
      </c>
      <c r="G193" s="313">
        <v>0</v>
      </c>
      <c r="H193" s="313">
        <v>0</v>
      </c>
      <c r="I193" s="130">
        <v>0</v>
      </c>
      <c r="J193" s="130"/>
      <c r="K193" s="130"/>
      <c r="L193" s="143">
        <f>CATEGORIAS[[#This Row],[ADICIONALES]]+CATEGORIAS[[#This Row],[POM]]</f>
        <v>0</v>
      </c>
      <c r="M193" s="131">
        <v>0</v>
      </c>
      <c r="N193" s="227">
        <v>0</v>
      </c>
      <c r="O193" s="296">
        <f>CATEGORIAS[[#This Row],[PRODUCCION
PARTIDAS
ORIGINALES
ACTUAL]]+CATEGORIAS[[#This Row],[PRODUCCION
ADICIONALES
ACTUAL]]</f>
        <v>0</v>
      </c>
      <c r="P193" s="227">
        <v>0</v>
      </c>
      <c r="Q193" s="132">
        <v>0</v>
      </c>
      <c r="R193" s="297">
        <f>CATEGORIAS[[#This Row],[PRODUCCION
ANTERIOR]]+CATEGORIAS[[#This Row],[PRODUCCION
ADICIONALES
ANTERIOR]]</f>
        <v>0</v>
      </c>
      <c r="S193" s="133">
        <v>0</v>
      </c>
      <c r="T193" s="133"/>
      <c r="U193" s="133"/>
      <c r="V193" s="296">
        <f>SUM(CATEGORIAS[[#This Row],[COSTO
ACUMULADO  AX]:[PROVISIONES]])</f>
        <v>0</v>
      </c>
      <c r="W193" s="298">
        <v>0</v>
      </c>
      <c r="X193" s="227"/>
      <c r="Y193" s="227"/>
      <c r="Z193" s="297">
        <f>SUM(CATEGORIAS[[#This Row],[COSTO ACUMULADO
ANTERIOR]:[PROVISIONES
ANTERIOR]])</f>
        <v>0</v>
      </c>
      <c r="AA193" s="139">
        <f>CATEGORIAS[[#This Row],[PRESUPUESTO
FINAL
PROYECTADO]]-CATEGORIAS[[#This Row],[TOTAL PRODUCCION
ACTUAL]]</f>
        <v>0</v>
      </c>
      <c r="AB193" s="227">
        <v>0</v>
      </c>
      <c r="AC193" s="132"/>
      <c r="AD193" s="132"/>
      <c r="AE193" s="226">
        <f>SUM(CATEGORIAS[[#This Row],[INVENTARIO]:[PROYECCION
DE COSTO
DEL SALDO]])</f>
        <v>0</v>
      </c>
      <c r="AF193" s="132"/>
      <c r="AG193" s="132">
        <f>+CATEGORIAS[[#This Row],[PRESUPUESTO
FINAL
PROYECTADO]]-CATEGORIAS[[#This Row],[COSTO REAL]]-CATEGORIAS[[#This Row],[PROYECCION
TOTAL DE COSTO]]</f>
        <v>0</v>
      </c>
    </row>
    <row r="194" spans="1:33" x14ac:dyDescent="0.25">
      <c r="A194" s="274" t="str">
        <f>+IFERROR(VLOOKUP(CATEGORIAS[[#This Row],[CATEGORIA2]],[1]HOMOLOGACION!$A$1:$I$571,9,FALSE),0)</f>
        <v>0Q02</v>
      </c>
      <c r="B194" s="274" t="str">
        <f>+IFERROR(VLOOKUP(CATEGORIAS[[#This Row],[CATEGORIA2]],[1]HOMOLOGACION!$A$1:$C$571,3,FALSE),0)</f>
        <v>0X04</v>
      </c>
      <c r="C194" s="274" t="str">
        <f>+IFERROR(VLOOKUP(CATEGORIAS[[#This Row],[CATEGORIA2]],[1]HOMOLOGACION!$A$1:$D$571,4,FALSE),0)</f>
        <v xml:space="preserve">Estructura </v>
      </c>
      <c r="D194" s="144" t="s">
        <v>1912</v>
      </c>
      <c r="E194" s="273" t="s">
        <v>735</v>
      </c>
      <c r="F194" s="275" t="s">
        <v>361</v>
      </c>
      <c r="G194" s="313">
        <v>0</v>
      </c>
      <c r="H194" s="313">
        <v>0</v>
      </c>
      <c r="I194" s="130">
        <v>0</v>
      </c>
      <c r="J194" s="130"/>
      <c r="K194" s="130"/>
      <c r="L194" s="143">
        <f>CATEGORIAS[[#This Row],[ADICIONALES]]+CATEGORIAS[[#This Row],[POM]]</f>
        <v>0</v>
      </c>
      <c r="M194" s="131">
        <v>0</v>
      </c>
      <c r="N194" s="227">
        <v>0</v>
      </c>
      <c r="O194" s="296">
        <f>CATEGORIAS[[#This Row],[PRODUCCION
PARTIDAS
ORIGINALES
ACTUAL]]+CATEGORIAS[[#This Row],[PRODUCCION
ADICIONALES
ACTUAL]]</f>
        <v>0</v>
      </c>
      <c r="P194" s="227">
        <v>0</v>
      </c>
      <c r="Q194" s="132">
        <v>0</v>
      </c>
      <c r="R194" s="297">
        <f>CATEGORIAS[[#This Row],[PRODUCCION
ANTERIOR]]+CATEGORIAS[[#This Row],[PRODUCCION
ADICIONALES
ANTERIOR]]</f>
        <v>0</v>
      </c>
      <c r="S194" s="133">
        <v>0</v>
      </c>
      <c r="T194" s="133"/>
      <c r="U194" s="133"/>
      <c r="V194" s="296">
        <f>SUM(CATEGORIAS[[#This Row],[COSTO
ACUMULADO  AX]:[PROVISIONES]])</f>
        <v>0</v>
      </c>
      <c r="W194" s="298">
        <v>0</v>
      </c>
      <c r="X194" s="227"/>
      <c r="Y194" s="227"/>
      <c r="Z194" s="297">
        <f>SUM(CATEGORIAS[[#This Row],[COSTO ACUMULADO
ANTERIOR]:[PROVISIONES
ANTERIOR]])</f>
        <v>0</v>
      </c>
      <c r="AA194" s="139">
        <f>CATEGORIAS[[#This Row],[PRESUPUESTO
FINAL
PROYECTADO]]-CATEGORIAS[[#This Row],[TOTAL PRODUCCION
ACTUAL]]</f>
        <v>0</v>
      </c>
      <c r="AB194" s="227">
        <v>0</v>
      </c>
      <c r="AC194" s="132"/>
      <c r="AD194" s="132"/>
      <c r="AE194" s="226">
        <f>SUM(CATEGORIAS[[#This Row],[INVENTARIO]:[PROYECCION
DE COSTO
DEL SALDO]])</f>
        <v>0</v>
      </c>
      <c r="AF194" s="132"/>
      <c r="AG194" s="132">
        <f>+CATEGORIAS[[#This Row],[PRESUPUESTO
FINAL
PROYECTADO]]-CATEGORIAS[[#This Row],[COSTO REAL]]-CATEGORIAS[[#This Row],[PROYECCION
TOTAL DE COSTO]]</f>
        <v>0</v>
      </c>
    </row>
    <row r="195" spans="1:33" x14ac:dyDescent="0.25">
      <c r="A195" s="274" t="str">
        <f>+IFERROR(VLOOKUP(CATEGORIAS[[#This Row],[CATEGORIA2]],[1]HOMOLOGACION!$A$1:$I$571,9,FALSE),0)</f>
        <v>0Q02</v>
      </c>
      <c r="B195" s="274" t="str">
        <f>+IFERROR(VLOOKUP(CATEGORIAS[[#This Row],[CATEGORIA2]],[1]HOMOLOGACION!$A$1:$C$571,3,FALSE),0)</f>
        <v>0X04</v>
      </c>
      <c r="C195" s="274" t="str">
        <f>+IFERROR(VLOOKUP(CATEGORIAS[[#This Row],[CATEGORIA2]],[1]HOMOLOGACION!$A$1:$D$571,4,FALSE),0)</f>
        <v xml:space="preserve">Estructura </v>
      </c>
      <c r="D195" s="144" t="s">
        <v>1913</v>
      </c>
      <c r="E195" s="273" t="s">
        <v>737</v>
      </c>
      <c r="F195" s="275" t="s">
        <v>361</v>
      </c>
      <c r="G195" s="313">
        <v>0</v>
      </c>
      <c r="H195" s="313">
        <v>0</v>
      </c>
      <c r="I195" s="130">
        <v>0</v>
      </c>
      <c r="J195" s="130"/>
      <c r="K195" s="130"/>
      <c r="L195" s="143">
        <f>CATEGORIAS[[#This Row],[ADICIONALES]]+CATEGORIAS[[#This Row],[POM]]</f>
        <v>0</v>
      </c>
      <c r="M195" s="131">
        <v>0</v>
      </c>
      <c r="N195" s="227">
        <v>0</v>
      </c>
      <c r="O195" s="296">
        <f>CATEGORIAS[[#This Row],[PRODUCCION
PARTIDAS
ORIGINALES
ACTUAL]]+CATEGORIAS[[#This Row],[PRODUCCION
ADICIONALES
ACTUAL]]</f>
        <v>0</v>
      </c>
      <c r="P195" s="227">
        <v>0</v>
      </c>
      <c r="Q195" s="227">
        <v>0</v>
      </c>
      <c r="R195" s="297">
        <f>CATEGORIAS[[#This Row],[PRODUCCION
ANTERIOR]]+CATEGORIAS[[#This Row],[PRODUCCION
ADICIONALES
ANTERIOR]]</f>
        <v>0</v>
      </c>
      <c r="S195" s="133">
        <v>0</v>
      </c>
      <c r="T195" s="133"/>
      <c r="U195" s="133"/>
      <c r="V195" s="296">
        <f>SUM(CATEGORIAS[[#This Row],[COSTO
ACUMULADO  AX]:[PROVISIONES]])</f>
        <v>0</v>
      </c>
      <c r="W195" s="298">
        <v>0</v>
      </c>
      <c r="X195" s="227"/>
      <c r="Y195" s="227"/>
      <c r="Z195" s="297">
        <f>SUM(CATEGORIAS[[#This Row],[COSTO ACUMULADO
ANTERIOR]:[PROVISIONES
ANTERIOR]])</f>
        <v>0</v>
      </c>
      <c r="AA195" s="139">
        <f>CATEGORIAS[[#This Row],[PRESUPUESTO
FINAL
PROYECTADO]]-CATEGORIAS[[#This Row],[TOTAL PRODUCCION
ACTUAL]]</f>
        <v>0</v>
      </c>
      <c r="AB195" s="227">
        <v>0</v>
      </c>
      <c r="AC195" s="132"/>
      <c r="AD195" s="132"/>
      <c r="AE195" s="226">
        <f>SUM(CATEGORIAS[[#This Row],[INVENTARIO]:[PROYECCION
DE COSTO
DEL SALDO]])</f>
        <v>0</v>
      </c>
      <c r="AF195" s="132"/>
      <c r="AG195" s="132">
        <f>+CATEGORIAS[[#This Row],[PRESUPUESTO
FINAL
PROYECTADO]]-CATEGORIAS[[#This Row],[COSTO REAL]]-CATEGORIAS[[#This Row],[PROYECCION
TOTAL DE COSTO]]</f>
        <v>0</v>
      </c>
    </row>
    <row r="196" spans="1:33" x14ac:dyDescent="0.25">
      <c r="A196" s="274" t="str">
        <f>+IFERROR(VLOOKUP(CATEGORIAS[[#This Row],[CATEGORIA2]],[1]HOMOLOGACION!$A$1:$I$571,9,FALSE),0)</f>
        <v>0Q02</v>
      </c>
      <c r="B196" s="274" t="str">
        <f>+IFERROR(VLOOKUP(CATEGORIAS[[#This Row],[CATEGORIA2]],[1]HOMOLOGACION!$A$1:$C$571,3,FALSE),0)</f>
        <v>0X04</v>
      </c>
      <c r="C196" s="274" t="str">
        <f>+IFERROR(VLOOKUP(CATEGORIAS[[#This Row],[CATEGORIA2]],[1]HOMOLOGACION!$A$1:$D$571,4,FALSE),0)</f>
        <v xml:space="preserve">Estructura </v>
      </c>
      <c r="D196" s="144" t="s">
        <v>1914</v>
      </c>
      <c r="E196" s="273" t="s">
        <v>739</v>
      </c>
      <c r="F196" s="275" t="s">
        <v>361</v>
      </c>
      <c r="G196" s="313">
        <v>0</v>
      </c>
      <c r="H196" s="313">
        <v>0</v>
      </c>
      <c r="I196" s="130">
        <v>0</v>
      </c>
      <c r="J196" s="130"/>
      <c r="K196" s="130"/>
      <c r="L196" s="143">
        <f>CATEGORIAS[[#This Row],[ADICIONALES]]+CATEGORIAS[[#This Row],[POM]]</f>
        <v>0</v>
      </c>
      <c r="M196" s="131">
        <v>0</v>
      </c>
      <c r="N196" s="227">
        <v>0</v>
      </c>
      <c r="O196" s="296">
        <f>CATEGORIAS[[#This Row],[PRODUCCION
PARTIDAS
ORIGINALES
ACTUAL]]+CATEGORIAS[[#This Row],[PRODUCCION
ADICIONALES
ACTUAL]]</f>
        <v>0</v>
      </c>
      <c r="P196" s="227">
        <v>0</v>
      </c>
      <c r="Q196" s="227">
        <v>0</v>
      </c>
      <c r="R196" s="297">
        <f>CATEGORIAS[[#This Row],[PRODUCCION
ANTERIOR]]+CATEGORIAS[[#This Row],[PRODUCCION
ADICIONALES
ANTERIOR]]</f>
        <v>0</v>
      </c>
      <c r="S196" s="133">
        <v>0</v>
      </c>
      <c r="T196" s="133"/>
      <c r="U196" s="133"/>
      <c r="V196" s="296">
        <f>SUM(CATEGORIAS[[#This Row],[COSTO
ACUMULADO  AX]:[PROVISIONES]])</f>
        <v>0</v>
      </c>
      <c r="W196" s="298">
        <v>0</v>
      </c>
      <c r="X196" s="227"/>
      <c r="Y196" s="227"/>
      <c r="Z196" s="297">
        <f>SUM(CATEGORIAS[[#This Row],[COSTO ACUMULADO
ANTERIOR]:[PROVISIONES
ANTERIOR]])</f>
        <v>0</v>
      </c>
      <c r="AA196" s="139">
        <f>CATEGORIAS[[#This Row],[PRESUPUESTO
FINAL
PROYECTADO]]-CATEGORIAS[[#This Row],[TOTAL PRODUCCION
ACTUAL]]</f>
        <v>0</v>
      </c>
      <c r="AB196" s="227">
        <v>0</v>
      </c>
      <c r="AC196" s="132"/>
      <c r="AD196" s="132"/>
      <c r="AE196" s="226">
        <f>SUM(CATEGORIAS[[#This Row],[INVENTARIO]:[PROYECCION
DE COSTO
DEL SALDO]])</f>
        <v>0</v>
      </c>
      <c r="AF196" s="132"/>
      <c r="AG196" s="132">
        <f>+CATEGORIAS[[#This Row],[PRESUPUESTO
FINAL
PROYECTADO]]-CATEGORIAS[[#This Row],[COSTO REAL]]-CATEGORIAS[[#This Row],[PROYECCION
TOTAL DE COSTO]]</f>
        <v>0</v>
      </c>
    </row>
    <row r="197" spans="1:33" x14ac:dyDescent="0.25">
      <c r="A197" s="274" t="str">
        <f>+IFERROR(VLOOKUP(CATEGORIAS[[#This Row],[CATEGORIA2]],[1]HOMOLOGACION!$A$1:$I$571,9,FALSE),0)</f>
        <v>0Q02</v>
      </c>
      <c r="B197" s="274" t="str">
        <f>+IFERROR(VLOOKUP(CATEGORIAS[[#This Row],[CATEGORIA2]],[1]HOMOLOGACION!$A$1:$C$571,3,FALSE),0)</f>
        <v>0X04</v>
      </c>
      <c r="C197" s="274" t="str">
        <f>+IFERROR(VLOOKUP(CATEGORIAS[[#This Row],[CATEGORIA2]],[1]HOMOLOGACION!$A$1:$D$571,4,FALSE),0)</f>
        <v xml:space="preserve">Estructura </v>
      </c>
      <c r="D197" s="144" t="s">
        <v>1915</v>
      </c>
      <c r="E197" s="273" t="s">
        <v>741</v>
      </c>
      <c r="F197" s="275" t="s">
        <v>361</v>
      </c>
      <c r="G197" s="313">
        <v>0</v>
      </c>
      <c r="H197" s="313">
        <v>0</v>
      </c>
      <c r="I197" s="130">
        <v>0</v>
      </c>
      <c r="J197" s="130"/>
      <c r="K197" s="130"/>
      <c r="L197" s="143">
        <f>CATEGORIAS[[#This Row],[ADICIONALES]]+CATEGORIAS[[#This Row],[POM]]</f>
        <v>0</v>
      </c>
      <c r="M197" s="131">
        <v>0</v>
      </c>
      <c r="N197" s="227">
        <v>0</v>
      </c>
      <c r="O197" s="296">
        <f>CATEGORIAS[[#This Row],[PRODUCCION
PARTIDAS
ORIGINALES
ACTUAL]]+CATEGORIAS[[#This Row],[PRODUCCION
ADICIONALES
ACTUAL]]</f>
        <v>0</v>
      </c>
      <c r="P197" s="227">
        <v>0</v>
      </c>
      <c r="Q197" s="227">
        <v>0</v>
      </c>
      <c r="R197" s="297">
        <f>CATEGORIAS[[#This Row],[PRODUCCION
ANTERIOR]]+CATEGORIAS[[#This Row],[PRODUCCION
ADICIONALES
ANTERIOR]]</f>
        <v>0</v>
      </c>
      <c r="S197" s="133">
        <v>0</v>
      </c>
      <c r="T197" s="133"/>
      <c r="U197" s="133"/>
      <c r="V197" s="296">
        <f>SUM(CATEGORIAS[[#This Row],[COSTO
ACUMULADO  AX]:[PROVISIONES]])</f>
        <v>0</v>
      </c>
      <c r="W197" s="298">
        <v>0</v>
      </c>
      <c r="X197" s="227"/>
      <c r="Y197" s="227"/>
      <c r="Z197" s="297">
        <f>SUM(CATEGORIAS[[#This Row],[COSTO ACUMULADO
ANTERIOR]:[PROVISIONES
ANTERIOR]])</f>
        <v>0</v>
      </c>
      <c r="AA197" s="139">
        <f>CATEGORIAS[[#This Row],[PRESUPUESTO
FINAL
PROYECTADO]]-CATEGORIAS[[#This Row],[TOTAL PRODUCCION
ACTUAL]]</f>
        <v>0</v>
      </c>
      <c r="AB197" s="227">
        <v>0</v>
      </c>
      <c r="AC197" s="132"/>
      <c r="AD197" s="132"/>
      <c r="AE197" s="226">
        <f>SUM(CATEGORIAS[[#This Row],[INVENTARIO]:[PROYECCION
DE COSTO
DEL SALDO]])</f>
        <v>0</v>
      </c>
      <c r="AF197" s="132"/>
      <c r="AG197" s="132">
        <f>+CATEGORIAS[[#This Row],[PRESUPUESTO
FINAL
PROYECTADO]]-CATEGORIAS[[#This Row],[COSTO REAL]]-CATEGORIAS[[#This Row],[PROYECCION
TOTAL DE COSTO]]</f>
        <v>0</v>
      </c>
    </row>
    <row r="198" spans="1:33" x14ac:dyDescent="0.25">
      <c r="A198" s="274" t="str">
        <f>+IFERROR(VLOOKUP(CATEGORIAS[[#This Row],[CATEGORIA2]],[1]HOMOLOGACION!$A$1:$I$571,9,FALSE),0)</f>
        <v>0Q02</v>
      </c>
      <c r="B198" s="274" t="str">
        <f>+IFERROR(VLOOKUP(CATEGORIAS[[#This Row],[CATEGORIA2]],[1]HOMOLOGACION!$A$1:$C$571,3,FALSE),0)</f>
        <v>0X02</v>
      </c>
      <c r="C198" s="274" t="str">
        <f>+IFERROR(VLOOKUP(CATEGORIAS[[#This Row],[CATEGORIA2]],[1]HOMOLOGACION!$A$1:$D$571,4,FALSE),0)</f>
        <v xml:space="preserve">Mecánica </v>
      </c>
      <c r="D198" s="144" t="s">
        <v>1916</v>
      </c>
      <c r="E198" s="273" t="s">
        <v>743</v>
      </c>
      <c r="F198" s="275" t="s">
        <v>361</v>
      </c>
      <c r="G198" s="313">
        <v>0</v>
      </c>
      <c r="H198" s="313">
        <v>0</v>
      </c>
      <c r="I198" s="130">
        <v>0</v>
      </c>
      <c r="J198" s="130"/>
      <c r="K198" s="130"/>
      <c r="L198" s="143">
        <f>CATEGORIAS[[#This Row],[ADICIONALES]]+CATEGORIAS[[#This Row],[POM]]</f>
        <v>0</v>
      </c>
      <c r="M198" s="131">
        <v>0</v>
      </c>
      <c r="N198" s="227">
        <v>0</v>
      </c>
      <c r="O198" s="296">
        <f>CATEGORIAS[[#This Row],[PRODUCCION
PARTIDAS
ORIGINALES
ACTUAL]]+CATEGORIAS[[#This Row],[PRODUCCION
ADICIONALES
ACTUAL]]</f>
        <v>0</v>
      </c>
      <c r="P198" s="227">
        <v>0</v>
      </c>
      <c r="Q198" s="227">
        <v>0</v>
      </c>
      <c r="R198" s="297">
        <f>CATEGORIAS[[#This Row],[PRODUCCION
ANTERIOR]]+CATEGORIAS[[#This Row],[PRODUCCION
ADICIONALES
ANTERIOR]]</f>
        <v>0</v>
      </c>
      <c r="S198" s="133">
        <v>0</v>
      </c>
      <c r="T198" s="133"/>
      <c r="U198" s="133"/>
      <c r="V198" s="296">
        <f>SUM(CATEGORIAS[[#This Row],[COSTO
ACUMULADO  AX]:[PROVISIONES]])</f>
        <v>0</v>
      </c>
      <c r="W198" s="298">
        <v>0</v>
      </c>
      <c r="X198" s="227"/>
      <c r="Y198" s="227"/>
      <c r="Z198" s="297">
        <f>SUM(CATEGORIAS[[#This Row],[COSTO ACUMULADO
ANTERIOR]:[PROVISIONES
ANTERIOR]])</f>
        <v>0</v>
      </c>
      <c r="AA198" s="139">
        <f>CATEGORIAS[[#This Row],[PRESUPUESTO
FINAL
PROYECTADO]]-CATEGORIAS[[#This Row],[TOTAL PRODUCCION
ACTUAL]]</f>
        <v>0</v>
      </c>
      <c r="AB198" s="227">
        <v>0</v>
      </c>
      <c r="AC198" s="132"/>
      <c r="AD198" s="132"/>
      <c r="AE198" s="226">
        <f>SUM(CATEGORIAS[[#This Row],[INVENTARIO]:[PROYECCION
DE COSTO
DEL SALDO]])</f>
        <v>0</v>
      </c>
      <c r="AF198" s="132"/>
      <c r="AG198" s="132">
        <f>+CATEGORIAS[[#This Row],[PRESUPUESTO
FINAL
PROYECTADO]]-CATEGORIAS[[#This Row],[COSTO REAL]]-CATEGORIAS[[#This Row],[PROYECCION
TOTAL DE COSTO]]</f>
        <v>0</v>
      </c>
    </row>
    <row r="199" spans="1:33" x14ac:dyDescent="0.25">
      <c r="A199" s="274" t="str">
        <f>+IFERROR(VLOOKUP(CATEGORIAS[[#This Row],[CATEGORIA2]],[1]HOMOLOGACION!$A$1:$I$571,9,FALSE),0)</f>
        <v>0Q02</v>
      </c>
      <c r="B199" s="274" t="str">
        <f>+IFERROR(VLOOKUP(CATEGORIAS[[#This Row],[CATEGORIA2]],[1]HOMOLOGACION!$A$1:$C$571,3,FALSE),0)</f>
        <v>0X02</v>
      </c>
      <c r="C199" s="274" t="str">
        <f>+IFERROR(VLOOKUP(CATEGORIAS[[#This Row],[CATEGORIA2]],[1]HOMOLOGACION!$A$1:$D$571,4,FALSE),0)</f>
        <v xml:space="preserve">Mecánica </v>
      </c>
      <c r="D199" s="144" t="s">
        <v>1917</v>
      </c>
      <c r="E199" s="273" t="s">
        <v>745</v>
      </c>
      <c r="F199" s="275" t="s">
        <v>361</v>
      </c>
      <c r="G199" s="313">
        <v>0</v>
      </c>
      <c r="H199" s="313">
        <v>0</v>
      </c>
      <c r="I199" s="130">
        <v>0</v>
      </c>
      <c r="J199" s="130"/>
      <c r="K199" s="130"/>
      <c r="L199" s="143">
        <f>CATEGORIAS[[#This Row],[ADICIONALES]]+CATEGORIAS[[#This Row],[POM]]</f>
        <v>0</v>
      </c>
      <c r="M199" s="131">
        <v>0</v>
      </c>
      <c r="N199" s="227">
        <v>0</v>
      </c>
      <c r="O199" s="296">
        <f>CATEGORIAS[[#This Row],[PRODUCCION
PARTIDAS
ORIGINALES
ACTUAL]]+CATEGORIAS[[#This Row],[PRODUCCION
ADICIONALES
ACTUAL]]</f>
        <v>0</v>
      </c>
      <c r="P199" s="227">
        <v>0</v>
      </c>
      <c r="Q199" s="132">
        <v>0</v>
      </c>
      <c r="R199" s="297">
        <f>CATEGORIAS[[#This Row],[PRODUCCION
ANTERIOR]]+CATEGORIAS[[#This Row],[PRODUCCION
ADICIONALES
ANTERIOR]]</f>
        <v>0</v>
      </c>
      <c r="S199" s="133">
        <v>0</v>
      </c>
      <c r="T199" s="133"/>
      <c r="U199" s="133"/>
      <c r="V199" s="296">
        <f>SUM(CATEGORIAS[[#This Row],[COSTO
ACUMULADO  AX]:[PROVISIONES]])</f>
        <v>0</v>
      </c>
      <c r="W199" s="298">
        <v>0</v>
      </c>
      <c r="X199" s="227"/>
      <c r="Y199" s="227"/>
      <c r="Z199" s="297">
        <f>SUM(CATEGORIAS[[#This Row],[COSTO ACUMULADO
ANTERIOR]:[PROVISIONES
ANTERIOR]])</f>
        <v>0</v>
      </c>
      <c r="AA199" s="139">
        <f>CATEGORIAS[[#This Row],[PRESUPUESTO
FINAL
PROYECTADO]]-CATEGORIAS[[#This Row],[TOTAL PRODUCCION
ACTUAL]]</f>
        <v>0</v>
      </c>
      <c r="AB199" s="227">
        <v>0</v>
      </c>
      <c r="AC199" s="132"/>
      <c r="AD199" s="132"/>
      <c r="AE199" s="226">
        <f>SUM(CATEGORIAS[[#This Row],[INVENTARIO]:[PROYECCION
DE COSTO
DEL SALDO]])</f>
        <v>0</v>
      </c>
      <c r="AF199" s="132"/>
      <c r="AG199" s="132">
        <f>+CATEGORIAS[[#This Row],[PRESUPUESTO
FINAL
PROYECTADO]]-CATEGORIAS[[#This Row],[COSTO REAL]]-CATEGORIAS[[#This Row],[PROYECCION
TOTAL DE COSTO]]</f>
        <v>0</v>
      </c>
    </row>
    <row r="200" spans="1:33" x14ac:dyDescent="0.25">
      <c r="A200" s="274" t="str">
        <f>+IFERROR(VLOOKUP(CATEGORIAS[[#This Row],[CATEGORIA2]],[1]HOMOLOGACION!$A$1:$I$571,9,FALSE),0)</f>
        <v>0Q02</v>
      </c>
      <c r="B200" s="274" t="str">
        <f>+IFERROR(VLOOKUP(CATEGORIAS[[#This Row],[CATEGORIA2]],[1]HOMOLOGACION!$A$1:$C$571,3,FALSE),0)</f>
        <v>0X02</v>
      </c>
      <c r="C200" s="274" t="str">
        <f>+IFERROR(VLOOKUP(CATEGORIAS[[#This Row],[CATEGORIA2]],[1]HOMOLOGACION!$A$1:$D$571,4,FALSE),0)</f>
        <v xml:space="preserve">Mecánica </v>
      </c>
      <c r="D200" s="144" t="s">
        <v>1918</v>
      </c>
      <c r="E200" s="273" t="s">
        <v>747</v>
      </c>
      <c r="F200" s="275" t="s">
        <v>361</v>
      </c>
      <c r="G200" s="313">
        <v>0</v>
      </c>
      <c r="H200" s="313">
        <v>0</v>
      </c>
      <c r="I200" s="130">
        <v>0</v>
      </c>
      <c r="J200" s="130"/>
      <c r="K200" s="130"/>
      <c r="L200" s="143">
        <f>CATEGORIAS[[#This Row],[ADICIONALES]]+CATEGORIAS[[#This Row],[POM]]</f>
        <v>0</v>
      </c>
      <c r="M200" s="131">
        <v>0</v>
      </c>
      <c r="N200" s="227">
        <v>0</v>
      </c>
      <c r="O200" s="296">
        <f>CATEGORIAS[[#This Row],[PRODUCCION
PARTIDAS
ORIGINALES
ACTUAL]]+CATEGORIAS[[#This Row],[PRODUCCION
ADICIONALES
ACTUAL]]</f>
        <v>0</v>
      </c>
      <c r="P200" s="227">
        <v>0</v>
      </c>
      <c r="Q200" s="227">
        <v>0</v>
      </c>
      <c r="R200" s="297">
        <f>CATEGORIAS[[#This Row],[PRODUCCION
ANTERIOR]]+CATEGORIAS[[#This Row],[PRODUCCION
ADICIONALES
ANTERIOR]]</f>
        <v>0</v>
      </c>
      <c r="S200" s="133">
        <v>0</v>
      </c>
      <c r="T200" s="133"/>
      <c r="U200" s="133"/>
      <c r="V200" s="296">
        <f>SUM(CATEGORIAS[[#This Row],[COSTO
ACUMULADO  AX]:[PROVISIONES]])</f>
        <v>0</v>
      </c>
      <c r="W200" s="298">
        <v>0</v>
      </c>
      <c r="X200" s="227"/>
      <c r="Y200" s="227"/>
      <c r="Z200" s="297">
        <f>SUM(CATEGORIAS[[#This Row],[COSTO ACUMULADO
ANTERIOR]:[PROVISIONES
ANTERIOR]])</f>
        <v>0</v>
      </c>
      <c r="AA200" s="139">
        <f>CATEGORIAS[[#This Row],[PRESUPUESTO
FINAL
PROYECTADO]]-CATEGORIAS[[#This Row],[TOTAL PRODUCCION
ACTUAL]]</f>
        <v>0</v>
      </c>
      <c r="AB200" s="227">
        <v>0</v>
      </c>
      <c r="AC200" s="132"/>
      <c r="AD200" s="132"/>
      <c r="AE200" s="226">
        <f>SUM(CATEGORIAS[[#This Row],[INVENTARIO]:[PROYECCION
DE COSTO
DEL SALDO]])</f>
        <v>0</v>
      </c>
      <c r="AF200" s="132"/>
      <c r="AG200" s="132">
        <f>+CATEGORIAS[[#This Row],[PRESUPUESTO
FINAL
PROYECTADO]]-CATEGORIAS[[#This Row],[COSTO REAL]]-CATEGORIAS[[#This Row],[PROYECCION
TOTAL DE COSTO]]</f>
        <v>0</v>
      </c>
    </row>
    <row r="201" spans="1:33" x14ac:dyDescent="0.25">
      <c r="A201" s="274" t="str">
        <f>+IFERROR(VLOOKUP(CATEGORIAS[[#This Row],[CATEGORIA2]],[1]HOMOLOGACION!$A$1:$I$571,9,FALSE),0)</f>
        <v>0Q02</v>
      </c>
      <c r="B201" s="274" t="str">
        <f>+IFERROR(VLOOKUP(CATEGORIAS[[#This Row],[CATEGORIA2]],[1]HOMOLOGACION!$A$1:$C$571,3,FALSE),0)</f>
        <v>0X02</v>
      </c>
      <c r="C201" s="274" t="str">
        <f>+IFERROR(VLOOKUP(CATEGORIAS[[#This Row],[CATEGORIA2]],[1]HOMOLOGACION!$A$1:$D$571,4,FALSE),0)</f>
        <v xml:space="preserve">Mecánica </v>
      </c>
      <c r="D201" s="144" t="s">
        <v>1919</v>
      </c>
      <c r="E201" s="273" t="s">
        <v>749</v>
      </c>
      <c r="F201" s="275" t="s">
        <v>361</v>
      </c>
      <c r="G201" s="313">
        <v>0</v>
      </c>
      <c r="H201" s="313">
        <v>0</v>
      </c>
      <c r="I201" s="130">
        <v>0</v>
      </c>
      <c r="J201" s="130"/>
      <c r="K201" s="130"/>
      <c r="L201" s="143">
        <f>CATEGORIAS[[#This Row],[ADICIONALES]]+CATEGORIAS[[#This Row],[POM]]</f>
        <v>0</v>
      </c>
      <c r="M201" s="131">
        <v>0</v>
      </c>
      <c r="N201" s="227">
        <v>0</v>
      </c>
      <c r="O201" s="296">
        <f>CATEGORIAS[[#This Row],[PRODUCCION
PARTIDAS
ORIGINALES
ACTUAL]]+CATEGORIAS[[#This Row],[PRODUCCION
ADICIONALES
ACTUAL]]</f>
        <v>0</v>
      </c>
      <c r="P201" s="227">
        <v>0</v>
      </c>
      <c r="Q201" s="132">
        <v>0</v>
      </c>
      <c r="R201" s="297">
        <f>CATEGORIAS[[#This Row],[PRODUCCION
ANTERIOR]]+CATEGORIAS[[#This Row],[PRODUCCION
ADICIONALES
ANTERIOR]]</f>
        <v>0</v>
      </c>
      <c r="S201" s="133">
        <v>0</v>
      </c>
      <c r="T201" s="133"/>
      <c r="U201" s="133"/>
      <c r="V201" s="296">
        <f>SUM(CATEGORIAS[[#This Row],[COSTO
ACUMULADO  AX]:[PROVISIONES]])</f>
        <v>0</v>
      </c>
      <c r="W201" s="298">
        <v>0</v>
      </c>
      <c r="X201" s="227"/>
      <c r="Y201" s="227"/>
      <c r="Z201" s="297">
        <f>SUM(CATEGORIAS[[#This Row],[COSTO ACUMULADO
ANTERIOR]:[PROVISIONES
ANTERIOR]])</f>
        <v>0</v>
      </c>
      <c r="AA201" s="139">
        <f>CATEGORIAS[[#This Row],[PRESUPUESTO
FINAL
PROYECTADO]]-CATEGORIAS[[#This Row],[TOTAL PRODUCCION
ACTUAL]]</f>
        <v>0</v>
      </c>
      <c r="AB201" s="227">
        <v>0</v>
      </c>
      <c r="AC201" s="132"/>
      <c r="AD201" s="132"/>
      <c r="AE201" s="226">
        <f>SUM(CATEGORIAS[[#This Row],[INVENTARIO]:[PROYECCION
DE COSTO
DEL SALDO]])</f>
        <v>0</v>
      </c>
      <c r="AF201" s="132"/>
      <c r="AG201" s="132">
        <f>+CATEGORIAS[[#This Row],[PRESUPUESTO
FINAL
PROYECTADO]]-CATEGORIAS[[#This Row],[COSTO REAL]]-CATEGORIAS[[#This Row],[PROYECCION
TOTAL DE COSTO]]</f>
        <v>0</v>
      </c>
    </row>
    <row r="202" spans="1:33" x14ac:dyDescent="0.25">
      <c r="A202" s="274" t="str">
        <f>+IFERROR(VLOOKUP(CATEGORIAS[[#This Row],[CATEGORIA2]],[1]HOMOLOGACION!$A$1:$I$571,9,FALSE),0)</f>
        <v>0Q02</v>
      </c>
      <c r="B202" s="274" t="str">
        <f>+IFERROR(VLOOKUP(CATEGORIAS[[#This Row],[CATEGORIA2]],[1]HOMOLOGACION!$A$1:$C$571,3,FALSE),0)</f>
        <v>0X02</v>
      </c>
      <c r="C202" s="274" t="str">
        <f>+IFERROR(VLOOKUP(CATEGORIAS[[#This Row],[CATEGORIA2]],[1]HOMOLOGACION!$A$1:$D$571,4,FALSE),0)</f>
        <v xml:space="preserve">Mecánica </v>
      </c>
      <c r="D202" s="144" t="s">
        <v>1920</v>
      </c>
      <c r="E202" s="273" t="s">
        <v>751</v>
      </c>
      <c r="F202" s="275" t="s">
        <v>361</v>
      </c>
      <c r="G202" s="313">
        <v>0</v>
      </c>
      <c r="H202" s="313">
        <v>0</v>
      </c>
      <c r="I202" s="130">
        <v>0</v>
      </c>
      <c r="J202" s="130"/>
      <c r="K202" s="130"/>
      <c r="L202" s="143">
        <f>CATEGORIAS[[#This Row],[ADICIONALES]]+CATEGORIAS[[#This Row],[POM]]</f>
        <v>0</v>
      </c>
      <c r="M202" s="131">
        <v>0</v>
      </c>
      <c r="N202" s="227">
        <v>0</v>
      </c>
      <c r="O202" s="296">
        <f>CATEGORIAS[[#This Row],[PRODUCCION
PARTIDAS
ORIGINALES
ACTUAL]]+CATEGORIAS[[#This Row],[PRODUCCION
ADICIONALES
ACTUAL]]</f>
        <v>0</v>
      </c>
      <c r="P202" s="227">
        <v>0</v>
      </c>
      <c r="Q202" s="227">
        <v>0</v>
      </c>
      <c r="R202" s="297">
        <f>CATEGORIAS[[#This Row],[PRODUCCION
ANTERIOR]]+CATEGORIAS[[#This Row],[PRODUCCION
ADICIONALES
ANTERIOR]]</f>
        <v>0</v>
      </c>
      <c r="S202" s="133">
        <v>0</v>
      </c>
      <c r="T202" s="133"/>
      <c r="U202" s="133"/>
      <c r="V202" s="296">
        <f>SUM(CATEGORIAS[[#This Row],[COSTO
ACUMULADO  AX]:[PROVISIONES]])</f>
        <v>0</v>
      </c>
      <c r="W202" s="298">
        <v>0</v>
      </c>
      <c r="X202" s="227"/>
      <c r="Y202" s="227"/>
      <c r="Z202" s="297">
        <f>SUM(CATEGORIAS[[#This Row],[COSTO ACUMULADO
ANTERIOR]:[PROVISIONES
ANTERIOR]])</f>
        <v>0</v>
      </c>
      <c r="AA202" s="139">
        <f>CATEGORIAS[[#This Row],[PRESUPUESTO
FINAL
PROYECTADO]]-CATEGORIAS[[#This Row],[TOTAL PRODUCCION
ACTUAL]]</f>
        <v>0</v>
      </c>
      <c r="AB202" s="227">
        <v>0</v>
      </c>
      <c r="AC202" s="132"/>
      <c r="AD202" s="132"/>
      <c r="AE202" s="226">
        <f>SUM(CATEGORIAS[[#This Row],[INVENTARIO]:[PROYECCION
DE COSTO
DEL SALDO]])</f>
        <v>0</v>
      </c>
      <c r="AF202" s="132"/>
      <c r="AG202" s="132">
        <f>+CATEGORIAS[[#This Row],[PRESUPUESTO
FINAL
PROYECTADO]]-CATEGORIAS[[#This Row],[COSTO REAL]]-CATEGORIAS[[#This Row],[PROYECCION
TOTAL DE COSTO]]</f>
        <v>0</v>
      </c>
    </row>
    <row r="203" spans="1:33" x14ac:dyDescent="0.25">
      <c r="A203" s="274" t="str">
        <f>+IFERROR(VLOOKUP(CATEGORIAS[[#This Row],[CATEGORIA2]],[1]HOMOLOGACION!$A$1:$I$571,9,FALSE),0)</f>
        <v>0Q02</v>
      </c>
      <c r="B203" s="274" t="str">
        <f>+IFERROR(VLOOKUP(CATEGORIAS[[#This Row],[CATEGORIA2]],[1]HOMOLOGACION!$A$1:$C$571,3,FALSE),0)</f>
        <v>0X02</v>
      </c>
      <c r="C203" s="274" t="str">
        <f>+IFERROR(VLOOKUP(CATEGORIAS[[#This Row],[CATEGORIA2]],[1]HOMOLOGACION!$A$1:$D$571,4,FALSE),0)</f>
        <v xml:space="preserve">Mecánica </v>
      </c>
      <c r="D203" s="144" t="s">
        <v>1921</v>
      </c>
      <c r="E203" s="273" t="s">
        <v>753</v>
      </c>
      <c r="F203" s="275" t="s">
        <v>361</v>
      </c>
      <c r="G203" s="313">
        <v>0</v>
      </c>
      <c r="H203" s="313">
        <v>0</v>
      </c>
      <c r="I203" s="130">
        <v>0</v>
      </c>
      <c r="J203" s="130"/>
      <c r="K203" s="130"/>
      <c r="L203" s="143">
        <f>CATEGORIAS[[#This Row],[ADICIONALES]]+CATEGORIAS[[#This Row],[POM]]</f>
        <v>0</v>
      </c>
      <c r="M203" s="131">
        <v>0</v>
      </c>
      <c r="N203" s="227">
        <v>0</v>
      </c>
      <c r="O203" s="296">
        <f>CATEGORIAS[[#This Row],[PRODUCCION
PARTIDAS
ORIGINALES
ACTUAL]]+CATEGORIAS[[#This Row],[PRODUCCION
ADICIONALES
ACTUAL]]</f>
        <v>0</v>
      </c>
      <c r="P203" s="227">
        <v>0</v>
      </c>
      <c r="Q203" s="132">
        <v>0</v>
      </c>
      <c r="R203" s="297">
        <f>CATEGORIAS[[#This Row],[PRODUCCION
ANTERIOR]]+CATEGORIAS[[#This Row],[PRODUCCION
ADICIONALES
ANTERIOR]]</f>
        <v>0</v>
      </c>
      <c r="S203" s="133">
        <v>0</v>
      </c>
      <c r="T203" s="133"/>
      <c r="U203" s="133"/>
      <c r="V203" s="296">
        <f>SUM(CATEGORIAS[[#This Row],[COSTO
ACUMULADO  AX]:[PROVISIONES]])</f>
        <v>0</v>
      </c>
      <c r="W203" s="298">
        <v>0</v>
      </c>
      <c r="X203" s="227"/>
      <c r="Y203" s="227"/>
      <c r="Z203" s="297">
        <f>SUM(CATEGORIAS[[#This Row],[COSTO ACUMULADO
ANTERIOR]:[PROVISIONES
ANTERIOR]])</f>
        <v>0</v>
      </c>
      <c r="AA203" s="139">
        <f>CATEGORIAS[[#This Row],[PRESUPUESTO
FINAL
PROYECTADO]]-CATEGORIAS[[#This Row],[TOTAL PRODUCCION
ACTUAL]]</f>
        <v>0</v>
      </c>
      <c r="AB203" s="227">
        <v>0</v>
      </c>
      <c r="AC203" s="132"/>
      <c r="AD203" s="132"/>
      <c r="AE203" s="226">
        <f>SUM(CATEGORIAS[[#This Row],[INVENTARIO]:[PROYECCION
DE COSTO
DEL SALDO]])</f>
        <v>0</v>
      </c>
      <c r="AF203" s="132"/>
      <c r="AG203" s="132">
        <f>+CATEGORIAS[[#This Row],[PRESUPUESTO
FINAL
PROYECTADO]]-CATEGORIAS[[#This Row],[COSTO REAL]]-CATEGORIAS[[#This Row],[PROYECCION
TOTAL DE COSTO]]</f>
        <v>0</v>
      </c>
    </row>
    <row r="204" spans="1:33" x14ac:dyDescent="0.25">
      <c r="A204" s="274" t="str">
        <f>+IFERROR(VLOOKUP(CATEGORIAS[[#This Row],[CATEGORIA2]],[1]HOMOLOGACION!$A$1:$I$571,9,FALSE),0)</f>
        <v>0Q02</v>
      </c>
      <c r="B204" s="274" t="str">
        <f>+IFERROR(VLOOKUP(CATEGORIAS[[#This Row],[CATEGORIA2]],[1]HOMOLOGACION!$A$1:$C$571,3,FALSE),0)</f>
        <v>0X02</v>
      </c>
      <c r="C204" s="274" t="str">
        <f>+IFERROR(VLOOKUP(CATEGORIAS[[#This Row],[CATEGORIA2]],[1]HOMOLOGACION!$A$1:$D$571,4,FALSE),0)</f>
        <v xml:space="preserve">Mecánica </v>
      </c>
      <c r="D204" s="144" t="s">
        <v>1922</v>
      </c>
      <c r="E204" s="273" t="s">
        <v>755</v>
      </c>
      <c r="F204" s="275" t="s">
        <v>361</v>
      </c>
      <c r="G204" s="313">
        <v>0</v>
      </c>
      <c r="H204" s="313">
        <v>0</v>
      </c>
      <c r="I204" s="130">
        <v>0</v>
      </c>
      <c r="J204" s="130"/>
      <c r="K204" s="130"/>
      <c r="L204" s="143">
        <f>CATEGORIAS[[#This Row],[ADICIONALES]]+CATEGORIAS[[#This Row],[POM]]</f>
        <v>0</v>
      </c>
      <c r="M204" s="131">
        <v>0</v>
      </c>
      <c r="N204" s="227">
        <v>0</v>
      </c>
      <c r="O204" s="296">
        <f>CATEGORIAS[[#This Row],[PRODUCCION
PARTIDAS
ORIGINALES
ACTUAL]]+CATEGORIAS[[#This Row],[PRODUCCION
ADICIONALES
ACTUAL]]</f>
        <v>0</v>
      </c>
      <c r="P204" s="227">
        <v>0</v>
      </c>
      <c r="Q204" s="227">
        <v>0</v>
      </c>
      <c r="R204" s="297">
        <f>CATEGORIAS[[#This Row],[PRODUCCION
ANTERIOR]]+CATEGORIAS[[#This Row],[PRODUCCION
ADICIONALES
ANTERIOR]]</f>
        <v>0</v>
      </c>
      <c r="S204" s="133">
        <v>0</v>
      </c>
      <c r="T204" s="133"/>
      <c r="U204" s="133"/>
      <c r="V204" s="296">
        <f>SUM(CATEGORIAS[[#This Row],[COSTO
ACUMULADO  AX]:[PROVISIONES]])</f>
        <v>0</v>
      </c>
      <c r="W204" s="298">
        <v>0</v>
      </c>
      <c r="X204" s="227"/>
      <c r="Y204" s="227"/>
      <c r="Z204" s="297">
        <f>SUM(CATEGORIAS[[#This Row],[COSTO ACUMULADO
ANTERIOR]:[PROVISIONES
ANTERIOR]])</f>
        <v>0</v>
      </c>
      <c r="AA204" s="139">
        <f>CATEGORIAS[[#This Row],[PRESUPUESTO
FINAL
PROYECTADO]]-CATEGORIAS[[#This Row],[TOTAL PRODUCCION
ACTUAL]]</f>
        <v>0</v>
      </c>
      <c r="AB204" s="227">
        <v>0</v>
      </c>
      <c r="AC204" s="132"/>
      <c r="AD204" s="132"/>
      <c r="AE204" s="226">
        <f>SUM(CATEGORIAS[[#This Row],[INVENTARIO]:[PROYECCION
DE COSTO
DEL SALDO]])</f>
        <v>0</v>
      </c>
      <c r="AF204" s="132"/>
      <c r="AG204" s="132">
        <f>+CATEGORIAS[[#This Row],[PRESUPUESTO
FINAL
PROYECTADO]]-CATEGORIAS[[#This Row],[COSTO REAL]]-CATEGORIAS[[#This Row],[PROYECCION
TOTAL DE COSTO]]</f>
        <v>0</v>
      </c>
    </row>
    <row r="205" spans="1:33" x14ac:dyDescent="0.25">
      <c r="A205" s="274" t="str">
        <f>+IFERROR(VLOOKUP(CATEGORIAS[[#This Row],[CATEGORIA2]],[1]HOMOLOGACION!$A$1:$I$571,9,FALSE),0)</f>
        <v>0Q02</v>
      </c>
      <c r="B205" s="274" t="str">
        <f>+IFERROR(VLOOKUP(CATEGORIAS[[#This Row],[CATEGORIA2]],[1]HOMOLOGACION!$A$1:$C$571,3,FALSE),0)</f>
        <v>0X02</v>
      </c>
      <c r="C205" s="274" t="str">
        <f>+IFERROR(VLOOKUP(CATEGORIAS[[#This Row],[CATEGORIA2]],[1]HOMOLOGACION!$A$1:$D$571,4,FALSE),0)</f>
        <v xml:space="preserve">Mecánica </v>
      </c>
      <c r="D205" s="144" t="s">
        <v>1923</v>
      </c>
      <c r="E205" s="273" t="s">
        <v>757</v>
      </c>
      <c r="F205" s="275" t="s">
        <v>361</v>
      </c>
      <c r="G205" s="313">
        <v>0</v>
      </c>
      <c r="H205" s="313">
        <v>0</v>
      </c>
      <c r="I205" s="130">
        <v>0</v>
      </c>
      <c r="J205" s="130"/>
      <c r="K205" s="130"/>
      <c r="L205" s="143">
        <f>CATEGORIAS[[#This Row],[ADICIONALES]]+CATEGORIAS[[#This Row],[POM]]</f>
        <v>0</v>
      </c>
      <c r="M205" s="131">
        <v>0</v>
      </c>
      <c r="N205" s="227">
        <v>0</v>
      </c>
      <c r="O205" s="296">
        <f>CATEGORIAS[[#This Row],[PRODUCCION
PARTIDAS
ORIGINALES
ACTUAL]]+CATEGORIAS[[#This Row],[PRODUCCION
ADICIONALES
ACTUAL]]</f>
        <v>0</v>
      </c>
      <c r="P205" s="227">
        <v>0</v>
      </c>
      <c r="Q205" s="132">
        <v>0</v>
      </c>
      <c r="R205" s="297">
        <f>CATEGORIAS[[#This Row],[PRODUCCION
ANTERIOR]]+CATEGORIAS[[#This Row],[PRODUCCION
ADICIONALES
ANTERIOR]]</f>
        <v>0</v>
      </c>
      <c r="S205" s="133">
        <v>0</v>
      </c>
      <c r="T205" s="133"/>
      <c r="U205" s="133"/>
      <c r="V205" s="296">
        <f>SUM(CATEGORIAS[[#This Row],[COSTO
ACUMULADO  AX]:[PROVISIONES]])</f>
        <v>0</v>
      </c>
      <c r="W205" s="298">
        <v>0</v>
      </c>
      <c r="X205" s="227"/>
      <c r="Y205" s="227"/>
      <c r="Z205" s="297">
        <f>SUM(CATEGORIAS[[#This Row],[COSTO ACUMULADO
ANTERIOR]:[PROVISIONES
ANTERIOR]])</f>
        <v>0</v>
      </c>
      <c r="AA205" s="139">
        <f>CATEGORIAS[[#This Row],[PRESUPUESTO
FINAL
PROYECTADO]]-CATEGORIAS[[#This Row],[TOTAL PRODUCCION
ACTUAL]]</f>
        <v>0</v>
      </c>
      <c r="AB205" s="227">
        <v>0</v>
      </c>
      <c r="AC205" s="132"/>
      <c r="AD205" s="132"/>
      <c r="AE205" s="226">
        <f>SUM(CATEGORIAS[[#This Row],[INVENTARIO]:[PROYECCION
DE COSTO
DEL SALDO]])</f>
        <v>0</v>
      </c>
      <c r="AF205" s="132"/>
      <c r="AG205" s="132">
        <f>+CATEGORIAS[[#This Row],[PRESUPUESTO
FINAL
PROYECTADO]]-CATEGORIAS[[#This Row],[COSTO REAL]]-CATEGORIAS[[#This Row],[PROYECCION
TOTAL DE COSTO]]</f>
        <v>0</v>
      </c>
    </row>
    <row r="206" spans="1:33" x14ac:dyDescent="0.25">
      <c r="A206" s="274" t="str">
        <f>+IFERROR(VLOOKUP(CATEGORIAS[[#This Row],[CATEGORIA2]],[1]HOMOLOGACION!$A$1:$I$571,9,FALSE),0)</f>
        <v>0Q02</v>
      </c>
      <c r="B206" s="274" t="str">
        <f>+IFERROR(VLOOKUP(CATEGORIAS[[#This Row],[CATEGORIA2]],[1]HOMOLOGACION!$A$1:$C$571,3,FALSE),0)</f>
        <v>0X02</v>
      </c>
      <c r="C206" s="274" t="str">
        <f>+IFERROR(VLOOKUP(CATEGORIAS[[#This Row],[CATEGORIA2]],[1]HOMOLOGACION!$A$1:$D$571,4,FALSE),0)</f>
        <v xml:space="preserve">Mecánica </v>
      </c>
      <c r="D206" s="144" t="s">
        <v>1924</v>
      </c>
      <c r="E206" s="273" t="s">
        <v>759</v>
      </c>
      <c r="F206" s="275" t="s">
        <v>361</v>
      </c>
      <c r="G206" s="313">
        <v>0</v>
      </c>
      <c r="H206" s="313">
        <v>0</v>
      </c>
      <c r="I206" s="130">
        <v>0</v>
      </c>
      <c r="J206" s="130"/>
      <c r="K206" s="130"/>
      <c r="L206" s="143">
        <f>CATEGORIAS[[#This Row],[ADICIONALES]]+CATEGORIAS[[#This Row],[POM]]</f>
        <v>0</v>
      </c>
      <c r="M206" s="131">
        <v>0</v>
      </c>
      <c r="N206" s="227">
        <v>0</v>
      </c>
      <c r="O206" s="296">
        <f>CATEGORIAS[[#This Row],[PRODUCCION
PARTIDAS
ORIGINALES
ACTUAL]]+CATEGORIAS[[#This Row],[PRODUCCION
ADICIONALES
ACTUAL]]</f>
        <v>0</v>
      </c>
      <c r="P206" s="227">
        <v>0</v>
      </c>
      <c r="Q206" s="227">
        <v>0</v>
      </c>
      <c r="R206" s="297">
        <f>CATEGORIAS[[#This Row],[PRODUCCION
ANTERIOR]]+CATEGORIAS[[#This Row],[PRODUCCION
ADICIONALES
ANTERIOR]]</f>
        <v>0</v>
      </c>
      <c r="S206" s="133">
        <v>0</v>
      </c>
      <c r="T206" s="133"/>
      <c r="U206" s="133"/>
      <c r="V206" s="296">
        <f>SUM(CATEGORIAS[[#This Row],[COSTO
ACUMULADO  AX]:[PROVISIONES]])</f>
        <v>0</v>
      </c>
      <c r="W206" s="298">
        <v>0</v>
      </c>
      <c r="X206" s="227"/>
      <c r="Y206" s="227"/>
      <c r="Z206" s="297">
        <f>SUM(CATEGORIAS[[#This Row],[COSTO ACUMULADO
ANTERIOR]:[PROVISIONES
ANTERIOR]])</f>
        <v>0</v>
      </c>
      <c r="AA206" s="139">
        <f>CATEGORIAS[[#This Row],[PRESUPUESTO
FINAL
PROYECTADO]]-CATEGORIAS[[#This Row],[TOTAL PRODUCCION
ACTUAL]]</f>
        <v>0</v>
      </c>
      <c r="AB206" s="227">
        <v>0</v>
      </c>
      <c r="AC206" s="132"/>
      <c r="AD206" s="132"/>
      <c r="AE206" s="226">
        <f>SUM(CATEGORIAS[[#This Row],[INVENTARIO]:[PROYECCION
DE COSTO
DEL SALDO]])</f>
        <v>0</v>
      </c>
      <c r="AF206" s="132"/>
      <c r="AG206" s="132">
        <f>+CATEGORIAS[[#This Row],[PRESUPUESTO
FINAL
PROYECTADO]]-CATEGORIAS[[#This Row],[COSTO REAL]]-CATEGORIAS[[#This Row],[PROYECCION
TOTAL DE COSTO]]</f>
        <v>0</v>
      </c>
    </row>
    <row r="207" spans="1:33" x14ac:dyDescent="0.25">
      <c r="A207" s="274" t="str">
        <f>+IFERROR(VLOOKUP(CATEGORIAS[[#This Row],[CATEGORIA2]],[1]HOMOLOGACION!$A$1:$I$571,9,FALSE),0)</f>
        <v>0Q02</v>
      </c>
      <c r="B207" s="274" t="str">
        <f>+IFERROR(VLOOKUP(CATEGORIAS[[#This Row],[CATEGORIA2]],[1]HOMOLOGACION!$A$1:$C$571,3,FALSE),0)</f>
        <v>0X02</v>
      </c>
      <c r="C207" s="274" t="str">
        <f>+IFERROR(VLOOKUP(CATEGORIAS[[#This Row],[CATEGORIA2]],[1]HOMOLOGACION!$A$1:$D$571,4,FALSE),0)</f>
        <v xml:space="preserve">Mecánica </v>
      </c>
      <c r="D207" s="144" t="s">
        <v>1925</v>
      </c>
      <c r="E207" s="273" t="s">
        <v>761</v>
      </c>
      <c r="F207" s="275" t="s">
        <v>361</v>
      </c>
      <c r="G207" s="313">
        <v>0</v>
      </c>
      <c r="H207" s="313">
        <v>0</v>
      </c>
      <c r="I207" s="130">
        <v>0</v>
      </c>
      <c r="J207" s="130"/>
      <c r="K207" s="130"/>
      <c r="L207" s="143">
        <f>CATEGORIAS[[#This Row],[ADICIONALES]]+CATEGORIAS[[#This Row],[POM]]</f>
        <v>0</v>
      </c>
      <c r="M207" s="131">
        <v>0</v>
      </c>
      <c r="N207" s="227">
        <v>0</v>
      </c>
      <c r="O207" s="296">
        <f>CATEGORIAS[[#This Row],[PRODUCCION
PARTIDAS
ORIGINALES
ACTUAL]]+CATEGORIAS[[#This Row],[PRODUCCION
ADICIONALES
ACTUAL]]</f>
        <v>0</v>
      </c>
      <c r="P207" s="227">
        <v>0</v>
      </c>
      <c r="Q207" s="132">
        <v>0</v>
      </c>
      <c r="R207" s="297">
        <f>CATEGORIAS[[#This Row],[PRODUCCION
ANTERIOR]]+CATEGORIAS[[#This Row],[PRODUCCION
ADICIONALES
ANTERIOR]]</f>
        <v>0</v>
      </c>
      <c r="S207" s="133">
        <v>0</v>
      </c>
      <c r="T207" s="133"/>
      <c r="U207" s="133"/>
      <c r="V207" s="296">
        <f>SUM(CATEGORIAS[[#This Row],[COSTO
ACUMULADO  AX]:[PROVISIONES]])</f>
        <v>0</v>
      </c>
      <c r="W207" s="298">
        <v>0</v>
      </c>
      <c r="X207" s="227"/>
      <c r="Y207" s="227"/>
      <c r="Z207" s="297">
        <f>SUM(CATEGORIAS[[#This Row],[COSTO ACUMULADO
ANTERIOR]:[PROVISIONES
ANTERIOR]])</f>
        <v>0</v>
      </c>
      <c r="AA207" s="139">
        <f>CATEGORIAS[[#This Row],[PRESUPUESTO
FINAL
PROYECTADO]]-CATEGORIAS[[#This Row],[TOTAL PRODUCCION
ACTUAL]]</f>
        <v>0</v>
      </c>
      <c r="AB207" s="227">
        <v>0</v>
      </c>
      <c r="AC207" s="132"/>
      <c r="AD207" s="132"/>
      <c r="AE207" s="226">
        <f>SUM(CATEGORIAS[[#This Row],[INVENTARIO]:[PROYECCION
DE COSTO
DEL SALDO]])</f>
        <v>0</v>
      </c>
      <c r="AF207" s="132"/>
      <c r="AG207" s="132">
        <f>+CATEGORIAS[[#This Row],[PRESUPUESTO
FINAL
PROYECTADO]]-CATEGORIAS[[#This Row],[COSTO REAL]]-CATEGORIAS[[#This Row],[PROYECCION
TOTAL DE COSTO]]</f>
        <v>0</v>
      </c>
    </row>
    <row r="208" spans="1:33" x14ac:dyDescent="0.25">
      <c r="A208" s="274" t="str">
        <f>+IFERROR(VLOOKUP(CATEGORIAS[[#This Row],[CATEGORIA2]],[1]HOMOLOGACION!$A$1:$I$571,9,FALSE),0)</f>
        <v>0Q02</v>
      </c>
      <c r="B208" s="274" t="str">
        <f>+IFERROR(VLOOKUP(CATEGORIAS[[#This Row],[CATEGORIA2]],[1]HOMOLOGACION!$A$1:$C$571,3,FALSE),0)</f>
        <v>0X02</v>
      </c>
      <c r="C208" s="274" t="str">
        <f>+IFERROR(VLOOKUP(CATEGORIAS[[#This Row],[CATEGORIA2]],[1]HOMOLOGACION!$A$1:$D$571,4,FALSE),0)</f>
        <v xml:space="preserve">Mecánica </v>
      </c>
      <c r="D208" s="144" t="s">
        <v>1926</v>
      </c>
      <c r="E208" s="273" t="s">
        <v>763</v>
      </c>
      <c r="F208" s="275" t="s">
        <v>361</v>
      </c>
      <c r="G208" s="313">
        <v>0</v>
      </c>
      <c r="H208" s="313">
        <v>0</v>
      </c>
      <c r="I208" s="130">
        <v>0</v>
      </c>
      <c r="J208" s="130"/>
      <c r="K208" s="130"/>
      <c r="L208" s="143">
        <f>CATEGORIAS[[#This Row],[ADICIONALES]]+CATEGORIAS[[#This Row],[POM]]</f>
        <v>0</v>
      </c>
      <c r="M208" s="131">
        <v>0</v>
      </c>
      <c r="N208" s="227">
        <v>0</v>
      </c>
      <c r="O208" s="296">
        <f>CATEGORIAS[[#This Row],[PRODUCCION
PARTIDAS
ORIGINALES
ACTUAL]]+CATEGORIAS[[#This Row],[PRODUCCION
ADICIONALES
ACTUAL]]</f>
        <v>0</v>
      </c>
      <c r="P208" s="227">
        <v>0</v>
      </c>
      <c r="Q208" s="227">
        <v>0</v>
      </c>
      <c r="R208" s="297">
        <f>CATEGORIAS[[#This Row],[PRODUCCION
ANTERIOR]]+CATEGORIAS[[#This Row],[PRODUCCION
ADICIONALES
ANTERIOR]]</f>
        <v>0</v>
      </c>
      <c r="S208" s="133">
        <v>0</v>
      </c>
      <c r="T208" s="133"/>
      <c r="U208" s="133"/>
      <c r="V208" s="296">
        <f>SUM(CATEGORIAS[[#This Row],[COSTO
ACUMULADO  AX]:[PROVISIONES]])</f>
        <v>0</v>
      </c>
      <c r="W208" s="298">
        <v>0</v>
      </c>
      <c r="X208" s="227"/>
      <c r="Y208" s="227"/>
      <c r="Z208" s="297">
        <f>SUM(CATEGORIAS[[#This Row],[COSTO ACUMULADO
ANTERIOR]:[PROVISIONES
ANTERIOR]])</f>
        <v>0</v>
      </c>
      <c r="AA208" s="139">
        <f>CATEGORIAS[[#This Row],[PRESUPUESTO
FINAL
PROYECTADO]]-CATEGORIAS[[#This Row],[TOTAL PRODUCCION
ACTUAL]]</f>
        <v>0</v>
      </c>
      <c r="AB208" s="227">
        <v>0</v>
      </c>
      <c r="AC208" s="132"/>
      <c r="AD208" s="132"/>
      <c r="AE208" s="226">
        <f>SUM(CATEGORIAS[[#This Row],[INVENTARIO]:[PROYECCION
DE COSTO
DEL SALDO]])</f>
        <v>0</v>
      </c>
      <c r="AF208" s="132"/>
      <c r="AG208" s="132">
        <f>+CATEGORIAS[[#This Row],[PRESUPUESTO
FINAL
PROYECTADO]]-CATEGORIAS[[#This Row],[COSTO REAL]]-CATEGORIAS[[#This Row],[PROYECCION
TOTAL DE COSTO]]</f>
        <v>0</v>
      </c>
    </row>
    <row r="209" spans="1:33" x14ac:dyDescent="0.25">
      <c r="A209" s="274" t="str">
        <f>+IFERROR(VLOOKUP(CATEGORIAS[[#This Row],[CATEGORIA2]],[1]HOMOLOGACION!$A$1:$I$571,9,FALSE),0)</f>
        <v>0Q02</v>
      </c>
      <c r="B209" s="274" t="str">
        <f>+IFERROR(VLOOKUP(CATEGORIAS[[#This Row],[CATEGORIA2]],[1]HOMOLOGACION!$A$1:$C$571,3,FALSE),0)</f>
        <v>0X02</v>
      </c>
      <c r="C209" s="274" t="str">
        <f>+IFERROR(VLOOKUP(CATEGORIAS[[#This Row],[CATEGORIA2]],[1]HOMOLOGACION!$A$1:$D$571,4,FALSE),0)</f>
        <v xml:space="preserve">Mecánica </v>
      </c>
      <c r="D209" s="144" t="s">
        <v>1927</v>
      </c>
      <c r="E209" s="273" t="s">
        <v>765</v>
      </c>
      <c r="F209" s="275" t="s">
        <v>361</v>
      </c>
      <c r="G209" s="313">
        <v>0</v>
      </c>
      <c r="H209" s="313">
        <v>0</v>
      </c>
      <c r="I209" s="130">
        <v>0</v>
      </c>
      <c r="J209" s="130"/>
      <c r="K209" s="130"/>
      <c r="L209" s="143">
        <f>CATEGORIAS[[#This Row],[ADICIONALES]]+CATEGORIAS[[#This Row],[POM]]</f>
        <v>0</v>
      </c>
      <c r="M209" s="131">
        <v>0</v>
      </c>
      <c r="N209" s="227">
        <v>0</v>
      </c>
      <c r="O209" s="296">
        <f>CATEGORIAS[[#This Row],[PRODUCCION
PARTIDAS
ORIGINALES
ACTUAL]]+CATEGORIAS[[#This Row],[PRODUCCION
ADICIONALES
ACTUAL]]</f>
        <v>0</v>
      </c>
      <c r="P209" s="227">
        <v>0</v>
      </c>
      <c r="Q209" s="132">
        <v>0</v>
      </c>
      <c r="R209" s="297">
        <f>CATEGORIAS[[#This Row],[PRODUCCION
ANTERIOR]]+CATEGORIAS[[#This Row],[PRODUCCION
ADICIONALES
ANTERIOR]]</f>
        <v>0</v>
      </c>
      <c r="S209" s="133">
        <v>0</v>
      </c>
      <c r="T209" s="133"/>
      <c r="U209" s="133"/>
      <c r="V209" s="296">
        <f>SUM(CATEGORIAS[[#This Row],[COSTO
ACUMULADO  AX]:[PROVISIONES]])</f>
        <v>0</v>
      </c>
      <c r="W209" s="298">
        <v>0</v>
      </c>
      <c r="X209" s="227"/>
      <c r="Y209" s="227"/>
      <c r="Z209" s="297">
        <f>SUM(CATEGORIAS[[#This Row],[COSTO ACUMULADO
ANTERIOR]:[PROVISIONES
ANTERIOR]])</f>
        <v>0</v>
      </c>
      <c r="AA209" s="139">
        <f>CATEGORIAS[[#This Row],[PRESUPUESTO
FINAL
PROYECTADO]]-CATEGORIAS[[#This Row],[TOTAL PRODUCCION
ACTUAL]]</f>
        <v>0</v>
      </c>
      <c r="AB209" s="227">
        <v>0</v>
      </c>
      <c r="AC209" s="132"/>
      <c r="AD209" s="132"/>
      <c r="AE209" s="226">
        <f>SUM(CATEGORIAS[[#This Row],[INVENTARIO]:[PROYECCION
DE COSTO
DEL SALDO]])</f>
        <v>0</v>
      </c>
      <c r="AF209" s="132"/>
      <c r="AG209" s="132">
        <f>+CATEGORIAS[[#This Row],[PRESUPUESTO
FINAL
PROYECTADO]]-CATEGORIAS[[#This Row],[COSTO REAL]]-CATEGORIAS[[#This Row],[PROYECCION
TOTAL DE COSTO]]</f>
        <v>0</v>
      </c>
    </row>
    <row r="210" spans="1:33" x14ac:dyDescent="0.25">
      <c r="A210" s="274" t="str">
        <f>+IFERROR(VLOOKUP(CATEGORIAS[[#This Row],[CATEGORIA2]],[1]HOMOLOGACION!$A$1:$I$571,9,FALSE),0)</f>
        <v>0Q02</v>
      </c>
      <c r="B210" s="274" t="str">
        <f>+IFERROR(VLOOKUP(CATEGORIAS[[#This Row],[CATEGORIA2]],[1]HOMOLOGACION!$A$1:$C$571,3,FALSE),0)</f>
        <v>0X02</v>
      </c>
      <c r="C210" s="274" t="str">
        <f>+IFERROR(VLOOKUP(CATEGORIAS[[#This Row],[CATEGORIA2]],[1]HOMOLOGACION!$A$1:$D$571,4,FALSE),0)</f>
        <v xml:space="preserve">Mecánica </v>
      </c>
      <c r="D210" s="144" t="s">
        <v>1928</v>
      </c>
      <c r="E210" s="273" t="s">
        <v>767</v>
      </c>
      <c r="F210" s="275" t="s">
        <v>361</v>
      </c>
      <c r="G210" s="313">
        <v>0</v>
      </c>
      <c r="H210" s="313">
        <v>0</v>
      </c>
      <c r="I210" s="130">
        <v>0</v>
      </c>
      <c r="J210" s="130"/>
      <c r="K210" s="130"/>
      <c r="L210" s="143">
        <f>CATEGORIAS[[#This Row],[ADICIONALES]]+CATEGORIAS[[#This Row],[POM]]</f>
        <v>0</v>
      </c>
      <c r="M210" s="131">
        <v>0</v>
      </c>
      <c r="N210" s="227">
        <v>0</v>
      </c>
      <c r="O210" s="296">
        <f>CATEGORIAS[[#This Row],[PRODUCCION
PARTIDAS
ORIGINALES
ACTUAL]]+CATEGORIAS[[#This Row],[PRODUCCION
ADICIONALES
ACTUAL]]</f>
        <v>0</v>
      </c>
      <c r="P210" s="227">
        <v>0</v>
      </c>
      <c r="Q210" s="227">
        <v>0</v>
      </c>
      <c r="R210" s="297">
        <f>CATEGORIAS[[#This Row],[PRODUCCION
ANTERIOR]]+CATEGORIAS[[#This Row],[PRODUCCION
ADICIONALES
ANTERIOR]]</f>
        <v>0</v>
      </c>
      <c r="S210" s="133">
        <v>0</v>
      </c>
      <c r="T210" s="133"/>
      <c r="U210" s="133"/>
      <c r="V210" s="296">
        <f>SUM(CATEGORIAS[[#This Row],[COSTO
ACUMULADO  AX]:[PROVISIONES]])</f>
        <v>0</v>
      </c>
      <c r="W210" s="298">
        <v>0</v>
      </c>
      <c r="X210" s="227"/>
      <c r="Y210" s="227"/>
      <c r="Z210" s="297">
        <f>SUM(CATEGORIAS[[#This Row],[COSTO ACUMULADO
ANTERIOR]:[PROVISIONES
ANTERIOR]])</f>
        <v>0</v>
      </c>
      <c r="AA210" s="139">
        <f>CATEGORIAS[[#This Row],[PRESUPUESTO
FINAL
PROYECTADO]]-CATEGORIAS[[#This Row],[TOTAL PRODUCCION
ACTUAL]]</f>
        <v>0</v>
      </c>
      <c r="AB210" s="227">
        <v>0</v>
      </c>
      <c r="AC210" s="132"/>
      <c r="AD210" s="132"/>
      <c r="AE210" s="226">
        <f>SUM(CATEGORIAS[[#This Row],[INVENTARIO]:[PROYECCION
DE COSTO
DEL SALDO]])</f>
        <v>0</v>
      </c>
      <c r="AF210" s="132"/>
      <c r="AG210" s="132">
        <f>+CATEGORIAS[[#This Row],[PRESUPUESTO
FINAL
PROYECTADO]]-CATEGORIAS[[#This Row],[COSTO REAL]]-CATEGORIAS[[#This Row],[PROYECCION
TOTAL DE COSTO]]</f>
        <v>0</v>
      </c>
    </row>
    <row r="211" spans="1:33" x14ac:dyDescent="0.25">
      <c r="A211" s="274" t="str">
        <f>+IFERROR(VLOOKUP(CATEGORIAS[[#This Row],[CATEGORIA2]],[1]HOMOLOGACION!$A$1:$I$571,9,FALSE),0)</f>
        <v>0Q02</v>
      </c>
      <c r="B211" s="274" t="str">
        <f>+IFERROR(VLOOKUP(CATEGORIAS[[#This Row],[CATEGORIA2]],[1]HOMOLOGACION!$A$1:$C$571,3,FALSE),0)</f>
        <v>0X02</v>
      </c>
      <c r="C211" s="274" t="str">
        <f>+IFERROR(VLOOKUP(CATEGORIAS[[#This Row],[CATEGORIA2]],[1]HOMOLOGACION!$A$1:$D$571,4,FALSE),0)</f>
        <v xml:space="preserve">Mecánica </v>
      </c>
      <c r="D211" s="144" t="s">
        <v>1929</v>
      </c>
      <c r="E211" s="273" t="s">
        <v>769</v>
      </c>
      <c r="F211" s="275" t="s">
        <v>361</v>
      </c>
      <c r="G211" s="313">
        <v>0</v>
      </c>
      <c r="H211" s="313">
        <v>0</v>
      </c>
      <c r="I211" s="130">
        <v>0</v>
      </c>
      <c r="J211" s="130"/>
      <c r="K211" s="130"/>
      <c r="L211" s="143">
        <f>CATEGORIAS[[#This Row],[ADICIONALES]]+CATEGORIAS[[#This Row],[POM]]</f>
        <v>0</v>
      </c>
      <c r="M211" s="131">
        <v>0</v>
      </c>
      <c r="N211" s="227">
        <v>0</v>
      </c>
      <c r="O211" s="296">
        <f>CATEGORIAS[[#This Row],[PRODUCCION
PARTIDAS
ORIGINALES
ACTUAL]]+CATEGORIAS[[#This Row],[PRODUCCION
ADICIONALES
ACTUAL]]</f>
        <v>0</v>
      </c>
      <c r="P211" s="227">
        <v>0</v>
      </c>
      <c r="Q211" s="132">
        <v>0</v>
      </c>
      <c r="R211" s="297">
        <f>CATEGORIAS[[#This Row],[PRODUCCION
ANTERIOR]]+CATEGORIAS[[#This Row],[PRODUCCION
ADICIONALES
ANTERIOR]]</f>
        <v>0</v>
      </c>
      <c r="S211" s="133">
        <v>0</v>
      </c>
      <c r="T211" s="133"/>
      <c r="U211" s="133"/>
      <c r="V211" s="296">
        <f>SUM(CATEGORIAS[[#This Row],[COSTO
ACUMULADO  AX]:[PROVISIONES]])</f>
        <v>0</v>
      </c>
      <c r="W211" s="298">
        <v>0</v>
      </c>
      <c r="X211" s="227"/>
      <c r="Y211" s="227"/>
      <c r="Z211" s="297">
        <f>SUM(CATEGORIAS[[#This Row],[COSTO ACUMULADO
ANTERIOR]:[PROVISIONES
ANTERIOR]])</f>
        <v>0</v>
      </c>
      <c r="AA211" s="139">
        <f>CATEGORIAS[[#This Row],[PRESUPUESTO
FINAL
PROYECTADO]]-CATEGORIAS[[#This Row],[TOTAL PRODUCCION
ACTUAL]]</f>
        <v>0</v>
      </c>
      <c r="AB211" s="227">
        <v>0</v>
      </c>
      <c r="AC211" s="132"/>
      <c r="AD211" s="132"/>
      <c r="AE211" s="226">
        <f>SUM(CATEGORIAS[[#This Row],[INVENTARIO]:[PROYECCION
DE COSTO
DEL SALDO]])</f>
        <v>0</v>
      </c>
      <c r="AF211" s="132"/>
      <c r="AG211" s="132">
        <f>+CATEGORIAS[[#This Row],[PRESUPUESTO
FINAL
PROYECTADO]]-CATEGORIAS[[#This Row],[COSTO REAL]]-CATEGORIAS[[#This Row],[PROYECCION
TOTAL DE COSTO]]</f>
        <v>0</v>
      </c>
    </row>
    <row r="212" spans="1:33" x14ac:dyDescent="0.25">
      <c r="A212" s="274" t="str">
        <f>+IFERROR(VLOOKUP(CATEGORIAS[[#This Row],[CATEGORIA2]],[1]HOMOLOGACION!$A$1:$I$571,9,FALSE),0)</f>
        <v>0Q02</v>
      </c>
      <c r="B212" s="274" t="str">
        <f>+IFERROR(VLOOKUP(CATEGORIAS[[#This Row],[CATEGORIA2]],[1]HOMOLOGACION!$A$1:$C$571,3,FALSE),0)</f>
        <v>0X02</v>
      </c>
      <c r="C212" s="274" t="str">
        <f>+IFERROR(VLOOKUP(CATEGORIAS[[#This Row],[CATEGORIA2]],[1]HOMOLOGACION!$A$1:$D$571,4,FALSE),0)</f>
        <v xml:space="preserve">Mecánica </v>
      </c>
      <c r="D212" s="144" t="s">
        <v>1930</v>
      </c>
      <c r="E212" s="273" t="s">
        <v>771</v>
      </c>
      <c r="F212" s="275" t="s">
        <v>361</v>
      </c>
      <c r="G212" s="313">
        <v>0</v>
      </c>
      <c r="H212" s="313">
        <v>0</v>
      </c>
      <c r="I212" s="130">
        <v>0</v>
      </c>
      <c r="J212" s="130"/>
      <c r="K212" s="130"/>
      <c r="L212" s="143">
        <f>CATEGORIAS[[#This Row],[ADICIONALES]]+CATEGORIAS[[#This Row],[POM]]</f>
        <v>0</v>
      </c>
      <c r="M212" s="131">
        <v>0</v>
      </c>
      <c r="N212" s="227">
        <v>0</v>
      </c>
      <c r="O212" s="296">
        <f>CATEGORIAS[[#This Row],[PRODUCCION
PARTIDAS
ORIGINALES
ACTUAL]]+CATEGORIAS[[#This Row],[PRODUCCION
ADICIONALES
ACTUAL]]</f>
        <v>0</v>
      </c>
      <c r="P212" s="227">
        <v>0</v>
      </c>
      <c r="Q212" s="132">
        <v>0</v>
      </c>
      <c r="R212" s="297">
        <f>CATEGORIAS[[#This Row],[PRODUCCION
ANTERIOR]]+CATEGORIAS[[#This Row],[PRODUCCION
ADICIONALES
ANTERIOR]]</f>
        <v>0</v>
      </c>
      <c r="S212" s="133">
        <v>0</v>
      </c>
      <c r="T212" s="133"/>
      <c r="U212" s="133"/>
      <c r="V212" s="296">
        <f>SUM(CATEGORIAS[[#This Row],[COSTO
ACUMULADO  AX]:[PROVISIONES]])</f>
        <v>0</v>
      </c>
      <c r="W212" s="298">
        <v>0</v>
      </c>
      <c r="X212" s="227"/>
      <c r="Y212" s="227"/>
      <c r="Z212" s="297">
        <f>SUM(CATEGORIAS[[#This Row],[COSTO ACUMULADO
ANTERIOR]:[PROVISIONES
ANTERIOR]])</f>
        <v>0</v>
      </c>
      <c r="AA212" s="139">
        <f>CATEGORIAS[[#This Row],[PRESUPUESTO
FINAL
PROYECTADO]]-CATEGORIAS[[#This Row],[TOTAL PRODUCCION
ACTUAL]]</f>
        <v>0</v>
      </c>
      <c r="AB212" s="227">
        <v>0</v>
      </c>
      <c r="AC212" s="132"/>
      <c r="AD212" s="132"/>
      <c r="AE212" s="226">
        <f>SUM(CATEGORIAS[[#This Row],[INVENTARIO]:[PROYECCION
DE COSTO
DEL SALDO]])</f>
        <v>0</v>
      </c>
      <c r="AF212" s="132"/>
      <c r="AG212" s="132">
        <f>+CATEGORIAS[[#This Row],[PRESUPUESTO
FINAL
PROYECTADO]]-CATEGORIAS[[#This Row],[COSTO REAL]]-CATEGORIAS[[#This Row],[PROYECCION
TOTAL DE COSTO]]</f>
        <v>0</v>
      </c>
    </row>
    <row r="213" spans="1:33" x14ac:dyDescent="0.25">
      <c r="A213" s="274" t="str">
        <f>+IFERROR(VLOOKUP(CATEGORIAS[[#This Row],[CATEGORIA2]],[1]HOMOLOGACION!$A$1:$I$571,9,FALSE),0)</f>
        <v>0Q02</v>
      </c>
      <c r="B213" s="274" t="str">
        <f>+IFERROR(VLOOKUP(CATEGORIAS[[#This Row],[CATEGORIA2]],[1]HOMOLOGACION!$A$1:$C$571,3,FALSE),0)</f>
        <v>0X02</v>
      </c>
      <c r="C213" s="274" t="str">
        <f>+IFERROR(VLOOKUP(CATEGORIAS[[#This Row],[CATEGORIA2]],[1]HOMOLOGACION!$A$1:$D$571,4,FALSE),0)</f>
        <v xml:space="preserve">Mecánica </v>
      </c>
      <c r="D213" s="144" t="s">
        <v>1931</v>
      </c>
      <c r="E213" s="275" t="s">
        <v>773</v>
      </c>
      <c r="F213" s="275" t="s">
        <v>361</v>
      </c>
      <c r="G213" s="313">
        <v>0</v>
      </c>
      <c r="H213" s="313">
        <v>0</v>
      </c>
      <c r="I213" s="130">
        <v>0</v>
      </c>
      <c r="J213" s="130"/>
      <c r="K213" s="130"/>
      <c r="L213" s="143">
        <f>CATEGORIAS[[#This Row],[ADICIONALES]]+CATEGORIAS[[#This Row],[POM]]</f>
        <v>0</v>
      </c>
      <c r="M213" s="131">
        <v>0</v>
      </c>
      <c r="N213" s="227">
        <v>0</v>
      </c>
      <c r="O213" s="296">
        <f>CATEGORIAS[[#This Row],[PRODUCCION
PARTIDAS
ORIGINALES
ACTUAL]]+CATEGORIAS[[#This Row],[PRODUCCION
ADICIONALES
ACTUAL]]</f>
        <v>0</v>
      </c>
      <c r="P213" s="227">
        <v>0</v>
      </c>
      <c r="Q213" s="227">
        <v>0</v>
      </c>
      <c r="R213" s="297">
        <f>CATEGORIAS[[#This Row],[PRODUCCION
ANTERIOR]]+CATEGORIAS[[#This Row],[PRODUCCION
ADICIONALES
ANTERIOR]]</f>
        <v>0</v>
      </c>
      <c r="S213" s="133">
        <v>0</v>
      </c>
      <c r="T213" s="133"/>
      <c r="U213" s="133"/>
      <c r="V213" s="296">
        <f>SUM(CATEGORIAS[[#This Row],[COSTO
ACUMULADO  AX]:[PROVISIONES]])</f>
        <v>0</v>
      </c>
      <c r="W213" s="298">
        <v>0</v>
      </c>
      <c r="X213" s="227"/>
      <c r="Y213" s="227"/>
      <c r="Z213" s="297">
        <f>SUM(CATEGORIAS[[#This Row],[COSTO ACUMULADO
ANTERIOR]:[PROVISIONES
ANTERIOR]])</f>
        <v>0</v>
      </c>
      <c r="AA213" s="139">
        <f>CATEGORIAS[[#This Row],[PRESUPUESTO
FINAL
PROYECTADO]]-CATEGORIAS[[#This Row],[TOTAL PRODUCCION
ACTUAL]]</f>
        <v>0</v>
      </c>
      <c r="AB213" s="227">
        <v>0</v>
      </c>
      <c r="AC213" s="132"/>
      <c r="AD213" s="132"/>
      <c r="AE213" s="226">
        <f>SUM(CATEGORIAS[[#This Row],[INVENTARIO]:[PROYECCION
DE COSTO
DEL SALDO]])</f>
        <v>0</v>
      </c>
      <c r="AF213" s="132"/>
      <c r="AG213" s="132">
        <f>+CATEGORIAS[[#This Row],[PRESUPUESTO
FINAL
PROYECTADO]]-CATEGORIAS[[#This Row],[COSTO REAL]]-CATEGORIAS[[#This Row],[PROYECCION
TOTAL DE COSTO]]</f>
        <v>0</v>
      </c>
    </row>
    <row r="214" spans="1:33" x14ac:dyDescent="0.25">
      <c r="A214" s="274" t="str">
        <f>+IFERROR(VLOOKUP(CATEGORIAS[[#This Row],[CATEGORIA2]],[1]HOMOLOGACION!$A$1:$I$571,9,FALSE),0)</f>
        <v>0Q02</v>
      </c>
      <c r="B214" s="274" t="str">
        <f>+IFERROR(VLOOKUP(CATEGORIAS[[#This Row],[CATEGORIA2]],[1]HOMOLOGACION!$A$1:$C$571,3,FALSE),0)</f>
        <v>0X03</v>
      </c>
      <c r="C214" s="274" t="str">
        <f>+IFERROR(VLOOKUP(CATEGORIAS[[#This Row],[CATEGORIA2]],[1]HOMOLOGACION!$A$1:$D$571,4,FALSE),0)</f>
        <v xml:space="preserve">Cañería </v>
      </c>
      <c r="D214" s="144" t="s">
        <v>1932</v>
      </c>
      <c r="E214" s="273" t="s">
        <v>775</v>
      </c>
      <c r="F214" s="275" t="s">
        <v>361</v>
      </c>
      <c r="G214" s="313">
        <v>0</v>
      </c>
      <c r="H214" s="313">
        <v>0</v>
      </c>
      <c r="I214" s="130">
        <v>0</v>
      </c>
      <c r="J214" s="130"/>
      <c r="K214" s="130"/>
      <c r="L214" s="143">
        <f>CATEGORIAS[[#This Row],[ADICIONALES]]+CATEGORIAS[[#This Row],[POM]]</f>
        <v>0</v>
      </c>
      <c r="M214" s="131">
        <v>0</v>
      </c>
      <c r="N214" s="227">
        <v>0</v>
      </c>
      <c r="O214" s="296">
        <f>CATEGORIAS[[#This Row],[PRODUCCION
PARTIDAS
ORIGINALES
ACTUAL]]+CATEGORIAS[[#This Row],[PRODUCCION
ADICIONALES
ACTUAL]]</f>
        <v>0</v>
      </c>
      <c r="P214" s="227">
        <v>0</v>
      </c>
      <c r="Q214" s="227">
        <v>0</v>
      </c>
      <c r="R214" s="297">
        <f>CATEGORIAS[[#This Row],[PRODUCCION
ANTERIOR]]+CATEGORIAS[[#This Row],[PRODUCCION
ADICIONALES
ANTERIOR]]</f>
        <v>0</v>
      </c>
      <c r="S214" s="133">
        <v>0</v>
      </c>
      <c r="T214" s="133"/>
      <c r="U214" s="133"/>
      <c r="V214" s="296">
        <f>SUM(CATEGORIAS[[#This Row],[COSTO
ACUMULADO  AX]:[PROVISIONES]])</f>
        <v>0</v>
      </c>
      <c r="W214" s="298">
        <v>0</v>
      </c>
      <c r="X214" s="227"/>
      <c r="Y214" s="227"/>
      <c r="Z214" s="297">
        <f>SUM(CATEGORIAS[[#This Row],[COSTO ACUMULADO
ANTERIOR]:[PROVISIONES
ANTERIOR]])</f>
        <v>0</v>
      </c>
      <c r="AA214" s="139">
        <f>CATEGORIAS[[#This Row],[PRESUPUESTO
FINAL
PROYECTADO]]-CATEGORIAS[[#This Row],[TOTAL PRODUCCION
ACTUAL]]</f>
        <v>0</v>
      </c>
      <c r="AB214" s="227">
        <v>0</v>
      </c>
      <c r="AC214" s="132"/>
      <c r="AD214" s="132"/>
      <c r="AE214" s="226">
        <f>SUM(CATEGORIAS[[#This Row],[INVENTARIO]:[PROYECCION
DE COSTO
DEL SALDO]])</f>
        <v>0</v>
      </c>
      <c r="AF214" s="132"/>
      <c r="AG214" s="132">
        <f>+CATEGORIAS[[#This Row],[PRESUPUESTO
FINAL
PROYECTADO]]-CATEGORIAS[[#This Row],[COSTO REAL]]-CATEGORIAS[[#This Row],[PROYECCION
TOTAL DE COSTO]]</f>
        <v>0</v>
      </c>
    </row>
    <row r="215" spans="1:33" x14ac:dyDescent="0.25">
      <c r="A215" s="274" t="str">
        <f>+IFERROR(VLOOKUP(CATEGORIAS[[#This Row],[CATEGORIA2]],[1]HOMOLOGACION!$A$1:$I$571,9,FALSE),0)</f>
        <v>0Q02</v>
      </c>
      <c r="B215" s="274" t="str">
        <f>+IFERROR(VLOOKUP(CATEGORIAS[[#This Row],[CATEGORIA2]],[1]HOMOLOGACION!$A$1:$C$571,3,FALSE),0)</f>
        <v>0X03</v>
      </c>
      <c r="C215" s="274" t="str">
        <f>+IFERROR(VLOOKUP(CATEGORIAS[[#This Row],[CATEGORIA2]],[1]HOMOLOGACION!$A$1:$D$571,4,FALSE),0)</f>
        <v xml:space="preserve">Cañería </v>
      </c>
      <c r="D215" s="144" t="s">
        <v>1933</v>
      </c>
      <c r="E215" s="273" t="s">
        <v>777</v>
      </c>
      <c r="F215" s="275" t="s">
        <v>361</v>
      </c>
      <c r="G215" s="313">
        <v>0</v>
      </c>
      <c r="H215" s="313">
        <v>0</v>
      </c>
      <c r="I215" s="130">
        <v>0</v>
      </c>
      <c r="J215" s="130"/>
      <c r="K215" s="130"/>
      <c r="L215" s="143">
        <f>CATEGORIAS[[#This Row],[ADICIONALES]]+CATEGORIAS[[#This Row],[POM]]</f>
        <v>0</v>
      </c>
      <c r="M215" s="131">
        <v>0</v>
      </c>
      <c r="N215" s="227">
        <v>0</v>
      </c>
      <c r="O215" s="296">
        <f>CATEGORIAS[[#This Row],[PRODUCCION
PARTIDAS
ORIGINALES
ACTUAL]]+CATEGORIAS[[#This Row],[PRODUCCION
ADICIONALES
ACTUAL]]</f>
        <v>0</v>
      </c>
      <c r="P215" s="227">
        <v>0</v>
      </c>
      <c r="Q215" s="132">
        <v>0</v>
      </c>
      <c r="R215" s="297">
        <f>CATEGORIAS[[#This Row],[PRODUCCION
ANTERIOR]]+CATEGORIAS[[#This Row],[PRODUCCION
ADICIONALES
ANTERIOR]]</f>
        <v>0</v>
      </c>
      <c r="S215" s="133">
        <v>0</v>
      </c>
      <c r="T215" s="133"/>
      <c r="U215" s="133"/>
      <c r="V215" s="296">
        <f>SUM(CATEGORIAS[[#This Row],[COSTO
ACUMULADO  AX]:[PROVISIONES]])</f>
        <v>0</v>
      </c>
      <c r="W215" s="298">
        <v>0</v>
      </c>
      <c r="X215" s="227"/>
      <c r="Y215" s="227"/>
      <c r="Z215" s="297">
        <f>SUM(CATEGORIAS[[#This Row],[COSTO ACUMULADO
ANTERIOR]:[PROVISIONES
ANTERIOR]])</f>
        <v>0</v>
      </c>
      <c r="AA215" s="139">
        <f>CATEGORIAS[[#This Row],[PRESUPUESTO
FINAL
PROYECTADO]]-CATEGORIAS[[#This Row],[TOTAL PRODUCCION
ACTUAL]]</f>
        <v>0</v>
      </c>
      <c r="AB215" s="227">
        <v>0</v>
      </c>
      <c r="AC215" s="132"/>
      <c r="AD215" s="132"/>
      <c r="AE215" s="226">
        <f>SUM(CATEGORIAS[[#This Row],[INVENTARIO]:[PROYECCION
DE COSTO
DEL SALDO]])</f>
        <v>0</v>
      </c>
      <c r="AF215" s="132"/>
      <c r="AG215" s="132">
        <f>+CATEGORIAS[[#This Row],[PRESUPUESTO
FINAL
PROYECTADO]]-CATEGORIAS[[#This Row],[COSTO REAL]]-CATEGORIAS[[#This Row],[PROYECCION
TOTAL DE COSTO]]</f>
        <v>0</v>
      </c>
    </row>
    <row r="216" spans="1:33" x14ac:dyDescent="0.25">
      <c r="A216" s="274" t="str">
        <f>+IFERROR(VLOOKUP(CATEGORIAS[[#This Row],[CATEGORIA2]],[1]HOMOLOGACION!$A$1:$I$571,9,FALSE),0)</f>
        <v>0Q02</v>
      </c>
      <c r="B216" s="274" t="str">
        <f>+IFERROR(VLOOKUP(CATEGORIAS[[#This Row],[CATEGORIA2]],[1]HOMOLOGACION!$A$1:$C$571,3,FALSE),0)</f>
        <v>0X03</v>
      </c>
      <c r="C216" s="274" t="str">
        <f>+IFERROR(VLOOKUP(CATEGORIAS[[#This Row],[CATEGORIA2]],[1]HOMOLOGACION!$A$1:$D$571,4,FALSE),0)</f>
        <v xml:space="preserve">Cañería </v>
      </c>
      <c r="D216" s="144" t="s">
        <v>1934</v>
      </c>
      <c r="E216" s="273" t="s">
        <v>779</v>
      </c>
      <c r="F216" s="275" t="s">
        <v>361</v>
      </c>
      <c r="G216" s="313">
        <v>0</v>
      </c>
      <c r="H216" s="313">
        <v>0</v>
      </c>
      <c r="I216" s="130">
        <v>0</v>
      </c>
      <c r="J216" s="130"/>
      <c r="K216" s="130"/>
      <c r="L216" s="143">
        <f>CATEGORIAS[[#This Row],[ADICIONALES]]+CATEGORIAS[[#This Row],[POM]]</f>
        <v>0</v>
      </c>
      <c r="M216" s="131">
        <v>0</v>
      </c>
      <c r="N216" s="227">
        <v>0</v>
      </c>
      <c r="O216" s="296">
        <f>CATEGORIAS[[#This Row],[PRODUCCION
PARTIDAS
ORIGINALES
ACTUAL]]+CATEGORIAS[[#This Row],[PRODUCCION
ADICIONALES
ACTUAL]]</f>
        <v>0</v>
      </c>
      <c r="P216" s="227">
        <v>0</v>
      </c>
      <c r="Q216" s="227">
        <v>0</v>
      </c>
      <c r="R216" s="297">
        <f>CATEGORIAS[[#This Row],[PRODUCCION
ANTERIOR]]+CATEGORIAS[[#This Row],[PRODUCCION
ADICIONALES
ANTERIOR]]</f>
        <v>0</v>
      </c>
      <c r="S216" s="133">
        <v>0</v>
      </c>
      <c r="T216" s="133"/>
      <c r="U216" s="133"/>
      <c r="V216" s="296">
        <f>SUM(CATEGORIAS[[#This Row],[COSTO
ACUMULADO  AX]:[PROVISIONES]])</f>
        <v>0</v>
      </c>
      <c r="W216" s="298">
        <v>0</v>
      </c>
      <c r="X216" s="227"/>
      <c r="Y216" s="227"/>
      <c r="Z216" s="297">
        <f>SUM(CATEGORIAS[[#This Row],[COSTO ACUMULADO
ANTERIOR]:[PROVISIONES
ANTERIOR]])</f>
        <v>0</v>
      </c>
      <c r="AA216" s="139">
        <f>CATEGORIAS[[#This Row],[PRESUPUESTO
FINAL
PROYECTADO]]-CATEGORIAS[[#This Row],[TOTAL PRODUCCION
ACTUAL]]</f>
        <v>0</v>
      </c>
      <c r="AB216" s="227">
        <v>0</v>
      </c>
      <c r="AC216" s="132"/>
      <c r="AD216" s="132"/>
      <c r="AE216" s="226">
        <f>SUM(CATEGORIAS[[#This Row],[INVENTARIO]:[PROYECCION
DE COSTO
DEL SALDO]])</f>
        <v>0</v>
      </c>
      <c r="AF216" s="132"/>
      <c r="AG216" s="132">
        <f>+CATEGORIAS[[#This Row],[PRESUPUESTO
FINAL
PROYECTADO]]-CATEGORIAS[[#This Row],[COSTO REAL]]-CATEGORIAS[[#This Row],[PROYECCION
TOTAL DE COSTO]]</f>
        <v>0</v>
      </c>
    </row>
    <row r="217" spans="1:33" x14ac:dyDescent="0.25">
      <c r="A217" s="274" t="str">
        <f>+IFERROR(VLOOKUP(CATEGORIAS[[#This Row],[CATEGORIA2]],[1]HOMOLOGACION!$A$1:$I$571,9,FALSE),0)</f>
        <v>0Q02</v>
      </c>
      <c r="B217" s="274" t="str">
        <f>+IFERROR(VLOOKUP(CATEGORIAS[[#This Row],[CATEGORIA2]],[1]HOMOLOGACION!$A$1:$C$571,3,FALSE),0)</f>
        <v>0X03</v>
      </c>
      <c r="C217" s="274" t="str">
        <f>+IFERROR(VLOOKUP(CATEGORIAS[[#This Row],[CATEGORIA2]],[1]HOMOLOGACION!$A$1:$D$571,4,FALSE),0)</f>
        <v xml:space="preserve">Cañería </v>
      </c>
      <c r="D217" s="144" t="s">
        <v>1935</v>
      </c>
      <c r="E217" s="273" t="s">
        <v>781</v>
      </c>
      <c r="F217" s="275" t="s">
        <v>361</v>
      </c>
      <c r="G217" s="313">
        <v>0</v>
      </c>
      <c r="H217" s="313">
        <v>0</v>
      </c>
      <c r="I217" s="130">
        <v>0</v>
      </c>
      <c r="J217" s="130"/>
      <c r="K217" s="130"/>
      <c r="L217" s="143">
        <f>CATEGORIAS[[#This Row],[ADICIONALES]]+CATEGORIAS[[#This Row],[POM]]</f>
        <v>0</v>
      </c>
      <c r="M217" s="131">
        <v>0</v>
      </c>
      <c r="N217" s="227">
        <v>0</v>
      </c>
      <c r="O217" s="296">
        <f>CATEGORIAS[[#This Row],[PRODUCCION
PARTIDAS
ORIGINALES
ACTUAL]]+CATEGORIAS[[#This Row],[PRODUCCION
ADICIONALES
ACTUAL]]</f>
        <v>0</v>
      </c>
      <c r="P217" s="227">
        <v>0</v>
      </c>
      <c r="Q217" s="132">
        <v>0</v>
      </c>
      <c r="R217" s="297">
        <f>CATEGORIAS[[#This Row],[PRODUCCION
ANTERIOR]]+CATEGORIAS[[#This Row],[PRODUCCION
ADICIONALES
ANTERIOR]]</f>
        <v>0</v>
      </c>
      <c r="S217" s="133">
        <v>0</v>
      </c>
      <c r="T217" s="133"/>
      <c r="U217" s="133"/>
      <c r="V217" s="296">
        <f>SUM(CATEGORIAS[[#This Row],[COSTO
ACUMULADO  AX]:[PROVISIONES]])</f>
        <v>0</v>
      </c>
      <c r="W217" s="298">
        <v>0</v>
      </c>
      <c r="X217" s="227"/>
      <c r="Y217" s="227"/>
      <c r="Z217" s="297">
        <f>SUM(CATEGORIAS[[#This Row],[COSTO ACUMULADO
ANTERIOR]:[PROVISIONES
ANTERIOR]])</f>
        <v>0</v>
      </c>
      <c r="AA217" s="139">
        <f>CATEGORIAS[[#This Row],[PRESUPUESTO
FINAL
PROYECTADO]]-CATEGORIAS[[#This Row],[TOTAL PRODUCCION
ACTUAL]]</f>
        <v>0</v>
      </c>
      <c r="AB217" s="227">
        <v>0</v>
      </c>
      <c r="AC217" s="132"/>
      <c r="AD217" s="132"/>
      <c r="AE217" s="226">
        <f>SUM(CATEGORIAS[[#This Row],[INVENTARIO]:[PROYECCION
DE COSTO
DEL SALDO]])</f>
        <v>0</v>
      </c>
      <c r="AF217" s="132"/>
      <c r="AG217" s="132">
        <f>+CATEGORIAS[[#This Row],[PRESUPUESTO
FINAL
PROYECTADO]]-CATEGORIAS[[#This Row],[COSTO REAL]]-CATEGORIAS[[#This Row],[PROYECCION
TOTAL DE COSTO]]</f>
        <v>0</v>
      </c>
    </row>
    <row r="218" spans="1:33" x14ac:dyDescent="0.25">
      <c r="A218" s="274" t="str">
        <f>+IFERROR(VLOOKUP(CATEGORIAS[[#This Row],[CATEGORIA2]],[1]HOMOLOGACION!$A$1:$I$571,9,FALSE),0)</f>
        <v>0Q02</v>
      </c>
      <c r="B218" s="274" t="str">
        <f>+IFERROR(VLOOKUP(CATEGORIAS[[#This Row],[CATEGORIA2]],[1]HOMOLOGACION!$A$1:$C$571,3,FALSE),0)</f>
        <v>0X03</v>
      </c>
      <c r="C218" s="274" t="str">
        <f>+IFERROR(VLOOKUP(CATEGORIAS[[#This Row],[CATEGORIA2]],[1]HOMOLOGACION!$A$1:$D$571,4,FALSE),0)</f>
        <v xml:space="preserve">Cañería </v>
      </c>
      <c r="D218" s="144" t="s">
        <v>1936</v>
      </c>
      <c r="E218" s="273" t="s">
        <v>783</v>
      </c>
      <c r="F218" s="275" t="s">
        <v>361</v>
      </c>
      <c r="G218" s="313">
        <v>0</v>
      </c>
      <c r="H218" s="313">
        <v>0</v>
      </c>
      <c r="I218" s="130">
        <v>0</v>
      </c>
      <c r="J218" s="130"/>
      <c r="K218" s="130"/>
      <c r="L218" s="143">
        <f>CATEGORIAS[[#This Row],[ADICIONALES]]+CATEGORIAS[[#This Row],[POM]]</f>
        <v>0</v>
      </c>
      <c r="M218" s="131">
        <v>0</v>
      </c>
      <c r="N218" s="227">
        <v>0</v>
      </c>
      <c r="O218" s="296">
        <f>CATEGORIAS[[#This Row],[PRODUCCION
PARTIDAS
ORIGINALES
ACTUAL]]+CATEGORIAS[[#This Row],[PRODUCCION
ADICIONALES
ACTUAL]]</f>
        <v>0</v>
      </c>
      <c r="P218" s="227">
        <v>0</v>
      </c>
      <c r="Q218" s="227">
        <v>0</v>
      </c>
      <c r="R218" s="297">
        <f>CATEGORIAS[[#This Row],[PRODUCCION
ANTERIOR]]+CATEGORIAS[[#This Row],[PRODUCCION
ADICIONALES
ANTERIOR]]</f>
        <v>0</v>
      </c>
      <c r="S218" s="133">
        <v>0</v>
      </c>
      <c r="T218" s="133"/>
      <c r="U218" s="133"/>
      <c r="V218" s="296">
        <f>SUM(CATEGORIAS[[#This Row],[COSTO
ACUMULADO  AX]:[PROVISIONES]])</f>
        <v>0</v>
      </c>
      <c r="W218" s="298">
        <v>0</v>
      </c>
      <c r="X218" s="227"/>
      <c r="Y218" s="227"/>
      <c r="Z218" s="297">
        <f>SUM(CATEGORIAS[[#This Row],[COSTO ACUMULADO
ANTERIOR]:[PROVISIONES
ANTERIOR]])</f>
        <v>0</v>
      </c>
      <c r="AA218" s="139">
        <f>CATEGORIAS[[#This Row],[PRESUPUESTO
FINAL
PROYECTADO]]-CATEGORIAS[[#This Row],[TOTAL PRODUCCION
ACTUAL]]</f>
        <v>0</v>
      </c>
      <c r="AB218" s="227">
        <v>0</v>
      </c>
      <c r="AC218" s="132"/>
      <c r="AD218" s="132"/>
      <c r="AE218" s="226">
        <f>SUM(CATEGORIAS[[#This Row],[INVENTARIO]:[PROYECCION
DE COSTO
DEL SALDO]])</f>
        <v>0</v>
      </c>
      <c r="AF218" s="132"/>
      <c r="AG218" s="132">
        <f>+CATEGORIAS[[#This Row],[PRESUPUESTO
FINAL
PROYECTADO]]-CATEGORIAS[[#This Row],[COSTO REAL]]-CATEGORIAS[[#This Row],[PROYECCION
TOTAL DE COSTO]]</f>
        <v>0</v>
      </c>
    </row>
    <row r="219" spans="1:33" x14ac:dyDescent="0.25">
      <c r="A219" s="274" t="str">
        <f>+IFERROR(VLOOKUP(CATEGORIAS[[#This Row],[CATEGORIA2]],[1]HOMOLOGACION!$A$1:$I$571,9,FALSE),0)</f>
        <v>0Q02</v>
      </c>
      <c r="B219" s="274" t="str">
        <f>+IFERROR(VLOOKUP(CATEGORIAS[[#This Row],[CATEGORIA2]],[1]HOMOLOGACION!$A$1:$C$571,3,FALSE),0)</f>
        <v>0X03</v>
      </c>
      <c r="C219" s="274" t="str">
        <f>+IFERROR(VLOOKUP(CATEGORIAS[[#This Row],[CATEGORIA2]],[1]HOMOLOGACION!$A$1:$D$571,4,FALSE),0)</f>
        <v xml:space="preserve">Cañería </v>
      </c>
      <c r="D219" s="144" t="s">
        <v>1937</v>
      </c>
      <c r="E219" s="273" t="s">
        <v>785</v>
      </c>
      <c r="F219" s="275" t="s">
        <v>361</v>
      </c>
      <c r="G219" s="313">
        <v>0</v>
      </c>
      <c r="H219" s="313">
        <v>0</v>
      </c>
      <c r="I219" s="130">
        <v>0</v>
      </c>
      <c r="J219" s="130"/>
      <c r="K219" s="130"/>
      <c r="L219" s="143">
        <f>CATEGORIAS[[#This Row],[ADICIONALES]]+CATEGORIAS[[#This Row],[POM]]</f>
        <v>0</v>
      </c>
      <c r="M219" s="131">
        <v>0</v>
      </c>
      <c r="N219" s="227">
        <v>0</v>
      </c>
      <c r="O219" s="296">
        <f>CATEGORIAS[[#This Row],[PRODUCCION
PARTIDAS
ORIGINALES
ACTUAL]]+CATEGORIAS[[#This Row],[PRODUCCION
ADICIONALES
ACTUAL]]</f>
        <v>0</v>
      </c>
      <c r="P219" s="227">
        <v>0</v>
      </c>
      <c r="Q219" s="132">
        <v>0</v>
      </c>
      <c r="R219" s="297">
        <f>CATEGORIAS[[#This Row],[PRODUCCION
ANTERIOR]]+CATEGORIAS[[#This Row],[PRODUCCION
ADICIONALES
ANTERIOR]]</f>
        <v>0</v>
      </c>
      <c r="S219" s="133">
        <v>0</v>
      </c>
      <c r="T219" s="133"/>
      <c r="U219" s="133"/>
      <c r="V219" s="296">
        <f>SUM(CATEGORIAS[[#This Row],[COSTO
ACUMULADO  AX]:[PROVISIONES]])</f>
        <v>0</v>
      </c>
      <c r="W219" s="298">
        <v>0</v>
      </c>
      <c r="X219" s="227"/>
      <c r="Y219" s="227"/>
      <c r="Z219" s="297">
        <f>SUM(CATEGORIAS[[#This Row],[COSTO ACUMULADO
ANTERIOR]:[PROVISIONES
ANTERIOR]])</f>
        <v>0</v>
      </c>
      <c r="AA219" s="139">
        <f>CATEGORIAS[[#This Row],[PRESUPUESTO
FINAL
PROYECTADO]]-CATEGORIAS[[#This Row],[TOTAL PRODUCCION
ACTUAL]]</f>
        <v>0</v>
      </c>
      <c r="AB219" s="227">
        <v>0</v>
      </c>
      <c r="AC219" s="132"/>
      <c r="AD219" s="132"/>
      <c r="AE219" s="226">
        <f>SUM(CATEGORIAS[[#This Row],[INVENTARIO]:[PROYECCION
DE COSTO
DEL SALDO]])</f>
        <v>0</v>
      </c>
      <c r="AF219" s="132"/>
      <c r="AG219" s="132">
        <f>+CATEGORIAS[[#This Row],[PRESUPUESTO
FINAL
PROYECTADO]]-CATEGORIAS[[#This Row],[COSTO REAL]]-CATEGORIAS[[#This Row],[PROYECCION
TOTAL DE COSTO]]</f>
        <v>0</v>
      </c>
    </row>
    <row r="220" spans="1:33" x14ac:dyDescent="0.25">
      <c r="A220" s="274" t="str">
        <f>+IFERROR(VLOOKUP(CATEGORIAS[[#This Row],[CATEGORIA2]],[1]HOMOLOGACION!$A$1:$I$571,9,FALSE),0)</f>
        <v>0Q02</v>
      </c>
      <c r="B220" s="274" t="str">
        <f>+IFERROR(VLOOKUP(CATEGORIAS[[#This Row],[CATEGORIA2]],[1]HOMOLOGACION!$A$1:$C$571,3,FALSE),0)</f>
        <v>0X03</v>
      </c>
      <c r="C220" s="274" t="str">
        <f>+IFERROR(VLOOKUP(CATEGORIAS[[#This Row],[CATEGORIA2]],[1]HOMOLOGACION!$A$1:$D$571,4,FALSE),0)</f>
        <v xml:space="preserve">Cañería </v>
      </c>
      <c r="D220" s="144" t="s">
        <v>1938</v>
      </c>
      <c r="E220" s="273" t="s">
        <v>787</v>
      </c>
      <c r="F220" s="275" t="s">
        <v>361</v>
      </c>
      <c r="G220" s="313">
        <v>0</v>
      </c>
      <c r="H220" s="313">
        <v>0</v>
      </c>
      <c r="I220" s="130">
        <v>0</v>
      </c>
      <c r="J220" s="130"/>
      <c r="K220" s="130"/>
      <c r="L220" s="143">
        <f>CATEGORIAS[[#This Row],[ADICIONALES]]+CATEGORIAS[[#This Row],[POM]]</f>
        <v>0</v>
      </c>
      <c r="M220" s="131">
        <v>0</v>
      </c>
      <c r="N220" s="227">
        <v>0</v>
      </c>
      <c r="O220" s="296">
        <f>CATEGORIAS[[#This Row],[PRODUCCION
PARTIDAS
ORIGINALES
ACTUAL]]+CATEGORIAS[[#This Row],[PRODUCCION
ADICIONALES
ACTUAL]]</f>
        <v>0</v>
      </c>
      <c r="P220" s="227">
        <v>0</v>
      </c>
      <c r="Q220" s="132">
        <v>0</v>
      </c>
      <c r="R220" s="297">
        <f>CATEGORIAS[[#This Row],[PRODUCCION
ANTERIOR]]+CATEGORIAS[[#This Row],[PRODUCCION
ADICIONALES
ANTERIOR]]</f>
        <v>0</v>
      </c>
      <c r="S220" s="133">
        <v>0</v>
      </c>
      <c r="T220" s="133"/>
      <c r="U220" s="133"/>
      <c r="V220" s="296">
        <f>SUM(CATEGORIAS[[#This Row],[COSTO
ACUMULADO  AX]:[PROVISIONES]])</f>
        <v>0</v>
      </c>
      <c r="W220" s="298">
        <v>0</v>
      </c>
      <c r="X220" s="227"/>
      <c r="Y220" s="227"/>
      <c r="Z220" s="297">
        <f>SUM(CATEGORIAS[[#This Row],[COSTO ACUMULADO
ANTERIOR]:[PROVISIONES
ANTERIOR]])</f>
        <v>0</v>
      </c>
      <c r="AA220" s="139">
        <f>CATEGORIAS[[#This Row],[PRESUPUESTO
FINAL
PROYECTADO]]-CATEGORIAS[[#This Row],[TOTAL PRODUCCION
ACTUAL]]</f>
        <v>0</v>
      </c>
      <c r="AB220" s="227">
        <v>0</v>
      </c>
      <c r="AC220" s="132"/>
      <c r="AD220" s="132"/>
      <c r="AE220" s="226">
        <f>SUM(CATEGORIAS[[#This Row],[INVENTARIO]:[PROYECCION
DE COSTO
DEL SALDO]])</f>
        <v>0</v>
      </c>
      <c r="AF220" s="132"/>
      <c r="AG220" s="132">
        <f>+CATEGORIAS[[#This Row],[PRESUPUESTO
FINAL
PROYECTADO]]-CATEGORIAS[[#This Row],[COSTO REAL]]-CATEGORIAS[[#This Row],[PROYECCION
TOTAL DE COSTO]]</f>
        <v>0</v>
      </c>
    </row>
    <row r="221" spans="1:33" x14ac:dyDescent="0.25">
      <c r="A221" s="274" t="str">
        <f>+IFERROR(VLOOKUP(CATEGORIAS[[#This Row],[CATEGORIA2]],[1]HOMOLOGACION!$A$1:$I$571,9,FALSE),0)</f>
        <v>0Q02</v>
      </c>
      <c r="B221" s="274" t="str">
        <f>+IFERROR(VLOOKUP(CATEGORIAS[[#This Row],[CATEGORIA2]],[1]HOMOLOGACION!$A$1:$C$571,3,FALSE),0)</f>
        <v>0X03</v>
      </c>
      <c r="C221" s="274" t="str">
        <f>+IFERROR(VLOOKUP(CATEGORIAS[[#This Row],[CATEGORIA2]],[1]HOMOLOGACION!$A$1:$D$571,4,FALSE),0)</f>
        <v xml:space="preserve">Cañería </v>
      </c>
      <c r="D221" s="144" t="s">
        <v>1939</v>
      </c>
      <c r="E221" s="273" t="s">
        <v>789</v>
      </c>
      <c r="F221" s="275" t="s">
        <v>361</v>
      </c>
      <c r="G221" s="313">
        <v>0</v>
      </c>
      <c r="H221" s="313">
        <v>0</v>
      </c>
      <c r="I221" s="130">
        <v>0</v>
      </c>
      <c r="J221" s="130"/>
      <c r="K221" s="130"/>
      <c r="L221" s="143">
        <f>CATEGORIAS[[#This Row],[ADICIONALES]]+CATEGORIAS[[#This Row],[POM]]</f>
        <v>0</v>
      </c>
      <c r="M221" s="131">
        <v>0</v>
      </c>
      <c r="N221" s="227">
        <v>0</v>
      </c>
      <c r="O221" s="296">
        <f>CATEGORIAS[[#This Row],[PRODUCCION
PARTIDAS
ORIGINALES
ACTUAL]]+CATEGORIAS[[#This Row],[PRODUCCION
ADICIONALES
ACTUAL]]</f>
        <v>0</v>
      </c>
      <c r="P221" s="227">
        <v>0</v>
      </c>
      <c r="Q221" s="227">
        <v>0</v>
      </c>
      <c r="R221" s="297">
        <f>CATEGORIAS[[#This Row],[PRODUCCION
ANTERIOR]]+CATEGORIAS[[#This Row],[PRODUCCION
ADICIONALES
ANTERIOR]]</f>
        <v>0</v>
      </c>
      <c r="S221" s="133">
        <v>0</v>
      </c>
      <c r="T221" s="133"/>
      <c r="U221" s="133"/>
      <c r="V221" s="296">
        <f>SUM(CATEGORIAS[[#This Row],[COSTO
ACUMULADO  AX]:[PROVISIONES]])</f>
        <v>0</v>
      </c>
      <c r="W221" s="298">
        <v>0</v>
      </c>
      <c r="X221" s="227"/>
      <c r="Y221" s="227"/>
      <c r="Z221" s="297">
        <f>SUM(CATEGORIAS[[#This Row],[COSTO ACUMULADO
ANTERIOR]:[PROVISIONES
ANTERIOR]])</f>
        <v>0</v>
      </c>
      <c r="AA221" s="139">
        <f>CATEGORIAS[[#This Row],[PRESUPUESTO
FINAL
PROYECTADO]]-CATEGORIAS[[#This Row],[TOTAL PRODUCCION
ACTUAL]]</f>
        <v>0</v>
      </c>
      <c r="AB221" s="227">
        <v>0</v>
      </c>
      <c r="AC221" s="132"/>
      <c r="AD221" s="132"/>
      <c r="AE221" s="226">
        <f>SUM(CATEGORIAS[[#This Row],[INVENTARIO]:[PROYECCION
DE COSTO
DEL SALDO]])</f>
        <v>0</v>
      </c>
      <c r="AF221" s="132"/>
      <c r="AG221" s="132">
        <f>+CATEGORIAS[[#This Row],[PRESUPUESTO
FINAL
PROYECTADO]]-CATEGORIAS[[#This Row],[COSTO REAL]]-CATEGORIAS[[#This Row],[PROYECCION
TOTAL DE COSTO]]</f>
        <v>0</v>
      </c>
    </row>
    <row r="222" spans="1:33" x14ac:dyDescent="0.25">
      <c r="A222" s="274" t="str">
        <f>+IFERROR(VLOOKUP(CATEGORIAS[[#This Row],[CATEGORIA2]],[1]HOMOLOGACION!$A$1:$I$571,9,FALSE),0)</f>
        <v>0Q02</v>
      </c>
      <c r="B222" s="274" t="str">
        <f>+IFERROR(VLOOKUP(CATEGORIAS[[#This Row],[CATEGORIA2]],[1]HOMOLOGACION!$A$1:$C$571,3,FALSE),0)</f>
        <v>0X03</v>
      </c>
      <c r="C222" s="274" t="str">
        <f>+IFERROR(VLOOKUP(CATEGORIAS[[#This Row],[CATEGORIA2]],[1]HOMOLOGACION!$A$1:$D$571,4,FALSE),0)</f>
        <v xml:space="preserve">Cañería </v>
      </c>
      <c r="D222" s="144" t="s">
        <v>1940</v>
      </c>
      <c r="E222" s="273" t="s">
        <v>791</v>
      </c>
      <c r="F222" s="275" t="s">
        <v>364</v>
      </c>
      <c r="G222" s="313">
        <v>52791054.284500003</v>
      </c>
      <c r="H222" s="313">
        <v>52791054.284500003</v>
      </c>
      <c r="I222" s="130">
        <v>1169952.4248535847</v>
      </c>
      <c r="J222" s="130"/>
      <c r="K222" s="130"/>
      <c r="L222" s="143">
        <f>CATEGORIAS[[#This Row],[ADICIONALES]]+CATEGORIAS[[#This Row],[POM]]</f>
        <v>53961006.709353589</v>
      </c>
      <c r="M222" s="131">
        <v>18118535.101</v>
      </c>
      <c r="N222" s="227">
        <v>456109.60985358467</v>
      </c>
      <c r="O222" s="296">
        <f>CATEGORIAS[[#This Row],[PRODUCCION
PARTIDAS
ORIGINALES
ACTUAL]]+CATEGORIAS[[#This Row],[PRODUCCION
ADICIONALES
ACTUAL]]</f>
        <v>18574644.710853584</v>
      </c>
      <c r="P222" s="227">
        <v>10768278.351499999</v>
      </c>
      <c r="Q222" s="227">
        <v>456109.60985358467</v>
      </c>
      <c r="R222" s="297">
        <f>CATEGORIAS[[#This Row],[PRODUCCION
ANTERIOR]]+CATEGORIAS[[#This Row],[PRODUCCION
ADICIONALES
ANTERIOR]]</f>
        <v>11224387.961353583</v>
      </c>
      <c r="S222" s="133">
        <v>695300</v>
      </c>
      <c r="T222" s="227">
        <f>6000000+15000000</f>
        <v>21000000</v>
      </c>
      <c r="U222" s="133">
        <v>10000000</v>
      </c>
      <c r="V222" s="296">
        <f>SUM(CATEGORIAS[[#This Row],[COSTO
ACUMULADO  AX]:[PROVISIONES]])</f>
        <v>31695300</v>
      </c>
      <c r="W222" s="298">
        <v>695300</v>
      </c>
      <c r="X222" s="227"/>
      <c r="Y222" s="227"/>
      <c r="Z222" s="297">
        <f>SUM(CATEGORIAS[[#This Row],[COSTO ACUMULADO
ANTERIOR]:[PROVISIONES
ANTERIOR]])</f>
        <v>695300</v>
      </c>
      <c r="AA222" s="139">
        <f>CATEGORIAS[[#This Row],[PRESUPUESTO
FINAL
PROYECTADO]]-CATEGORIAS[[#This Row],[TOTAL PRODUCCION
ACTUAL]]</f>
        <v>35386361.998500004</v>
      </c>
      <c r="AB222" s="227">
        <v>0</v>
      </c>
      <c r="AC222" s="132"/>
      <c r="AD222" s="132">
        <v>22265706.709353589</v>
      </c>
      <c r="AE222" s="226">
        <f>SUM(CATEGORIAS[[#This Row],[INVENTARIO]:[PROYECCION
DE COSTO
DEL SALDO]])</f>
        <v>22265706.709353589</v>
      </c>
      <c r="AF222" s="132"/>
      <c r="AG222" s="132">
        <f>+CATEGORIAS[[#This Row],[PRESUPUESTO
FINAL
PROYECTADO]]-CATEGORIAS[[#This Row],[COSTO REAL]]-CATEGORIAS[[#This Row],[PROYECCION
TOTAL DE COSTO]]</f>
        <v>0</v>
      </c>
    </row>
    <row r="223" spans="1:33" x14ac:dyDescent="0.25">
      <c r="A223" s="274" t="str">
        <f>+IFERROR(VLOOKUP(CATEGORIAS[[#This Row],[CATEGORIA2]],[1]HOMOLOGACION!$A$1:$I$571,9,FALSE),0)</f>
        <v>0Q02</v>
      </c>
      <c r="B223" s="274" t="str">
        <f>+IFERROR(VLOOKUP(CATEGORIAS[[#This Row],[CATEGORIA2]],[1]HOMOLOGACION!$A$1:$C$571,3,FALSE),0)</f>
        <v>0X03</v>
      </c>
      <c r="C223" s="274" t="str">
        <f>+IFERROR(VLOOKUP(CATEGORIAS[[#This Row],[CATEGORIA2]],[1]HOMOLOGACION!$A$1:$D$571,4,FALSE),0)</f>
        <v xml:space="preserve">Cañería </v>
      </c>
      <c r="D223" s="144" t="s">
        <v>1941</v>
      </c>
      <c r="E223" s="273" t="s">
        <v>793</v>
      </c>
      <c r="F223" s="275" t="s">
        <v>361</v>
      </c>
      <c r="G223" s="313">
        <v>0</v>
      </c>
      <c r="H223" s="313">
        <v>0</v>
      </c>
      <c r="I223" s="130">
        <v>0</v>
      </c>
      <c r="J223" s="130"/>
      <c r="K223" s="130"/>
      <c r="L223" s="143">
        <f>CATEGORIAS[[#This Row],[ADICIONALES]]+CATEGORIAS[[#This Row],[POM]]</f>
        <v>0</v>
      </c>
      <c r="M223" s="131">
        <v>0</v>
      </c>
      <c r="N223" s="227">
        <v>0</v>
      </c>
      <c r="O223" s="296">
        <f>CATEGORIAS[[#This Row],[PRODUCCION
PARTIDAS
ORIGINALES
ACTUAL]]+CATEGORIAS[[#This Row],[PRODUCCION
ADICIONALES
ACTUAL]]</f>
        <v>0</v>
      </c>
      <c r="P223" s="227">
        <v>0</v>
      </c>
      <c r="Q223" s="132">
        <v>0</v>
      </c>
      <c r="R223" s="297">
        <f>CATEGORIAS[[#This Row],[PRODUCCION
ANTERIOR]]+CATEGORIAS[[#This Row],[PRODUCCION
ADICIONALES
ANTERIOR]]</f>
        <v>0</v>
      </c>
      <c r="S223" s="133">
        <v>0</v>
      </c>
      <c r="T223" s="133"/>
      <c r="U223" s="133"/>
      <c r="V223" s="296">
        <f>SUM(CATEGORIAS[[#This Row],[COSTO
ACUMULADO  AX]:[PROVISIONES]])</f>
        <v>0</v>
      </c>
      <c r="W223" s="298">
        <v>0</v>
      </c>
      <c r="X223" s="227"/>
      <c r="Y223" s="227"/>
      <c r="Z223" s="297">
        <f>SUM(CATEGORIAS[[#This Row],[COSTO ACUMULADO
ANTERIOR]:[PROVISIONES
ANTERIOR]])</f>
        <v>0</v>
      </c>
      <c r="AA223" s="139">
        <f>CATEGORIAS[[#This Row],[PRESUPUESTO
FINAL
PROYECTADO]]-CATEGORIAS[[#This Row],[TOTAL PRODUCCION
ACTUAL]]</f>
        <v>0</v>
      </c>
      <c r="AB223" s="227">
        <v>0</v>
      </c>
      <c r="AC223" s="132"/>
      <c r="AD223" s="132"/>
      <c r="AE223" s="226">
        <f>SUM(CATEGORIAS[[#This Row],[INVENTARIO]:[PROYECCION
DE COSTO
DEL SALDO]])</f>
        <v>0</v>
      </c>
      <c r="AF223" s="132"/>
      <c r="AG223" s="132">
        <f>+CATEGORIAS[[#This Row],[PRESUPUESTO
FINAL
PROYECTADO]]-CATEGORIAS[[#This Row],[COSTO REAL]]-CATEGORIAS[[#This Row],[PROYECCION
TOTAL DE COSTO]]</f>
        <v>0</v>
      </c>
    </row>
    <row r="224" spans="1:33" x14ac:dyDescent="0.25">
      <c r="A224" s="274" t="str">
        <f>+IFERROR(VLOOKUP(CATEGORIAS[[#This Row],[CATEGORIA2]],[1]HOMOLOGACION!$A$1:$I$571,9,FALSE),0)</f>
        <v>0Q02</v>
      </c>
      <c r="B224" s="274" t="str">
        <f>+IFERROR(VLOOKUP(CATEGORIAS[[#This Row],[CATEGORIA2]],[1]HOMOLOGACION!$A$1:$C$571,3,FALSE),0)</f>
        <v>0X03</v>
      </c>
      <c r="C224" s="274" t="str">
        <f>+IFERROR(VLOOKUP(CATEGORIAS[[#This Row],[CATEGORIA2]],[1]HOMOLOGACION!$A$1:$D$571,4,FALSE),0)</f>
        <v xml:space="preserve">Cañería </v>
      </c>
      <c r="D224" s="144" t="s">
        <v>1942</v>
      </c>
      <c r="E224" s="273" t="s">
        <v>795</v>
      </c>
      <c r="F224" s="275" t="s">
        <v>361</v>
      </c>
      <c r="G224" s="313">
        <v>0</v>
      </c>
      <c r="H224" s="313">
        <v>0</v>
      </c>
      <c r="I224" s="130">
        <v>0</v>
      </c>
      <c r="J224" s="130"/>
      <c r="K224" s="130"/>
      <c r="L224" s="143">
        <f>CATEGORIAS[[#This Row],[ADICIONALES]]+CATEGORIAS[[#This Row],[POM]]</f>
        <v>0</v>
      </c>
      <c r="M224" s="131">
        <v>0</v>
      </c>
      <c r="N224" s="227">
        <v>0</v>
      </c>
      <c r="O224" s="296">
        <f>CATEGORIAS[[#This Row],[PRODUCCION
PARTIDAS
ORIGINALES
ACTUAL]]+CATEGORIAS[[#This Row],[PRODUCCION
ADICIONALES
ACTUAL]]</f>
        <v>0</v>
      </c>
      <c r="P224" s="227">
        <v>0</v>
      </c>
      <c r="Q224" s="227">
        <v>0</v>
      </c>
      <c r="R224" s="297">
        <f>CATEGORIAS[[#This Row],[PRODUCCION
ANTERIOR]]+CATEGORIAS[[#This Row],[PRODUCCION
ADICIONALES
ANTERIOR]]</f>
        <v>0</v>
      </c>
      <c r="S224" s="133">
        <v>0</v>
      </c>
      <c r="T224" s="133"/>
      <c r="U224" s="133"/>
      <c r="V224" s="296">
        <f>SUM(CATEGORIAS[[#This Row],[COSTO
ACUMULADO  AX]:[PROVISIONES]])</f>
        <v>0</v>
      </c>
      <c r="W224" s="298">
        <v>0</v>
      </c>
      <c r="X224" s="227"/>
      <c r="Y224" s="227"/>
      <c r="Z224" s="297">
        <f>SUM(CATEGORIAS[[#This Row],[COSTO ACUMULADO
ANTERIOR]:[PROVISIONES
ANTERIOR]])</f>
        <v>0</v>
      </c>
      <c r="AA224" s="139">
        <f>CATEGORIAS[[#This Row],[PRESUPUESTO
FINAL
PROYECTADO]]-CATEGORIAS[[#This Row],[TOTAL PRODUCCION
ACTUAL]]</f>
        <v>0</v>
      </c>
      <c r="AB224" s="227">
        <v>0</v>
      </c>
      <c r="AC224" s="132"/>
      <c r="AD224" s="132"/>
      <c r="AE224" s="226">
        <f>SUM(CATEGORIAS[[#This Row],[INVENTARIO]:[PROYECCION
DE COSTO
DEL SALDO]])</f>
        <v>0</v>
      </c>
      <c r="AF224" s="132"/>
      <c r="AG224" s="132">
        <f>+CATEGORIAS[[#This Row],[PRESUPUESTO
FINAL
PROYECTADO]]-CATEGORIAS[[#This Row],[COSTO REAL]]-CATEGORIAS[[#This Row],[PROYECCION
TOTAL DE COSTO]]</f>
        <v>0</v>
      </c>
    </row>
    <row r="225" spans="1:33" x14ac:dyDescent="0.25">
      <c r="A225" s="274" t="str">
        <f>+IFERROR(VLOOKUP(CATEGORIAS[[#This Row],[CATEGORIA2]],[1]HOMOLOGACION!$A$1:$I$571,9,FALSE),0)</f>
        <v>0Q02</v>
      </c>
      <c r="B225" s="274" t="str">
        <f>+IFERROR(VLOOKUP(CATEGORIAS[[#This Row],[CATEGORIA2]],[1]HOMOLOGACION!$A$1:$C$571,3,FALSE),0)</f>
        <v>0X03</v>
      </c>
      <c r="C225" s="274" t="str">
        <f>+IFERROR(VLOOKUP(CATEGORIAS[[#This Row],[CATEGORIA2]],[1]HOMOLOGACION!$A$1:$D$571,4,FALSE),0)</f>
        <v xml:space="preserve">Cañería </v>
      </c>
      <c r="D225" s="144" t="s">
        <v>1943</v>
      </c>
      <c r="E225" s="273" t="s">
        <v>797</v>
      </c>
      <c r="F225" s="275" t="s">
        <v>361</v>
      </c>
      <c r="G225" s="313">
        <v>0</v>
      </c>
      <c r="H225" s="313">
        <v>0</v>
      </c>
      <c r="I225" s="130">
        <v>0</v>
      </c>
      <c r="J225" s="130"/>
      <c r="K225" s="130"/>
      <c r="L225" s="143">
        <f>CATEGORIAS[[#This Row],[ADICIONALES]]+CATEGORIAS[[#This Row],[POM]]</f>
        <v>0</v>
      </c>
      <c r="M225" s="131">
        <v>0</v>
      </c>
      <c r="N225" s="227">
        <v>0</v>
      </c>
      <c r="O225" s="296">
        <f>CATEGORIAS[[#This Row],[PRODUCCION
PARTIDAS
ORIGINALES
ACTUAL]]+CATEGORIAS[[#This Row],[PRODUCCION
ADICIONALES
ACTUAL]]</f>
        <v>0</v>
      </c>
      <c r="P225" s="227">
        <v>0</v>
      </c>
      <c r="Q225" s="132">
        <v>0</v>
      </c>
      <c r="R225" s="297">
        <f>CATEGORIAS[[#This Row],[PRODUCCION
ANTERIOR]]+CATEGORIAS[[#This Row],[PRODUCCION
ADICIONALES
ANTERIOR]]</f>
        <v>0</v>
      </c>
      <c r="S225" s="133">
        <v>0</v>
      </c>
      <c r="T225" s="133"/>
      <c r="U225" s="133"/>
      <c r="V225" s="296">
        <f>SUM(CATEGORIAS[[#This Row],[COSTO
ACUMULADO  AX]:[PROVISIONES]])</f>
        <v>0</v>
      </c>
      <c r="W225" s="298">
        <v>0</v>
      </c>
      <c r="X225" s="227"/>
      <c r="Y225" s="227"/>
      <c r="Z225" s="297">
        <f>SUM(CATEGORIAS[[#This Row],[COSTO ACUMULADO
ANTERIOR]:[PROVISIONES
ANTERIOR]])</f>
        <v>0</v>
      </c>
      <c r="AA225" s="139">
        <f>CATEGORIAS[[#This Row],[PRESUPUESTO
FINAL
PROYECTADO]]-CATEGORIAS[[#This Row],[TOTAL PRODUCCION
ACTUAL]]</f>
        <v>0</v>
      </c>
      <c r="AB225" s="227">
        <v>0</v>
      </c>
      <c r="AC225" s="132"/>
      <c r="AD225" s="132"/>
      <c r="AE225" s="226">
        <f>SUM(CATEGORIAS[[#This Row],[INVENTARIO]:[PROYECCION
DE COSTO
DEL SALDO]])</f>
        <v>0</v>
      </c>
      <c r="AF225" s="132"/>
      <c r="AG225" s="132">
        <f>+CATEGORIAS[[#This Row],[PRESUPUESTO
FINAL
PROYECTADO]]-CATEGORIAS[[#This Row],[COSTO REAL]]-CATEGORIAS[[#This Row],[PROYECCION
TOTAL DE COSTO]]</f>
        <v>0</v>
      </c>
    </row>
    <row r="226" spans="1:33" x14ac:dyDescent="0.25">
      <c r="A226" s="274" t="str">
        <f>+IFERROR(VLOOKUP(CATEGORIAS[[#This Row],[CATEGORIA2]],[1]HOMOLOGACION!$A$1:$I$571,9,FALSE),0)</f>
        <v>0Q02</v>
      </c>
      <c r="B226" s="274" t="str">
        <f>+IFERROR(VLOOKUP(CATEGORIAS[[#This Row],[CATEGORIA2]],[1]HOMOLOGACION!$A$1:$C$571,3,FALSE),0)</f>
        <v>0X03</v>
      </c>
      <c r="C226" s="274" t="str">
        <f>+IFERROR(VLOOKUP(CATEGORIAS[[#This Row],[CATEGORIA2]],[1]HOMOLOGACION!$A$1:$D$571,4,FALSE),0)</f>
        <v xml:space="preserve">Cañería </v>
      </c>
      <c r="D226" s="144" t="s">
        <v>1944</v>
      </c>
      <c r="E226" s="273" t="s">
        <v>799</v>
      </c>
      <c r="F226" s="275" t="s">
        <v>361</v>
      </c>
      <c r="G226" s="313">
        <v>0</v>
      </c>
      <c r="H226" s="313">
        <v>0</v>
      </c>
      <c r="I226" s="130">
        <v>0</v>
      </c>
      <c r="J226" s="130"/>
      <c r="K226" s="130"/>
      <c r="L226" s="143">
        <f>CATEGORIAS[[#This Row],[ADICIONALES]]+CATEGORIAS[[#This Row],[POM]]</f>
        <v>0</v>
      </c>
      <c r="M226" s="131">
        <v>0</v>
      </c>
      <c r="N226" s="227">
        <v>0</v>
      </c>
      <c r="O226" s="296">
        <f>CATEGORIAS[[#This Row],[PRODUCCION
PARTIDAS
ORIGINALES
ACTUAL]]+CATEGORIAS[[#This Row],[PRODUCCION
ADICIONALES
ACTUAL]]</f>
        <v>0</v>
      </c>
      <c r="P226" s="227">
        <v>0</v>
      </c>
      <c r="Q226" s="227">
        <v>0</v>
      </c>
      <c r="R226" s="297">
        <f>CATEGORIAS[[#This Row],[PRODUCCION
ANTERIOR]]+CATEGORIAS[[#This Row],[PRODUCCION
ADICIONALES
ANTERIOR]]</f>
        <v>0</v>
      </c>
      <c r="S226" s="133">
        <v>0</v>
      </c>
      <c r="T226" s="133"/>
      <c r="U226" s="133"/>
      <c r="V226" s="296">
        <f>SUM(CATEGORIAS[[#This Row],[COSTO
ACUMULADO  AX]:[PROVISIONES]])</f>
        <v>0</v>
      </c>
      <c r="W226" s="298">
        <v>0</v>
      </c>
      <c r="X226" s="227"/>
      <c r="Y226" s="227"/>
      <c r="Z226" s="297">
        <f>SUM(CATEGORIAS[[#This Row],[COSTO ACUMULADO
ANTERIOR]:[PROVISIONES
ANTERIOR]])</f>
        <v>0</v>
      </c>
      <c r="AA226" s="139">
        <f>CATEGORIAS[[#This Row],[PRESUPUESTO
FINAL
PROYECTADO]]-CATEGORIAS[[#This Row],[TOTAL PRODUCCION
ACTUAL]]</f>
        <v>0</v>
      </c>
      <c r="AB226" s="227">
        <v>0</v>
      </c>
      <c r="AC226" s="132"/>
      <c r="AD226" s="132"/>
      <c r="AE226" s="226">
        <f>SUM(CATEGORIAS[[#This Row],[INVENTARIO]:[PROYECCION
DE COSTO
DEL SALDO]])</f>
        <v>0</v>
      </c>
      <c r="AF226" s="132"/>
      <c r="AG226" s="132">
        <f>+CATEGORIAS[[#This Row],[PRESUPUESTO
FINAL
PROYECTADO]]-CATEGORIAS[[#This Row],[COSTO REAL]]-CATEGORIAS[[#This Row],[PROYECCION
TOTAL DE COSTO]]</f>
        <v>0</v>
      </c>
    </row>
    <row r="227" spans="1:33" x14ac:dyDescent="0.25">
      <c r="A227" s="274" t="str">
        <f>+IFERROR(VLOOKUP(CATEGORIAS[[#This Row],[CATEGORIA2]],[1]HOMOLOGACION!$A$1:$I$571,9,FALSE),0)</f>
        <v>0Q02</v>
      </c>
      <c r="B227" s="274" t="str">
        <f>+IFERROR(VLOOKUP(CATEGORIAS[[#This Row],[CATEGORIA2]],[1]HOMOLOGACION!$A$1:$C$571,3,FALSE),0)</f>
        <v>0X03</v>
      </c>
      <c r="C227" s="274" t="str">
        <f>+IFERROR(VLOOKUP(CATEGORIAS[[#This Row],[CATEGORIA2]],[1]HOMOLOGACION!$A$1:$D$571,4,FALSE),0)</f>
        <v xml:space="preserve">Cañería </v>
      </c>
      <c r="D227" s="144" t="s">
        <v>1945</v>
      </c>
      <c r="E227" s="273" t="s">
        <v>801</v>
      </c>
      <c r="F227" s="275" t="s">
        <v>361</v>
      </c>
      <c r="G227" s="313">
        <v>0</v>
      </c>
      <c r="H227" s="313">
        <v>0</v>
      </c>
      <c r="I227" s="130">
        <v>0</v>
      </c>
      <c r="J227" s="130"/>
      <c r="K227" s="130"/>
      <c r="L227" s="143">
        <f>CATEGORIAS[[#This Row],[ADICIONALES]]+CATEGORIAS[[#This Row],[POM]]</f>
        <v>0</v>
      </c>
      <c r="M227" s="131">
        <v>0</v>
      </c>
      <c r="N227" s="227">
        <v>0</v>
      </c>
      <c r="O227" s="296">
        <f>CATEGORIAS[[#This Row],[PRODUCCION
PARTIDAS
ORIGINALES
ACTUAL]]+CATEGORIAS[[#This Row],[PRODUCCION
ADICIONALES
ACTUAL]]</f>
        <v>0</v>
      </c>
      <c r="P227" s="227">
        <v>0</v>
      </c>
      <c r="Q227" s="132">
        <v>0</v>
      </c>
      <c r="R227" s="297">
        <f>CATEGORIAS[[#This Row],[PRODUCCION
ANTERIOR]]+CATEGORIAS[[#This Row],[PRODUCCION
ADICIONALES
ANTERIOR]]</f>
        <v>0</v>
      </c>
      <c r="S227" s="133">
        <v>0</v>
      </c>
      <c r="T227" s="133"/>
      <c r="U227" s="133"/>
      <c r="V227" s="296">
        <f>SUM(CATEGORIAS[[#This Row],[COSTO
ACUMULADO  AX]:[PROVISIONES]])</f>
        <v>0</v>
      </c>
      <c r="W227" s="298">
        <v>0</v>
      </c>
      <c r="X227" s="227"/>
      <c r="Y227" s="227"/>
      <c r="Z227" s="297">
        <f>SUM(CATEGORIAS[[#This Row],[COSTO ACUMULADO
ANTERIOR]:[PROVISIONES
ANTERIOR]])</f>
        <v>0</v>
      </c>
      <c r="AA227" s="139">
        <f>CATEGORIAS[[#This Row],[PRESUPUESTO
FINAL
PROYECTADO]]-CATEGORIAS[[#This Row],[TOTAL PRODUCCION
ACTUAL]]</f>
        <v>0</v>
      </c>
      <c r="AB227" s="227">
        <v>0</v>
      </c>
      <c r="AC227" s="132"/>
      <c r="AD227" s="132"/>
      <c r="AE227" s="226">
        <f>SUM(CATEGORIAS[[#This Row],[INVENTARIO]:[PROYECCION
DE COSTO
DEL SALDO]])</f>
        <v>0</v>
      </c>
      <c r="AF227" s="132"/>
      <c r="AG227" s="132">
        <f>+CATEGORIAS[[#This Row],[PRESUPUESTO
FINAL
PROYECTADO]]-CATEGORIAS[[#This Row],[COSTO REAL]]-CATEGORIAS[[#This Row],[PROYECCION
TOTAL DE COSTO]]</f>
        <v>0</v>
      </c>
    </row>
    <row r="228" spans="1:33" x14ac:dyDescent="0.25">
      <c r="A228" s="274" t="str">
        <f>+IFERROR(VLOOKUP(CATEGORIAS[[#This Row],[CATEGORIA2]],[1]HOMOLOGACION!$A$1:$I$571,9,FALSE),0)</f>
        <v>0Q02</v>
      </c>
      <c r="B228" s="274" t="str">
        <f>+IFERROR(VLOOKUP(CATEGORIAS[[#This Row],[CATEGORIA2]],[1]HOMOLOGACION!$A$1:$C$571,3,FALSE),0)</f>
        <v>0X03</v>
      </c>
      <c r="C228" s="274" t="str">
        <f>+IFERROR(VLOOKUP(CATEGORIAS[[#This Row],[CATEGORIA2]],[1]HOMOLOGACION!$A$1:$D$571,4,FALSE),0)</f>
        <v xml:space="preserve">Cañería </v>
      </c>
      <c r="D228" s="144" t="s">
        <v>1946</v>
      </c>
      <c r="E228" s="273" t="s">
        <v>803</v>
      </c>
      <c r="F228" s="275" t="s">
        <v>361</v>
      </c>
      <c r="G228" s="313">
        <v>0</v>
      </c>
      <c r="H228" s="313">
        <v>0</v>
      </c>
      <c r="I228" s="130">
        <v>0</v>
      </c>
      <c r="J228" s="130"/>
      <c r="K228" s="130"/>
      <c r="L228" s="143">
        <f>CATEGORIAS[[#This Row],[ADICIONALES]]+CATEGORIAS[[#This Row],[POM]]</f>
        <v>0</v>
      </c>
      <c r="M228" s="131">
        <v>0</v>
      </c>
      <c r="N228" s="227">
        <v>0</v>
      </c>
      <c r="O228" s="296">
        <f>CATEGORIAS[[#This Row],[PRODUCCION
PARTIDAS
ORIGINALES
ACTUAL]]+CATEGORIAS[[#This Row],[PRODUCCION
ADICIONALES
ACTUAL]]</f>
        <v>0</v>
      </c>
      <c r="P228" s="227">
        <v>0</v>
      </c>
      <c r="Q228" s="227">
        <v>0</v>
      </c>
      <c r="R228" s="297">
        <f>CATEGORIAS[[#This Row],[PRODUCCION
ANTERIOR]]+CATEGORIAS[[#This Row],[PRODUCCION
ADICIONALES
ANTERIOR]]</f>
        <v>0</v>
      </c>
      <c r="S228" s="133">
        <v>0</v>
      </c>
      <c r="T228" s="133"/>
      <c r="U228" s="133"/>
      <c r="V228" s="296">
        <f>SUM(CATEGORIAS[[#This Row],[COSTO
ACUMULADO  AX]:[PROVISIONES]])</f>
        <v>0</v>
      </c>
      <c r="W228" s="298">
        <v>0</v>
      </c>
      <c r="X228" s="227"/>
      <c r="Y228" s="227"/>
      <c r="Z228" s="297">
        <f>SUM(CATEGORIAS[[#This Row],[COSTO ACUMULADO
ANTERIOR]:[PROVISIONES
ANTERIOR]])</f>
        <v>0</v>
      </c>
      <c r="AA228" s="139">
        <f>CATEGORIAS[[#This Row],[PRESUPUESTO
FINAL
PROYECTADO]]-CATEGORIAS[[#This Row],[TOTAL PRODUCCION
ACTUAL]]</f>
        <v>0</v>
      </c>
      <c r="AB228" s="227">
        <v>0</v>
      </c>
      <c r="AC228" s="132"/>
      <c r="AD228" s="132"/>
      <c r="AE228" s="226">
        <f>SUM(CATEGORIAS[[#This Row],[INVENTARIO]:[PROYECCION
DE COSTO
DEL SALDO]])</f>
        <v>0</v>
      </c>
      <c r="AF228" s="132"/>
      <c r="AG228" s="132">
        <f>+CATEGORIAS[[#This Row],[PRESUPUESTO
FINAL
PROYECTADO]]-CATEGORIAS[[#This Row],[COSTO REAL]]-CATEGORIAS[[#This Row],[PROYECCION
TOTAL DE COSTO]]</f>
        <v>0</v>
      </c>
    </row>
    <row r="229" spans="1:33" x14ac:dyDescent="0.25">
      <c r="A229" s="274" t="str">
        <f>+IFERROR(VLOOKUP(CATEGORIAS[[#This Row],[CATEGORIA2]],[1]HOMOLOGACION!$A$1:$I$571,9,FALSE),0)</f>
        <v>0Q02</v>
      </c>
      <c r="B229" s="274" t="str">
        <f>+IFERROR(VLOOKUP(CATEGORIAS[[#This Row],[CATEGORIA2]],[1]HOMOLOGACION!$A$1:$C$571,3,FALSE),0)</f>
        <v>0X03</v>
      </c>
      <c r="C229" s="274" t="str">
        <f>+IFERROR(VLOOKUP(CATEGORIAS[[#This Row],[CATEGORIA2]],[1]HOMOLOGACION!$A$1:$D$571,4,FALSE),0)</f>
        <v xml:space="preserve">Cañería </v>
      </c>
      <c r="D229" s="144" t="s">
        <v>1947</v>
      </c>
      <c r="E229" s="275" t="s">
        <v>805</v>
      </c>
      <c r="F229" s="275" t="s">
        <v>361</v>
      </c>
      <c r="G229" s="313">
        <v>0</v>
      </c>
      <c r="H229" s="313">
        <v>0</v>
      </c>
      <c r="I229" s="130">
        <v>0</v>
      </c>
      <c r="J229" s="130"/>
      <c r="K229" s="130"/>
      <c r="L229" s="143">
        <f>CATEGORIAS[[#This Row],[ADICIONALES]]+CATEGORIAS[[#This Row],[POM]]</f>
        <v>0</v>
      </c>
      <c r="M229" s="131">
        <v>0</v>
      </c>
      <c r="N229" s="227">
        <v>0</v>
      </c>
      <c r="O229" s="296">
        <f>CATEGORIAS[[#This Row],[PRODUCCION
PARTIDAS
ORIGINALES
ACTUAL]]+CATEGORIAS[[#This Row],[PRODUCCION
ADICIONALES
ACTUAL]]</f>
        <v>0</v>
      </c>
      <c r="P229" s="227">
        <v>0</v>
      </c>
      <c r="Q229" s="227">
        <v>0</v>
      </c>
      <c r="R229" s="297">
        <f>CATEGORIAS[[#This Row],[PRODUCCION
ANTERIOR]]+CATEGORIAS[[#This Row],[PRODUCCION
ADICIONALES
ANTERIOR]]</f>
        <v>0</v>
      </c>
      <c r="S229" s="133">
        <v>0</v>
      </c>
      <c r="T229" s="133"/>
      <c r="U229" s="133"/>
      <c r="V229" s="296">
        <f>SUM(CATEGORIAS[[#This Row],[COSTO
ACUMULADO  AX]:[PROVISIONES]])</f>
        <v>0</v>
      </c>
      <c r="W229" s="298">
        <v>0</v>
      </c>
      <c r="X229" s="227"/>
      <c r="Y229" s="227"/>
      <c r="Z229" s="297">
        <f>SUM(CATEGORIAS[[#This Row],[COSTO ACUMULADO
ANTERIOR]:[PROVISIONES
ANTERIOR]])</f>
        <v>0</v>
      </c>
      <c r="AA229" s="139">
        <f>CATEGORIAS[[#This Row],[PRESUPUESTO
FINAL
PROYECTADO]]-CATEGORIAS[[#This Row],[TOTAL PRODUCCION
ACTUAL]]</f>
        <v>0</v>
      </c>
      <c r="AB229" s="227">
        <v>0</v>
      </c>
      <c r="AC229" s="132"/>
      <c r="AD229" s="132"/>
      <c r="AE229" s="226">
        <f>SUM(CATEGORIAS[[#This Row],[INVENTARIO]:[PROYECCION
DE COSTO
DEL SALDO]])</f>
        <v>0</v>
      </c>
      <c r="AF229" s="132"/>
      <c r="AG229" s="132">
        <f>+CATEGORIAS[[#This Row],[PRESUPUESTO
FINAL
PROYECTADO]]-CATEGORIAS[[#This Row],[COSTO REAL]]-CATEGORIAS[[#This Row],[PROYECCION
TOTAL DE COSTO]]</f>
        <v>0</v>
      </c>
    </row>
    <row r="230" spans="1:33" x14ac:dyDescent="0.25">
      <c r="A230" s="274" t="str">
        <f>+IFERROR(VLOOKUP(CATEGORIAS[[#This Row],[CATEGORIA2]],[1]HOMOLOGACION!$A$1:$I$571,9,FALSE),0)</f>
        <v>0Q02</v>
      </c>
      <c r="B230" s="274" t="str">
        <f>+IFERROR(VLOOKUP(CATEGORIAS[[#This Row],[CATEGORIA2]],[1]HOMOLOGACION!$A$1:$C$571,3,FALSE),0)</f>
        <v>0X03</v>
      </c>
      <c r="C230" s="274" t="str">
        <f>+IFERROR(VLOOKUP(CATEGORIAS[[#This Row],[CATEGORIA2]],[1]HOMOLOGACION!$A$1:$D$571,4,FALSE),0)</f>
        <v xml:space="preserve">Cañería </v>
      </c>
      <c r="D230" s="144" t="s">
        <v>1948</v>
      </c>
      <c r="E230" s="273" t="s">
        <v>807</v>
      </c>
      <c r="F230" s="275" t="s">
        <v>361</v>
      </c>
      <c r="G230" s="313">
        <v>0</v>
      </c>
      <c r="H230" s="313">
        <v>0</v>
      </c>
      <c r="I230" s="130">
        <v>0</v>
      </c>
      <c r="J230" s="130"/>
      <c r="K230" s="130"/>
      <c r="L230" s="143">
        <f>CATEGORIAS[[#This Row],[ADICIONALES]]+CATEGORIAS[[#This Row],[POM]]</f>
        <v>0</v>
      </c>
      <c r="M230" s="131">
        <v>0</v>
      </c>
      <c r="N230" s="227">
        <v>0</v>
      </c>
      <c r="O230" s="296">
        <f>CATEGORIAS[[#This Row],[PRODUCCION
PARTIDAS
ORIGINALES
ACTUAL]]+CATEGORIAS[[#This Row],[PRODUCCION
ADICIONALES
ACTUAL]]</f>
        <v>0</v>
      </c>
      <c r="P230" s="227">
        <v>0</v>
      </c>
      <c r="Q230" s="227">
        <v>0</v>
      </c>
      <c r="R230" s="297">
        <f>CATEGORIAS[[#This Row],[PRODUCCION
ANTERIOR]]+CATEGORIAS[[#This Row],[PRODUCCION
ADICIONALES
ANTERIOR]]</f>
        <v>0</v>
      </c>
      <c r="S230" s="133">
        <v>0</v>
      </c>
      <c r="T230" s="133"/>
      <c r="U230" s="133"/>
      <c r="V230" s="296">
        <f>SUM(CATEGORIAS[[#This Row],[COSTO
ACUMULADO  AX]:[PROVISIONES]])</f>
        <v>0</v>
      </c>
      <c r="W230" s="298">
        <v>0</v>
      </c>
      <c r="X230" s="227"/>
      <c r="Y230" s="227"/>
      <c r="Z230" s="297">
        <f>SUM(CATEGORIAS[[#This Row],[COSTO ACUMULADO
ANTERIOR]:[PROVISIONES
ANTERIOR]])</f>
        <v>0</v>
      </c>
      <c r="AA230" s="139">
        <f>CATEGORIAS[[#This Row],[PRESUPUESTO
FINAL
PROYECTADO]]-CATEGORIAS[[#This Row],[TOTAL PRODUCCION
ACTUAL]]</f>
        <v>0</v>
      </c>
      <c r="AB230" s="227">
        <v>0</v>
      </c>
      <c r="AC230" s="132"/>
      <c r="AD230" s="132"/>
      <c r="AE230" s="226">
        <f>SUM(CATEGORIAS[[#This Row],[INVENTARIO]:[PROYECCION
DE COSTO
DEL SALDO]])</f>
        <v>0</v>
      </c>
      <c r="AF230" s="132"/>
      <c r="AG230" s="132">
        <f>+CATEGORIAS[[#This Row],[PRESUPUESTO
FINAL
PROYECTADO]]-CATEGORIAS[[#This Row],[COSTO REAL]]-CATEGORIAS[[#This Row],[PROYECCION
TOTAL DE COSTO]]</f>
        <v>0</v>
      </c>
    </row>
    <row r="231" spans="1:33" x14ac:dyDescent="0.25">
      <c r="A231" s="274" t="str">
        <f>+IFERROR(VLOOKUP(CATEGORIAS[[#This Row],[CATEGORIA2]],[1]HOMOLOGACION!$A$1:$I$571,9,FALSE),0)</f>
        <v>0Q02</v>
      </c>
      <c r="B231" s="274" t="str">
        <f>+IFERROR(VLOOKUP(CATEGORIAS[[#This Row],[CATEGORIA2]],[1]HOMOLOGACION!$A$1:$C$571,3,FALSE),0)</f>
        <v>0X03</v>
      </c>
      <c r="C231" s="274" t="str">
        <f>+IFERROR(VLOOKUP(CATEGORIAS[[#This Row],[CATEGORIA2]],[1]HOMOLOGACION!$A$1:$D$571,4,FALSE),0)</f>
        <v xml:space="preserve">Cañería </v>
      </c>
      <c r="D231" s="144" t="s">
        <v>1949</v>
      </c>
      <c r="E231" s="273" t="s">
        <v>809</v>
      </c>
      <c r="F231" s="275" t="s">
        <v>361</v>
      </c>
      <c r="G231" s="313">
        <v>0</v>
      </c>
      <c r="H231" s="313">
        <v>0</v>
      </c>
      <c r="I231" s="130">
        <v>0</v>
      </c>
      <c r="J231" s="130"/>
      <c r="K231" s="130"/>
      <c r="L231" s="143">
        <f>CATEGORIAS[[#This Row],[ADICIONALES]]+CATEGORIAS[[#This Row],[POM]]</f>
        <v>0</v>
      </c>
      <c r="M231" s="131">
        <v>0</v>
      </c>
      <c r="N231" s="227">
        <v>0</v>
      </c>
      <c r="O231" s="296">
        <f>CATEGORIAS[[#This Row],[PRODUCCION
PARTIDAS
ORIGINALES
ACTUAL]]+CATEGORIAS[[#This Row],[PRODUCCION
ADICIONALES
ACTUAL]]</f>
        <v>0</v>
      </c>
      <c r="P231" s="227">
        <v>0</v>
      </c>
      <c r="Q231" s="227">
        <v>0</v>
      </c>
      <c r="R231" s="297">
        <f>CATEGORIAS[[#This Row],[PRODUCCION
ANTERIOR]]+CATEGORIAS[[#This Row],[PRODUCCION
ADICIONALES
ANTERIOR]]</f>
        <v>0</v>
      </c>
      <c r="S231" s="133">
        <v>0</v>
      </c>
      <c r="T231" s="133"/>
      <c r="U231" s="133"/>
      <c r="V231" s="296">
        <f>SUM(CATEGORIAS[[#This Row],[COSTO
ACUMULADO  AX]:[PROVISIONES]])</f>
        <v>0</v>
      </c>
      <c r="W231" s="298">
        <v>0</v>
      </c>
      <c r="X231" s="227"/>
      <c r="Y231" s="227"/>
      <c r="Z231" s="297">
        <f>SUM(CATEGORIAS[[#This Row],[COSTO ACUMULADO
ANTERIOR]:[PROVISIONES
ANTERIOR]])</f>
        <v>0</v>
      </c>
      <c r="AA231" s="139">
        <f>CATEGORIAS[[#This Row],[PRESUPUESTO
FINAL
PROYECTADO]]-CATEGORIAS[[#This Row],[TOTAL PRODUCCION
ACTUAL]]</f>
        <v>0</v>
      </c>
      <c r="AB231" s="227">
        <v>0</v>
      </c>
      <c r="AC231" s="132"/>
      <c r="AD231" s="132"/>
      <c r="AE231" s="226">
        <f>SUM(CATEGORIAS[[#This Row],[INVENTARIO]:[PROYECCION
DE COSTO
DEL SALDO]])</f>
        <v>0</v>
      </c>
      <c r="AF231" s="132"/>
      <c r="AG231" s="132">
        <f>+CATEGORIAS[[#This Row],[PRESUPUESTO
FINAL
PROYECTADO]]-CATEGORIAS[[#This Row],[COSTO REAL]]-CATEGORIAS[[#This Row],[PROYECCION
TOTAL DE COSTO]]</f>
        <v>0</v>
      </c>
    </row>
    <row r="232" spans="1:33" x14ac:dyDescent="0.25">
      <c r="A232" s="274" t="str">
        <f>+IFERROR(VLOOKUP(CATEGORIAS[[#This Row],[CATEGORIA2]],[1]HOMOLOGACION!$A$1:$I$571,9,FALSE),0)</f>
        <v>0Q02</v>
      </c>
      <c r="B232" s="274" t="str">
        <f>+IFERROR(VLOOKUP(CATEGORIAS[[#This Row],[CATEGORIA2]],[1]HOMOLOGACION!$A$1:$C$571,3,FALSE),0)</f>
        <v>0X03</v>
      </c>
      <c r="C232" s="274" t="str">
        <f>+IFERROR(VLOOKUP(CATEGORIAS[[#This Row],[CATEGORIA2]],[1]HOMOLOGACION!$A$1:$D$571,4,FALSE),0)</f>
        <v xml:space="preserve">Cañería </v>
      </c>
      <c r="D232" s="144" t="s">
        <v>1950</v>
      </c>
      <c r="E232" s="273" t="s">
        <v>811</v>
      </c>
      <c r="F232" s="275" t="s">
        <v>361</v>
      </c>
      <c r="G232" s="313">
        <v>0</v>
      </c>
      <c r="H232" s="313">
        <v>0</v>
      </c>
      <c r="I232" s="130">
        <v>0</v>
      </c>
      <c r="J232" s="130"/>
      <c r="K232" s="130"/>
      <c r="L232" s="143">
        <f>CATEGORIAS[[#This Row],[ADICIONALES]]+CATEGORIAS[[#This Row],[POM]]</f>
        <v>0</v>
      </c>
      <c r="M232" s="131">
        <v>0</v>
      </c>
      <c r="N232" s="227">
        <v>0</v>
      </c>
      <c r="O232" s="296">
        <f>CATEGORIAS[[#This Row],[PRODUCCION
PARTIDAS
ORIGINALES
ACTUAL]]+CATEGORIAS[[#This Row],[PRODUCCION
ADICIONALES
ACTUAL]]</f>
        <v>0</v>
      </c>
      <c r="P232" s="227">
        <v>0</v>
      </c>
      <c r="Q232" s="227">
        <v>0</v>
      </c>
      <c r="R232" s="297">
        <f>CATEGORIAS[[#This Row],[PRODUCCION
ANTERIOR]]+CATEGORIAS[[#This Row],[PRODUCCION
ADICIONALES
ANTERIOR]]</f>
        <v>0</v>
      </c>
      <c r="S232" s="133">
        <v>0</v>
      </c>
      <c r="T232" s="133"/>
      <c r="U232" s="133"/>
      <c r="V232" s="296">
        <f>SUM(CATEGORIAS[[#This Row],[COSTO
ACUMULADO  AX]:[PROVISIONES]])</f>
        <v>0</v>
      </c>
      <c r="W232" s="298">
        <v>0</v>
      </c>
      <c r="X232" s="227"/>
      <c r="Y232" s="227"/>
      <c r="Z232" s="297">
        <f>SUM(CATEGORIAS[[#This Row],[COSTO ACUMULADO
ANTERIOR]:[PROVISIONES
ANTERIOR]])</f>
        <v>0</v>
      </c>
      <c r="AA232" s="139">
        <f>CATEGORIAS[[#This Row],[PRESUPUESTO
FINAL
PROYECTADO]]-CATEGORIAS[[#This Row],[TOTAL PRODUCCION
ACTUAL]]</f>
        <v>0</v>
      </c>
      <c r="AB232" s="227">
        <v>0</v>
      </c>
      <c r="AC232" s="132"/>
      <c r="AD232" s="132"/>
      <c r="AE232" s="226">
        <f>SUM(CATEGORIAS[[#This Row],[INVENTARIO]:[PROYECCION
DE COSTO
DEL SALDO]])</f>
        <v>0</v>
      </c>
      <c r="AF232" s="132"/>
      <c r="AG232" s="132">
        <f>+CATEGORIAS[[#This Row],[PRESUPUESTO
FINAL
PROYECTADO]]-CATEGORIAS[[#This Row],[COSTO REAL]]-CATEGORIAS[[#This Row],[PROYECCION
TOTAL DE COSTO]]</f>
        <v>0</v>
      </c>
    </row>
    <row r="233" spans="1:33" x14ac:dyDescent="0.25">
      <c r="A233" s="274" t="str">
        <f>+IFERROR(VLOOKUP(CATEGORIAS[[#This Row],[CATEGORIA2]],[1]HOMOLOGACION!$A$1:$I$571,9,FALSE),0)</f>
        <v>0Q02</v>
      </c>
      <c r="B233" s="274" t="str">
        <f>+IFERROR(VLOOKUP(CATEGORIAS[[#This Row],[CATEGORIA2]],[1]HOMOLOGACION!$A$1:$C$571,3,FALSE),0)</f>
        <v>0X03</v>
      </c>
      <c r="C233" s="274" t="str">
        <f>+IFERROR(VLOOKUP(CATEGORIAS[[#This Row],[CATEGORIA2]],[1]HOMOLOGACION!$A$1:$D$571,4,FALSE),0)</f>
        <v xml:space="preserve">Cañería </v>
      </c>
      <c r="D233" s="144" t="s">
        <v>1951</v>
      </c>
      <c r="E233" s="273" t="s">
        <v>813</v>
      </c>
      <c r="F233" s="275" t="s">
        <v>361</v>
      </c>
      <c r="G233" s="313">
        <v>0</v>
      </c>
      <c r="H233" s="313">
        <v>0</v>
      </c>
      <c r="I233" s="130">
        <v>0</v>
      </c>
      <c r="J233" s="130"/>
      <c r="K233" s="130"/>
      <c r="L233" s="143">
        <f>CATEGORIAS[[#This Row],[ADICIONALES]]+CATEGORIAS[[#This Row],[POM]]</f>
        <v>0</v>
      </c>
      <c r="M233" s="131">
        <v>0</v>
      </c>
      <c r="N233" s="227">
        <v>0</v>
      </c>
      <c r="O233" s="296">
        <f>CATEGORIAS[[#This Row],[PRODUCCION
PARTIDAS
ORIGINALES
ACTUAL]]+CATEGORIAS[[#This Row],[PRODUCCION
ADICIONALES
ACTUAL]]</f>
        <v>0</v>
      </c>
      <c r="P233" s="227">
        <v>0</v>
      </c>
      <c r="Q233" s="132">
        <v>0</v>
      </c>
      <c r="R233" s="297">
        <f>CATEGORIAS[[#This Row],[PRODUCCION
ANTERIOR]]+CATEGORIAS[[#This Row],[PRODUCCION
ADICIONALES
ANTERIOR]]</f>
        <v>0</v>
      </c>
      <c r="S233" s="133">
        <v>0</v>
      </c>
      <c r="T233" s="133"/>
      <c r="U233" s="133"/>
      <c r="V233" s="296">
        <f>SUM(CATEGORIAS[[#This Row],[COSTO
ACUMULADO  AX]:[PROVISIONES]])</f>
        <v>0</v>
      </c>
      <c r="W233" s="298">
        <v>0</v>
      </c>
      <c r="X233" s="227"/>
      <c r="Y233" s="227"/>
      <c r="Z233" s="297">
        <f>SUM(CATEGORIAS[[#This Row],[COSTO ACUMULADO
ANTERIOR]:[PROVISIONES
ANTERIOR]])</f>
        <v>0</v>
      </c>
      <c r="AA233" s="139">
        <f>CATEGORIAS[[#This Row],[PRESUPUESTO
FINAL
PROYECTADO]]-CATEGORIAS[[#This Row],[TOTAL PRODUCCION
ACTUAL]]</f>
        <v>0</v>
      </c>
      <c r="AB233" s="227">
        <v>0</v>
      </c>
      <c r="AC233" s="132"/>
      <c r="AD233" s="132"/>
      <c r="AE233" s="226">
        <f>SUM(CATEGORIAS[[#This Row],[INVENTARIO]:[PROYECCION
DE COSTO
DEL SALDO]])</f>
        <v>0</v>
      </c>
      <c r="AF233" s="132"/>
      <c r="AG233" s="132">
        <f>+CATEGORIAS[[#This Row],[PRESUPUESTO
FINAL
PROYECTADO]]-CATEGORIAS[[#This Row],[COSTO REAL]]-CATEGORIAS[[#This Row],[PROYECCION
TOTAL DE COSTO]]</f>
        <v>0</v>
      </c>
    </row>
    <row r="234" spans="1:33" x14ac:dyDescent="0.25">
      <c r="A234" s="274" t="str">
        <f>+IFERROR(VLOOKUP(CATEGORIAS[[#This Row],[CATEGORIA2]],[1]HOMOLOGACION!$A$1:$I$571,9,FALSE),0)</f>
        <v>0Q02</v>
      </c>
      <c r="B234" s="274" t="str">
        <f>+IFERROR(VLOOKUP(CATEGORIAS[[#This Row],[CATEGORIA2]],[1]HOMOLOGACION!$A$1:$C$571,3,FALSE),0)</f>
        <v>0X03</v>
      </c>
      <c r="C234" s="274" t="str">
        <f>+IFERROR(VLOOKUP(CATEGORIAS[[#This Row],[CATEGORIA2]],[1]HOMOLOGACION!$A$1:$D$571,4,FALSE),0)</f>
        <v xml:space="preserve">Cañería </v>
      </c>
      <c r="D234" s="144" t="s">
        <v>1952</v>
      </c>
      <c r="E234" s="273" t="s">
        <v>815</v>
      </c>
      <c r="F234" s="275" t="s">
        <v>361</v>
      </c>
      <c r="G234" s="313">
        <v>0</v>
      </c>
      <c r="H234" s="313">
        <v>0</v>
      </c>
      <c r="I234" s="130">
        <v>0</v>
      </c>
      <c r="J234" s="130"/>
      <c r="K234" s="130"/>
      <c r="L234" s="143">
        <f>CATEGORIAS[[#This Row],[ADICIONALES]]+CATEGORIAS[[#This Row],[POM]]</f>
        <v>0</v>
      </c>
      <c r="M234" s="131">
        <v>0</v>
      </c>
      <c r="N234" s="227">
        <v>0</v>
      </c>
      <c r="O234" s="296">
        <f>CATEGORIAS[[#This Row],[PRODUCCION
PARTIDAS
ORIGINALES
ACTUAL]]+CATEGORIAS[[#This Row],[PRODUCCION
ADICIONALES
ACTUAL]]</f>
        <v>0</v>
      </c>
      <c r="P234" s="227">
        <v>0</v>
      </c>
      <c r="Q234" s="227">
        <v>0</v>
      </c>
      <c r="R234" s="297">
        <f>CATEGORIAS[[#This Row],[PRODUCCION
ANTERIOR]]+CATEGORIAS[[#This Row],[PRODUCCION
ADICIONALES
ANTERIOR]]</f>
        <v>0</v>
      </c>
      <c r="S234" s="133">
        <v>0</v>
      </c>
      <c r="T234" s="133"/>
      <c r="U234" s="133"/>
      <c r="V234" s="296">
        <f>SUM(CATEGORIAS[[#This Row],[COSTO
ACUMULADO  AX]:[PROVISIONES]])</f>
        <v>0</v>
      </c>
      <c r="W234" s="298">
        <v>0</v>
      </c>
      <c r="X234" s="227"/>
      <c r="Y234" s="227"/>
      <c r="Z234" s="297">
        <f>SUM(CATEGORIAS[[#This Row],[COSTO ACUMULADO
ANTERIOR]:[PROVISIONES
ANTERIOR]])</f>
        <v>0</v>
      </c>
      <c r="AA234" s="139">
        <f>CATEGORIAS[[#This Row],[PRESUPUESTO
FINAL
PROYECTADO]]-CATEGORIAS[[#This Row],[TOTAL PRODUCCION
ACTUAL]]</f>
        <v>0</v>
      </c>
      <c r="AB234" s="227">
        <v>0</v>
      </c>
      <c r="AC234" s="132"/>
      <c r="AD234" s="132"/>
      <c r="AE234" s="226">
        <f>SUM(CATEGORIAS[[#This Row],[INVENTARIO]:[PROYECCION
DE COSTO
DEL SALDO]])</f>
        <v>0</v>
      </c>
      <c r="AF234" s="132"/>
      <c r="AG234" s="132">
        <f>+CATEGORIAS[[#This Row],[PRESUPUESTO
FINAL
PROYECTADO]]-CATEGORIAS[[#This Row],[COSTO REAL]]-CATEGORIAS[[#This Row],[PROYECCION
TOTAL DE COSTO]]</f>
        <v>0</v>
      </c>
    </row>
    <row r="235" spans="1:33" x14ac:dyDescent="0.25">
      <c r="A235" s="274" t="str">
        <f>+IFERROR(VLOOKUP(CATEGORIAS[[#This Row],[CATEGORIA2]],[1]HOMOLOGACION!$A$1:$I$571,9,FALSE),0)</f>
        <v>0Q02</v>
      </c>
      <c r="B235" s="274" t="str">
        <f>+IFERROR(VLOOKUP(CATEGORIAS[[#This Row],[CATEGORIA2]],[1]HOMOLOGACION!$A$1:$C$571,3,FALSE),0)</f>
        <v>0X03</v>
      </c>
      <c r="C235" s="274" t="str">
        <f>+IFERROR(VLOOKUP(CATEGORIAS[[#This Row],[CATEGORIA2]],[1]HOMOLOGACION!$A$1:$D$571,4,FALSE),0)</f>
        <v xml:space="preserve">Cañería </v>
      </c>
      <c r="D235" s="144" t="s">
        <v>1953</v>
      </c>
      <c r="E235" s="273" t="s">
        <v>817</v>
      </c>
      <c r="F235" s="275" t="s">
        <v>361</v>
      </c>
      <c r="G235" s="313">
        <v>0</v>
      </c>
      <c r="H235" s="313">
        <v>0</v>
      </c>
      <c r="I235" s="130">
        <v>0</v>
      </c>
      <c r="J235" s="130"/>
      <c r="K235" s="130"/>
      <c r="L235" s="143">
        <f>CATEGORIAS[[#This Row],[ADICIONALES]]+CATEGORIAS[[#This Row],[POM]]</f>
        <v>0</v>
      </c>
      <c r="M235" s="131">
        <v>0</v>
      </c>
      <c r="N235" s="227">
        <v>0</v>
      </c>
      <c r="O235" s="296">
        <f>CATEGORIAS[[#This Row],[PRODUCCION
PARTIDAS
ORIGINALES
ACTUAL]]+CATEGORIAS[[#This Row],[PRODUCCION
ADICIONALES
ACTUAL]]</f>
        <v>0</v>
      </c>
      <c r="P235" s="227">
        <v>0</v>
      </c>
      <c r="Q235" s="132">
        <v>0</v>
      </c>
      <c r="R235" s="297">
        <f>CATEGORIAS[[#This Row],[PRODUCCION
ANTERIOR]]+CATEGORIAS[[#This Row],[PRODUCCION
ADICIONALES
ANTERIOR]]</f>
        <v>0</v>
      </c>
      <c r="S235" s="133">
        <v>0</v>
      </c>
      <c r="T235" s="133"/>
      <c r="U235" s="133"/>
      <c r="V235" s="296">
        <f>SUM(CATEGORIAS[[#This Row],[COSTO
ACUMULADO  AX]:[PROVISIONES]])</f>
        <v>0</v>
      </c>
      <c r="W235" s="298">
        <v>0</v>
      </c>
      <c r="X235" s="227"/>
      <c r="Y235" s="227"/>
      <c r="Z235" s="297">
        <f>SUM(CATEGORIAS[[#This Row],[COSTO ACUMULADO
ANTERIOR]:[PROVISIONES
ANTERIOR]])</f>
        <v>0</v>
      </c>
      <c r="AA235" s="139">
        <f>CATEGORIAS[[#This Row],[PRESUPUESTO
FINAL
PROYECTADO]]-CATEGORIAS[[#This Row],[TOTAL PRODUCCION
ACTUAL]]</f>
        <v>0</v>
      </c>
      <c r="AB235" s="227">
        <v>0</v>
      </c>
      <c r="AC235" s="132"/>
      <c r="AD235" s="132"/>
      <c r="AE235" s="226">
        <f>SUM(CATEGORIAS[[#This Row],[INVENTARIO]:[PROYECCION
DE COSTO
DEL SALDO]])</f>
        <v>0</v>
      </c>
      <c r="AF235" s="132"/>
      <c r="AG235" s="132">
        <f>+CATEGORIAS[[#This Row],[PRESUPUESTO
FINAL
PROYECTADO]]-CATEGORIAS[[#This Row],[COSTO REAL]]-CATEGORIAS[[#This Row],[PROYECCION
TOTAL DE COSTO]]</f>
        <v>0</v>
      </c>
    </row>
    <row r="236" spans="1:33" x14ac:dyDescent="0.25">
      <c r="A236" s="274" t="str">
        <f>+IFERROR(VLOOKUP(CATEGORIAS[[#This Row],[CATEGORIA2]],[1]HOMOLOGACION!$A$1:$I$571,9,FALSE),0)</f>
        <v>0Q02</v>
      </c>
      <c r="B236" s="274" t="str">
        <f>+IFERROR(VLOOKUP(CATEGORIAS[[#This Row],[CATEGORIA2]],[1]HOMOLOGACION!$A$1:$C$571,3,FALSE),0)</f>
        <v>0X03</v>
      </c>
      <c r="C236" s="274" t="str">
        <f>+IFERROR(VLOOKUP(CATEGORIAS[[#This Row],[CATEGORIA2]],[1]HOMOLOGACION!$A$1:$D$571,4,FALSE),0)</f>
        <v xml:space="preserve">Cañería </v>
      </c>
      <c r="D236" s="144" t="s">
        <v>1954</v>
      </c>
      <c r="E236" s="273" t="s">
        <v>819</v>
      </c>
      <c r="F236" s="275" t="s">
        <v>364</v>
      </c>
      <c r="G236" s="313">
        <v>14305200</v>
      </c>
      <c r="H236" s="313">
        <v>14305200</v>
      </c>
      <c r="I236" s="130">
        <v>0</v>
      </c>
      <c r="J236" s="130"/>
      <c r="K236" s="130"/>
      <c r="L236" s="143">
        <f>CATEGORIAS[[#This Row],[ADICIONALES]]+CATEGORIAS[[#This Row],[POM]]</f>
        <v>14305200</v>
      </c>
      <c r="M236" s="131">
        <v>14305200</v>
      </c>
      <c r="N236" s="227">
        <v>0</v>
      </c>
      <c r="O236" s="296">
        <f>CATEGORIAS[[#This Row],[PRODUCCION
PARTIDAS
ORIGINALES
ACTUAL]]+CATEGORIAS[[#This Row],[PRODUCCION
ADICIONALES
ACTUAL]]</f>
        <v>14305200</v>
      </c>
      <c r="P236" s="227">
        <v>14305200</v>
      </c>
      <c r="Q236" s="227">
        <v>0</v>
      </c>
      <c r="R236" s="297">
        <f>CATEGORIAS[[#This Row],[PRODUCCION
ANTERIOR]]+CATEGORIAS[[#This Row],[PRODUCCION
ADICIONALES
ANTERIOR]]</f>
        <v>14305200</v>
      </c>
      <c r="S236" s="133">
        <v>0</v>
      </c>
      <c r="T236" s="133">
        <v>13999500</v>
      </c>
      <c r="U236" s="133"/>
      <c r="V236" s="296">
        <f>SUM(CATEGORIAS[[#This Row],[COSTO
ACUMULADO  AX]:[PROVISIONES]])</f>
        <v>13999500</v>
      </c>
      <c r="W236" s="298">
        <v>0</v>
      </c>
      <c r="X236" s="227"/>
      <c r="Y236" s="227"/>
      <c r="Z236" s="297">
        <f>SUM(CATEGORIAS[[#This Row],[COSTO ACUMULADO
ANTERIOR]:[PROVISIONES
ANTERIOR]])</f>
        <v>0</v>
      </c>
      <c r="AA236" s="139">
        <f>CATEGORIAS[[#This Row],[PRESUPUESTO
FINAL
PROYECTADO]]-CATEGORIAS[[#This Row],[TOTAL PRODUCCION
ACTUAL]]</f>
        <v>0</v>
      </c>
      <c r="AB236" s="227">
        <v>0</v>
      </c>
      <c r="AC236" s="132"/>
      <c r="AD236" s="132">
        <v>305700</v>
      </c>
      <c r="AE236" s="226">
        <f>SUM(CATEGORIAS[[#This Row],[INVENTARIO]:[PROYECCION
DE COSTO
DEL SALDO]])</f>
        <v>305700</v>
      </c>
      <c r="AF236" s="132"/>
      <c r="AG236" s="132">
        <f>+CATEGORIAS[[#This Row],[PRESUPUESTO
FINAL
PROYECTADO]]-CATEGORIAS[[#This Row],[COSTO REAL]]-CATEGORIAS[[#This Row],[PROYECCION
TOTAL DE COSTO]]</f>
        <v>0</v>
      </c>
    </row>
    <row r="237" spans="1:33" x14ac:dyDescent="0.25">
      <c r="A237" s="274" t="str">
        <f>+IFERROR(VLOOKUP(CATEGORIAS[[#This Row],[CATEGORIA2]],[1]HOMOLOGACION!$A$1:$I$571,9,FALSE),0)</f>
        <v>0Q02</v>
      </c>
      <c r="B237" s="274" t="str">
        <f>+IFERROR(VLOOKUP(CATEGORIAS[[#This Row],[CATEGORIA2]],[1]HOMOLOGACION!$A$1:$C$571,3,FALSE),0)</f>
        <v>0X03</v>
      </c>
      <c r="C237" s="274" t="str">
        <f>+IFERROR(VLOOKUP(CATEGORIAS[[#This Row],[CATEGORIA2]],[1]HOMOLOGACION!$A$1:$D$571,4,FALSE),0)</f>
        <v xml:space="preserve">Cañería </v>
      </c>
      <c r="D237" s="144" t="s">
        <v>1955</v>
      </c>
      <c r="E237" s="273" t="s">
        <v>821</v>
      </c>
      <c r="F237" s="275" t="s">
        <v>361</v>
      </c>
      <c r="G237" s="313">
        <v>0</v>
      </c>
      <c r="H237" s="313">
        <v>0</v>
      </c>
      <c r="I237" s="130">
        <v>0</v>
      </c>
      <c r="J237" s="130"/>
      <c r="K237" s="130"/>
      <c r="L237" s="143">
        <f>CATEGORIAS[[#This Row],[ADICIONALES]]+CATEGORIAS[[#This Row],[POM]]</f>
        <v>0</v>
      </c>
      <c r="M237" s="131">
        <v>0</v>
      </c>
      <c r="N237" s="227">
        <v>0</v>
      </c>
      <c r="O237" s="296">
        <f>CATEGORIAS[[#This Row],[PRODUCCION
PARTIDAS
ORIGINALES
ACTUAL]]+CATEGORIAS[[#This Row],[PRODUCCION
ADICIONALES
ACTUAL]]</f>
        <v>0</v>
      </c>
      <c r="P237" s="227">
        <v>0</v>
      </c>
      <c r="Q237" s="132">
        <v>0</v>
      </c>
      <c r="R237" s="297">
        <f>CATEGORIAS[[#This Row],[PRODUCCION
ANTERIOR]]+CATEGORIAS[[#This Row],[PRODUCCION
ADICIONALES
ANTERIOR]]</f>
        <v>0</v>
      </c>
      <c r="S237" s="133">
        <v>13296866</v>
      </c>
      <c r="T237" s="133">
        <v>-13296866</v>
      </c>
      <c r="U237" s="133"/>
      <c r="V237" s="296">
        <f>SUM(CATEGORIAS[[#This Row],[COSTO
ACUMULADO  AX]:[PROVISIONES]])</f>
        <v>0</v>
      </c>
      <c r="W237" s="298">
        <v>0</v>
      </c>
      <c r="X237" s="227"/>
      <c r="Y237" s="227"/>
      <c r="Z237" s="297">
        <f>SUM(CATEGORIAS[[#This Row],[COSTO ACUMULADO
ANTERIOR]:[PROVISIONES
ANTERIOR]])</f>
        <v>0</v>
      </c>
      <c r="AA237" s="139">
        <f>CATEGORIAS[[#This Row],[PRESUPUESTO
FINAL
PROYECTADO]]-CATEGORIAS[[#This Row],[TOTAL PRODUCCION
ACTUAL]]</f>
        <v>0</v>
      </c>
      <c r="AB237" s="227">
        <v>0</v>
      </c>
      <c r="AC237" s="132"/>
      <c r="AD237" s="132"/>
      <c r="AE237" s="226">
        <f>SUM(CATEGORIAS[[#This Row],[INVENTARIO]:[PROYECCION
DE COSTO
DEL SALDO]])</f>
        <v>0</v>
      </c>
      <c r="AF237" s="132"/>
      <c r="AG237" s="132">
        <f>+CATEGORIAS[[#This Row],[PRESUPUESTO
FINAL
PROYECTADO]]-CATEGORIAS[[#This Row],[COSTO REAL]]-CATEGORIAS[[#This Row],[PROYECCION
TOTAL DE COSTO]]</f>
        <v>0</v>
      </c>
    </row>
    <row r="238" spans="1:33" x14ac:dyDescent="0.25">
      <c r="A238" s="274" t="str">
        <f>+IFERROR(VLOOKUP(CATEGORIAS[[#This Row],[CATEGORIA2]],[1]HOMOLOGACION!$A$1:$I$571,9,FALSE),0)</f>
        <v>0Q02</v>
      </c>
      <c r="B238" s="274" t="str">
        <f>+IFERROR(VLOOKUP(CATEGORIAS[[#This Row],[CATEGORIA2]],[1]HOMOLOGACION!$A$1:$C$571,3,FALSE),0)</f>
        <v>0X06</v>
      </c>
      <c r="C238" s="274" t="str">
        <f>+IFERROR(VLOOKUP(CATEGORIAS[[#This Row],[CATEGORIA2]],[1]HOMOLOGACION!$A$1:$D$571,4,FALSE),0)</f>
        <v>Electricidad &amp; Instrumentación</v>
      </c>
      <c r="D238" s="144" t="s">
        <v>1956</v>
      </c>
      <c r="E238" s="273" t="s">
        <v>823</v>
      </c>
      <c r="F238" s="275" t="s">
        <v>361</v>
      </c>
      <c r="G238" s="313">
        <v>0</v>
      </c>
      <c r="H238" s="313">
        <v>0</v>
      </c>
      <c r="I238" s="130">
        <v>0</v>
      </c>
      <c r="J238" s="130"/>
      <c r="K238" s="130"/>
      <c r="L238" s="143">
        <f>CATEGORIAS[[#This Row],[ADICIONALES]]+CATEGORIAS[[#This Row],[POM]]</f>
        <v>0</v>
      </c>
      <c r="M238" s="131">
        <v>0</v>
      </c>
      <c r="N238" s="227">
        <v>0</v>
      </c>
      <c r="O238" s="296">
        <f>CATEGORIAS[[#This Row],[PRODUCCION
PARTIDAS
ORIGINALES
ACTUAL]]+CATEGORIAS[[#This Row],[PRODUCCION
ADICIONALES
ACTUAL]]</f>
        <v>0</v>
      </c>
      <c r="P238" s="227">
        <v>0</v>
      </c>
      <c r="Q238" s="132">
        <v>0</v>
      </c>
      <c r="R238" s="297">
        <f>CATEGORIAS[[#This Row],[PRODUCCION
ANTERIOR]]+CATEGORIAS[[#This Row],[PRODUCCION
ADICIONALES
ANTERIOR]]</f>
        <v>0</v>
      </c>
      <c r="S238" s="133">
        <v>0</v>
      </c>
      <c r="T238" s="133"/>
      <c r="U238" s="133"/>
      <c r="V238" s="296">
        <f>SUM(CATEGORIAS[[#This Row],[COSTO
ACUMULADO  AX]:[PROVISIONES]])</f>
        <v>0</v>
      </c>
      <c r="W238" s="298">
        <v>0</v>
      </c>
      <c r="X238" s="227"/>
      <c r="Y238" s="227"/>
      <c r="Z238" s="297">
        <f>SUM(CATEGORIAS[[#This Row],[COSTO ACUMULADO
ANTERIOR]:[PROVISIONES
ANTERIOR]])</f>
        <v>0</v>
      </c>
      <c r="AA238" s="139">
        <f>CATEGORIAS[[#This Row],[PRESUPUESTO
FINAL
PROYECTADO]]-CATEGORIAS[[#This Row],[TOTAL PRODUCCION
ACTUAL]]</f>
        <v>0</v>
      </c>
      <c r="AB238" s="227">
        <v>0</v>
      </c>
      <c r="AC238" s="132"/>
      <c r="AD238" s="132"/>
      <c r="AE238" s="226">
        <f>SUM(CATEGORIAS[[#This Row],[INVENTARIO]:[PROYECCION
DE COSTO
DEL SALDO]])</f>
        <v>0</v>
      </c>
      <c r="AF238" s="132"/>
      <c r="AG238" s="132">
        <f>+CATEGORIAS[[#This Row],[PRESUPUESTO
FINAL
PROYECTADO]]-CATEGORIAS[[#This Row],[COSTO REAL]]-CATEGORIAS[[#This Row],[PROYECCION
TOTAL DE COSTO]]</f>
        <v>0</v>
      </c>
    </row>
    <row r="239" spans="1:33" x14ac:dyDescent="0.25">
      <c r="A239" s="274" t="str">
        <f>+IFERROR(VLOOKUP(CATEGORIAS[[#This Row],[CATEGORIA2]],[1]HOMOLOGACION!$A$1:$I$571,9,FALSE),0)</f>
        <v>0Q02</v>
      </c>
      <c r="B239" s="274" t="str">
        <f>+IFERROR(VLOOKUP(CATEGORIAS[[#This Row],[CATEGORIA2]],[1]HOMOLOGACION!$A$1:$C$571,3,FALSE),0)</f>
        <v>0X06</v>
      </c>
      <c r="C239" s="274" t="str">
        <f>+IFERROR(VLOOKUP(CATEGORIAS[[#This Row],[CATEGORIA2]],[1]HOMOLOGACION!$A$1:$D$571,4,FALSE),0)</f>
        <v>Electricidad &amp; Instrumentación</v>
      </c>
      <c r="D239" s="144" t="s">
        <v>1957</v>
      </c>
      <c r="E239" s="273" t="s">
        <v>825</v>
      </c>
      <c r="F239" s="275" t="s">
        <v>361</v>
      </c>
      <c r="G239" s="313">
        <v>0</v>
      </c>
      <c r="H239" s="313">
        <v>0</v>
      </c>
      <c r="I239" s="130">
        <v>0</v>
      </c>
      <c r="J239" s="130"/>
      <c r="K239" s="130"/>
      <c r="L239" s="143">
        <f>CATEGORIAS[[#This Row],[ADICIONALES]]+CATEGORIAS[[#This Row],[POM]]</f>
        <v>0</v>
      </c>
      <c r="M239" s="131">
        <v>0</v>
      </c>
      <c r="N239" s="227">
        <v>0</v>
      </c>
      <c r="O239" s="296">
        <f>CATEGORIAS[[#This Row],[PRODUCCION
PARTIDAS
ORIGINALES
ACTUAL]]+CATEGORIAS[[#This Row],[PRODUCCION
ADICIONALES
ACTUAL]]</f>
        <v>0</v>
      </c>
      <c r="P239" s="227">
        <v>0</v>
      </c>
      <c r="Q239" s="227">
        <v>0</v>
      </c>
      <c r="R239" s="297">
        <f>CATEGORIAS[[#This Row],[PRODUCCION
ANTERIOR]]+CATEGORIAS[[#This Row],[PRODUCCION
ADICIONALES
ANTERIOR]]</f>
        <v>0</v>
      </c>
      <c r="S239" s="133">
        <v>0</v>
      </c>
      <c r="T239" s="133"/>
      <c r="U239" s="133"/>
      <c r="V239" s="296">
        <f>SUM(CATEGORIAS[[#This Row],[COSTO
ACUMULADO  AX]:[PROVISIONES]])</f>
        <v>0</v>
      </c>
      <c r="W239" s="298">
        <v>0</v>
      </c>
      <c r="X239" s="227"/>
      <c r="Y239" s="227"/>
      <c r="Z239" s="297">
        <f>SUM(CATEGORIAS[[#This Row],[COSTO ACUMULADO
ANTERIOR]:[PROVISIONES
ANTERIOR]])</f>
        <v>0</v>
      </c>
      <c r="AA239" s="139">
        <f>CATEGORIAS[[#This Row],[PRESUPUESTO
FINAL
PROYECTADO]]-CATEGORIAS[[#This Row],[TOTAL PRODUCCION
ACTUAL]]</f>
        <v>0</v>
      </c>
      <c r="AB239" s="227">
        <v>0</v>
      </c>
      <c r="AC239" s="132"/>
      <c r="AD239" s="132"/>
      <c r="AE239" s="226">
        <f>SUM(CATEGORIAS[[#This Row],[INVENTARIO]:[PROYECCION
DE COSTO
DEL SALDO]])</f>
        <v>0</v>
      </c>
      <c r="AF239" s="132"/>
      <c r="AG239" s="132">
        <f>+CATEGORIAS[[#This Row],[PRESUPUESTO
FINAL
PROYECTADO]]-CATEGORIAS[[#This Row],[COSTO REAL]]-CATEGORIAS[[#This Row],[PROYECCION
TOTAL DE COSTO]]</f>
        <v>0</v>
      </c>
    </row>
    <row r="240" spans="1:33" x14ac:dyDescent="0.25">
      <c r="A240" s="274" t="str">
        <f>+IFERROR(VLOOKUP(CATEGORIAS[[#This Row],[CATEGORIA2]],[1]HOMOLOGACION!$A$1:$I$571,9,FALSE),0)</f>
        <v>0Q02</v>
      </c>
      <c r="B240" s="274" t="str">
        <f>+IFERROR(VLOOKUP(CATEGORIAS[[#This Row],[CATEGORIA2]],[1]HOMOLOGACION!$A$1:$C$571,3,FALSE),0)</f>
        <v>0X06</v>
      </c>
      <c r="C240" s="274" t="str">
        <f>+IFERROR(VLOOKUP(CATEGORIAS[[#This Row],[CATEGORIA2]],[1]HOMOLOGACION!$A$1:$D$571,4,FALSE),0)</f>
        <v>Electricidad &amp; Instrumentación</v>
      </c>
      <c r="D240" s="144" t="s">
        <v>1958</v>
      </c>
      <c r="E240" s="273" t="s">
        <v>827</v>
      </c>
      <c r="F240" s="275" t="s">
        <v>364</v>
      </c>
      <c r="G240" s="313">
        <v>5530000</v>
      </c>
      <c r="H240" s="313">
        <v>5530000</v>
      </c>
      <c r="I240" s="130">
        <v>0</v>
      </c>
      <c r="J240" s="130"/>
      <c r="K240" s="130"/>
      <c r="L240" s="143">
        <f>CATEGORIAS[[#This Row],[ADICIONALES]]+CATEGORIAS[[#This Row],[POM]]</f>
        <v>5530000</v>
      </c>
      <c r="M240" s="131">
        <v>0</v>
      </c>
      <c r="N240" s="227">
        <v>0</v>
      </c>
      <c r="O240" s="296">
        <f>CATEGORIAS[[#This Row],[PRODUCCION
PARTIDAS
ORIGINALES
ACTUAL]]+CATEGORIAS[[#This Row],[PRODUCCION
ADICIONALES
ACTUAL]]</f>
        <v>0</v>
      </c>
      <c r="P240" s="227">
        <v>0</v>
      </c>
      <c r="Q240" s="227">
        <v>0</v>
      </c>
      <c r="R240" s="297">
        <f>CATEGORIAS[[#This Row],[PRODUCCION
ANTERIOR]]+CATEGORIAS[[#This Row],[PRODUCCION
ADICIONALES
ANTERIOR]]</f>
        <v>0</v>
      </c>
      <c r="S240" s="133">
        <v>0</v>
      </c>
      <c r="T240" s="133"/>
      <c r="U240" s="133"/>
      <c r="V240" s="296">
        <f>SUM(CATEGORIAS[[#This Row],[COSTO
ACUMULADO  AX]:[PROVISIONES]])</f>
        <v>0</v>
      </c>
      <c r="W240" s="298">
        <v>0</v>
      </c>
      <c r="X240" s="227"/>
      <c r="Y240" s="227"/>
      <c r="Z240" s="297">
        <f>SUM(CATEGORIAS[[#This Row],[COSTO ACUMULADO
ANTERIOR]:[PROVISIONES
ANTERIOR]])</f>
        <v>0</v>
      </c>
      <c r="AA240" s="139">
        <f>CATEGORIAS[[#This Row],[PRESUPUESTO
FINAL
PROYECTADO]]-CATEGORIAS[[#This Row],[TOTAL PRODUCCION
ACTUAL]]</f>
        <v>5530000</v>
      </c>
      <c r="AB240" s="227">
        <v>0</v>
      </c>
      <c r="AC240" s="132"/>
      <c r="AD240" s="132">
        <v>5530000</v>
      </c>
      <c r="AE240" s="226">
        <f>SUM(CATEGORIAS[[#This Row],[INVENTARIO]:[PROYECCION
DE COSTO
DEL SALDO]])</f>
        <v>5530000</v>
      </c>
      <c r="AF240" s="132"/>
      <c r="AG240" s="132">
        <f>+CATEGORIAS[[#This Row],[PRESUPUESTO
FINAL
PROYECTADO]]-CATEGORIAS[[#This Row],[COSTO REAL]]-CATEGORIAS[[#This Row],[PROYECCION
TOTAL DE COSTO]]</f>
        <v>0</v>
      </c>
    </row>
    <row r="241" spans="1:33" x14ac:dyDescent="0.25">
      <c r="A241" s="274" t="str">
        <f>+IFERROR(VLOOKUP(CATEGORIAS[[#This Row],[CATEGORIA2]],[1]HOMOLOGACION!$A$1:$I$571,9,FALSE),0)</f>
        <v>0Q02</v>
      </c>
      <c r="B241" s="274" t="str">
        <f>+IFERROR(VLOOKUP(CATEGORIAS[[#This Row],[CATEGORIA2]],[1]HOMOLOGACION!$A$1:$C$571,3,FALSE),0)</f>
        <v>0X06</v>
      </c>
      <c r="C241" s="274" t="str">
        <f>+IFERROR(VLOOKUP(CATEGORIAS[[#This Row],[CATEGORIA2]],[1]HOMOLOGACION!$A$1:$D$571,4,FALSE),0)</f>
        <v>Electricidad &amp; Instrumentación</v>
      </c>
      <c r="D241" s="144" t="s">
        <v>1959</v>
      </c>
      <c r="E241" s="273" t="s">
        <v>829</v>
      </c>
      <c r="F241" s="275" t="s">
        <v>361</v>
      </c>
      <c r="G241" s="313">
        <v>0</v>
      </c>
      <c r="H241" s="313">
        <v>0</v>
      </c>
      <c r="I241" s="130">
        <v>0</v>
      </c>
      <c r="J241" s="130"/>
      <c r="K241" s="130"/>
      <c r="L241" s="143">
        <f>CATEGORIAS[[#This Row],[ADICIONALES]]+CATEGORIAS[[#This Row],[POM]]</f>
        <v>0</v>
      </c>
      <c r="M241" s="131">
        <v>0</v>
      </c>
      <c r="N241" s="227">
        <v>0</v>
      </c>
      <c r="O241" s="296">
        <f>CATEGORIAS[[#This Row],[PRODUCCION
PARTIDAS
ORIGINALES
ACTUAL]]+CATEGORIAS[[#This Row],[PRODUCCION
ADICIONALES
ACTUAL]]</f>
        <v>0</v>
      </c>
      <c r="P241" s="227">
        <v>0</v>
      </c>
      <c r="Q241" s="132">
        <v>0</v>
      </c>
      <c r="R241" s="297">
        <f>CATEGORIAS[[#This Row],[PRODUCCION
ANTERIOR]]+CATEGORIAS[[#This Row],[PRODUCCION
ADICIONALES
ANTERIOR]]</f>
        <v>0</v>
      </c>
      <c r="S241" s="133">
        <v>0</v>
      </c>
      <c r="T241" s="133"/>
      <c r="U241" s="133"/>
      <c r="V241" s="296">
        <f>SUM(CATEGORIAS[[#This Row],[COSTO
ACUMULADO  AX]:[PROVISIONES]])</f>
        <v>0</v>
      </c>
      <c r="W241" s="298">
        <v>0</v>
      </c>
      <c r="X241" s="227"/>
      <c r="Y241" s="227"/>
      <c r="Z241" s="297">
        <f>SUM(CATEGORIAS[[#This Row],[COSTO ACUMULADO
ANTERIOR]:[PROVISIONES
ANTERIOR]])</f>
        <v>0</v>
      </c>
      <c r="AA241" s="139">
        <f>CATEGORIAS[[#This Row],[PRESUPUESTO
FINAL
PROYECTADO]]-CATEGORIAS[[#This Row],[TOTAL PRODUCCION
ACTUAL]]</f>
        <v>0</v>
      </c>
      <c r="AB241" s="227">
        <v>0</v>
      </c>
      <c r="AC241" s="132"/>
      <c r="AD241" s="132"/>
      <c r="AE241" s="226">
        <f>SUM(CATEGORIAS[[#This Row],[INVENTARIO]:[PROYECCION
DE COSTO
DEL SALDO]])</f>
        <v>0</v>
      </c>
      <c r="AF241" s="132"/>
      <c r="AG241" s="132">
        <f>+CATEGORIAS[[#This Row],[PRESUPUESTO
FINAL
PROYECTADO]]-CATEGORIAS[[#This Row],[COSTO REAL]]-CATEGORIAS[[#This Row],[PROYECCION
TOTAL DE COSTO]]</f>
        <v>0</v>
      </c>
    </row>
    <row r="242" spans="1:33" x14ac:dyDescent="0.25">
      <c r="A242" s="274" t="str">
        <f>+IFERROR(VLOOKUP(CATEGORIAS[[#This Row],[CATEGORIA2]],[1]HOMOLOGACION!$A$1:$I$571,9,FALSE),0)</f>
        <v>0Q02</v>
      </c>
      <c r="B242" s="274" t="str">
        <f>+IFERROR(VLOOKUP(CATEGORIAS[[#This Row],[CATEGORIA2]],[1]HOMOLOGACION!$A$1:$C$571,3,FALSE),0)</f>
        <v>0X06</v>
      </c>
      <c r="C242" s="274" t="str">
        <f>+IFERROR(VLOOKUP(CATEGORIAS[[#This Row],[CATEGORIA2]],[1]HOMOLOGACION!$A$1:$D$571,4,FALSE),0)</f>
        <v>Electricidad &amp; Instrumentación</v>
      </c>
      <c r="D242" s="144" t="s">
        <v>1960</v>
      </c>
      <c r="E242" s="273" t="s">
        <v>831</v>
      </c>
      <c r="F242" s="275" t="s">
        <v>361</v>
      </c>
      <c r="G242" s="313">
        <v>0</v>
      </c>
      <c r="H242" s="313">
        <v>0</v>
      </c>
      <c r="I242" s="130">
        <v>0</v>
      </c>
      <c r="J242" s="130"/>
      <c r="K242" s="130"/>
      <c r="L242" s="143">
        <f>CATEGORIAS[[#This Row],[ADICIONALES]]+CATEGORIAS[[#This Row],[POM]]</f>
        <v>0</v>
      </c>
      <c r="M242" s="131">
        <v>0</v>
      </c>
      <c r="N242" s="227">
        <v>0</v>
      </c>
      <c r="O242" s="296">
        <f>CATEGORIAS[[#This Row],[PRODUCCION
PARTIDAS
ORIGINALES
ACTUAL]]+CATEGORIAS[[#This Row],[PRODUCCION
ADICIONALES
ACTUAL]]</f>
        <v>0</v>
      </c>
      <c r="P242" s="227">
        <v>0</v>
      </c>
      <c r="Q242" s="227">
        <v>0</v>
      </c>
      <c r="R242" s="297">
        <f>CATEGORIAS[[#This Row],[PRODUCCION
ANTERIOR]]+CATEGORIAS[[#This Row],[PRODUCCION
ADICIONALES
ANTERIOR]]</f>
        <v>0</v>
      </c>
      <c r="S242" s="133">
        <v>0</v>
      </c>
      <c r="T242" s="133"/>
      <c r="U242" s="133"/>
      <c r="V242" s="296">
        <f>SUM(CATEGORIAS[[#This Row],[COSTO
ACUMULADO  AX]:[PROVISIONES]])</f>
        <v>0</v>
      </c>
      <c r="W242" s="298">
        <v>0</v>
      </c>
      <c r="X242" s="227"/>
      <c r="Y242" s="227"/>
      <c r="Z242" s="297">
        <f>SUM(CATEGORIAS[[#This Row],[COSTO ACUMULADO
ANTERIOR]:[PROVISIONES
ANTERIOR]])</f>
        <v>0</v>
      </c>
      <c r="AA242" s="139">
        <f>CATEGORIAS[[#This Row],[PRESUPUESTO
FINAL
PROYECTADO]]-CATEGORIAS[[#This Row],[TOTAL PRODUCCION
ACTUAL]]</f>
        <v>0</v>
      </c>
      <c r="AB242" s="227">
        <v>0</v>
      </c>
      <c r="AC242" s="132"/>
      <c r="AD242" s="132"/>
      <c r="AE242" s="226">
        <f>SUM(CATEGORIAS[[#This Row],[INVENTARIO]:[PROYECCION
DE COSTO
DEL SALDO]])</f>
        <v>0</v>
      </c>
      <c r="AF242" s="132"/>
      <c r="AG242" s="132">
        <f>+CATEGORIAS[[#This Row],[PRESUPUESTO
FINAL
PROYECTADO]]-CATEGORIAS[[#This Row],[COSTO REAL]]-CATEGORIAS[[#This Row],[PROYECCION
TOTAL DE COSTO]]</f>
        <v>0</v>
      </c>
    </row>
    <row r="243" spans="1:33" x14ac:dyDescent="0.25">
      <c r="A243" s="274" t="str">
        <f>+IFERROR(VLOOKUP(CATEGORIAS[[#This Row],[CATEGORIA2]],[1]HOMOLOGACION!$A$1:$I$571,9,FALSE),0)</f>
        <v>0Q02</v>
      </c>
      <c r="B243" s="274" t="str">
        <f>+IFERROR(VLOOKUP(CATEGORIAS[[#This Row],[CATEGORIA2]],[1]HOMOLOGACION!$A$1:$C$571,3,FALSE),0)</f>
        <v>0X06</v>
      </c>
      <c r="C243" s="274" t="str">
        <f>+IFERROR(VLOOKUP(CATEGORIAS[[#This Row],[CATEGORIA2]],[1]HOMOLOGACION!$A$1:$D$571,4,FALSE),0)</f>
        <v>Electricidad &amp; Instrumentación</v>
      </c>
      <c r="D243" s="144" t="s">
        <v>1961</v>
      </c>
      <c r="E243" s="273" t="s">
        <v>833</v>
      </c>
      <c r="F243" s="275" t="s">
        <v>361</v>
      </c>
      <c r="G243" s="313">
        <v>0</v>
      </c>
      <c r="H243" s="313">
        <v>0</v>
      </c>
      <c r="I243" s="130">
        <v>0</v>
      </c>
      <c r="J243" s="130"/>
      <c r="K243" s="130"/>
      <c r="L243" s="143">
        <f>CATEGORIAS[[#This Row],[ADICIONALES]]+CATEGORIAS[[#This Row],[POM]]</f>
        <v>0</v>
      </c>
      <c r="M243" s="131">
        <v>0</v>
      </c>
      <c r="N243" s="227">
        <v>0</v>
      </c>
      <c r="O243" s="296">
        <f>CATEGORIAS[[#This Row],[PRODUCCION
PARTIDAS
ORIGINALES
ACTUAL]]+CATEGORIAS[[#This Row],[PRODUCCION
ADICIONALES
ACTUAL]]</f>
        <v>0</v>
      </c>
      <c r="P243" s="227">
        <v>0</v>
      </c>
      <c r="Q243" s="132">
        <v>0</v>
      </c>
      <c r="R243" s="297">
        <f>CATEGORIAS[[#This Row],[PRODUCCION
ANTERIOR]]+CATEGORIAS[[#This Row],[PRODUCCION
ADICIONALES
ANTERIOR]]</f>
        <v>0</v>
      </c>
      <c r="S243" s="133">
        <v>0</v>
      </c>
      <c r="T243" s="133"/>
      <c r="U243" s="133"/>
      <c r="V243" s="296">
        <f>SUM(CATEGORIAS[[#This Row],[COSTO
ACUMULADO  AX]:[PROVISIONES]])</f>
        <v>0</v>
      </c>
      <c r="W243" s="298">
        <v>0</v>
      </c>
      <c r="X243" s="227"/>
      <c r="Y243" s="227"/>
      <c r="Z243" s="297">
        <f>SUM(CATEGORIAS[[#This Row],[COSTO ACUMULADO
ANTERIOR]:[PROVISIONES
ANTERIOR]])</f>
        <v>0</v>
      </c>
      <c r="AA243" s="139">
        <f>CATEGORIAS[[#This Row],[PRESUPUESTO
FINAL
PROYECTADO]]-CATEGORIAS[[#This Row],[TOTAL PRODUCCION
ACTUAL]]</f>
        <v>0</v>
      </c>
      <c r="AB243" s="227">
        <v>0</v>
      </c>
      <c r="AC243" s="132"/>
      <c r="AD243" s="132"/>
      <c r="AE243" s="226">
        <f>SUM(CATEGORIAS[[#This Row],[INVENTARIO]:[PROYECCION
DE COSTO
DEL SALDO]])</f>
        <v>0</v>
      </c>
      <c r="AF243" s="132"/>
      <c r="AG243" s="132">
        <f>+CATEGORIAS[[#This Row],[PRESUPUESTO
FINAL
PROYECTADO]]-CATEGORIAS[[#This Row],[COSTO REAL]]-CATEGORIAS[[#This Row],[PROYECCION
TOTAL DE COSTO]]</f>
        <v>0</v>
      </c>
    </row>
    <row r="244" spans="1:33" x14ac:dyDescent="0.25">
      <c r="A244" s="274" t="str">
        <f>+IFERROR(VLOOKUP(CATEGORIAS[[#This Row],[CATEGORIA2]],[1]HOMOLOGACION!$A$1:$I$571,9,FALSE),0)</f>
        <v>0Q02</v>
      </c>
      <c r="B244" s="274" t="str">
        <f>+IFERROR(VLOOKUP(CATEGORIAS[[#This Row],[CATEGORIA2]],[1]HOMOLOGACION!$A$1:$C$571,3,FALSE),0)</f>
        <v>0X06</v>
      </c>
      <c r="C244" s="274" t="str">
        <f>+IFERROR(VLOOKUP(CATEGORIAS[[#This Row],[CATEGORIA2]],[1]HOMOLOGACION!$A$1:$D$571,4,FALSE),0)</f>
        <v>Electricidad &amp; Instrumentación</v>
      </c>
      <c r="D244" s="144" t="s">
        <v>1962</v>
      </c>
      <c r="E244" s="273" t="s">
        <v>835</v>
      </c>
      <c r="F244" s="275" t="s">
        <v>361</v>
      </c>
      <c r="G244" s="313">
        <v>0</v>
      </c>
      <c r="H244" s="313">
        <v>0</v>
      </c>
      <c r="I244" s="130">
        <v>0</v>
      </c>
      <c r="J244" s="130"/>
      <c r="K244" s="130"/>
      <c r="L244" s="143">
        <f>CATEGORIAS[[#This Row],[ADICIONALES]]+CATEGORIAS[[#This Row],[POM]]</f>
        <v>0</v>
      </c>
      <c r="M244" s="131">
        <v>0</v>
      </c>
      <c r="N244" s="227">
        <v>0</v>
      </c>
      <c r="O244" s="296">
        <f>CATEGORIAS[[#This Row],[PRODUCCION
PARTIDAS
ORIGINALES
ACTUAL]]+CATEGORIAS[[#This Row],[PRODUCCION
ADICIONALES
ACTUAL]]</f>
        <v>0</v>
      </c>
      <c r="P244" s="227">
        <v>0</v>
      </c>
      <c r="Q244" s="227">
        <v>0</v>
      </c>
      <c r="R244" s="297">
        <f>CATEGORIAS[[#This Row],[PRODUCCION
ANTERIOR]]+CATEGORIAS[[#This Row],[PRODUCCION
ADICIONALES
ANTERIOR]]</f>
        <v>0</v>
      </c>
      <c r="S244" s="133">
        <v>0</v>
      </c>
      <c r="T244" s="133"/>
      <c r="U244" s="133"/>
      <c r="V244" s="296">
        <f>SUM(CATEGORIAS[[#This Row],[COSTO
ACUMULADO  AX]:[PROVISIONES]])</f>
        <v>0</v>
      </c>
      <c r="W244" s="298">
        <v>0</v>
      </c>
      <c r="X244" s="227"/>
      <c r="Y244" s="227"/>
      <c r="Z244" s="297">
        <f>SUM(CATEGORIAS[[#This Row],[COSTO ACUMULADO
ANTERIOR]:[PROVISIONES
ANTERIOR]])</f>
        <v>0</v>
      </c>
      <c r="AA244" s="139">
        <f>CATEGORIAS[[#This Row],[PRESUPUESTO
FINAL
PROYECTADO]]-CATEGORIAS[[#This Row],[TOTAL PRODUCCION
ACTUAL]]</f>
        <v>0</v>
      </c>
      <c r="AB244" s="227">
        <v>0</v>
      </c>
      <c r="AC244" s="132"/>
      <c r="AD244" s="132"/>
      <c r="AE244" s="226">
        <f>SUM(CATEGORIAS[[#This Row],[INVENTARIO]:[PROYECCION
DE COSTO
DEL SALDO]])</f>
        <v>0</v>
      </c>
      <c r="AF244" s="132"/>
      <c r="AG244" s="132">
        <f>+CATEGORIAS[[#This Row],[PRESUPUESTO
FINAL
PROYECTADO]]-CATEGORIAS[[#This Row],[COSTO REAL]]-CATEGORIAS[[#This Row],[PROYECCION
TOTAL DE COSTO]]</f>
        <v>0</v>
      </c>
    </row>
    <row r="245" spans="1:33" x14ac:dyDescent="0.25">
      <c r="A245" s="274" t="str">
        <f>+IFERROR(VLOOKUP(CATEGORIAS[[#This Row],[CATEGORIA2]],[1]HOMOLOGACION!$A$1:$I$571,9,FALSE),0)</f>
        <v>0Q02</v>
      </c>
      <c r="B245" s="274" t="str">
        <f>+IFERROR(VLOOKUP(CATEGORIAS[[#This Row],[CATEGORIA2]],[1]HOMOLOGACION!$A$1:$C$571,3,FALSE),0)</f>
        <v>0X06</v>
      </c>
      <c r="C245" s="274" t="str">
        <f>+IFERROR(VLOOKUP(CATEGORIAS[[#This Row],[CATEGORIA2]],[1]HOMOLOGACION!$A$1:$D$571,4,FALSE),0)</f>
        <v>Electricidad &amp; Instrumentación</v>
      </c>
      <c r="D245" s="144" t="s">
        <v>1963</v>
      </c>
      <c r="E245" s="273" t="s">
        <v>837</v>
      </c>
      <c r="F245" s="275" t="s">
        <v>361</v>
      </c>
      <c r="G245" s="313">
        <v>0</v>
      </c>
      <c r="H245" s="313">
        <v>0</v>
      </c>
      <c r="I245" s="130">
        <v>0</v>
      </c>
      <c r="J245" s="130"/>
      <c r="K245" s="130"/>
      <c r="L245" s="143">
        <f>CATEGORIAS[[#This Row],[ADICIONALES]]+CATEGORIAS[[#This Row],[POM]]</f>
        <v>0</v>
      </c>
      <c r="M245" s="131">
        <v>0</v>
      </c>
      <c r="N245" s="227">
        <v>0</v>
      </c>
      <c r="O245" s="296">
        <f>CATEGORIAS[[#This Row],[PRODUCCION
PARTIDAS
ORIGINALES
ACTUAL]]+CATEGORIAS[[#This Row],[PRODUCCION
ADICIONALES
ACTUAL]]</f>
        <v>0</v>
      </c>
      <c r="P245" s="227">
        <v>0</v>
      </c>
      <c r="Q245" s="132">
        <v>0</v>
      </c>
      <c r="R245" s="297">
        <f>CATEGORIAS[[#This Row],[PRODUCCION
ANTERIOR]]+CATEGORIAS[[#This Row],[PRODUCCION
ADICIONALES
ANTERIOR]]</f>
        <v>0</v>
      </c>
      <c r="S245" s="133">
        <v>0</v>
      </c>
      <c r="T245" s="133"/>
      <c r="U245" s="133"/>
      <c r="V245" s="296">
        <f>SUM(CATEGORIAS[[#This Row],[COSTO
ACUMULADO  AX]:[PROVISIONES]])</f>
        <v>0</v>
      </c>
      <c r="W245" s="298">
        <v>0</v>
      </c>
      <c r="X245" s="227"/>
      <c r="Y245" s="227"/>
      <c r="Z245" s="297">
        <f>SUM(CATEGORIAS[[#This Row],[COSTO ACUMULADO
ANTERIOR]:[PROVISIONES
ANTERIOR]])</f>
        <v>0</v>
      </c>
      <c r="AA245" s="139">
        <f>CATEGORIAS[[#This Row],[PRESUPUESTO
FINAL
PROYECTADO]]-CATEGORIAS[[#This Row],[TOTAL PRODUCCION
ACTUAL]]</f>
        <v>0</v>
      </c>
      <c r="AB245" s="227">
        <v>0</v>
      </c>
      <c r="AC245" s="132"/>
      <c r="AD245" s="132"/>
      <c r="AE245" s="226">
        <f>SUM(CATEGORIAS[[#This Row],[INVENTARIO]:[PROYECCION
DE COSTO
DEL SALDO]])</f>
        <v>0</v>
      </c>
      <c r="AF245" s="132"/>
      <c r="AG245" s="132">
        <f>+CATEGORIAS[[#This Row],[PRESUPUESTO
FINAL
PROYECTADO]]-CATEGORIAS[[#This Row],[COSTO REAL]]-CATEGORIAS[[#This Row],[PROYECCION
TOTAL DE COSTO]]</f>
        <v>0</v>
      </c>
    </row>
    <row r="246" spans="1:33" x14ac:dyDescent="0.25">
      <c r="A246" s="274" t="str">
        <f>+IFERROR(VLOOKUP(CATEGORIAS[[#This Row],[CATEGORIA2]],[1]HOMOLOGACION!$A$1:$I$571,9,FALSE),0)</f>
        <v>0Q02</v>
      </c>
      <c r="B246" s="274" t="str">
        <f>+IFERROR(VLOOKUP(CATEGORIAS[[#This Row],[CATEGORIA2]],[1]HOMOLOGACION!$A$1:$C$571,3,FALSE),0)</f>
        <v>0X06</v>
      </c>
      <c r="C246" s="274" t="str">
        <f>+IFERROR(VLOOKUP(CATEGORIAS[[#This Row],[CATEGORIA2]],[1]HOMOLOGACION!$A$1:$D$571,4,FALSE),0)</f>
        <v>Electricidad &amp; Instrumentación</v>
      </c>
      <c r="D246" s="144" t="s">
        <v>1964</v>
      </c>
      <c r="E246" s="273" t="s">
        <v>839</v>
      </c>
      <c r="F246" s="275" t="s">
        <v>364</v>
      </c>
      <c r="G246" s="313">
        <v>9921230</v>
      </c>
      <c r="H246" s="313">
        <v>9921230</v>
      </c>
      <c r="I246" s="130">
        <v>0</v>
      </c>
      <c r="J246" s="130"/>
      <c r="K246" s="130"/>
      <c r="L246" s="143">
        <f>CATEGORIAS[[#This Row],[ADICIONALES]]+CATEGORIAS[[#This Row],[POM]]</f>
        <v>9921230</v>
      </c>
      <c r="M246" s="131">
        <v>392920</v>
      </c>
      <c r="N246" s="227">
        <v>0</v>
      </c>
      <c r="O246" s="296">
        <f>CATEGORIAS[[#This Row],[PRODUCCION
PARTIDAS
ORIGINALES
ACTUAL]]+CATEGORIAS[[#This Row],[PRODUCCION
ADICIONALES
ACTUAL]]</f>
        <v>392920</v>
      </c>
      <c r="P246" s="227">
        <v>0</v>
      </c>
      <c r="Q246" s="227">
        <v>0</v>
      </c>
      <c r="R246" s="297">
        <f>CATEGORIAS[[#This Row],[PRODUCCION
ANTERIOR]]+CATEGORIAS[[#This Row],[PRODUCCION
ADICIONALES
ANTERIOR]]</f>
        <v>0</v>
      </c>
      <c r="S246" s="133">
        <v>0</v>
      </c>
      <c r="T246" s="133"/>
      <c r="U246" s="133"/>
      <c r="V246" s="296">
        <f>SUM(CATEGORIAS[[#This Row],[COSTO
ACUMULADO  AX]:[PROVISIONES]])</f>
        <v>0</v>
      </c>
      <c r="W246" s="298">
        <v>0</v>
      </c>
      <c r="X246" s="227"/>
      <c r="Y246" s="227"/>
      <c r="Z246" s="297">
        <f>SUM(CATEGORIAS[[#This Row],[COSTO ACUMULADO
ANTERIOR]:[PROVISIONES
ANTERIOR]])</f>
        <v>0</v>
      </c>
      <c r="AA246" s="139">
        <f>CATEGORIAS[[#This Row],[PRESUPUESTO
FINAL
PROYECTADO]]-CATEGORIAS[[#This Row],[TOTAL PRODUCCION
ACTUAL]]</f>
        <v>9528310</v>
      </c>
      <c r="AB246" s="227">
        <v>0</v>
      </c>
      <c r="AC246" s="132"/>
      <c r="AD246" s="132">
        <v>9921230</v>
      </c>
      <c r="AE246" s="226">
        <f>SUM(CATEGORIAS[[#This Row],[INVENTARIO]:[PROYECCION
DE COSTO
DEL SALDO]])</f>
        <v>9921230</v>
      </c>
      <c r="AF246" s="132"/>
      <c r="AG246" s="132">
        <f>+CATEGORIAS[[#This Row],[PRESUPUESTO
FINAL
PROYECTADO]]-CATEGORIAS[[#This Row],[COSTO REAL]]-CATEGORIAS[[#This Row],[PROYECCION
TOTAL DE COSTO]]</f>
        <v>0</v>
      </c>
    </row>
    <row r="247" spans="1:33" x14ac:dyDescent="0.25">
      <c r="A247" s="274" t="str">
        <f>+IFERROR(VLOOKUP(CATEGORIAS[[#This Row],[CATEGORIA2]],[1]HOMOLOGACION!$A$1:$I$571,9,FALSE),0)</f>
        <v>0Q02</v>
      </c>
      <c r="B247" s="274" t="str">
        <f>+IFERROR(VLOOKUP(CATEGORIAS[[#This Row],[CATEGORIA2]],[1]HOMOLOGACION!$A$1:$C$571,3,FALSE),0)</f>
        <v>0X06</v>
      </c>
      <c r="C247" s="274" t="str">
        <f>+IFERROR(VLOOKUP(CATEGORIAS[[#This Row],[CATEGORIA2]],[1]HOMOLOGACION!$A$1:$D$571,4,FALSE),0)</f>
        <v>Electricidad &amp; Instrumentación</v>
      </c>
      <c r="D247" s="144" t="s">
        <v>1965</v>
      </c>
      <c r="E247" s="273" t="s">
        <v>841</v>
      </c>
      <c r="F247" s="275" t="s">
        <v>361</v>
      </c>
      <c r="G247" s="313">
        <v>0</v>
      </c>
      <c r="H247" s="313">
        <v>0</v>
      </c>
      <c r="I247" s="130">
        <v>0</v>
      </c>
      <c r="J247" s="130"/>
      <c r="K247" s="130"/>
      <c r="L247" s="143">
        <f>CATEGORIAS[[#This Row],[ADICIONALES]]+CATEGORIAS[[#This Row],[POM]]</f>
        <v>0</v>
      </c>
      <c r="M247" s="131">
        <v>0</v>
      </c>
      <c r="N247" s="227">
        <v>0</v>
      </c>
      <c r="O247" s="296">
        <f>CATEGORIAS[[#This Row],[PRODUCCION
PARTIDAS
ORIGINALES
ACTUAL]]+CATEGORIAS[[#This Row],[PRODUCCION
ADICIONALES
ACTUAL]]</f>
        <v>0</v>
      </c>
      <c r="P247" s="227">
        <v>0</v>
      </c>
      <c r="Q247" s="132">
        <v>0</v>
      </c>
      <c r="R247" s="297">
        <f>CATEGORIAS[[#This Row],[PRODUCCION
ANTERIOR]]+CATEGORIAS[[#This Row],[PRODUCCION
ADICIONALES
ANTERIOR]]</f>
        <v>0</v>
      </c>
      <c r="S247" s="133">
        <v>0</v>
      </c>
      <c r="T247" s="133"/>
      <c r="U247" s="133"/>
      <c r="V247" s="296">
        <f>SUM(CATEGORIAS[[#This Row],[COSTO
ACUMULADO  AX]:[PROVISIONES]])</f>
        <v>0</v>
      </c>
      <c r="W247" s="298">
        <v>0</v>
      </c>
      <c r="X247" s="227"/>
      <c r="Y247" s="227"/>
      <c r="Z247" s="297">
        <f>SUM(CATEGORIAS[[#This Row],[COSTO ACUMULADO
ANTERIOR]:[PROVISIONES
ANTERIOR]])</f>
        <v>0</v>
      </c>
      <c r="AA247" s="139">
        <f>CATEGORIAS[[#This Row],[PRESUPUESTO
FINAL
PROYECTADO]]-CATEGORIAS[[#This Row],[TOTAL PRODUCCION
ACTUAL]]</f>
        <v>0</v>
      </c>
      <c r="AB247" s="227">
        <v>0</v>
      </c>
      <c r="AC247" s="132"/>
      <c r="AD247" s="132"/>
      <c r="AE247" s="226">
        <f>SUM(CATEGORIAS[[#This Row],[INVENTARIO]:[PROYECCION
DE COSTO
DEL SALDO]])</f>
        <v>0</v>
      </c>
      <c r="AF247" s="132"/>
      <c r="AG247" s="132">
        <f>+CATEGORIAS[[#This Row],[PRESUPUESTO
FINAL
PROYECTADO]]-CATEGORIAS[[#This Row],[COSTO REAL]]-CATEGORIAS[[#This Row],[PROYECCION
TOTAL DE COSTO]]</f>
        <v>0</v>
      </c>
    </row>
    <row r="248" spans="1:33" x14ac:dyDescent="0.25">
      <c r="A248" s="274" t="str">
        <f>+IFERROR(VLOOKUP(CATEGORIAS[[#This Row],[CATEGORIA2]],[1]HOMOLOGACION!$A$1:$I$571,9,FALSE),0)</f>
        <v>0Q02</v>
      </c>
      <c r="B248" s="274" t="str">
        <f>+IFERROR(VLOOKUP(CATEGORIAS[[#This Row],[CATEGORIA2]],[1]HOMOLOGACION!$A$1:$C$571,3,FALSE),0)</f>
        <v>0X06</v>
      </c>
      <c r="C248" s="274" t="str">
        <f>+IFERROR(VLOOKUP(CATEGORIAS[[#This Row],[CATEGORIA2]],[1]HOMOLOGACION!$A$1:$D$571,4,FALSE),0)</f>
        <v>Electricidad &amp; Instrumentación</v>
      </c>
      <c r="D248" s="144" t="s">
        <v>1966</v>
      </c>
      <c r="E248" s="273" t="s">
        <v>843</v>
      </c>
      <c r="F248" s="275" t="s">
        <v>361</v>
      </c>
      <c r="G248" s="313">
        <v>0</v>
      </c>
      <c r="H248" s="313">
        <v>0</v>
      </c>
      <c r="I248" s="130">
        <v>0</v>
      </c>
      <c r="J248" s="130"/>
      <c r="K248" s="130"/>
      <c r="L248" s="143">
        <f>CATEGORIAS[[#This Row],[ADICIONALES]]+CATEGORIAS[[#This Row],[POM]]</f>
        <v>0</v>
      </c>
      <c r="M248" s="131">
        <v>0</v>
      </c>
      <c r="N248" s="227">
        <v>0</v>
      </c>
      <c r="O248" s="296">
        <f>CATEGORIAS[[#This Row],[PRODUCCION
PARTIDAS
ORIGINALES
ACTUAL]]+CATEGORIAS[[#This Row],[PRODUCCION
ADICIONALES
ACTUAL]]</f>
        <v>0</v>
      </c>
      <c r="P248" s="227">
        <v>0</v>
      </c>
      <c r="Q248" s="227">
        <v>0</v>
      </c>
      <c r="R248" s="297">
        <f>CATEGORIAS[[#This Row],[PRODUCCION
ANTERIOR]]+CATEGORIAS[[#This Row],[PRODUCCION
ADICIONALES
ANTERIOR]]</f>
        <v>0</v>
      </c>
      <c r="S248" s="133">
        <v>0</v>
      </c>
      <c r="T248" s="133"/>
      <c r="U248" s="133"/>
      <c r="V248" s="296">
        <f>SUM(CATEGORIAS[[#This Row],[COSTO
ACUMULADO  AX]:[PROVISIONES]])</f>
        <v>0</v>
      </c>
      <c r="W248" s="298">
        <v>0</v>
      </c>
      <c r="X248" s="227"/>
      <c r="Y248" s="227"/>
      <c r="Z248" s="297">
        <f>SUM(CATEGORIAS[[#This Row],[COSTO ACUMULADO
ANTERIOR]:[PROVISIONES
ANTERIOR]])</f>
        <v>0</v>
      </c>
      <c r="AA248" s="139">
        <f>CATEGORIAS[[#This Row],[PRESUPUESTO
FINAL
PROYECTADO]]-CATEGORIAS[[#This Row],[TOTAL PRODUCCION
ACTUAL]]</f>
        <v>0</v>
      </c>
      <c r="AB248" s="227">
        <v>0</v>
      </c>
      <c r="AC248" s="132"/>
      <c r="AD248" s="132"/>
      <c r="AE248" s="226">
        <f>SUM(CATEGORIAS[[#This Row],[INVENTARIO]:[PROYECCION
DE COSTO
DEL SALDO]])</f>
        <v>0</v>
      </c>
      <c r="AF248" s="132"/>
      <c r="AG248" s="132">
        <f>+CATEGORIAS[[#This Row],[PRESUPUESTO
FINAL
PROYECTADO]]-CATEGORIAS[[#This Row],[COSTO REAL]]-CATEGORIAS[[#This Row],[PROYECCION
TOTAL DE COSTO]]</f>
        <v>0</v>
      </c>
    </row>
    <row r="249" spans="1:33" x14ac:dyDescent="0.25">
      <c r="A249" s="274" t="str">
        <f>+IFERROR(VLOOKUP(CATEGORIAS[[#This Row],[CATEGORIA2]],[1]HOMOLOGACION!$A$1:$I$571,9,FALSE),0)</f>
        <v>0Q02</v>
      </c>
      <c r="B249" s="274" t="str">
        <f>+IFERROR(VLOOKUP(CATEGORIAS[[#This Row],[CATEGORIA2]],[1]HOMOLOGACION!$A$1:$C$571,3,FALSE),0)</f>
        <v>0X06</v>
      </c>
      <c r="C249" s="274" t="str">
        <f>+IFERROR(VLOOKUP(CATEGORIAS[[#This Row],[CATEGORIA2]],[1]HOMOLOGACION!$A$1:$D$571,4,FALSE),0)</f>
        <v>Electricidad &amp; Instrumentación</v>
      </c>
      <c r="D249" s="144" t="s">
        <v>1967</v>
      </c>
      <c r="E249" s="273" t="s">
        <v>845</v>
      </c>
      <c r="F249" s="275" t="s">
        <v>361</v>
      </c>
      <c r="G249" s="313">
        <v>0</v>
      </c>
      <c r="H249" s="313">
        <v>0</v>
      </c>
      <c r="I249" s="130">
        <v>0</v>
      </c>
      <c r="J249" s="130"/>
      <c r="K249" s="130"/>
      <c r="L249" s="143">
        <f>CATEGORIAS[[#This Row],[ADICIONALES]]+CATEGORIAS[[#This Row],[POM]]</f>
        <v>0</v>
      </c>
      <c r="M249" s="131">
        <v>0</v>
      </c>
      <c r="N249" s="227">
        <v>0</v>
      </c>
      <c r="O249" s="296">
        <f>CATEGORIAS[[#This Row],[PRODUCCION
PARTIDAS
ORIGINALES
ACTUAL]]+CATEGORIAS[[#This Row],[PRODUCCION
ADICIONALES
ACTUAL]]</f>
        <v>0</v>
      </c>
      <c r="P249" s="227">
        <v>0</v>
      </c>
      <c r="Q249" s="132">
        <v>0</v>
      </c>
      <c r="R249" s="297">
        <f>CATEGORIAS[[#This Row],[PRODUCCION
ANTERIOR]]+CATEGORIAS[[#This Row],[PRODUCCION
ADICIONALES
ANTERIOR]]</f>
        <v>0</v>
      </c>
      <c r="S249" s="133">
        <v>0</v>
      </c>
      <c r="T249" s="133"/>
      <c r="U249" s="133"/>
      <c r="V249" s="296">
        <f>SUM(CATEGORIAS[[#This Row],[COSTO
ACUMULADO  AX]:[PROVISIONES]])</f>
        <v>0</v>
      </c>
      <c r="W249" s="298">
        <v>0</v>
      </c>
      <c r="X249" s="227"/>
      <c r="Y249" s="227"/>
      <c r="Z249" s="297">
        <f>SUM(CATEGORIAS[[#This Row],[COSTO ACUMULADO
ANTERIOR]:[PROVISIONES
ANTERIOR]])</f>
        <v>0</v>
      </c>
      <c r="AA249" s="139">
        <f>CATEGORIAS[[#This Row],[PRESUPUESTO
FINAL
PROYECTADO]]-CATEGORIAS[[#This Row],[TOTAL PRODUCCION
ACTUAL]]</f>
        <v>0</v>
      </c>
      <c r="AB249" s="227">
        <v>0</v>
      </c>
      <c r="AC249" s="132"/>
      <c r="AD249" s="132"/>
      <c r="AE249" s="226">
        <f>SUM(CATEGORIAS[[#This Row],[INVENTARIO]:[PROYECCION
DE COSTO
DEL SALDO]])</f>
        <v>0</v>
      </c>
      <c r="AF249" s="132"/>
      <c r="AG249" s="132">
        <f>+CATEGORIAS[[#This Row],[PRESUPUESTO
FINAL
PROYECTADO]]-CATEGORIAS[[#This Row],[COSTO REAL]]-CATEGORIAS[[#This Row],[PROYECCION
TOTAL DE COSTO]]</f>
        <v>0</v>
      </c>
    </row>
    <row r="250" spans="1:33" x14ac:dyDescent="0.25">
      <c r="A250" s="274" t="str">
        <f>+IFERROR(VLOOKUP(CATEGORIAS[[#This Row],[CATEGORIA2]],[1]HOMOLOGACION!$A$1:$I$571,9,FALSE),0)</f>
        <v>0Q02</v>
      </c>
      <c r="B250" s="274" t="str">
        <f>+IFERROR(VLOOKUP(CATEGORIAS[[#This Row],[CATEGORIA2]],[1]HOMOLOGACION!$A$1:$C$571,3,FALSE),0)</f>
        <v>0X06</v>
      </c>
      <c r="C250" s="274" t="str">
        <f>+IFERROR(VLOOKUP(CATEGORIAS[[#This Row],[CATEGORIA2]],[1]HOMOLOGACION!$A$1:$D$571,4,FALSE),0)</f>
        <v>Electricidad &amp; Instrumentación</v>
      </c>
      <c r="D250" s="144" t="s">
        <v>1968</v>
      </c>
      <c r="E250" s="273" t="s">
        <v>847</v>
      </c>
      <c r="F250" s="275" t="s">
        <v>361</v>
      </c>
      <c r="G250" s="313">
        <v>0</v>
      </c>
      <c r="H250" s="313">
        <v>0</v>
      </c>
      <c r="I250" s="130">
        <v>0</v>
      </c>
      <c r="J250" s="130"/>
      <c r="K250" s="130"/>
      <c r="L250" s="143">
        <f>CATEGORIAS[[#This Row],[ADICIONALES]]+CATEGORIAS[[#This Row],[POM]]</f>
        <v>0</v>
      </c>
      <c r="M250" s="131">
        <v>0</v>
      </c>
      <c r="N250" s="227">
        <v>0</v>
      </c>
      <c r="O250" s="296">
        <f>CATEGORIAS[[#This Row],[PRODUCCION
PARTIDAS
ORIGINALES
ACTUAL]]+CATEGORIAS[[#This Row],[PRODUCCION
ADICIONALES
ACTUAL]]</f>
        <v>0</v>
      </c>
      <c r="P250" s="227">
        <v>0</v>
      </c>
      <c r="Q250" s="227">
        <v>0</v>
      </c>
      <c r="R250" s="297">
        <f>CATEGORIAS[[#This Row],[PRODUCCION
ANTERIOR]]+CATEGORIAS[[#This Row],[PRODUCCION
ADICIONALES
ANTERIOR]]</f>
        <v>0</v>
      </c>
      <c r="S250" s="133">
        <v>0</v>
      </c>
      <c r="T250" s="133"/>
      <c r="U250" s="133"/>
      <c r="V250" s="296">
        <f>SUM(CATEGORIAS[[#This Row],[COSTO
ACUMULADO  AX]:[PROVISIONES]])</f>
        <v>0</v>
      </c>
      <c r="W250" s="298">
        <v>0</v>
      </c>
      <c r="X250" s="227"/>
      <c r="Y250" s="227"/>
      <c r="Z250" s="297">
        <f>SUM(CATEGORIAS[[#This Row],[COSTO ACUMULADO
ANTERIOR]:[PROVISIONES
ANTERIOR]])</f>
        <v>0</v>
      </c>
      <c r="AA250" s="139">
        <f>CATEGORIAS[[#This Row],[PRESUPUESTO
FINAL
PROYECTADO]]-CATEGORIAS[[#This Row],[TOTAL PRODUCCION
ACTUAL]]</f>
        <v>0</v>
      </c>
      <c r="AB250" s="227">
        <v>0</v>
      </c>
      <c r="AC250" s="132"/>
      <c r="AD250" s="132"/>
      <c r="AE250" s="226">
        <f>SUM(CATEGORIAS[[#This Row],[INVENTARIO]:[PROYECCION
DE COSTO
DEL SALDO]])</f>
        <v>0</v>
      </c>
      <c r="AF250" s="132"/>
      <c r="AG250" s="132">
        <f>+CATEGORIAS[[#This Row],[PRESUPUESTO
FINAL
PROYECTADO]]-CATEGORIAS[[#This Row],[COSTO REAL]]-CATEGORIAS[[#This Row],[PROYECCION
TOTAL DE COSTO]]</f>
        <v>0</v>
      </c>
    </row>
    <row r="251" spans="1:33" x14ac:dyDescent="0.25">
      <c r="A251" s="274" t="str">
        <f>+IFERROR(VLOOKUP(CATEGORIAS[[#This Row],[CATEGORIA2]],[1]HOMOLOGACION!$A$1:$I$571,9,FALSE),0)</f>
        <v>0Q02</v>
      </c>
      <c r="B251" s="274" t="str">
        <f>+IFERROR(VLOOKUP(CATEGORIAS[[#This Row],[CATEGORIA2]],[1]HOMOLOGACION!$A$1:$C$571,3,FALSE),0)</f>
        <v>0X06</v>
      </c>
      <c r="C251" s="274" t="str">
        <f>+IFERROR(VLOOKUP(CATEGORIAS[[#This Row],[CATEGORIA2]],[1]HOMOLOGACION!$A$1:$D$571,4,FALSE),0)</f>
        <v>Electricidad &amp; Instrumentación</v>
      </c>
      <c r="D251" s="144" t="s">
        <v>1969</v>
      </c>
      <c r="E251" s="273" t="s">
        <v>849</v>
      </c>
      <c r="F251" s="275" t="s">
        <v>361</v>
      </c>
      <c r="G251" s="313">
        <v>0</v>
      </c>
      <c r="H251" s="313">
        <v>0</v>
      </c>
      <c r="I251" s="130">
        <v>0</v>
      </c>
      <c r="J251" s="130"/>
      <c r="K251" s="130"/>
      <c r="L251" s="143">
        <f>CATEGORIAS[[#This Row],[ADICIONALES]]+CATEGORIAS[[#This Row],[POM]]</f>
        <v>0</v>
      </c>
      <c r="M251" s="131">
        <v>0</v>
      </c>
      <c r="N251" s="227">
        <v>0</v>
      </c>
      <c r="O251" s="296">
        <f>CATEGORIAS[[#This Row],[PRODUCCION
PARTIDAS
ORIGINALES
ACTUAL]]+CATEGORIAS[[#This Row],[PRODUCCION
ADICIONALES
ACTUAL]]</f>
        <v>0</v>
      </c>
      <c r="P251" s="227">
        <v>0</v>
      </c>
      <c r="Q251" s="132">
        <v>0</v>
      </c>
      <c r="R251" s="297">
        <f>CATEGORIAS[[#This Row],[PRODUCCION
ANTERIOR]]+CATEGORIAS[[#This Row],[PRODUCCION
ADICIONALES
ANTERIOR]]</f>
        <v>0</v>
      </c>
      <c r="S251" s="133">
        <v>0</v>
      </c>
      <c r="T251" s="133"/>
      <c r="U251" s="133"/>
      <c r="V251" s="296">
        <f>SUM(CATEGORIAS[[#This Row],[COSTO
ACUMULADO  AX]:[PROVISIONES]])</f>
        <v>0</v>
      </c>
      <c r="W251" s="298">
        <v>0</v>
      </c>
      <c r="X251" s="227"/>
      <c r="Y251" s="227"/>
      <c r="Z251" s="297">
        <f>SUM(CATEGORIAS[[#This Row],[COSTO ACUMULADO
ANTERIOR]:[PROVISIONES
ANTERIOR]])</f>
        <v>0</v>
      </c>
      <c r="AA251" s="139">
        <f>CATEGORIAS[[#This Row],[PRESUPUESTO
FINAL
PROYECTADO]]-CATEGORIAS[[#This Row],[TOTAL PRODUCCION
ACTUAL]]</f>
        <v>0</v>
      </c>
      <c r="AB251" s="227">
        <v>0</v>
      </c>
      <c r="AC251" s="132"/>
      <c r="AD251" s="132"/>
      <c r="AE251" s="226">
        <f>SUM(CATEGORIAS[[#This Row],[INVENTARIO]:[PROYECCION
DE COSTO
DEL SALDO]])</f>
        <v>0</v>
      </c>
      <c r="AF251" s="132"/>
      <c r="AG251" s="132">
        <f>+CATEGORIAS[[#This Row],[PRESUPUESTO
FINAL
PROYECTADO]]-CATEGORIAS[[#This Row],[COSTO REAL]]-CATEGORIAS[[#This Row],[PROYECCION
TOTAL DE COSTO]]</f>
        <v>0</v>
      </c>
    </row>
    <row r="252" spans="1:33" x14ac:dyDescent="0.25">
      <c r="A252" s="274" t="str">
        <f>+IFERROR(VLOOKUP(CATEGORIAS[[#This Row],[CATEGORIA2]],[1]HOMOLOGACION!$A$1:$I$571,9,FALSE),0)</f>
        <v>0Q02</v>
      </c>
      <c r="B252" s="274" t="str">
        <f>+IFERROR(VLOOKUP(CATEGORIAS[[#This Row],[CATEGORIA2]],[1]HOMOLOGACION!$A$1:$C$571,3,FALSE),0)</f>
        <v>0X06</v>
      </c>
      <c r="C252" s="274" t="str">
        <f>+IFERROR(VLOOKUP(CATEGORIAS[[#This Row],[CATEGORIA2]],[1]HOMOLOGACION!$A$1:$D$571,4,FALSE),0)</f>
        <v>Electricidad &amp; Instrumentación</v>
      </c>
      <c r="D252" s="144" t="s">
        <v>1970</v>
      </c>
      <c r="E252" s="273" t="s">
        <v>851</v>
      </c>
      <c r="F252" s="275" t="s">
        <v>361</v>
      </c>
      <c r="G252" s="313">
        <v>0</v>
      </c>
      <c r="H252" s="313">
        <v>0</v>
      </c>
      <c r="I252" s="130">
        <v>0</v>
      </c>
      <c r="J252" s="130"/>
      <c r="K252" s="130"/>
      <c r="L252" s="143">
        <f>CATEGORIAS[[#This Row],[ADICIONALES]]+CATEGORIAS[[#This Row],[POM]]</f>
        <v>0</v>
      </c>
      <c r="M252" s="131">
        <v>0</v>
      </c>
      <c r="N252" s="227">
        <v>0</v>
      </c>
      <c r="O252" s="296">
        <f>CATEGORIAS[[#This Row],[PRODUCCION
PARTIDAS
ORIGINALES
ACTUAL]]+CATEGORIAS[[#This Row],[PRODUCCION
ADICIONALES
ACTUAL]]</f>
        <v>0</v>
      </c>
      <c r="P252" s="227">
        <v>0</v>
      </c>
      <c r="Q252" s="227">
        <v>0</v>
      </c>
      <c r="R252" s="297">
        <f>CATEGORIAS[[#This Row],[PRODUCCION
ANTERIOR]]+CATEGORIAS[[#This Row],[PRODUCCION
ADICIONALES
ANTERIOR]]</f>
        <v>0</v>
      </c>
      <c r="S252" s="133">
        <v>0</v>
      </c>
      <c r="T252" s="133"/>
      <c r="U252" s="133"/>
      <c r="V252" s="296">
        <f>SUM(CATEGORIAS[[#This Row],[COSTO
ACUMULADO  AX]:[PROVISIONES]])</f>
        <v>0</v>
      </c>
      <c r="W252" s="298">
        <v>0</v>
      </c>
      <c r="X252" s="227"/>
      <c r="Y252" s="227"/>
      <c r="Z252" s="297">
        <f>SUM(CATEGORIAS[[#This Row],[COSTO ACUMULADO
ANTERIOR]:[PROVISIONES
ANTERIOR]])</f>
        <v>0</v>
      </c>
      <c r="AA252" s="139">
        <f>CATEGORIAS[[#This Row],[PRESUPUESTO
FINAL
PROYECTADO]]-CATEGORIAS[[#This Row],[TOTAL PRODUCCION
ACTUAL]]</f>
        <v>0</v>
      </c>
      <c r="AB252" s="227">
        <v>0</v>
      </c>
      <c r="AC252" s="132"/>
      <c r="AD252" s="132"/>
      <c r="AE252" s="226">
        <f>SUM(CATEGORIAS[[#This Row],[INVENTARIO]:[PROYECCION
DE COSTO
DEL SALDO]])</f>
        <v>0</v>
      </c>
      <c r="AF252" s="132"/>
      <c r="AG252" s="132">
        <f>+CATEGORIAS[[#This Row],[PRESUPUESTO
FINAL
PROYECTADO]]-CATEGORIAS[[#This Row],[COSTO REAL]]-CATEGORIAS[[#This Row],[PROYECCION
TOTAL DE COSTO]]</f>
        <v>0</v>
      </c>
    </row>
    <row r="253" spans="1:33" x14ac:dyDescent="0.25">
      <c r="A253" s="274" t="str">
        <f>+IFERROR(VLOOKUP(CATEGORIAS[[#This Row],[CATEGORIA2]],[1]HOMOLOGACION!$A$1:$I$571,9,FALSE),0)</f>
        <v>0Q02</v>
      </c>
      <c r="B253" s="274" t="str">
        <f>+IFERROR(VLOOKUP(CATEGORIAS[[#This Row],[CATEGORIA2]],[1]HOMOLOGACION!$A$1:$C$571,3,FALSE),0)</f>
        <v>0X06</v>
      </c>
      <c r="C253" s="274" t="str">
        <f>+IFERROR(VLOOKUP(CATEGORIAS[[#This Row],[CATEGORIA2]],[1]HOMOLOGACION!$A$1:$D$571,4,FALSE),0)</f>
        <v>Electricidad &amp; Instrumentación</v>
      </c>
      <c r="D253" s="144" t="s">
        <v>1971</v>
      </c>
      <c r="E253" s="273" t="s">
        <v>853</v>
      </c>
      <c r="F253" s="275" t="s">
        <v>361</v>
      </c>
      <c r="G253" s="313">
        <v>0</v>
      </c>
      <c r="H253" s="313">
        <v>0</v>
      </c>
      <c r="I253" s="130">
        <v>0</v>
      </c>
      <c r="J253" s="130"/>
      <c r="K253" s="130"/>
      <c r="L253" s="143">
        <f>CATEGORIAS[[#This Row],[ADICIONALES]]+CATEGORIAS[[#This Row],[POM]]</f>
        <v>0</v>
      </c>
      <c r="M253" s="131">
        <v>0</v>
      </c>
      <c r="N253" s="227">
        <v>0</v>
      </c>
      <c r="O253" s="296">
        <f>CATEGORIAS[[#This Row],[PRODUCCION
PARTIDAS
ORIGINALES
ACTUAL]]+CATEGORIAS[[#This Row],[PRODUCCION
ADICIONALES
ACTUAL]]</f>
        <v>0</v>
      </c>
      <c r="P253" s="227">
        <v>0</v>
      </c>
      <c r="Q253" s="132">
        <v>0</v>
      </c>
      <c r="R253" s="297">
        <f>CATEGORIAS[[#This Row],[PRODUCCION
ANTERIOR]]+CATEGORIAS[[#This Row],[PRODUCCION
ADICIONALES
ANTERIOR]]</f>
        <v>0</v>
      </c>
      <c r="S253" s="133">
        <v>0</v>
      </c>
      <c r="T253" s="133"/>
      <c r="U253" s="133"/>
      <c r="V253" s="296">
        <f>SUM(CATEGORIAS[[#This Row],[COSTO
ACUMULADO  AX]:[PROVISIONES]])</f>
        <v>0</v>
      </c>
      <c r="W253" s="298">
        <v>0</v>
      </c>
      <c r="X253" s="227"/>
      <c r="Y253" s="227"/>
      <c r="Z253" s="297">
        <f>SUM(CATEGORIAS[[#This Row],[COSTO ACUMULADO
ANTERIOR]:[PROVISIONES
ANTERIOR]])</f>
        <v>0</v>
      </c>
      <c r="AA253" s="139">
        <f>CATEGORIAS[[#This Row],[PRESUPUESTO
FINAL
PROYECTADO]]-CATEGORIAS[[#This Row],[TOTAL PRODUCCION
ACTUAL]]</f>
        <v>0</v>
      </c>
      <c r="AB253" s="227">
        <v>0</v>
      </c>
      <c r="AC253" s="132"/>
      <c r="AD253" s="132"/>
      <c r="AE253" s="226">
        <f>SUM(CATEGORIAS[[#This Row],[INVENTARIO]:[PROYECCION
DE COSTO
DEL SALDO]])</f>
        <v>0</v>
      </c>
      <c r="AF253" s="132"/>
      <c r="AG253" s="132">
        <f>+CATEGORIAS[[#This Row],[PRESUPUESTO
FINAL
PROYECTADO]]-CATEGORIAS[[#This Row],[COSTO REAL]]-CATEGORIAS[[#This Row],[PROYECCION
TOTAL DE COSTO]]</f>
        <v>0</v>
      </c>
    </row>
    <row r="254" spans="1:33" x14ac:dyDescent="0.25">
      <c r="A254" s="274" t="str">
        <f>+IFERROR(VLOOKUP(CATEGORIAS[[#This Row],[CATEGORIA2]],[1]HOMOLOGACION!$A$1:$I$571,9,FALSE),0)</f>
        <v>0Q02</v>
      </c>
      <c r="B254" s="274" t="str">
        <f>+IFERROR(VLOOKUP(CATEGORIAS[[#This Row],[CATEGORIA2]],[1]HOMOLOGACION!$A$1:$C$571,3,FALSE),0)</f>
        <v>0X05</v>
      </c>
      <c r="C254" s="274" t="str">
        <f>+IFERROR(VLOOKUP(CATEGORIAS[[#This Row],[CATEGORIA2]],[1]HOMOLOGACION!$A$1:$D$571,4,FALSE),0)</f>
        <v xml:space="preserve">Aislación </v>
      </c>
      <c r="D254" s="144" t="s">
        <v>1972</v>
      </c>
      <c r="E254" s="273" t="s">
        <v>855</v>
      </c>
      <c r="F254" s="275" t="s">
        <v>361</v>
      </c>
      <c r="G254" s="313">
        <v>0</v>
      </c>
      <c r="H254" s="313">
        <v>0</v>
      </c>
      <c r="I254" s="130">
        <v>0</v>
      </c>
      <c r="J254" s="130"/>
      <c r="K254" s="130"/>
      <c r="L254" s="143">
        <f>CATEGORIAS[[#This Row],[ADICIONALES]]+CATEGORIAS[[#This Row],[POM]]</f>
        <v>0</v>
      </c>
      <c r="M254" s="131">
        <v>0</v>
      </c>
      <c r="N254" s="227">
        <v>0</v>
      </c>
      <c r="O254" s="296">
        <f>CATEGORIAS[[#This Row],[PRODUCCION
PARTIDAS
ORIGINALES
ACTUAL]]+CATEGORIAS[[#This Row],[PRODUCCION
ADICIONALES
ACTUAL]]</f>
        <v>0</v>
      </c>
      <c r="P254" s="227">
        <v>0</v>
      </c>
      <c r="Q254" s="227">
        <v>0</v>
      </c>
      <c r="R254" s="297">
        <f>CATEGORIAS[[#This Row],[PRODUCCION
ANTERIOR]]+CATEGORIAS[[#This Row],[PRODUCCION
ADICIONALES
ANTERIOR]]</f>
        <v>0</v>
      </c>
      <c r="S254" s="133">
        <v>0</v>
      </c>
      <c r="T254" s="133"/>
      <c r="U254" s="133"/>
      <c r="V254" s="296">
        <f>SUM(CATEGORIAS[[#This Row],[COSTO
ACUMULADO  AX]:[PROVISIONES]])</f>
        <v>0</v>
      </c>
      <c r="W254" s="298">
        <v>0</v>
      </c>
      <c r="X254" s="227"/>
      <c r="Y254" s="227"/>
      <c r="Z254" s="297">
        <f>SUM(CATEGORIAS[[#This Row],[COSTO ACUMULADO
ANTERIOR]:[PROVISIONES
ANTERIOR]])</f>
        <v>0</v>
      </c>
      <c r="AA254" s="139">
        <f>CATEGORIAS[[#This Row],[PRESUPUESTO
FINAL
PROYECTADO]]-CATEGORIAS[[#This Row],[TOTAL PRODUCCION
ACTUAL]]</f>
        <v>0</v>
      </c>
      <c r="AB254" s="227">
        <v>0</v>
      </c>
      <c r="AC254" s="132"/>
      <c r="AD254" s="132"/>
      <c r="AE254" s="226">
        <f>SUM(CATEGORIAS[[#This Row],[INVENTARIO]:[PROYECCION
DE COSTO
DEL SALDO]])</f>
        <v>0</v>
      </c>
      <c r="AF254" s="132"/>
      <c r="AG254" s="132">
        <f>+CATEGORIAS[[#This Row],[PRESUPUESTO
FINAL
PROYECTADO]]-CATEGORIAS[[#This Row],[COSTO REAL]]-CATEGORIAS[[#This Row],[PROYECCION
TOTAL DE COSTO]]</f>
        <v>0</v>
      </c>
    </row>
    <row r="255" spans="1:33" x14ac:dyDescent="0.25">
      <c r="A255" s="274" t="str">
        <f>+IFERROR(VLOOKUP(CATEGORIAS[[#This Row],[CATEGORIA2]],[1]HOMOLOGACION!$A$1:$I$571,9,FALSE),0)</f>
        <v>0Q02</v>
      </c>
      <c r="B255" s="274" t="str">
        <f>+IFERROR(VLOOKUP(CATEGORIAS[[#This Row],[CATEGORIA2]],[1]HOMOLOGACION!$A$1:$C$571,3,FALSE),0)</f>
        <v>0X05</v>
      </c>
      <c r="C255" s="274" t="str">
        <f>+IFERROR(VLOOKUP(CATEGORIAS[[#This Row],[CATEGORIA2]],[1]HOMOLOGACION!$A$1:$D$571,4,FALSE),0)</f>
        <v xml:space="preserve">Aislación </v>
      </c>
      <c r="D255" s="144" t="s">
        <v>1973</v>
      </c>
      <c r="E255" s="273" t="s">
        <v>857</v>
      </c>
      <c r="F255" s="275" t="s">
        <v>361</v>
      </c>
      <c r="G255" s="313">
        <v>0</v>
      </c>
      <c r="H255" s="313">
        <v>0</v>
      </c>
      <c r="I255" s="130">
        <v>0</v>
      </c>
      <c r="J255" s="130"/>
      <c r="K255" s="130"/>
      <c r="L255" s="143">
        <f>CATEGORIAS[[#This Row],[ADICIONALES]]+CATEGORIAS[[#This Row],[POM]]</f>
        <v>0</v>
      </c>
      <c r="M255" s="131">
        <v>0</v>
      </c>
      <c r="N255" s="227">
        <v>0</v>
      </c>
      <c r="O255" s="296">
        <f>CATEGORIAS[[#This Row],[PRODUCCION
PARTIDAS
ORIGINALES
ACTUAL]]+CATEGORIAS[[#This Row],[PRODUCCION
ADICIONALES
ACTUAL]]</f>
        <v>0</v>
      </c>
      <c r="P255" s="227">
        <v>0</v>
      </c>
      <c r="Q255" s="132">
        <v>0</v>
      </c>
      <c r="R255" s="297">
        <f>CATEGORIAS[[#This Row],[PRODUCCION
ANTERIOR]]+CATEGORIAS[[#This Row],[PRODUCCION
ADICIONALES
ANTERIOR]]</f>
        <v>0</v>
      </c>
      <c r="S255" s="133">
        <v>0</v>
      </c>
      <c r="T255" s="133"/>
      <c r="U255" s="133"/>
      <c r="V255" s="296">
        <f>SUM(CATEGORIAS[[#This Row],[COSTO
ACUMULADO  AX]:[PROVISIONES]])</f>
        <v>0</v>
      </c>
      <c r="W255" s="298">
        <v>0</v>
      </c>
      <c r="X255" s="227"/>
      <c r="Y255" s="227"/>
      <c r="Z255" s="297">
        <f>SUM(CATEGORIAS[[#This Row],[COSTO ACUMULADO
ANTERIOR]:[PROVISIONES
ANTERIOR]])</f>
        <v>0</v>
      </c>
      <c r="AA255" s="139">
        <f>CATEGORIAS[[#This Row],[PRESUPUESTO
FINAL
PROYECTADO]]-CATEGORIAS[[#This Row],[TOTAL PRODUCCION
ACTUAL]]</f>
        <v>0</v>
      </c>
      <c r="AB255" s="227">
        <v>0</v>
      </c>
      <c r="AC255" s="132"/>
      <c r="AD255" s="132"/>
      <c r="AE255" s="226">
        <f>SUM(CATEGORIAS[[#This Row],[INVENTARIO]:[PROYECCION
DE COSTO
DEL SALDO]])</f>
        <v>0</v>
      </c>
      <c r="AF255" s="132"/>
      <c r="AG255" s="132">
        <f>+CATEGORIAS[[#This Row],[PRESUPUESTO
FINAL
PROYECTADO]]-CATEGORIAS[[#This Row],[COSTO REAL]]-CATEGORIAS[[#This Row],[PROYECCION
TOTAL DE COSTO]]</f>
        <v>0</v>
      </c>
    </row>
    <row r="256" spans="1:33" x14ac:dyDescent="0.25">
      <c r="A256" s="274" t="str">
        <f>+IFERROR(VLOOKUP(CATEGORIAS[[#This Row],[CATEGORIA2]],[1]HOMOLOGACION!$A$1:$I$571,9,FALSE),0)</f>
        <v>0Q02</v>
      </c>
      <c r="B256" s="274" t="str">
        <f>+IFERROR(VLOOKUP(CATEGORIAS[[#This Row],[CATEGORIA2]],[1]HOMOLOGACION!$A$1:$C$571,3,FALSE),0)</f>
        <v>0X05</v>
      </c>
      <c r="C256" s="274" t="str">
        <f>+IFERROR(VLOOKUP(CATEGORIAS[[#This Row],[CATEGORIA2]],[1]HOMOLOGACION!$A$1:$D$571,4,FALSE),0)</f>
        <v xml:space="preserve">Aislación </v>
      </c>
      <c r="D256" s="144" t="s">
        <v>1974</v>
      </c>
      <c r="E256" s="273" t="s">
        <v>859</v>
      </c>
      <c r="F256" s="275" t="s">
        <v>361</v>
      </c>
      <c r="G256" s="313">
        <v>0</v>
      </c>
      <c r="H256" s="313">
        <v>0</v>
      </c>
      <c r="I256" s="130">
        <v>0</v>
      </c>
      <c r="J256" s="130"/>
      <c r="K256" s="130"/>
      <c r="L256" s="143">
        <f>CATEGORIAS[[#This Row],[ADICIONALES]]+CATEGORIAS[[#This Row],[POM]]</f>
        <v>0</v>
      </c>
      <c r="M256" s="131">
        <v>0</v>
      </c>
      <c r="N256" s="227">
        <v>0</v>
      </c>
      <c r="O256" s="296">
        <f>CATEGORIAS[[#This Row],[PRODUCCION
PARTIDAS
ORIGINALES
ACTUAL]]+CATEGORIAS[[#This Row],[PRODUCCION
ADICIONALES
ACTUAL]]</f>
        <v>0</v>
      </c>
      <c r="P256" s="227">
        <v>0</v>
      </c>
      <c r="Q256" s="227">
        <v>0</v>
      </c>
      <c r="R256" s="297">
        <f>CATEGORIAS[[#This Row],[PRODUCCION
ANTERIOR]]+CATEGORIAS[[#This Row],[PRODUCCION
ADICIONALES
ANTERIOR]]</f>
        <v>0</v>
      </c>
      <c r="S256" s="133">
        <v>0</v>
      </c>
      <c r="T256" s="133"/>
      <c r="U256" s="133"/>
      <c r="V256" s="296">
        <f>SUM(CATEGORIAS[[#This Row],[COSTO
ACUMULADO  AX]:[PROVISIONES]])</f>
        <v>0</v>
      </c>
      <c r="W256" s="298">
        <v>0</v>
      </c>
      <c r="X256" s="227"/>
      <c r="Y256" s="227"/>
      <c r="Z256" s="297">
        <f>SUM(CATEGORIAS[[#This Row],[COSTO ACUMULADO
ANTERIOR]:[PROVISIONES
ANTERIOR]])</f>
        <v>0</v>
      </c>
      <c r="AA256" s="139">
        <f>CATEGORIAS[[#This Row],[PRESUPUESTO
FINAL
PROYECTADO]]-CATEGORIAS[[#This Row],[TOTAL PRODUCCION
ACTUAL]]</f>
        <v>0</v>
      </c>
      <c r="AB256" s="227">
        <v>0</v>
      </c>
      <c r="AC256" s="132"/>
      <c r="AD256" s="132"/>
      <c r="AE256" s="226">
        <f>SUM(CATEGORIAS[[#This Row],[INVENTARIO]:[PROYECCION
DE COSTO
DEL SALDO]])</f>
        <v>0</v>
      </c>
      <c r="AF256" s="132"/>
      <c r="AG256" s="132">
        <f>+CATEGORIAS[[#This Row],[PRESUPUESTO
FINAL
PROYECTADO]]-CATEGORIAS[[#This Row],[COSTO REAL]]-CATEGORIAS[[#This Row],[PROYECCION
TOTAL DE COSTO]]</f>
        <v>0</v>
      </c>
    </row>
    <row r="257" spans="1:33" x14ac:dyDescent="0.25">
      <c r="A257" s="274" t="str">
        <f>+IFERROR(VLOOKUP(CATEGORIAS[[#This Row],[CATEGORIA2]],[1]HOMOLOGACION!$A$1:$I$571,9,FALSE),0)</f>
        <v>0Q02</v>
      </c>
      <c r="B257" s="274" t="str">
        <f>+IFERROR(VLOOKUP(CATEGORIAS[[#This Row],[CATEGORIA2]],[1]HOMOLOGACION!$A$1:$C$571,3,FALSE),0)</f>
        <v>0X05</v>
      </c>
      <c r="C257" s="274" t="str">
        <f>+IFERROR(VLOOKUP(CATEGORIAS[[#This Row],[CATEGORIA2]],[1]HOMOLOGACION!$A$1:$D$571,4,FALSE),0)</f>
        <v xml:space="preserve">Aislación </v>
      </c>
      <c r="D257" s="144" t="s">
        <v>1975</v>
      </c>
      <c r="E257" s="273" t="s">
        <v>861</v>
      </c>
      <c r="F257" s="275" t="s">
        <v>361</v>
      </c>
      <c r="G257" s="313">
        <v>0</v>
      </c>
      <c r="H257" s="313">
        <v>0</v>
      </c>
      <c r="I257" s="130">
        <v>0</v>
      </c>
      <c r="J257" s="130"/>
      <c r="K257" s="130"/>
      <c r="L257" s="143">
        <f>CATEGORIAS[[#This Row],[ADICIONALES]]+CATEGORIAS[[#This Row],[POM]]</f>
        <v>0</v>
      </c>
      <c r="M257" s="131">
        <v>0</v>
      </c>
      <c r="N257" s="227">
        <v>0</v>
      </c>
      <c r="O257" s="296">
        <f>CATEGORIAS[[#This Row],[PRODUCCION
PARTIDAS
ORIGINALES
ACTUAL]]+CATEGORIAS[[#This Row],[PRODUCCION
ADICIONALES
ACTUAL]]</f>
        <v>0</v>
      </c>
      <c r="P257" s="227">
        <v>0</v>
      </c>
      <c r="Q257" s="227">
        <v>0</v>
      </c>
      <c r="R257" s="297">
        <f>CATEGORIAS[[#This Row],[PRODUCCION
ANTERIOR]]+CATEGORIAS[[#This Row],[PRODUCCION
ADICIONALES
ANTERIOR]]</f>
        <v>0</v>
      </c>
      <c r="S257" s="133">
        <v>0</v>
      </c>
      <c r="T257" s="133"/>
      <c r="U257" s="133"/>
      <c r="V257" s="296">
        <f>SUM(CATEGORIAS[[#This Row],[COSTO
ACUMULADO  AX]:[PROVISIONES]])</f>
        <v>0</v>
      </c>
      <c r="W257" s="298">
        <v>0</v>
      </c>
      <c r="X257" s="227"/>
      <c r="Y257" s="227"/>
      <c r="Z257" s="297">
        <f>SUM(CATEGORIAS[[#This Row],[COSTO ACUMULADO
ANTERIOR]:[PROVISIONES
ANTERIOR]])</f>
        <v>0</v>
      </c>
      <c r="AA257" s="139">
        <f>CATEGORIAS[[#This Row],[PRESUPUESTO
FINAL
PROYECTADO]]-CATEGORIAS[[#This Row],[TOTAL PRODUCCION
ACTUAL]]</f>
        <v>0</v>
      </c>
      <c r="AB257" s="227">
        <v>0</v>
      </c>
      <c r="AC257" s="132"/>
      <c r="AD257" s="132"/>
      <c r="AE257" s="226">
        <f>SUM(CATEGORIAS[[#This Row],[INVENTARIO]:[PROYECCION
DE COSTO
DEL SALDO]])</f>
        <v>0</v>
      </c>
      <c r="AF257" s="132"/>
      <c r="AG257" s="132">
        <f>+CATEGORIAS[[#This Row],[PRESUPUESTO
FINAL
PROYECTADO]]-CATEGORIAS[[#This Row],[COSTO REAL]]-CATEGORIAS[[#This Row],[PROYECCION
TOTAL DE COSTO]]</f>
        <v>0</v>
      </c>
    </row>
    <row r="258" spans="1:33" x14ac:dyDescent="0.25">
      <c r="A258" s="274" t="str">
        <f>+IFERROR(VLOOKUP(CATEGORIAS[[#This Row],[CATEGORIA2]],[1]HOMOLOGACION!$A$1:$I$571,9,FALSE),0)</f>
        <v>0Q02</v>
      </c>
      <c r="B258" s="274" t="str">
        <f>+IFERROR(VLOOKUP(CATEGORIAS[[#This Row],[CATEGORIA2]],[1]HOMOLOGACION!$A$1:$C$571,3,FALSE),0)</f>
        <v>0X07</v>
      </c>
      <c r="C258" s="274" t="str">
        <f>+IFERROR(VLOOKUP(CATEGORIAS[[#This Row],[CATEGORIA2]],[1]HOMOLOGACION!$A$1:$D$571,4,FALSE),0)</f>
        <v xml:space="preserve">Caldera </v>
      </c>
      <c r="D258" s="144" t="s">
        <v>1976</v>
      </c>
      <c r="E258" s="273" t="s">
        <v>863</v>
      </c>
      <c r="F258" s="275" t="s">
        <v>361</v>
      </c>
      <c r="G258" s="313">
        <v>0</v>
      </c>
      <c r="H258" s="313">
        <v>0</v>
      </c>
      <c r="I258" s="130">
        <v>0</v>
      </c>
      <c r="J258" s="130"/>
      <c r="K258" s="130"/>
      <c r="L258" s="143">
        <f>CATEGORIAS[[#This Row],[ADICIONALES]]+CATEGORIAS[[#This Row],[POM]]</f>
        <v>0</v>
      </c>
      <c r="M258" s="131">
        <v>0</v>
      </c>
      <c r="N258" s="227">
        <v>0</v>
      </c>
      <c r="O258" s="296">
        <f>CATEGORIAS[[#This Row],[PRODUCCION
PARTIDAS
ORIGINALES
ACTUAL]]+CATEGORIAS[[#This Row],[PRODUCCION
ADICIONALES
ACTUAL]]</f>
        <v>0</v>
      </c>
      <c r="P258" s="227">
        <v>0</v>
      </c>
      <c r="Q258" s="227">
        <v>0</v>
      </c>
      <c r="R258" s="297">
        <f>CATEGORIAS[[#This Row],[PRODUCCION
ANTERIOR]]+CATEGORIAS[[#This Row],[PRODUCCION
ADICIONALES
ANTERIOR]]</f>
        <v>0</v>
      </c>
      <c r="S258" s="133">
        <v>0</v>
      </c>
      <c r="T258" s="133"/>
      <c r="U258" s="133"/>
      <c r="V258" s="296">
        <f>SUM(CATEGORIAS[[#This Row],[COSTO
ACUMULADO  AX]:[PROVISIONES]])</f>
        <v>0</v>
      </c>
      <c r="W258" s="298">
        <v>0</v>
      </c>
      <c r="X258" s="227"/>
      <c r="Y258" s="227"/>
      <c r="Z258" s="297">
        <f>SUM(CATEGORIAS[[#This Row],[COSTO ACUMULADO
ANTERIOR]:[PROVISIONES
ANTERIOR]])</f>
        <v>0</v>
      </c>
      <c r="AA258" s="139">
        <f>CATEGORIAS[[#This Row],[PRESUPUESTO
FINAL
PROYECTADO]]-CATEGORIAS[[#This Row],[TOTAL PRODUCCION
ACTUAL]]</f>
        <v>0</v>
      </c>
      <c r="AB258" s="227">
        <v>0</v>
      </c>
      <c r="AC258" s="132"/>
      <c r="AD258" s="132"/>
      <c r="AE258" s="226">
        <f>SUM(CATEGORIAS[[#This Row],[INVENTARIO]:[PROYECCION
DE COSTO
DEL SALDO]])</f>
        <v>0</v>
      </c>
      <c r="AF258" s="132"/>
      <c r="AG258" s="132">
        <f>+CATEGORIAS[[#This Row],[PRESUPUESTO
FINAL
PROYECTADO]]-CATEGORIAS[[#This Row],[COSTO REAL]]-CATEGORIAS[[#This Row],[PROYECCION
TOTAL DE COSTO]]</f>
        <v>0</v>
      </c>
    </row>
    <row r="259" spans="1:33" x14ac:dyDescent="0.25">
      <c r="A259" s="274" t="str">
        <f>+IFERROR(VLOOKUP(CATEGORIAS[[#This Row],[CATEGORIA2]],[1]HOMOLOGACION!$A$1:$I$571,9,FALSE),0)</f>
        <v>0Q02</v>
      </c>
      <c r="B259" s="274" t="str">
        <f>+IFERROR(VLOOKUP(CATEGORIAS[[#This Row],[CATEGORIA2]],[1]HOMOLOGACION!$A$1:$C$571,3,FALSE),0)</f>
        <v>0X07</v>
      </c>
      <c r="C259" s="274" t="str">
        <f>+IFERROR(VLOOKUP(CATEGORIAS[[#This Row],[CATEGORIA2]],[1]HOMOLOGACION!$A$1:$D$571,4,FALSE),0)</f>
        <v xml:space="preserve">Caldera </v>
      </c>
      <c r="D259" s="144" t="s">
        <v>1977</v>
      </c>
      <c r="E259" s="273" t="s">
        <v>865</v>
      </c>
      <c r="F259" s="275" t="s">
        <v>361</v>
      </c>
      <c r="G259" s="313">
        <v>0</v>
      </c>
      <c r="H259" s="313">
        <v>0</v>
      </c>
      <c r="I259" s="130">
        <v>0</v>
      </c>
      <c r="J259" s="130"/>
      <c r="K259" s="130"/>
      <c r="L259" s="143">
        <f>CATEGORIAS[[#This Row],[ADICIONALES]]+CATEGORIAS[[#This Row],[POM]]</f>
        <v>0</v>
      </c>
      <c r="M259" s="131">
        <v>0</v>
      </c>
      <c r="N259" s="227">
        <v>0</v>
      </c>
      <c r="O259" s="296">
        <f>CATEGORIAS[[#This Row],[PRODUCCION
PARTIDAS
ORIGINALES
ACTUAL]]+CATEGORIAS[[#This Row],[PRODUCCION
ADICIONALES
ACTUAL]]</f>
        <v>0</v>
      </c>
      <c r="P259" s="227">
        <v>0</v>
      </c>
      <c r="Q259" s="132">
        <v>0</v>
      </c>
      <c r="R259" s="297">
        <f>CATEGORIAS[[#This Row],[PRODUCCION
ANTERIOR]]+CATEGORIAS[[#This Row],[PRODUCCION
ADICIONALES
ANTERIOR]]</f>
        <v>0</v>
      </c>
      <c r="S259" s="133">
        <v>0</v>
      </c>
      <c r="T259" s="133"/>
      <c r="U259" s="133"/>
      <c r="V259" s="296">
        <f>SUM(CATEGORIAS[[#This Row],[COSTO
ACUMULADO  AX]:[PROVISIONES]])</f>
        <v>0</v>
      </c>
      <c r="W259" s="298">
        <v>0</v>
      </c>
      <c r="X259" s="227"/>
      <c r="Y259" s="227"/>
      <c r="Z259" s="297">
        <f>SUM(CATEGORIAS[[#This Row],[COSTO ACUMULADO
ANTERIOR]:[PROVISIONES
ANTERIOR]])</f>
        <v>0</v>
      </c>
      <c r="AA259" s="139">
        <f>CATEGORIAS[[#This Row],[PRESUPUESTO
FINAL
PROYECTADO]]-CATEGORIAS[[#This Row],[TOTAL PRODUCCION
ACTUAL]]</f>
        <v>0</v>
      </c>
      <c r="AB259" s="227">
        <v>0</v>
      </c>
      <c r="AC259" s="132"/>
      <c r="AD259" s="132"/>
      <c r="AE259" s="226">
        <f>SUM(CATEGORIAS[[#This Row],[INVENTARIO]:[PROYECCION
DE COSTO
DEL SALDO]])</f>
        <v>0</v>
      </c>
      <c r="AF259" s="132"/>
      <c r="AG259" s="132">
        <f>+CATEGORIAS[[#This Row],[PRESUPUESTO
FINAL
PROYECTADO]]-CATEGORIAS[[#This Row],[COSTO REAL]]-CATEGORIAS[[#This Row],[PROYECCION
TOTAL DE COSTO]]</f>
        <v>0</v>
      </c>
    </row>
    <row r="260" spans="1:33" x14ac:dyDescent="0.25">
      <c r="A260" s="274" t="str">
        <f>+IFERROR(VLOOKUP(CATEGORIAS[[#This Row],[CATEGORIA2]],[1]HOMOLOGACION!$A$1:$I$571,9,FALSE),0)</f>
        <v>0Q02</v>
      </c>
      <c r="B260" s="274" t="str">
        <f>+IFERROR(VLOOKUP(CATEGORIAS[[#This Row],[CATEGORIA2]],[1]HOMOLOGACION!$A$1:$C$571,3,FALSE),0)</f>
        <v>0X07</v>
      </c>
      <c r="C260" s="274" t="str">
        <f>+IFERROR(VLOOKUP(CATEGORIAS[[#This Row],[CATEGORIA2]],[1]HOMOLOGACION!$A$1:$D$571,4,FALSE),0)</f>
        <v xml:space="preserve">Caldera </v>
      </c>
      <c r="D260" s="144" t="s">
        <v>1978</v>
      </c>
      <c r="E260" s="273" t="s">
        <v>867</v>
      </c>
      <c r="F260" s="275" t="s">
        <v>361</v>
      </c>
      <c r="G260" s="313">
        <v>0</v>
      </c>
      <c r="H260" s="313">
        <v>0</v>
      </c>
      <c r="I260" s="130">
        <v>0</v>
      </c>
      <c r="J260" s="130"/>
      <c r="K260" s="130"/>
      <c r="L260" s="143">
        <f>CATEGORIAS[[#This Row],[ADICIONALES]]+CATEGORIAS[[#This Row],[POM]]</f>
        <v>0</v>
      </c>
      <c r="M260" s="131">
        <v>0</v>
      </c>
      <c r="N260" s="227">
        <v>0</v>
      </c>
      <c r="O260" s="296">
        <f>CATEGORIAS[[#This Row],[PRODUCCION
PARTIDAS
ORIGINALES
ACTUAL]]+CATEGORIAS[[#This Row],[PRODUCCION
ADICIONALES
ACTUAL]]</f>
        <v>0</v>
      </c>
      <c r="P260" s="227">
        <v>0</v>
      </c>
      <c r="Q260" s="132">
        <v>0</v>
      </c>
      <c r="R260" s="297">
        <f>CATEGORIAS[[#This Row],[PRODUCCION
ANTERIOR]]+CATEGORIAS[[#This Row],[PRODUCCION
ADICIONALES
ANTERIOR]]</f>
        <v>0</v>
      </c>
      <c r="S260" s="133">
        <v>0</v>
      </c>
      <c r="T260" s="133"/>
      <c r="U260" s="133"/>
      <c r="V260" s="296">
        <f>SUM(CATEGORIAS[[#This Row],[COSTO
ACUMULADO  AX]:[PROVISIONES]])</f>
        <v>0</v>
      </c>
      <c r="W260" s="298">
        <v>0</v>
      </c>
      <c r="X260" s="227"/>
      <c r="Y260" s="227"/>
      <c r="Z260" s="297">
        <f>SUM(CATEGORIAS[[#This Row],[COSTO ACUMULADO
ANTERIOR]:[PROVISIONES
ANTERIOR]])</f>
        <v>0</v>
      </c>
      <c r="AA260" s="139">
        <f>CATEGORIAS[[#This Row],[PRESUPUESTO
FINAL
PROYECTADO]]-CATEGORIAS[[#This Row],[TOTAL PRODUCCION
ACTUAL]]</f>
        <v>0</v>
      </c>
      <c r="AB260" s="227">
        <v>0</v>
      </c>
      <c r="AC260" s="132"/>
      <c r="AD260" s="132"/>
      <c r="AE260" s="226">
        <f>SUM(CATEGORIAS[[#This Row],[INVENTARIO]:[PROYECCION
DE COSTO
DEL SALDO]])</f>
        <v>0</v>
      </c>
      <c r="AF260" s="132"/>
      <c r="AG260" s="132">
        <f>+CATEGORIAS[[#This Row],[PRESUPUESTO
FINAL
PROYECTADO]]-CATEGORIAS[[#This Row],[COSTO REAL]]-CATEGORIAS[[#This Row],[PROYECCION
TOTAL DE COSTO]]</f>
        <v>0</v>
      </c>
    </row>
    <row r="261" spans="1:33" x14ac:dyDescent="0.25">
      <c r="A261" s="274" t="str">
        <f>+IFERROR(VLOOKUP(CATEGORIAS[[#This Row],[CATEGORIA2]],[1]HOMOLOGACION!$A$1:$I$571,9,FALSE),0)</f>
        <v>0Q02</v>
      </c>
      <c r="B261" s="274" t="str">
        <f>+IFERROR(VLOOKUP(CATEGORIAS[[#This Row],[CATEGORIA2]],[1]HOMOLOGACION!$A$1:$C$571,3,FALSE),0)</f>
        <v>0X07</v>
      </c>
      <c r="C261" s="274" t="str">
        <f>+IFERROR(VLOOKUP(CATEGORIAS[[#This Row],[CATEGORIA2]],[1]HOMOLOGACION!$A$1:$D$571,4,FALSE),0)</f>
        <v xml:space="preserve">Caldera </v>
      </c>
      <c r="D261" s="144" t="s">
        <v>1979</v>
      </c>
      <c r="E261" s="273" t="s">
        <v>869</v>
      </c>
      <c r="F261" s="275" t="s">
        <v>361</v>
      </c>
      <c r="G261" s="313">
        <v>0</v>
      </c>
      <c r="H261" s="313">
        <v>0</v>
      </c>
      <c r="I261" s="130">
        <v>0</v>
      </c>
      <c r="J261" s="130"/>
      <c r="K261" s="130"/>
      <c r="L261" s="143">
        <f>CATEGORIAS[[#This Row],[ADICIONALES]]+CATEGORIAS[[#This Row],[POM]]</f>
        <v>0</v>
      </c>
      <c r="M261" s="131">
        <v>0</v>
      </c>
      <c r="N261" s="227">
        <v>0</v>
      </c>
      <c r="O261" s="296">
        <f>CATEGORIAS[[#This Row],[PRODUCCION
PARTIDAS
ORIGINALES
ACTUAL]]+CATEGORIAS[[#This Row],[PRODUCCION
ADICIONALES
ACTUAL]]</f>
        <v>0</v>
      </c>
      <c r="P261" s="227">
        <v>0</v>
      </c>
      <c r="Q261" s="227">
        <v>0</v>
      </c>
      <c r="R261" s="297">
        <f>CATEGORIAS[[#This Row],[PRODUCCION
ANTERIOR]]+CATEGORIAS[[#This Row],[PRODUCCION
ADICIONALES
ANTERIOR]]</f>
        <v>0</v>
      </c>
      <c r="S261" s="133">
        <v>0</v>
      </c>
      <c r="T261" s="133"/>
      <c r="U261" s="133"/>
      <c r="V261" s="296">
        <f>SUM(CATEGORIAS[[#This Row],[COSTO
ACUMULADO  AX]:[PROVISIONES]])</f>
        <v>0</v>
      </c>
      <c r="W261" s="298">
        <v>0</v>
      </c>
      <c r="X261" s="227"/>
      <c r="Y261" s="227"/>
      <c r="Z261" s="297">
        <f>SUM(CATEGORIAS[[#This Row],[COSTO ACUMULADO
ANTERIOR]:[PROVISIONES
ANTERIOR]])</f>
        <v>0</v>
      </c>
      <c r="AA261" s="139">
        <f>CATEGORIAS[[#This Row],[PRESUPUESTO
FINAL
PROYECTADO]]-CATEGORIAS[[#This Row],[TOTAL PRODUCCION
ACTUAL]]</f>
        <v>0</v>
      </c>
      <c r="AB261" s="227">
        <v>0</v>
      </c>
      <c r="AC261" s="132"/>
      <c r="AD261" s="132"/>
      <c r="AE261" s="226">
        <f>SUM(CATEGORIAS[[#This Row],[INVENTARIO]:[PROYECCION
DE COSTO
DEL SALDO]])</f>
        <v>0</v>
      </c>
      <c r="AF261" s="132"/>
      <c r="AG261" s="132">
        <f>+CATEGORIAS[[#This Row],[PRESUPUESTO
FINAL
PROYECTADO]]-CATEGORIAS[[#This Row],[COSTO REAL]]-CATEGORIAS[[#This Row],[PROYECCION
TOTAL DE COSTO]]</f>
        <v>0</v>
      </c>
    </row>
    <row r="262" spans="1:33" x14ac:dyDescent="0.25">
      <c r="A262" s="274" t="str">
        <f>+IFERROR(VLOOKUP(CATEGORIAS[[#This Row],[CATEGORIA2]],[1]HOMOLOGACION!$A$1:$I$571,9,FALSE),0)</f>
        <v>0Q02</v>
      </c>
      <c r="B262" s="274" t="str">
        <f>+IFERROR(VLOOKUP(CATEGORIAS[[#This Row],[CATEGORIA2]],[1]HOMOLOGACION!$A$1:$C$571,3,FALSE),0)</f>
        <v>0X07</v>
      </c>
      <c r="C262" s="274" t="str">
        <f>+IFERROR(VLOOKUP(CATEGORIAS[[#This Row],[CATEGORIA2]],[1]HOMOLOGACION!$A$1:$D$571,4,FALSE),0)</f>
        <v xml:space="preserve">Caldera </v>
      </c>
      <c r="D262" s="144" t="s">
        <v>1980</v>
      </c>
      <c r="E262" s="273" t="s">
        <v>871</v>
      </c>
      <c r="F262" s="275" t="s">
        <v>361</v>
      </c>
      <c r="G262" s="313">
        <v>0</v>
      </c>
      <c r="H262" s="313">
        <v>0</v>
      </c>
      <c r="I262" s="130">
        <v>0</v>
      </c>
      <c r="J262" s="130"/>
      <c r="K262" s="130"/>
      <c r="L262" s="143">
        <f>CATEGORIAS[[#This Row],[ADICIONALES]]+CATEGORIAS[[#This Row],[POM]]</f>
        <v>0</v>
      </c>
      <c r="M262" s="131">
        <v>0</v>
      </c>
      <c r="N262" s="227">
        <v>0</v>
      </c>
      <c r="O262" s="296">
        <f>CATEGORIAS[[#This Row],[PRODUCCION
PARTIDAS
ORIGINALES
ACTUAL]]+CATEGORIAS[[#This Row],[PRODUCCION
ADICIONALES
ACTUAL]]</f>
        <v>0</v>
      </c>
      <c r="P262" s="227">
        <v>0</v>
      </c>
      <c r="Q262" s="227">
        <v>0</v>
      </c>
      <c r="R262" s="297">
        <f>CATEGORIAS[[#This Row],[PRODUCCION
ANTERIOR]]+CATEGORIAS[[#This Row],[PRODUCCION
ADICIONALES
ANTERIOR]]</f>
        <v>0</v>
      </c>
      <c r="S262" s="133">
        <v>0</v>
      </c>
      <c r="T262" s="133"/>
      <c r="U262" s="133"/>
      <c r="V262" s="296">
        <f>SUM(CATEGORIAS[[#This Row],[COSTO
ACUMULADO  AX]:[PROVISIONES]])</f>
        <v>0</v>
      </c>
      <c r="W262" s="298">
        <v>0</v>
      </c>
      <c r="X262" s="227"/>
      <c r="Y262" s="227"/>
      <c r="Z262" s="297">
        <f>SUM(CATEGORIAS[[#This Row],[COSTO ACUMULADO
ANTERIOR]:[PROVISIONES
ANTERIOR]])</f>
        <v>0</v>
      </c>
      <c r="AA262" s="139">
        <f>CATEGORIAS[[#This Row],[PRESUPUESTO
FINAL
PROYECTADO]]-CATEGORIAS[[#This Row],[TOTAL PRODUCCION
ACTUAL]]</f>
        <v>0</v>
      </c>
      <c r="AB262" s="227">
        <v>0</v>
      </c>
      <c r="AC262" s="132"/>
      <c r="AD262" s="132"/>
      <c r="AE262" s="226">
        <f>SUM(CATEGORIAS[[#This Row],[INVENTARIO]:[PROYECCION
DE COSTO
DEL SALDO]])</f>
        <v>0</v>
      </c>
      <c r="AF262" s="132"/>
      <c r="AG262" s="132">
        <f>+CATEGORIAS[[#This Row],[PRESUPUESTO
FINAL
PROYECTADO]]-CATEGORIAS[[#This Row],[COSTO REAL]]-CATEGORIAS[[#This Row],[PROYECCION
TOTAL DE COSTO]]</f>
        <v>0</v>
      </c>
    </row>
    <row r="263" spans="1:33" x14ac:dyDescent="0.25">
      <c r="A263" s="274" t="str">
        <f>+IFERROR(VLOOKUP(CATEGORIAS[[#This Row],[CATEGORIA2]],[1]HOMOLOGACION!$A$1:$I$571,9,FALSE),0)</f>
        <v>0Q02</v>
      </c>
      <c r="B263" s="274" t="str">
        <f>+IFERROR(VLOOKUP(CATEGORIAS[[#This Row],[CATEGORIA2]],[1]HOMOLOGACION!$A$1:$C$571,3,FALSE),0)</f>
        <v>0X07</v>
      </c>
      <c r="C263" s="274" t="str">
        <f>+IFERROR(VLOOKUP(CATEGORIAS[[#This Row],[CATEGORIA2]],[1]HOMOLOGACION!$A$1:$D$571,4,FALSE),0)</f>
        <v xml:space="preserve">Caldera </v>
      </c>
      <c r="D263" s="144" t="s">
        <v>1981</v>
      </c>
      <c r="E263" s="273" t="s">
        <v>873</v>
      </c>
      <c r="F263" s="275" t="s">
        <v>361</v>
      </c>
      <c r="G263" s="313">
        <v>0</v>
      </c>
      <c r="H263" s="313">
        <v>0</v>
      </c>
      <c r="I263" s="130">
        <v>0</v>
      </c>
      <c r="J263" s="130"/>
      <c r="K263" s="130"/>
      <c r="L263" s="143">
        <f>CATEGORIAS[[#This Row],[ADICIONALES]]+CATEGORIAS[[#This Row],[POM]]</f>
        <v>0</v>
      </c>
      <c r="M263" s="131">
        <v>0</v>
      </c>
      <c r="N263" s="227">
        <v>0</v>
      </c>
      <c r="O263" s="296">
        <f>CATEGORIAS[[#This Row],[PRODUCCION
PARTIDAS
ORIGINALES
ACTUAL]]+CATEGORIAS[[#This Row],[PRODUCCION
ADICIONALES
ACTUAL]]</f>
        <v>0</v>
      </c>
      <c r="P263" s="227">
        <v>0</v>
      </c>
      <c r="Q263" s="227">
        <v>0</v>
      </c>
      <c r="R263" s="297">
        <f>CATEGORIAS[[#This Row],[PRODUCCION
ANTERIOR]]+CATEGORIAS[[#This Row],[PRODUCCION
ADICIONALES
ANTERIOR]]</f>
        <v>0</v>
      </c>
      <c r="S263" s="133">
        <v>0</v>
      </c>
      <c r="T263" s="133"/>
      <c r="U263" s="133"/>
      <c r="V263" s="296">
        <f>SUM(CATEGORIAS[[#This Row],[COSTO
ACUMULADO  AX]:[PROVISIONES]])</f>
        <v>0</v>
      </c>
      <c r="W263" s="298">
        <v>0</v>
      </c>
      <c r="X263" s="227"/>
      <c r="Y263" s="227"/>
      <c r="Z263" s="297">
        <f>SUM(CATEGORIAS[[#This Row],[COSTO ACUMULADO
ANTERIOR]:[PROVISIONES
ANTERIOR]])</f>
        <v>0</v>
      </c>
      <c r="AA263" s="139">
        <f>CATEGORIAS[[#This Row],[PRESUPUESTO
FINAL
PROYECTADO]]-CATEGORIAS[[#This Row],[TOTAL PRODUCCION
ACTUAL]]</f>
        <v>0</v>
      </c>
      <c r="AB263" s="227">
        <v>0</v>
      </c>
      <c r="AC263" s="132"/>
      <c r="AD263" s="132"/>
      <c r="AE263" s="226">
        <f>SUM(CATEGORIAS[[#This Row],[INVENTARIO]:[PROYECCION
DE COSTO
DEL SALDO]])</f>
        <v>0</v>
      </c>
      <c r="AF263" s="132"/>
      <c r="AG263" s="132">
        <f>+CATEGORIAS[[#This Row],[PRESUPUESTO
FINAL
PROYECTADO]]-CATEGORIAS[[#This Row],[COSTO REAL]]-CATEGORIAS[[#This Row],[PROYECCION
TOTAL DE COSTO]]</f>
        <v>0</v>
      </c>
    </row>
    <row r="264" spans="1:33" x14ac:dyDescent="0.25">
      <c r="A264" s="274" t="str">
        <f>+IFERROR(VLOOKUP(CATEGORIAS[[#This Row],[CATEGORIA2]],[1]HOMOLOGACION!$A$1:$I$571,9,FALSE),0)</f>
        <v>0Q02</v>
      </c>
      <c r="B264" s="274" t="str">
        <f>+IFERROR(VLOOKUP(CATEGORIAS[[#This Row],[CATEGORIA2]],[1]HOMOLOGACION!$A$1:$C$571,3,FALSE),0)</f>
        <v>0X07</v>
      </c>
      <c r="C264" s="274" t="str">
        <f>+IFERROR(VLOOKUP(CATEGORIAS[[#This Row],[CATEGORIA2]],[1]HOMOLOGACION!$A$1:$D$571,4,FALSE),0)</f>
        <v xml:space="preserve">Caldera </v>
      </c>
      <c r="D264" s="144" t="s">
        <v>1982</v>
      </c>
      <c r="E264" s="273" t="s">
        <v>875</v>
      </c>
      <c r="F264" s="275" t="s">
        <v>361</v>
      </c>
      <c r="G264" s="313">
        <v>0</v>
      </c>
      <c r="H264" s="313">
        <v>0</v>
      </c>
      <c r="I264" s="130">
        <v>0</v>
      </c>
      <c r="J264" s="130"/>
      <c r="K264" s="130"/>
      <c r="L264" s="143">
        <f>CATEGORIAS[[#This Row],[ADICIONALES]]+CATEGORIAS[[#This Row],[POM]]</f>
        <v>0</v>
      </c>
      <c r="M264" s="131">
        <v>0</v>
      </c>
      <c r="N264" s="227">
        <v>0</v>
      </c>
      <c r="O264" s="296">
        <f>CATEGORIAS[[#This Row],[PRODUCCION
PARTIDAS
ORIGINALES
ACTUAL]]+CATEGORIAS[[#This Row],[PRODUCCION
ADICIONALES
ACTUAL]]</f>
        <v>0</v>
      </c>
      <c r="P264" s="227">
        <v>0</v>
      </c>
      <c r="Q264" s="227">
        <v>0</v>
      </c>
      <c r="R264" s="297">
        <f>CATEGORIAS[[#This Row],[PRODUCCION
ANTERIOR]]+CATEGORIAS[[#This Row],[PRODUCCION
ADICIONALES
ANTERIOR]]</f>
        <v>0</v>
      </c>
      <c r="S264" s="133">
        <v>0</v>
      </c>
      <c r="T264" s="133"/>
      <c r="U264" s="133"/>
      <c r="V264" s="296">
        <f>SUM(CATEGORIAS[[#This Row],[COSTO
ACUMULADO  AX]:[PROVISIONES]])</f>
        <v>0</v>
      </c>
      <c r="W264" s="298">
        <v>0</v>
      </c>
      <c r="X264" s="227"/>
      <c r="Y264" s="227"/>
      <c r="Z264" s="297">
        <f>SUM(CATEGORIAS[[#This Row],[COSTO ACUMULADO
ANTERIOR]:[PROVISIONES
ANTERIOR]])</f>
        <v>0</v>
      </c>
      <c r="AA264" s="139">
        <f>CATEGORIAS[[#This Row],[PRESUPUESTO
FINAL
PROYECTADO]]-CATEGORIAS[[#This Row],[TOTAL PRODUCCION
ACTUAL]]</f>
        <v>0</v>
      </c>
      <c r="AB264" s="227">
        <v>0</v>
      </c>
      <c r="AC264" s="132"/>
      <c r="AD264" s="132"/>
      <c r="AE264" s="226">
        <f>SUM(CATEGORIAS[[#This Row],[INVENTARIO]:[PROYECCION
DE COSTO
DEL SALDO]])</f>
        <v>0</v>
      </c>
      <c r="AF264" s="132"/>
      <c r="AG264" s="132">
        <f>+CATEGORIAS[[#This Row],[PRESUPUESTO
FINAL
PROYECTADO]]-CATEGORIAS[[#This Row],[COSTO REAL]]-CATEGORIAS[[#This Row],[PROYECCION
TOTAL DE COSTO]]</f>
        <v>0</v>
      </c>
    </row>
    <row r="265" spans="1:33" x14ac:dyDescent="0.25">
      <c r="A265" s="274" t="str">
        <f>+IFERROR(VLOOKUP(CATEGORIAS[[#This Row],[CATEGORIA2]],[1]HOMOLOGACION!$A$1:$I$571,9,FALSE),0)</f>
        <v>0Q02</v>
      </c>
      <c r="B265" s="274" t="str">
        <f>+IFERROR(VLOOKUP(CATEGORIAS[[#This Row],[CATEGORIA2]],[1]HOMOLOGACION!$A$1:$C$571,3,FALSE),0)</f>
        <v>0X07</v>
      </c>
      <c r="C265" s="274" t="str">
        <f>+IFERROR(VLOOKUP(CATEGORIAS[[#This Row],[CATEGORIA2]],[1]HOMOLOGACION!$A$1:$D$571,4,FALSE),0)</f>
        <v xml:space="preserve">Caldera </v>
      </c>
      <c r="D265" s="144" t="s">
        <v>1983</v>
      </c>
      <c r="E265" s="273" t="s">
        <v>877</v>
      </c>
      <c r="F265" s="275" t="s">
        <v>361</v>
      </c>
      <c r="G265" s="313">
        <v>0</v>
      </c>
      <c r="H265" s="313">
        <v>0</v>
      </c>
      <c r="I265" s="130">
        <v>0</v>
      </c>
      <c r="J265" s="130"/>
      <c r="K265" s="130"/>
      <c r="L265" s="143">
        <f>CATEGORIAS[[#This Row],[ADICIONALES]]+CATEGORIAS[[#This Row],[POM]]</f>
        <v>0</v>
      </c>
      <c r="M265" s="131">
        <v>0</v>
      </c>
      <c r="N265" s="227">
        <v>0</v>
      </c>
      <c r="O265" s="296">
        <f>CATEGORIAS[[#This Row],[PRODUCCION
PARTIDAS
ORIGINALES
ACTUAL]]+CATEGORIAS[[#This Row],[PRODUCCION
ADICIONALES
ACTUAL]]</f>
        <v>0</v>
      </c>
      <c r="P265" s="227">
        <v>0</v>
      </c>
      <c r="Q265" s="132">
        <v>0</v>
      </c>
      <c r="R265" s="297">
        <f>CATEGORIAS[[#This Row],[PRODUCCION
ANTERIOR]]+CATEGORIAS[[#This Row],[PRODUCCION
ADICIONALES
ANTERIOR]]</f>
        <v>0</v>
      </c>
      <c r="S265" s="133">
        <v>0</v>
      </c>
      <c r="T265" s="133"/>
      <c r="U265" s="133"/>
      <c r="V265" s="296">
        <f>SUM(CATEGORIAS[[#This Row],[COSTO
ACUMULADO  AX]:[PROVISIONES]])</f>
        <v>0</v>
      </c>
      <c r="W265" s="298">
        <v>0</v>
      </c>
      <c r="X265" s="227"/>
      <c r="Y265" s="227"/>
      <c r="Z265" s="297">
        <f>SUM(CATEGORIAS[[#This Row],[COSTO ACUMULADO
ANTERIOR]:[PROVISIONES
ANTERIOR]])</f>
        <v>0</v>
      </c>
      <c r="AA265" s="139">
        <f>CATEGORIAS[[#This Row],[PRESUPUESTO
FINAL
PROYECTADO]]-CATEGORIAS[[#This Row],[TOTAL PRODUCCION
ACTUAL]]</f>
        <v>0</v>
      </c>
      <c r="AB265" s="227">
        <v>0</v>
      </c>
      <c r="AC265" s="132"/>
      <c r="AD265" s="132"/>
      <c r="AE265" s="226">
        <f>SUM(CATEGORIAS[[#This Row],[INVENTARIO]:[PROYECCION
DE COSTO
DEL SALDO]])</f>
        <v>0</v>
      </c>
      <c r="AF265" s="132"/>
      <c r="AG265" s="132">
        <f>+CATEGORIAS[[#This Row],[PRESUPUESTO
FINAL
PROYECTADO]]-CATEGORIAS[[#This Row],[COSTO REAL]]-CATEGORIAS[[#This Row],[PROYECCION
TOTAL DE COSTO]]</f>
        <v>0</v>
      </c>
    </row>
    <row r="266" spans="1:33" x14ac:dyDescent="0.25">
      <c r="A266" s="274" t="str">
        <f>+IFERROR(VLOOKUP(CATEGORIAS[[#This Row],[CATEGORIA2]],[1]HOMOLOGACION!$A$1:$I$571,9,FALSE),0)</f>
        <v>0Q02</v>
      </c>
      <c r="B266" s="274" t="str">
        <f>+IFERROR(VLOOKUP(CATEGORIAS[[#This Row],[CATEGORIA2]],[1]HOMOLOGACION!$A$1:$C$571,3,FALSE),0)</f>
        <v>0X07</v>
      </c>
      <c r="C266" s="274" t="str">
        <f>+IFERROR(VLOOKUP(CATEGORIAS[[#This Row],[CATEGORIA2]],[1]HOMOLOGACION!$A$1:$D$571,4,FALSE),0)</f>
        <v xml:space="preserve">Caldera </v>
      </c>
      <c r="D266" s="144" t="s">
        <v>1984</v>
      </c>
      <c r="E266" s="273" t="s">
        <v>879</v>
      </c>
      <c r="F266" s="275" t="s">
        <v>361</v>
      </c>
      <c r="G266" s="313">
        <v>0</v>
      </c>
      <c r="H266" s="313">
        <v>0</v>
      </c>
      <c r="I266" s="130">
        <v>0</v>
      </c>
      <c r="J266" s="130"/>
      <c r="K266" s="130"/>
      <c r="L266" s="143">
        <f>CATEGORIAS[[#This Row],[ADICIONALES]]+CATEGORIAS[[#This Row],[POM]]</f>
        <v>0</v>
      </c>
      <c r="M266" s="131">
        <v>0</v>
      </c>
      <c r="N266" s="227">
        <v>0</v>
      </c>
      <c r="O266" s="296">
        <f>CATEGORIAS[[#This Row],[PRODUCCION
PARTIDAS
ORIGINALES
ACTUAL]]+CATEGORIAS[[#This Row],[PRODUCCION
ADICIONALES
ACTUAL]]</f>
        <v>0</v>
      </c>
      <c r="P266" s="227">
        <v>0</v>
      </c>
      <c r="Q266" s="227">
        <v>0</v>
      </c>
      <c r="R266" s="297">
        <f>CATEGORIAS[[#This Row],[PRODUCCION
ANTERIOR]]+CATEGORIAS[[#This Row],[PRODUCCION
ADICIONALES
ANTERIOR]]</f>
        <v>0</v>
      </c>
      <c r="S266" s="133">
        <v>0</v>
      </c>
      <c r="T266" s="133"/>
      <c r="U266" s="133"/>
      <c r="V266" s="296">
        <f>SUM(CATEGORIAS[[#This Row],[COSTO
ACUMULADO  AX]:[PROVISIONES]])</f>
        <v>0</v>
      </c>
      <c r="W266" s="298">
        <v>0</v>
      </c>
      <c r="X266" s="227"/>
      <c r="Y266" s="227"/>
      <c r="Z266" s="297">
        <f>SUM(CATEGORIAS[[#This Row],[COSTO ACUMULADO
ANTERIOR]:[PROVISIONES
ANTERIOR]])</f>
        <v>0</v>
      </c>
      <c r="AA266" s="139">
        <f>CATEGORIAS[[#This Row],[PRESUPUESTO
FINAL
PROYECTADO]]-CATEGORIAS[[#This Row],[TOTAL PRODUCCION
ACTUAL]]</f>
        <v>0</v>
      </c>
      <c r="AB266" s="227">
        <v>0</v>
      </c>
      <c r="AC266" s="132"/>
      <c r="AD266" s="132"/>
      <c r="AE266" s="226">
        <f>SUM(CATEGORIAS[[#This Row],[INVENTARIO]:[PROYECCION
DE COSTO
DEL SALDO]])</f>
        <v>0</v>
      </c>
      <c r="AF266" s="132"/>
      <c r="AG266" s="132">
        <f>+CATEGORIAS[[#This Row],[PRESUPUESTO
FINAL
PROYECTADO]]-CATEGORIAS[[#This Row],[COSTO REAL]]-CATEGORIAS[[#This Row],[PROYECCION
TOTAL DE COSTO]]</f>
        <v>0</v>
      </c>
    </row>
    <row r="267" spans="1:33" x14ac:dyDescent="0.25">
      <c r="A267" s="274" t="str">
        <f>+IFERROR(VLOOKUP(CATEGORIAS[[#This Row],[CATEGORIA2]],[1]HOMOLOGACION!$A$1:$I$571,9,FALSE),0)</f>
        <v>0Q02</v>
      </c>
      <c r="B267" s="274" t="str">
        <f>+IFERROR(VLOOKUP(CATEGORIAS[[#This Row],[CATEGORIA2]],[1]HOMOLOGACION!$A$1:$C$571,3,FALSE),0)</f>
        <v>0X07</v>
      </c>
      <c r="C267" s="274" t="str">
        <f>+IFERROR(VLOOKUP(CATEGORIAS[[#This Row],[CATEGORIA2]],[1]HOMOLOGACION!$A$1:$D$571,4,FALSE),0)</f>
        <v xml:space="preserve">Caldera </v>
      </c>
      <c r="D267" s="144" t="s">
        <v>1985</v>
      </c>
      <c r="E267" s="273" t="s">
        <v>881</v>
      </c>
      <c r="F267" s="275" t="s">
        <v>361</v>
      </c>
      <c r="G267" s="313">
        <v>0</v>
      </c>
      <c r="H267" s="313">
        <v>0</v>
      </c>
      <c r="I267" s="130">
        <v>0</v>
      </c>
      <c r="J267" s="130"/>
      <c r="K267" s="130"/>
      <c r="L267" s="143">
        <f>CATEGORIAS[[#This Row],[ADICIONALES]]+CATEGORIAS[[#This Row],[POM]]</f>
        <v>0</v>
      </c>
      <c r="M267" s="131">
        <v>0</v>
      </c>
      <c r="N267" s="227">
        <v>0</v>
      </c>
      <c r="O267" s="296">
        <f>CATEGORIAS[[#This Row],[PRODUCCION
PARTIDAS
ORIGINALES
ACTUAL]]+CATEGORIAS[[#This Row],[PRODUCCION
ADICIONALES
ACTUAL]]</f>
        <v>0</v>
      </c>
      <c r="P267" s="227">
        <v>0</v>
      </c>
      <c r="Q267" s="132">
        <v>0</v>
      </c>
      <c r="R267" s="297">
        <f>CATEGORIAS[[#This Row],[PRODUCCION
ANTERIOR]]+CATEGORIAS[[#This Row],[PRODUCCION
ADICIONALES
ANTERIOR]]</f>
        <v>0</v>
      </c>
      <c r="S267" s="133">
        <v>0</v>
      </c>
      <c r="T267" s="133"/>
      <c r="U267" s="133"/>
      <c r="V267" s="296">
        <f>SUM(CATEGORIAS[[#This Row],[COSTO
ACUMULADO  AX]:[PROVISIONES]])</f>
        <v>0</v>
      </c>
      <c r="W267" s="298">
        <v>0</v>
      </c>
      <c r="X267" s="227"/>
      <c r="Y267" s="227"/>
      <c r="Z267" s="297">
        <f>SUM(CATEGORIAS[[#This Row],[COSTO ACUMULADO
ANTERIOR]:[PROVISIONES
ANTERIOR]])</f>
        <v>0</v>
      </c>
      <c r="AA267" s="139">
        <f>CATEGORIAS[[#This Row],[PRESUPUESTO
FINAL
PROYECTADO]]-CATEGORIAS[[#This Row],[TOTAL PRODUCCION
ACTUAL]]</f>
        <v>0</v>
      </c>
      <c r="AB267" s="227">
        <v>0</v>
      </c>
      <c r="AC267" s="132"/>
      <c r="AD267" s="132"/>
      <c r="AE267" s="226">
        <f>SUM(CATEGORIAS[[#This Row],[INVENTARIO]:[PROYECCION
DE COSTO
DEL SALDO]])</f>
        <v>0</v>
      </c>
      <c r="AF267" s="132"/>
      <c r="AG267" s="132">
        <f>+CATEGORIAS[[#This Row],[PRESUPUESTO
FINAL
PROYECTADO]]-CATEGORIAS[[#This Row],[COSTO REAL]]-CATEGORIAS[[#This Row],[PROYECCION
TOTAL DE COSTO]]</f>
        <v>0</v>
      </c>
    </row>
    <row r="268" spans="1:33" x14ac:dyDescent="0.25">
      <c r="A268" s="274" t="str">
        <f>+IFERROR(VLOOKUP(CATEGORIAS[[#This Row],[CATEGORIA2]],[1]HOMOLOGACION!$A$1:$I$571,9,FALSE),0)</f>
        <v>0Q02</v>
      </c>
      <c r="B268" s="274" t="str">
        <f>+IFERROR(VLOOKUP(CATEGORIAS[[#This Row],[CATEGORIA2]],[1]HOMOLOGACION!$A$1:$C$571,3,FALSE),0)</f>
        <v>0X07</v>
      </c>
      <c r="C268" s="274" t="str">
        <f>+IFERROR(VLOOKUP(CATEGORIAS[[#This Row],[CATEGORIA2]],[1]HOMOLOGACION!$A$1:$D$571,4,FALSE),0)</f>
        <v xml:space="preserve">Caldera </v>
      </c>
      <c r="D268" s="144" t="s">
        <v>1986</v>
      </c>
      <c r="E268" s="273" t="s">
        <v>883</v>
      </c>
      <c r="F268" s="275" t="s">
        <v>361</v>
      </c>
      <c r="G268" s="313">
        <v>0</v>
      </c>
      <c r="H268" s="313">
        <v>0</v>
      </c>
      <c r="I268" s="130">
        <v>0</v>
      </c>
      <c r="J268" s="130"/>
      <c r="K268" s="130"/>
      <c r="L268" s="143">
        <f>CATEGORIAS[[#This Row],[ADICIONALES]]+CATEGORIAS[[#This Row],[POM]]</f>
        <v>0</v>
      </c>
      <c r="M268" s="131">
        <v>0</v>
      </c>
      <c r="N268" s="227">
        <v>0</v>
      </c>
      <c r="O268" s="296">
        <f>CATEGORIAS[[#This Row],[PRODUCCION
PARTIDAS
ORIGINALES
ACTUAL]]+CATEGORIAS[[#This Row],[PRODUCCION
ADICIONALES
ACTUAL]]</f>
        <v>0</v>
      </c>
      <c r="P268" s="227">
        <v>0</v>
      </c>
      <c r="Q268" s="227">
        <v>0</v>
      </c>
      <c r="R268" s="297">
        <f>CATEGORIAS[[#This Row],[PRODUCCION
ANTERIOR]]+CATEGORIAS[[#This Row],[PRODUCCION
ADICIONALES
ANTERIOR]]</f>
        <v>0</v>
      </c>
      <c r="S268" s="133">
        <v>0</v>
      </c>
      <c r="T268" s="133"/>
      <c r="U268" s="133"/>
      <c r="V268" s="296">
        <f>SUM(CATEGORIAS[[#This Row],[COSTO
ACUMULADO  AX]:[PROVISIONES]])</f>
        <v>0</v>
      </c>
      <c r="W268" s="298">
        <v>0</v>
      </c>
      <c r="X268" s="227"/>
      <c r="Y268" s="227"/>
      <c r="Z268" s="297">
        <f>SUM(CATEGORIAS[[#This Row],[COSTO ACUMULADO
ANTERIOR]:[PROVISIONES
ANTERIOR]])</f>
        <v>0</v>
      </c>
      <c r="AA268" s="139">
        <f>CATEGORIAS[[#This Row],[PRESUPUESTO
FINAL
PROYECTADO]]-CATEGORIAS[[#This Row],[TOTAL PRODUCCION
ACTUAL]]</f>
        <v>0</v>
      </c>
      <c r="AB268" s="227">
        <v>0</v>
      </c>
      <c r="AC268" s="132"/>
      <c r="AD268" s="132"/>
      <c r="AE268" s="226">
        <f>SUM(CATEGORIAS[[#This Row],[INVENTARIO]:[PROYECCION
DE COSTO
DEL SALDO]])</f>
        <v>0</v>
      </c>
      <c r="AF268" s="132"/>
      <c r="AG268" s="132">
        <f>+CATEGORIAS[[#This Row],[PRESUPUESTO
FINAL
PROYECTADO]]-CATEGORIAS[[#This Row],[COSTO REAL]]-CATEGORIAS[[#This Row],[PROYECCION
TOTAL DE COSTO]]</f>
        <v>0</v>
      </c>
    </row>
    <row r="269" spans="1:33" x14ac:dyDescent="0.25">
      <c r="A269" s="274" t="str">
        <f>+IFERROR(VLOOKUP(CATEGORIAS[[#This Row],[CATEGORIA2]],[1]HOMOLOGACION!$A$1:$I$571,9,FALSE),0)</f>
        <v>0Q02</v>
      </c>
      <c r="B269" s="274" t="str">
        <f>+IFERROR(VLOOKUP(CATEGORIAS[[#This Row],[CATEGORIA2]],[1]HOMOLOGACION!$A$1:$C$571,3,FALSE),0)</f>
        <v>0X07</v>
      </c>
      <c r="C269" s="274" t="str">
        <f>+IFERROR(VLOOKUP(CATEGORIAS[[#This Row],[CATEGORIA2]],[1]HOMOLOGACION!$A$1:$D$571,4,FALSE),0)</f>
        <v xml:space="preserve">Caldera </v>
      </c>
      <c r="D269" s="144" t="s">
        <v>1987</v>
      </c>
      <c r="E269" s="273" t="s">
        <v>885</v>
      </c>
      <c r="F269" s="275" t="s">
        <v>361</v>
      </c>
      <c r="G269" s="313">
        <v>0</v>
      </c>
      <c r="H269" s="313">
        <v>0</v>
      </c>
      <c r="I269" s="130">
        <v>0</v>
      </c>
      <c r="J269" s="130"/>
      <c r="K269" s="130"/>
      <c r="L269" s="143">
        <f>CATEGORIAS[[#This Row],[ADICIONALES]]+CATEGORIAS[[#This Row],[POM]]</f>
        <v>0</v>
      </c>
      <c r="M269" s="131">
        <v>0</v>
      </c>
      <c r="N269" s="227">
        <v>0</v>
      </c>
      <c r="O269" s="296">
        <f>CATEGORIAS[[#This Row],[PRODUCCION
PARTIDAS
ORIGINALES
ACTUAL]]+CATEGORIAS[[#This Row],[PRODUCCION
ADICIONALES
ACTUAL]]</f>
        <v>0</v>
      </c>
      <c r="P269" s="227">
        <v>0</v>
      </c>
      <c r="Q269" s="132">
        <v>0</v>
      </c>
      <c r="R269" s="297">
        <f>CATEGORIAS[[#This Row],[PRODUCCION
ANTERIOR]]+CATEGORIAS[[#This Row],[PRODUCCION
ADICIONALES
ANTERIOR]]</f>
        <v>0</v>
      </c>
      <c r="S269" s="133">
        <v>0</v>
      </c>
      <c r="T269" s="133"/>
      <c r="U269" s="133"/>
      <c r="V269" s="296">
        <f>SUM(CATEGORIAS[[#This Row],[COSTO
ACUMULADO  AX]:[PROVISIONES]])</f>
        <v>0</v>
      </c>
      <c r="W269" s="298">
        <v>0</v>
      </c>
      <c r="X269" s="227"/>
      <c r="Y269" s="227"/>
      <c r="Z269" s="297">
        <f>SUM(CATEGORIAS[[#This Row],[COSTO ACUMULADO
ANTERIOR]:[PROVISIONES
ANTERIOR]])</f>
        <v>0</v>
      </c>
      <c r="AA269" s="139">
        <f>CATEGORIAS[[#This Row],[PRESUPUESTO
FINAL
PROYECTADO]]-CATEGORIAS[[#This Row],[TOTAL PRODUCCION
ACTUAL]]</f>
        <v>0</v>
      </c>
      <c r="AB269" s="227">
        <v>0</v>
      </c>
      <c r="AC269" s="132"/>
      <c r="AD269" s="132"/>
      <c r="AE269" s="226">
        <f>SUM(CATEGORIAS[[#This Row],[INVENTARIO]:[PROYECCION
DE COSTO
DEL SALDO]])</f>
        <v>0</v>
      </c>
      <c r="AF269" s="132"/>
      <c r="AG269" s="132">
        <f>+CATEGORIAS[[#This Row],[PRESUPUESTO
FINAL
PROYECTADO]]-CATEGORIAS[[#This Row],[COSTO REAL]]-CATEGORIAS[[#This Row],[PROYECCION
TOTAL DE COSTO]]</f>
        <v>0</v>
      </c>
    </row>
    <row r="270" spans="1:33" x14ac:dyDescent="0.25">
      <c r="A270" s="274" t="str">
        <f>+IFERROR(VLOOKUP(CATEGORIAS[[#This Row],[CATEGORIA2]],[1]HOMOLOGACION!$A$1:$I$571,9,FALSE),0)</f>
        <v>0Q02</v>
      </c>
      <c r="B270" s="274" t="str">
        <f>+IFERROR(VLOOKUP(CATEGORIAS[[#This Row],[CATEGORIA2]],[1]HOMOLOGACION!$A$1:$C$571,3,FALSE),0)</f>
        <v>0X07</v>
      </c>
      <c r="C270" s="274" t="str">
        <f>+IFERROR(VLOOKUP(CATEGORIAS[[#This Row],[CATEGORIA2]],[1]HOMOLOGACION!$A$1:$D$571,4,FALSE),0)</f>
        <v xml:space="preserve">Caldera </v>
      </c>
      <c r="D270" s="144" t="s">
        <v>1988</v>
      </c>
      <c r="E270" s="273" t="s">
        <v>887</v>
      </c>
      <c r="F270" s="275" t="s">
        <v>361</v>
      </c>
      <c r="G270" s="313">
        <v>0</v>
      </c>
      <c r="H270" s="313">
        <v>0</v>
      </c>
      <c r="I270" s="130">
        <v>0</v>
      </c>
      <c r="J270" s="130"/>
      <c r="K270" s="130"/>
      <c r="L270" s="143">
        <f>CATEGORIAS[[#This Row],[ADICIONALES]]+CATEGORIAS[[#This Row],[POM]]</f>
        <v>0</v>
      </c>
      <c r="M270" s="131">
        <v>0</v>
      </c>
      <c r="N270" s="227">
        <v>0</v>
      </c>
      <c r="O270" s="296">
        <f>CATEGORIAS[[#This Row],[PRODUCCION
PARTIDAS
ORIGINALES
ACTUAL]]+CATEGORIAS[[#This Row],[PRODUCCION
ADICIONALES
ACTUAL]]</f>
        <v>0</v>
      </c>
      <c r="P270" s="227">
        <v>0</v>
      </c>
      <c r="Q270" s="227">
        <v>0</v>
      </c>
      <c r="R270" s="297">
        <f>CATEGORIAS[[#This Row],[PRODUCCION
ANTERIOR]]+CATEGORIAS[[#This Row],[PRODUCCION
ADICIONALES
ANTERIOR]]</f>
        <v>0</v>
      </c>
      <c r="S270" s="133">
        <v>0</v>
      </c>
      <c r="T270" s="133"/>
      <c r="U270" s="133"/>
      <c r="V270" s="296">
        <f>SUM(CATEGORIAS[[#This Row],[COSTO
ACUMULADO  AX]:[PROVISIONES]])</f>
        <v>0</v>
      </c>
      <c r="W270" s="298">
        <v>0</v>
      </c>
      <c r="X270" s="227"/>
      <c r="Y270" s="227"/>
      <c r="Z270" s="297">
        <f>SUM(CATEGORIAS[[#This Row],[COSTO ACUMULADO
ANTERIOR]:[PROVISIONES
ANTERIOR]])</f>
        <v>0</v>
      </c>
      <c r="AA270" s="139">
        <f>CATEGORIAS[[#This Row],[PRESUPUESTO
FINAL
PROYECTADO]]-CATEGORIAS[[#This Row],[TOTAL PRODUCCION
ACTUAL]]</f>
        <v>0</v>
      </c>
      <c r="AB270" s="227">
        <v>0</v>
      </c>
      <c r="AC270" s="132"/>
      <c r="AD270" s="132"/>
      <c r="AE270" s="226">
        <f>SUM(CATEGORIAS[[#This Row],[INVENTARIO]:[PROYECCION
DE COSTO
DEL SALDO]])</f>
        <v>0</v>
      </c>
      <c r="AF270" s="132"/>
      <c r="AG270" s="132">
        <f>+CATEGORIAS[[#This Row],[PRESUPUESTO
FINAL
PROYECTADO]]-CATEGORIAS[[#This Row],[COSTO REAL]]-CATEGORIAS[[#This Row],[PROYECCION
TOTAL DE COSTO]]</f>
        <v>0</v>
      </c>
    </row>
    <row r="271" spans="1:33" x14ac:dyDescent="0.25">
      <c r="A271" s="274" t="str">
        <f>+IFERROR(VLOOKUP(CATEGORIAS[[#This Row],[CATEGORIA2]],[1]HOMOLOGACION!$A$1:$I$571,9,FALSE),0)</f>
        <v>0Q02</v>
      </c>
      <c r="B271" s="274" t="str">
        <f>+IFERROR(VLOOKUP(CATEGORIAS[[#This Row],[CATEGORIA2]],[1]HOMOLOGACION!$A$1:$C$571,3,FALSE),0)</f>
        <v>0X07</v>
      </c>
      <c r="C271" s="274" t="str">
        <f>+IFERROR(VLOOKUP(CATEGORIAS[[#This Row],[CATEGORIA2]],[1]HOMOLOGACION!$A$1:$D$571,4,FALSE),0)</f>
        <v xml:space="preserve">Caldera </v>
      </c>
      <c r="D271" s="144" t="s">
        <v>1989</v>
      </c>
      <c r="E271" s="273" t="s">
        <v>889</v>
      </c>
      <c r="F271" s="275" t="s">
        <v>361</v>
      </c>
      <c r="G271" s="313">
        <v>0</v>
      </c>
      <c r="H271" s="313">
        <v>0</v>
      </c>
      <c r="I271" s="130">
        <v>0</v>
      </c>
      <c r="J271" s="130"/>
      <c r="K271" s="130"/>
      <c r="L271" s="143">
        <f>CATEGORIAS[[#This Row],[ADICIONALES]]+CATEGORIAS[[#This Row],[POM]]</f>
        <v>0</v>
      </c>
      <c r="M271" s="131">
        <v>0</v>
      </c>
      <c r="N271" s="227">
        <v>0</v>
      </c>
      <c r="O271" s="296">
        <f>CATEGORIAS[[#This Row],[PRODUCCION
PARTIDAS
ORIGINALES
ACTUAL]]+CATEGORIAS[[#This Row],[PRODUCCION
ADICIONALES
ACTUAL]]</f>
        <v>0</v>
      </c>
      <c r="P271" s="227">
        <v>0</v>
      </c>
      <c r="Q271" s="132">
        <v>0</v>
      </c>
      <c r="R271" s="297">
        <f>CATEGORIAS[[#This Row],[PRODUCCION
ANTERIOR]]+CATEGORIAS[[#This Row],[PRODUCCION
ADICIONALES
ANTERIOR]]</f>
        <v>0</v>
      </c>
      <c r="S271" s="133">
        <v>0</v>
      </c>
      <c r="T271" s="133"/>
      <c r="U271" s="133"/>
      <c r="V271" s="296">
        <f>SUM(CATEGORIAS[[#This Row],[COSTO
ACUMULADO  AX]:[PROVISIONES]])</f>
        <v>0</v>
      </c>
      <c r="W271" s="298">
        <v>0</v>
      </c>
      <c r="X271" s="227"/>
      <c r="Y271" s="227"/>
      <c r="Z271" s="297">
        <f>SUM(CATEGORIAS[[#This Row],[COSTO ACUMULADO
ANTERIOR]:[PROVISIONES
ANTERIOR]])</f>
        <v>0</v>
      </c>
      <c r="AA271" s="139">
        <f>CATEGORIAS[[#This Row],[PRESUPUESTO
FINAL
PROYECTADO]]-CATEGORIAS[[#This Row],[TOTAL PRODUCCION
ACTUAL]]</f>
        <v>0</v>
      </c>
      <c r="AB271" s="227">
        <v>0</v>
      </c>
      <c r="AC271" s="132"/>
      <c r="AD271" s="132"/>
      <c r="AE271" s="226">
        <f>SUM(CATEGORIAS[[#This Row],[INVENTARIO]:[PROYECCION
DE COSTO
DEL SALDO]])</f>
        <v>0</v>
      </c>
      <c r="AF271" s="132"/>
      <c r="AG271" s="132">
        <f>+CATEGORIAS[[#This Row],[PRESUPUESTO
FINAL
PROYECTADO]]-CATEGORIAS[[#This Row],[COSTO REAL]]-CATEGORIAS[[#This Row],[PROYECCION
TOTAL DE COSTO]]</f>
        <v>0</v>
      </c>
    </row>
    <row r="272" spans="1:33" x14ac:dyDescent="0.25">
      <c r="A272" s="274" t="str">
        <f>+IFERROR(VLOOKUP(CATEGORIAS[[#This Row],[CATEGORIA2]],[1]HOMOLOGACION!$A$1:$I$571,9,FALSE),0)</f>
        <v>0Q02</v>
      </c>
      <c r="B272" s="274" t="str">
        <f>+IFERROR(VLOOKUP(CATEGORIAS[[#This Row],[CATEGORIA2]],[1]HOMOLOGACION!$A$1:$C$571,3,FALSE),0)</f>
        <v>0X07</v>
      </c>
      <c r="C272" s="274" t="str">
        <f>+IFERROR(VLOOKUP(CATEGORIAS[[#This Row],[CATEGORIA2]],[1]HOMOLOGACION!$A$1:$D$571,4,FALSE),0)</f>
        <v xml:space="preserve">Caldera </v>
      </c>
      <c r="D272" s="144" t="s">
        <v>1990</v>
      </c>
      <c r="E272" s="273" t="s">
        <v>891</v>
      </c>
      <c r="F272" s="275" t="s">
        <v>361</v>
      </c>
      <c r="G272" s="313">
        <v>0</v>
      </c>
      <c r="H272" s="313">
        <v>0</v>
      </c>
      <c r="I272" s="130">
        <v>0</v>
      </c>
      <c r="J272" s="130"/>
      <c r="K272" s="130"/>
      <c r="L272" s="143">
        <f>CATEGORIAS[[#This Row],[ADICIONALES]]+CATEGORIAS[[#This Row],[POM]]</f>
        <v>0</v>
      </c>
      <c r="M272" s="131">
        <v>0</v>
      </c>
      <c r="N272" s="227">
        <v>0</v>
      </c>
      <c r="O272" s="296">
        <f>CATEGORIAS[[#This Row],[PRODUCCION
PARTIDAS
ORIGINALES
ACTUAL]]+CATEGORIAS[[#This Row],[PRODUCCION
ADICIONALES
ACTUAL]]</f>
        <v>0</v>
      </c>
      <c r="P272" s="227">
        <v>0</v>
      </c>
      <c r="Q272" s="227">
        <v>0</v>
      </c>
      <c r="R272" s="297">
        <f>CATEGORIAS[[#This Row],[PRODUCCION
ANTERIOR]]+CATEGORIAS[[#This Row],[PRODUCCION
ADICIONALES
ANTERIOR]]</f>
        <v>0</v>
      </c>
      <c r="S272" s="133">
        <v>0</v>
      </c>
      <c r="T272" s="133"/>
      <c r="U272" s="133"/>
      <c r="V272" s="296">
        <f>SUM(CATEGORIAS[[#This Row],[COSTO
ACUMULADO  AX]:[PROVISIONES]])</f>
        <v>0</v>
      </c>
      <c r="W272" s="298">
        <v>0</v>
      </c>
      <c r="X272" s="227"/>
      <c r="Y272" s="227"/>
      <c r="Z272" s="297">
        <f>SUM(CATEGORIAS[[#This Row],[COSTO ACUMULADO
ANTERIOR]:[PROVISIONES
ANTERIOR]])</f>
        <v>0</v>
      </c>
      <c r="AA272" s="139">
        <f>CATEGORIAS[[#This Row],[PRESUPUESTO
FINAL
PROYECTADO]]-CATEGORIAS[[#This Row],[TOTAL PRODUCCION
ACTUAL]]</f>
        <v>0</v>
      </c>
      <c r="AB272" s="227">
        <v>0</v>
      </c>
      <c r="AC272" s="132"/>
      <c r="AD272" s="132"/>
      <c r="AE272" s="226">
        <f>SUM(CATEGORIAS[[#This Row],[INVENTARIO]:[PROYECCION
DE COSTO
DEL SALDO]])</f>
        <v>0</v>
      </c>
      <c r="AF272" s="132"/>
      <c r="AG272" s="132">
        <f>+CATEGORIAS[[#This Row],[PRESUPUESTO
FINAL
PROYECTADO]]-CATEGORIAS[[#This Row],[COSTO REAL]]-CATEGORIAS[[#This Row],[PROYECCION
TOTAL DE COSTO]]</f>
        <v>0</v>
      </c>
    </row>
    <row r="273" spans="1:33" x14ac:dyDescent="0.25">
      <c r="A273" s="274" t="str">
        <f>+IFERROR(VLOOKUP(CATEGORIAS[[#This Row],[CATEGORIA2]],[1]HOMOLOGACION!$A$1:$I$571,9,FALSE),0)</f>
        <v>0Q02</v>
      </c>
      <c r="B273" s="274" t="str">
        <f>+IFERROR(VLOOKUP(CATEGORIAS[[#This Row],[CATEGORIA2]],[1]HOMOLOGACION!$A$1:$C$571,3,FALSE),0)</f>
        <v>0X07</v>
      </c>
      <c r="C273" s="274" t="str">
        <f>+IFERROR(VLOOKUP(CATEGORIAS[[#This Row],[CATEGORIA2]],[1]HOMOLOGACION!$A$1:$D$571,4,FALSE),0)</f>
        <v xml:space="preserve">Caldera </v>
      </c>
      <c r="D273" s="144" t="s">
        <v>1991</v>
      </c>
      <c r="E273" s="273" t="s">
        <v>893</v>
      </c>
      <c r="F273" s="275" t="s">
        <v>361</v>
      </c>
      <c r="G273" s="313">
        <v>0</v>
      </c>
      <c r="H273" s="313">
        <v>0</v>
      </c>
      <c r="I273" s="130">
        <v>0</v>
      </c>
      <c r="J273" s="130"/>
      <c r="K273" s="130"/>
      <c r="L273" s="143">
        <f>CATEGORIAS[[#This Row],[ADICIONALES]]+CATEGORIAS[[#This Row],[POM]]</f>
        <v>0</v>
      </c>
      <c r="M273" s="131">
        <v>0</v>
      </c>
      <c r="N273" s="227">
        <v>0</v>
      </c>
      <c r="O273" s="296">
        <f>CATEGORIAS[[#This Row],[PRODUCCION
PARTIDAS
ORIGINALES
ACTUAL]]+CATEGORIAS[[#This Row],[PRODUCCION
ADICIONALES
ACTUAL]]</f>
        <v>0</v>
      </c>
      <c r="P273" s="227">
        <v>0</v>
      </c>
      <c r="Q273" s="132">
        <v>0</v>
      </c>
      <c r="R273" s="297">
        <f>CATEGORIAS[[#This Row],[PRODUCCION
ANTERIOR]]+CATEGORIAS[[#This Row],[PRODUCCION
ADICIONALES
ANTERIOR]]</f>
        <v>0</v>
      </c>
      <c r="S273" s="133">
        <v>0</v>
      </c>
      <c r="T273" s="133"/>
      <c r="U273" s="133"/>
      <c r="V273" s="296">
        <f>SUM(CATEGORIAS[[#This Row],[COSTO
ACUMULADO  AX]:[PROVISIONES]])</f>
        <v>0</v>
      </c>
      <c r="W273" s="298">
        <v>0</v>
      </c>
      <c r="X273" s="227"/>
      <c r="Y273" s="227"/>
      <c r="Z273" s="297">
        <f>SUM(CATEGORIAS[[#This Row],[COSTO ACUMULADO
ANTERIOR]:[PROVISIONES
ANTERIOR]])</f>
        <v>0</v>
      </c>
      <c r="AA273" s="139">
        <f>CATEGORIAS[[#This Row],[PRESUPUESTO
FINAL
PROYECTADO]]-CATEGORIAS[[#This Row],[TOTAL PRODUCCION
ACTUAL]]</f>
        <v>0</v>
      </c>
      <c r="AB273" s="227">
        <v>0</v>
      </c>
      <c r="AC273" s="132"/>
      <c r="AD273" s="132"/>
      <c r="AE273" s="226">
        <f>SUM(CATEGORIAS[[#This Row],[INVENTARIO]:[PROYECCION
DE COSTO
DEL SALDO]])</f>
        <v>0</v>
      </c>
      <c r="AF273" s="132"/>
      <c r="AG273" s="132">
        <f>+CATEGORIAS[[#This Row],[PRESUPUESTO
FINAL
PROYECTADO]]-CATEGORIAS[[#This Row],[COSTO REAL]]-CATEGORIAS[[#This Row],[PROYECCION
TOTAL DE COSTO]]</f>
        <v>0</v>
      </c>
    </row>
    <row r="274" spans="1:33" x14ac:dyDescent="0.25">
      <c r="A274" s="274" t="str">
        <f>+IFERROR(VLOOKUP(CATEGORIAS[[#This Row],[CATEGORIA2]],[1]HOMOLOGACION!$A$1:$I$571,9,FALSE),0)</f>
        <v>0Q02</v>
      </c>
      <c r="B274" s="274" t="str">
        <f>+IFERROR(VLOOKUP(CATEGORIAS[[#This Row],[CATEGORIA2]],[1]HOMOLOGACION!$A$1:$C$571,3,FALSE),0)</f>
        <v>0X07</v>
      </c>
      <c r="C274" s="274" t="str">
        <f>+IFERROR(VLOOKUP(CATEGORIAS[[#This Row],[CATEGORIA2]],[1]HOMOLOGACION!$A$1:$D$571,4,FALSE),0)</f>
        <v xml:space="preserve">Caldera </v>
      </c>
      <c r="D274" s="144" t="s">
        <v>1992</v>
      </c>
      <c r="E274" s="273" t="s">
        <v>895</v>
      </c>
      <c r="F274" s="275" t="s">
        <v>361</v>
      </c>
      <c r="G274" s="313">
        <v>0</v>
      </c>
      <c r="H274" s="313">
        <v>0</v>
      </c>
      <c r="I274" s="130">
        <v>0</v>
      </c>
      <c r="J274" s="130"/>
      <c r="K274" s="130"/>
      <c r="L274" s="143">
        <f>CATEGORIAS[[#This Row],[ADICIONALES]]+CATEGORIAS[[#This Row],[POM]]</f>
        <v>0</v>
      </c>
      <c r="M274" s="131">
        <v>0</v>
      </c>
      <c r="N274" s="227">
        <v>0</v>
      </c>
      <c r="O274" s="296">
        <f>CATEGORIAS[[#This Row],[PRODUCCION
PARTIDAS
ORIGINALES
ACTUAL]]+CATEGORIAS[[#This Row],[PRODUCCION
ADICIONALES
ACTUAL]]</f>
        <v>0</v>
      </c>
      <c r="P274" s="227">
        <v>0</v>
      </c>
      <c r="Q274" s="227">
        <v>0</v>
      </c>
      <c r="R274" s="297">
        <f>CATEGORIAS[[#This Row],[PRODUCCION
ANTERIOR]]+CATEGORIAS[[#This Row],[PRODUCCION
ADICIONALES
ANTERIOR]]</f>
        <v>0</v>
      </c>
      <c r="S274" s="133">
        <v>0</v>
      </c>
      <c r="T274" s="133"/>
      <c r="U274" s="133"/>
      <c r="V274" s="296">
        <f>SUM(CATEGORIAS[[#This Row],[COSTO
ACUMULADO  AX]:[PROVISIONES]])</f>
        <v>0</v>
      </c>
      <c r="W274" s="298">
        <v>0</v>
      </c>
      <c r="X274" s="227"/>
      <c r="Y274" s="227"/>
      <c r="Z274" s="297">
        <f>SUM(CATEGORIAS[[#This Row],[COSTO ACUMULADO
ANTERIOR]:[PROVISIONES
ANTERIOR]])</f>
        <v>0</v>
      </c>
      <c r="AA274" s="139">
        <f>CATEGORIAS[[#This Row],[PRESUPUESTO
FINAL
PROYECTADO]]-CATEGORIAS[[#This Row],[TOTAL PRODUCCION
ACTUAL]]</f>
        <v>0</v>
      </c>
      <c r="AB274" s="227">
        <v>0</v>
      </c>
      <c r="AC274" s="132"/>
      <c r="AD274" s="132"/>
      <c r="AE274" s="226">
        <f>SUM(CATEGORIAS[[#This Row],[INVENTARIO]:[PROYECCION
DE COSTO
DEL SALDO]])</f>
        <v>0</v>
      </c>
      <c r="AF274" s="132"/>
      <c r="AG274" s="132">
        <f>+CATEGORIAS[[#This Row],[PRESUPUESTO
FINAL
PROYECTADO]]-CATEGORIAS[[#This Row],[COSTO REAL]]-CATEGORIAS[[#This Row],[PROYECCION
TOTAL DE COSTO]]</f>
        <v>0</v>
      </c>
    </row>
    <row r="275" spans="1:33" x14ac:dyDescent="0.25">
      <c r="A275" s="274" t="str">
        <f>+IFERROR(VLOOKUP(CATEGORIAS[[#This Row],[CATEGORIA2]],[1]HOMOLOGACION!$A$1:$I$571,9,FALSE),0)</f>
        <v>0Q02</v>
      </c>
      <c r="B275" s="274" t="str">
        <f>+IFERROR(VLOOKUP(CATEGORIAS[[#This Row],[CATEGORIA2]],[1]HOMOLOGACION!$A$1:$C$571,3,FALSE),0)</f>
        <v>0X07</v>
      </c>
      <c r="C275" s="274" t="str">
        <f>+IFERROR(VLOOKUP(CATEGORIAS[[#This Row],[CATEGORIA2]],[1]HOMOLOGACION!$A$1:$D$571,4,FALSE),0)</f>
        <v xml:space="preserve">Caldera </v>
      </c>
      <c r="D275" s="144" t="s">
        <v>1993</v>
      </c>
      <c r="E275" s="273" t="s">
        <v>897</v>
      </c>
      <c r="F275" s="275" t="s">
        <v>361</v>
      </c>
      <c r="G275" s="313">
        <v>0</v>
      </c>
      <c r="H275" s="313">
        <v>0</v>
      </c>
      <c r="I275" s="130">
        <v>0</v>
      </c>
      <c r="J275" s="130"/>
      <c r="K275" s="130"/>
      <c r="L275" s="143">
        <f>CATEGORIAS[[#This Row],[ADICIONALES]]+CATEGORIAS[[#This Row],[POM]]</f>
        <v>0</v>
      </c>
      <c r="M275" s="131">
        <v>0</v>
      </c>
      <c r="N275" s="227">
        <v>0</v>
      </c>
      <c r="O275" s="296">
        <f>CATEGORIAS[[#This Row],[PRODUCCION
PARTIDAS
ORIGINALES
ACTUAL]]+CATEGORIAS[[#This Row],[PRODUCCION
ADICIONALES
ACTUAL]]</f>
        <v>0</v>
      </c>
      <c r="P275" s="227">
        <v>0</v>
      </c>
      <c r="Q275" s="132">
        <v>0</v>
      </c>
      <c r="R275" s="297">
        <f>CATEGORIAS[[#This Row],[PRODUCCION
ANTERIOR]]+CATEGORIAS[[#This Row],[PRODUCCION
ADICIONALES
ANTERIOR]]</f>
        <v>0</v>
      </c>
      <c r="S275" s="133">
        <v>0</v>
      </c>
      <c r="T275" s="133"/>
      <c r="U275" s="133"/>
      <c r="V275" s="296">
        <f>SUM(CATEGORIAS[[#This Row],[COSTO
ACUMULADO  AX]:[PROVISIONES]])</f>
        <v>0</v>
      </c>
      <c r="W275" s="298">
        <v>0</v>
      </c>
      <c r="X275" s="227"/>
      <c r="Y275" s="227"/>
      <c r="Z275" s="297">
        <f>SUM(CATEGORIAS[[#This Row],[COSTO ACUMULADO
ANTERIOR]:[PROVISIONES
ANTERIOR]])</f>
        <v>0</v>
      </c>
      <c r="AA275" s="139">
        <f>CATEGORIAS[[#This Row],[PRESUPUESTO
FINAL
PROYECTADO]]-CATEGORIAS[[#This Row],[TOTAL PRODUCCION
ACTUAL]]</f>
        <v>0</v>
      </c>
      <c r="AB275" s="227">
        <v>0</v>
      </c>
      <c r="AC275" s="132"/>
      <c r="AD275" s="132"/>
      <c r="AE275" s="226">
        <f>SUM(CATEGORIAS[[#This Row],[INVENTARIO]:[PROYECCION
DE COSTO
DEL SALDO]])</f>
        <v>0</v>
      </c>
      <c r="AF275" s="132"/>
      <c r="AG275" s="132">
        <f>+CATEGORIAS[[#This Row],[PRESUPUESTO
FINAL
PROYECTADO]]-CATEGORIAS[[#This Row],[COSTO REAL]]-CATEGORIAS[[#This Row],[PROYECCION
TOTAL DE COSTO]]</f>
        <v>0</v>
      </c>
    </row>
    <row r="276" spans="1:33" x14ac:dyDescent="0.25">
      <c r="A276" s="274" t="str">
        <f>+IFERROR(VLOOKUP(CATEGORIAS[[#This Row],[CATEGORIA2]],[1]HOMOLOGACION!$A$1:$I$571,9,FALSE),0)</f>
        <v>0Q02</v>
      </c>
      <c r="B276" s="274" t="str">
        <f>+IFERROR(VLOOKUP(CATEGORIAS[[#This Row],[CATEGORIA2]],[1]HOMOLOGACION!$A$1:$C$571,3,FALSE),0)</f>
        <v>0X07</v>
      </c>
      <c r="C276" s="274" t="str">
        <f>+IFERROR(VLOOKUP(CATEGORIAS[[#This Row],[CATEGORIA2]],[1]HOMOLOGACION!$A$1:$D$571,4,FALSE),0)</f>
        <v xml:space="preserve">Caldera </v>
      </c>
      <c r="D276" s="144" t="s">
        <v>1994</v>
      </c>
      <c r="E276" s="273" t="s">
        <v>899</v>
      </c>
      <c r="F276" s="275" t="s">
        <v>361</v>
      </c>
      <c r="G276" s="313">
        <v>0</v>
      </c>
      <c r="H276" s="313">
        <v>0</v>
      </c>
      <c r="I276" s="130">
        <v>0</v>
      </c>
      <c r="J276" s="130"/>
      <c r="K276" s="130"/>
      <c r="L276" s="143">
        <f>CATEGORIAS[[#This Row],[ADICIONALES]]+CATEGORIAS[[#This Row],[POM]]</f>
        <v>0</v>
      </c>
      <c r="M276" s="131">
        <v>0</v>
      </c>
      <c r="N276" s="227">
        <v>0</v>
      </c>
      <c r="O276" s="296">
        <f>CATEGORIAS[[#This Row],[PRODUCCION
PARTIDAS
ORIGINALES
ACTUAL]]+CATEGORIAS[[#This Row],[PRODUCCION
ADICIONALES
ACTUAL]]</f>
        <v>0</v>
      </c>
      <c r="P276" s="227">
        <v>0</v>
      </c>
      <c r="Q276" s="227">
        <v>0</v>
      </c>
      <c r="R276" s="297">
        <f>CATEGORIAS[[#This Row],[PRODUCCION
ANTERIOR]]+CATEGORIAS[[#This Row],[PRODUCCION
ADICIONALES
ANTERIOR]]</f>
        <v>0</v>
      </c>
      <c r="S276" s="133">
        <v>0</v>
      </c>
      <c r="T276" s="133"/>
      <c r="U276" s="133"/>
      <c r="V276" s="296">
        <f>SUM(CATEGORIAS[[#This Row],[COSTO
ACUMULADO  AX]:[PROVISIONES]])</f>
        <v>0</v>
      </c>
      <c r="W276" s="298">
        <v>0</v>
      </c>
      <c r="X276" s="227"/>
      <c r="Y276" s="227"/>
      <c r="Z276" s="297">
        <f>SUM(CATEGORIAS[[#This Row],[COSTO ACUMULADO
ANTERIOR]:[PROVISIONES
ANTERIOR]])</f>
        <v>0</v>
      </c>
      <c r="AA276" s="139">
        <f>CATEGORIAS[[#This Row],[PRESUPUESTO
FINAL
PROYECTADO]]-CATEGORIAS[[#This Row],[TOTAL PRODUCCION
ACTUAL]]</f>
        <v>0</v>
      </c>
      <c r="AB276" s="227">
        <v>0</v>
      </c>
      <c r="AC276" s="132"/>
      <c r="AD276" s="132"/>
      <c r="AE276" s="226">
        <f>SUM(CATEGORIAS[[#This Row],[INVENTARIO]:[PROYECCION
DE COSTO
DEL SALDO]])</f>
        <v>0</v>
      </c>
      <c r="AF276" s="132"/>
      <c r="AG276" s="132">
        <f>+CATEGORIAS[[#This Row],[PRESUPUESTO
FINAL
PROYECTADO]]-CATEGORIAS[[#This Row],[COSTO REAL]]-CATEGORIAS[[#This Row],[PROYECCION
TOTAL DE COSTO]]</f>
        <v>0</v>
      </c>
    </row>
    <row r="277" spans="1:33" x14ac:dyDescent="0.25">
      <c r="A277" s="274" t="str">
        <f>+IFERROR(VLOOKUP(CATEGORIAS[[#This Row],[CATEGORIA2]],[1]HOMOLOGACION!$A$1:$I$571,9,FALSE),0)</f>
        <v>0Q02</v>
      </c>
      <c r="B277" s="274" t="str">
        <f>+IFERROR(VLOOKUP(CATEGORIAS[[#This Row],[CATEGORIA2]],[1]HOMOLOGACION!$A$1:$C$571,3,FALSE),0)</f>
        <v>0X07</v>
      </c>
      <c r="C277" s="274" t="str">
        <f>+IFERROR(VLOOKUP(CATEGORIAS[[#This Row],[CATEGORIA2]],[1]HOMOLOGACION!$A$1:$D$571,4,FALSE),0)</f>
        <v xml:space="preserve">Caldera </v>
      </c>
      <c r="D277" s="144" t="s">
        <v>1995</v>
      </c>
      <c r="E277" s="273" t="s">
        <v>901</v>
      </c>
      <c r="F277" s="275" t="s">
        <v>361</v>
      </c>
      <c r="G277" s="313">
        <v>0</v>
      </c>
      <c r="H277" s="313">
        <v>0</v>
      </c>
      <c r="I277" s="130">
        <v>0</v>
      </c>
      <c r="J277" s="130"/>
      <c r="K277" s="130"/>
      <c r="L277" s="143">
        <f>CATEGORIAS[[#This Row],[ADICIONALES]]+CATEGORIAS[[#This Row],[POM]]</f>
        <v>0</v>
      </c>
      <c r="M277" s="131">
        <v>0</v>
      </c>
      <c r="N277" s="227">
        <v>0</v>
      </c>
      <c r="O277" s="296">
        <f>CATEGORIAS[[#This Row],[PRODUCCION
PARTIDAS
ORIGINALES
ACTUAL]]+CATEGORIAS[[#This Row],[PRODUCCION
ADICIONALES
ACTUAL]]</f>
        <v>0</v>
      </c>
      <c r="P277" s="227">
        <v>0</v>
      </c>
      <c r="Q277" s="132">
        <v>0</v>
      </c>
      <c r="R277" s="297">
        <f>CATEGORIAS[[#This Row],[PRODUCCION
ANTERIOR]]+CATEGORIAS[[#This Row],[PRODUCCION
ADICIONALES
ANTERIOR]]</f>
        <v>0</v>
      </c>
      <c r="S277" s="133">
        <v>0</v>
      </c>
      <c r="T277" s="133"/>
      <c r="U277" s="133"/>
      <c r="V277" s="296">
        <f>SUM(CATEGORIAS[[#This Row],[COSTO
ACUMULADO  AX]:[PROVISIONES]])</f>
        <v>0</v>
      </c>
      <c r="W277" s="298">
        <v>0</v>
      </c>
      <c r="X277" s="227"/>
      <c r="Y277" s="227"/>
      <c r="Z277" s="297">
        <f>SUM(CATEGORIAS[[#This Row],[COSTO ACUMULADO
ANTERIOR]:[PROVISIONES
ANTERIOR]])</f>
        <v>0</v>
      </c>
      <c r="AA277" s="139">
        <f>CATEGORIAS[[#This Row],[PRESUPUESTO
FINAL
PROYECTADO]]-CATEGORIAS[[#This Row],[TOTAL PRODUCCION
ACTUAL]]</f>
        <v>0</v>
      </c>
      <c r="AB277" s="227">
        <v>0</v>
      </c>
      <c r="AC277" s="132"/>
      <c r="AD277" s="132"/>
      <c r="AE277" s="226">
        <f>SUM(CATEGORIAS[[#This Row],[INVENTARIO]:[PROYECCION
DE COSTO
DEL SALDO]])</f>
        <v>0</v>
      </c>
      <c r="AF277" s="132"/>
      <c r="AG277" s="132">
        <f>+CATEGORIAS[[#This Row],[PRESUPUESTO
FINAL
PROYECTADO]]-CATEGORIAS[[#This Row],[COSTO REAL]]-CATEGORIAS[[#This Row],[PROYECCION
TOTAL DE COSTO]]</f>
        <v>0</v>
      </c>
    </row>
    <row r="278" spans="1:33" x14ac:dyDescent="0.25">
      <c r="A278" s="274" t="str">
        <f>+IFERROR(VLOOKUP(CATEGORIAS[[#This Row],[CATEGORIA2]],[1]HOMOLOGACION!$A$1:$I$571,9,FALSE),0)</f>
        <v>0Q02</v>
      </c>
      <c r="B278" s="274" t="str">
        <f>+IFERROR(VLOOKUP(CATEGORIAS[[#This Row],[CATEGORIA2]],[1]HOMOLOGACION!$A$1:$C$571,3,FALSE),0)</f>
        <v>0X07</v>
      </c>
      <c r="C278" s="274" t="str">
        <f>+IFERROR(VLOOKUP(CATEGORIAS[[#This Row],[CATEGORIA2]],[1]HOMOLOGACION!$A$1:$D$571,4,FALSE),0)</f>
        <v xml:space="preserve">Caldera </v>
      </c>
      <c r="D278" s="144" t="s">
        <v>1996</v>
      </c>
      <c r="E278" s="273" t="s">
        <v>903</v>
      </c>
      <c r="F278" s="275" t="s">
        <v>361</v>
      </c>
      <c r="G278" s="313">
        <v>0</v>
      </c>
      <c r="H278" s="313">
        <v>0</v>
      </c>
      <c r="I278" s="130">
        <v>0</v>
      </c>
      <c r="J278" s="130"/>
      <c r="K278" s="130"/>
      <c r="L278" s="143">
        <f>CATEGORIAS[[#This Row],[ADICIONALES]]+CATEGORIAS[[#This Row],[POM]]</f>
        <v>0</v>
      </c>
      <c r="M278" s="131">
        <v>0</v>
      </c>
      <c r="N278" s="227">
        <v>0</v>
      </c>
      <c r="O278" s="296">
        <f>CATEGORIAS[[#This Row],[PRODUCCION
PARTIDAS
ORIGINALES
ACTUAL]]+CATEGORIAS[[#This Row],[PRODUCCION
ADICIONALES
ACTUAL]]</f>
        <v>0</v>
      </c>
      <c r="P278" s="227">
        <v>0</v>
      </c>
      <c r="Q278" s="227">
        <v>0</v>
      </c>
      <c r="R278" s="297">
        <f>CATEGORIAS[[#This Row],[PRODUCCION
ANTERIOR]]+CATEGORIAS[[#This Row],[PRODUCCION
ADICIONALES
ANTERIOR]]</f>
        <v>0</v>
      </c>
      <c r="S278" s="133">
        <v>0</v>
      </c>
      <c r="T278" s="133"/>
      <c r="U278" s="133"/>
      <c r="V278" s="296">
        <f>SUM(CATEGORIAS[[#This Row],[COSTO
ACUMULADO  AX]:[PROVISIONES]])</f>
        <v>0</v>
      </c>
      <c r="W278" s="298">
        <v>0</v>
      </c>
      <c r="X278" s="227"/>
      <c r="Y278" s="227"/>
      <c r="Z278" s="297">
        <f>SUM(CATEGORIAS[[#This Row],[COSTO ACUMULADO
ANTERIOR]:[PROVISIONES
ANTERIOR]])</f>
        <v>0</v>
      </c>
      <c r="AA278" s="139">
        <f>CATEGORIAS[[#This Row],[PRESUPUESTO
FINAL
PROYECTADO]]-CATEGORIAS[[#This Row],[TOTAL PRODUCCION
ACTUAL]]</f>
        <v>0</v>
      </c>
      <c r="AB278" s="227">
        <v>0</v>
      </c>
      <c r="AC278" s="132"/>
      <c r="AD278" s="132"/>
      <c r="AE278" s="226">
        <f>SUM(CATEGORIAS[[#This Row],[INVENTARIO]:[PROYECCION
DE COSTO
DEL SALDO]])</f>
        <v>0</v>
      </c>
      <c r="AF278" s="132"/>
      <c r="AG278" s="132">
        <f>+CATEGORIAS[[#This Row],[PRESUPUESTO
FINAL
PROYECTADO]]-CATEGORIAS[[#This Row],[COSTO REAL]]-CATEGORIAS[[#This Row],[PROYECCION
TOTAL DE COSTO]]</f>
        <v>0</v>
      </c>
    </row>
    <row r="279" spans="1:33" x14ac:dyDescent="0.25">
      <c r="A279" s="274" t="str">
        <f>+IFERROR(VLOOKUP(CATEGORIAS[[#This Row],[CATEGORIA2]],[1]HOMOLOGACION!$A$1:$I$571,9,FALSE),0)</f>
        <v>0Q02</v>
      </c>
      <c r="B279" s="274" t="str">
        <f>+IFERROR(VLOOKUP(CATEGORIAS[[#This Row],[CATEGORIA2]],[1]HOMOLOGACION!$A$1:$C$571,3,FALSE),0)</f>
        <v>0X07</v>
      </c>
      <c r="C279" s="274" t="str">
        <f>+IFERROR(VLOOKUP(CATEGORIAS[[#This Row],[CATEGORIA2]],[1]HOMOLOGACION!$A$1:$D$571,4,FALSE),0)</f>
        <v xml:space="preserve">Caldera </v>
      </c>
      <c r="D279" s="144" t="s">
        <v>1997</v>
      </c>
      <c r="E279" s="273" t="s">
        <v>905</v>
      </c>
      <c r="F279" s="275" t="s">
        <v>361</v>
      </c>
      <c r="G279" s="313">
        <v>0</v>
      </c>
      <c r="H279" s="313">
        <v>0</v>
      </c>
      <c r="I279" s="130">
        <v>0</v>
      </c>
      <c r="J279" s="130"/>
      <c r="K279" s="130"/>
      <c r="L279" s="143">
        <f>CATEGORIAS[[#This Row],[ADICIONALES]]+CATEGORIAS[[#This Row],[POM]]</f>
        <v>0</v>
      </c>
      <c r="M279" s="131">
        <v>0</v>
      </c>
      <c r="N279" s="227">
        <v>0</v>
      </c>
      <c r="O279" s="296">
        <f>CATEGORIAS[[#This Row],[PRODUCCION
PARTIDAS
ORIGINALES
ACTUAL]]+CATEGORIAS[[#This Row],[PRODUCCION
ADICIONALES
ACTUAL]]</f>
        <v>0</v>
      </c>
      <c r="P279" s="227">
        <v>0</v>
      </c>
      <c r="Q279" s="132">
        <v>0</v>
      </c>
      <c r="R279" s="297">
        <f>CATEGORIAS[[#This Row],[PRODUCCION
ANTERIOR]]+CATEGORIAS[[#This Row],[PRODUCCION
ADICIONALES
ANTERIOR]]</f>
        <v>0</v>
      </c>
      <c r="S279" s="133">
        <v>0</v>
      </c>
      <c r="T279" s="133"/>
      <c r="U279" s="133"/>
      <c r="V279" s="296">
        <f>SUM(CATEGORIAS[[#This Row],[COSTO
ACUMULADO  AX]:[PROVISIONES]])</f>
        <v>0</v>
      </c>
      <c r="W279" s="298">
        <v>0</v>
      </c>
      <c r="X279" s="227"/>
      <c r="Y279" s="227"/>
      <c r="Z279" s="297">
        <f>SUM(CATEGORIAS[[#This Row],[COSTO ACUMULADO
ANTERIOR]:[PROVISIONES
ANTERIOR]])</f>
        <v>0</v>
      </c>
      <c r="AA279" s="139">
        <f>CATEGORIAS[[#This Row],[PRESUPUESTO
FINAL
PROYECTADO]]-CATEGORIAS[[#This Row],[TOTAL PRODUCCION
ACTUAL]]</f>
        <v>0</v>
      </c>
      <c r="AB279" s="227">
        <v>0</v>
      </c>
      <c r="AC279" s="132"/>
      <c r="AD279" s="132"/>
      <c r="AE279" s="226">
        <f>SUM(CATEGORIAS[[#This Row],[INVENTARIO]:[PROYECCION
DE COSTO
DEL SALDO]])</f>
        <v>0</v>
      </c>
      <c r="AF279" s="132"/>
      <c r="AG279" s="132">
        <f>+CATEGORIAS[[#This Row],[PRESUPUESTO
FINAL
PROYECTADO]]-CATEGORIAS[[#This Row],[COSTO REAL]]-CATEGORIAS[[#This Row],[PROYECCION
TOTAL DE COSTO]]</f>
        <v>0</v>
      </c>
    </row>
    <row r="280" spans="1:33" x14ac:dyDescent="0.25">
      <c r="A280" s="274" t="str">
        <f>+IFERROR(VLOOKUP(CATEGORIAS[[#This Row],[CATEGORIA2]],[1]HOMOLOGACION!$A$1:$I$571,9,FALSE),0)</f>
        <v>0Q02</v>
      </c>
      <c r="B280" s="274" t="str">
        <f>+IFERROR(VLOOKUP(CATEGORIAS[[#This Row],[CATEGORIA2]],[1]HOMOLOGACION!$A$1:$C$571,3,FALSE),0)</f>
        <v>0X08</v>
      </c>
      <c r="C280" s="274" t="str">
        <f>+IFERROR(VLOOKUP(CATEGORIAS[[#This Row],[CATEGORIA2]],[1]HOMOLOGACION!$A$1:$D$571,4,FALSE),0)</f>
        <v xml:space="preserve">Ductos </v>
      </c>
      <c r="D280" s="144" t="s">
        <v>1998</v>
      </c>
      <c r="E280" s="273" t="s">
        <v>907</v>
      </c>
      <c r="F280" s="275" t="s">
        <v>361</v>
      </c>
      <c r="G280" s="313">
        <v>0</v>
      </c>
      <c r="H280" s="313">
        <v>0</v>
      </c>
      <c r="I280" s="130">
        <v>0</v>
      </c>
      <c r="J280" s="130"/>
      <c r="K280" s="130"/>
      <c r="L280" s="143">
        <f>CATEGORIAS[[#This Row],[ADICIONALES]]+CATEGORIAS[[#This Row],[POM]]</f>
        <v>0</v>
      </c>
      <c r="M280" s="131">
        <v>0</v>
      </c>
      <c r="N280" s="227">
        <v>0</v>
      </c>
      <c r="O280" s="296">
        <f>CATEGORIAS[[#This Row],[PRODUCCION
PARTIDAS
ORIGINALES
ACTUAL]]+CATEGORIAS[[#This Row],[PRODUCCION
ADICIONALES
ACTUAL]]</f>
        <v>0</v>
      </c>
      <c r="P280" s="227">
        <v>0</v>
      </c>
      <c r="Q280" s="227">
        <v>0</v>
      </c>
      <c r="R280" s="297">
        <f>CATEGORIAS[[#This Row],[PRODUCCION
ANTERIOR]]+CATEGORIAS[[#This Row],[PRODUCCION
ADICIONALES
ANTERIOR]]</f>
        <v>0</v>
      </c>
      <c r="S280" s="133">
        <v>0</v>
      </c>
      <c r="T280" s="133"/>
      <c r="U280" s="133"/>
      <c r="V280" s="296">
        <f>SUM(CATEGORIAS[[#This Row],[COSTO
ACUMULADO  AX]:[PROVISIONES]])</f>
        <v>0</v>
      </c>
      <c r="W280" s="298">
        <v>0</v>
      </c>
      <c r="X280" s="227"/>
      <c r="Y280" s="227"/>
      <c r="Z280" s="297">
        <f>SUM(CATEGORIAS[[#This Row],[COSTO ACUMULADO
ANTERIOR]:[PROVISIONES
ANTERIOR]])</f>
        <v>0</v>
      </c>
      <c r="AA280" s="139">
        <f>CATEGORIAS[[#This Row],[PRESUPUESTO
FINAL
PROYECTADO]]-CATEGORIAS[[#This Row],[TOTAL PRODUCCION
ACTUAL]]</f>
        <v>0</v>
      </c>
      <c r="AB280" s="227">
        <v>0</v>
      </c>
      <c r="AC280" s="132"/>
      <c r="AD280" s="132"/>
      <c r="AE280" s="226">
        <f>SUM(CATEGORIAS[[#This Row],[INVENTARIO]:[PROYECCION
DE COSTO
DEL SALDO]])</f>
        <v>0</v>
      </c>
      <c r="AF280" s="132"/>
      <c r="AG280" s="132">
        <f>+CATEGORIAS[[#This Row],[PRESUPUESTO
FINAL
PROYECTADO]]-CATEGORIAS[[#This Row],[COSTO REAL]]-CATEGORIAS[[#This Row],[PROYECCION
TOTAL DE COSTO]]</f>
        <v>0</v>
      </c>
    </row>
    <row r="281" spans="1:33" x14ac:dyDescent="0.25">
      <c r="A281" s="274" t="str">
        <f>+IFERROR(VLOOKUP(CATEGORIAS[[#This Row],[CATEGORIA2]],[1]HOMOLOGACION!$A$1:$I$571,9,FALSE),0)</f>
        <v>0Q02</v>
      </c>
      <c r="B281" s="274" t="str">
        <f>+IFERROR(VLOOKUP(CATEGORIAS[[#This Row],[CATEGORIA2]],[1]HOMOLOGACION!$A$1:$C$571,3,FALSE),0)</f>
        <v>0X08</v>
      </c>
      <c r="C281" s="274" t="str">
        <f>+IFERROR(VLOOKUP(CATEGORIAS[[#This Row],[CATEGORIA2]],[1]HOMOLOGACION!$A$1:$D$571,4,FALSE),0)</f>
        <v xml:space="preserve">Ductos </v>
      </c>
      <c r="D281" s="144" t="s">
        <v>1999</v>
      </c>
      <c r="E281" s="273" t="s">
        <v>909</v>
      </c>
      <c r="F281" s="275" t="s">
        <v>361</v>
      </c>
      <c r="G281" s="313">
        <v>0</v>
      </c>
      <c r="H281" s="313">
        <v>0</v>
      </c>
      <c r="I281" s="130">
        <v>0</v>
      </c>
      <c r="J281" s="130"/>
      <c r="K281" s="130"/>
      <c r="L281" s="143">
        <f>CATEGORIAS[[#This Row],[ADICIONALES]]+CATEGORIAS[[#This Row],[POM]]</f>
        <v>0</v>
      </c>
      <c r="M281" s="131">
        <v>0</v>
      </c>
      <c r="N281" s="227">
        <v>0</v>
      </c>
      <c r="O281" s="296">
        <f>CATEGORIAS[[#This Row],[PRODUCCION
PARTIDAS
ORIGINALES
ACTUAL]]+CATEGORIAS[[#This Row],[PRODUCCION
ADICIONALES
ACTUAL]]</f>
        <v>0</v>
      </c>
      <c r="P281" s="227">
        <v>0</v>
      </c>
      <c r="Q281" s="132">
        <v>0</v>
      </c>
      <c r="R281" s="297">
        <f>CATEGORIAS[[#This Row],[PRODUCCION
ANTERIOR]]+CATEGORIAS[[#This Row],[PRODUCCION
ADICIONALES
ANTERIOR]]</f>
        <v>0</v>
      </c>
      <c r="S281" s="133">
        <v>0</v>
      </c>
      <c r="T281" s="133"/>
      <c r="U281" s="133"/>
      <c r="V281" s="296">
        <f>SUM(CATEGORIAS[[#This Row],[COSTO
ACUMULADO  AX]:[PROVISIONES]])</f>
        <v>0</v>
      </c>
      <c r="W281" s="298">
        <v>0</v>
      </c>
      <c r="X281" s="227"/>
      <c r="Y281" s="227"/>
      <c r="Z281" s="297">
        <f>SUM(CATEGORIAS[[#This Row],[COSTO ACUMULADO
ANTERIOR]:[PROVISIONES
ANTERIOR]])</f>
        <v>0</v>
      </c>
      <c r="AA281" s="139">
        <f>CATEGORIAS[[#This Row],[PRESUPUESTO
FINAL
PROYECTADO]]-CATEGORIAS[[#This Row],[TOTAL PRODUCCION
ACTUAL]]</f>
        <v>0</v>
      </c>
      <c r="AB281" s="227">
        <v>0</v>
      </c>
      <c r="AC281" s="132"/>
      <c r="AD281" s="132"/>
      <c r="AE281" s="226">
        <f>SUM(CATEGORIAS[[#This Row],[INVENTARIO]:[PROYECCION
DE COSTO
DEL SALDO]])</f>
        <v>0</v>
      </c>
      <c r="AF281" s="132"/>
      <c r="AG281" s="132">
        <f>+CATEGORIAS[[#This Row],[PRESUPUESTO
FINAL
PROYECTADO]]-CATEGORIAS[[#This Row],[COSTO REAL]]-CATEGORIAS[[#This Row],[PROYECCION
TOTAL DE COSTO]]</f>
        <v>0</v>
      </c>
    </row>
    <row r="282" spans="1:33" x14ac:dyDescent="0.25">
      <c r="A282" s="274" t="str">
        <f>+IFERROR(VLOOKUP(CATEGORIAS[[#This Row],[CATEGORIA2]],[1]HOMOLOGACION!$A$1:$I$571,9,FALSE),0)</f>
        <v>0Q02</v>
      </c>
      <c r="B282" s="274" t="str">
        <f>+IFERROR(VLOOKUP(CATEGORIAS[[#This Row],[CATEGORIA2]],[1]HOMOLOGACION!$A$1:$C$571,3,FALSE),0)</f>
        <v>0X08</v>
      </c>
      <c r="C282" s="274" t="str">
        <f>+IFERROR(VLOOKUP(CATEGORIAS[[#This Row],[CATEGORIA2]],[1]HOMOLOGACION!$A$1:$D$571,4,FALSE),0)</f>
        <v xml:space="preserve">Ductos </v>
      </c>
      <c r="D282" s="144" t="s">
        <v>2000</v>
      </c>
      <c r="E282" s="273" t="s">
        <v>911</v>
      </c>
      <c r="F282" s="275" t="s">
        <v>361</v>
      </c>
      <c r="G282" s="313">
        <v>0</v>
      </c>
      <c r="H282" s="313">
        <v>0</v>
      </c>
      <c r="I282" s="130">
        <v>0</v>
      </c>
      <c r="J282" s="130"/>
      <c r="K282" s="130"/>
      <c r="L282" s="143">
        <f>CATEGORIAS[[#This Row],[ADICIONALES]]+CATEGORIAS[[#This Row],[POM]]</f>
        <v>0</v>
      </c>
      <c r="M282" s="131">
        <v>0</v>
      </c>
      <c r="N282" s="227">
        <v>0</v>
      </c>
      <c r="O282" s="296">
        <f>CATEGORIAS[[#This Row],[PRODUCCION
PARTIDAS
ORIGINALES
ACTUAL]]+CATEGORIAS[[#This Row],[PRODUCCION
ADICIONALES
ACTUAL]]</f>
        <v>0</v>
      </c>
      <c r="P282" s="227">
        <v>0</v>
      </c>
      <c r="Q282" s="227">
        <v>0</v>
      </c>
      <c r="R282" s="297">
        <f>CATEGORIAS[[#This Row],[PRODUCCION
ANTERIOR]]+CATEGORIAS[[#This Row],[PRODUCCION
ADICIONALES
ANTERIOR]]</f>
        <v>0</v>
      </c>
      <c r="S282" s="133">
        <v>0</v>
      </c>
      <c r="T282" s="133"/>
      <c r="U282" s="133"/>
      <c r="V282" s="296">
        <f>SUM(CATEGORIAS[[#This Row],[COSTO
ACUMULADO  AX]:[PROVISIONES]])</f>
        <v>0</v>
      </c>
      <c r="W282" s="298">
        <v>0</v>
      </c>
      <c r="X282" s="227"/>
      <c r="Y282" s="227"/>
      <c r="Z282" s="297">
        <f>SUM(CATEGORIAS[[#This Row],[COSTO ACUMULADO
ANTERIOR]:[PROVISIONES
ANTERIOR]])</f>
        <v>0</v>
      </c>
      <c r="AA282" s="139">
        <f>CATEGORIAS[[#This Row],[PRESUPUESTO
FINAL
PROYECTADO]]-CATEGORIAS[[#This Row],[TOTAL PRODUCCION
ACTUAL]]</f>
        <v>0</v>
      </c>
      <c r="AB282" s="227">
        <v>0</v>
      </c>
      <c r="AC282" s="132"/>
      <c r="AD282" s="132"/>
      <c r="AE282" s="226">
        <f>SUM(CATEGORIAS[[#This Row],[INVENTARIO]:[PROYECCION
DE COSTO
DEL SALDO]])</f>
        <v>0</v>
      </c>
      <c r="AF282" s="132"/>
      <c r="AG282" s="132">
        <f>+CATEGORIAS[[#This Row],[PRESUPUESTO
FINAL
PROYECTADO]]-CATEGORIAS[[#This Row],[COSTO REAL]]-CATEGORIAS[[#This Row],[PROYECCION
TOTAL DE COSTO]]</f>
        <v>0</v>
      </c>
    </row>
    <row r="283" spans="1:33" x14ac:dyDescent="0.25">
      <c r="A283" s="274" t="str">
        <f>+IFERROR(VLOOKUP(CATEGORIAS[[#This Row],[CATEGORIA2]],[1]HOMOLOGACION!$A$1:$I$571,9,FALSE),0)</f>
        <v>0Q02</v>
      </c>
      <c r="B283" s="274" t="str">
        <f>+IFERROR(VLOOKUP(CATEGORIAS[[#This Row],[CATEGORIA2]],[1]HOMOLOGACION!$A$1:$C$571,3,FALSE),0)</f>
        <v>0X08</v>
      </c>
      <c r="C283" s="274" t="str">
        <f>+IFERROR(VLOOKUP(CATEGORIAS[[#This Row],[CATEGORIA2]],[1]HOMOLOGACION!$A$1:$D$571,4,FALSE),0)</f>
        <v xml:space="preserve">Ductos </v>
      </c>
      <c r="D283" s="144" t="s">
        <v>2001</v>
      </c>
      <c r="E283" s="273" t="s">
        <v>913</v>
      </c>
      <c r="F283" s="275" t="s">
        <v>361</v>
      </c>
      <c r="G283" s="313">
        <v>0</v>
      </c>
      <c r="H283" s="313">
        <v>0</v>
      </c>
      <c r="I283" s="130">
        <v>0</v>
      </c>
      <c r="J283" s="130"/>
      <c r="K283" s="130"/>
      <c r="L283" s="143">
        <f>CATEGORIAS[[#This Row],[ADICIONALES]]+CATEGORIAS[[#This Row],[POM]]</f>
        <v>0</v>
      </c>
      <c r="M283" s="131">
        <v>0</v>
      </c>
      <c r="N283" s="227">
        <v>0</v>
      </c>
      <c r="O283" s="296">
        <f>CATEGORIAS[[#This Row],[PRODUCCION
PARTIDAS
ORIGINALES
ACTUAL]]+CATEGORIAS[[#This Row],[PRODUCCION
ADICIONALES
ACTUAL]]</f>
        <v>0</v>
      </c>
      <c r="P283" s="227">
        <v>0</v>
      </c>
      <c r="Q283" s="132">
        <v>0</v>
      </c>
      <c r="R283" s="297">
        <f>CATEGORIAS[[#This Row],[PRODUCCION
ANTERIOR]]+CATEGORIAS[[#This Row],[PRODUCCION
ADICIONALES
ANTERIOR]]</f>
        <v>0</v>
      </c>
      <c r="S283" s="133">
        <v>0</v>
      </c>
      <c r="T283" s="133"/>
      <c r="U283" s="133"/>
      <c r="V283" s="296">
        <f>SUM(CATEGORIAS[[#This Row],[COSTO
ACUMULADO  AX]:[PROVISIONES]])</f>
        <v>0</v>
      </c>
      <c r="W283" s="298">
        <v>0</v>
      </c>
      <c r="X283" s="227"/>
      <c r="Y283" s="227"/>
      <c r="Z283" s="297">
        <f>SUM(CATEGORIAS[[#This Row],[COSTO ACUMULADO
ANTERIOR]:[PROVISIONES
ANTERIOR]])</f>
        <v>0</v>
      </c>
      <c r="AA283" s="139">
        <f>CATEGORIAS[[#This Row],[PRESUPUESTO
FINAL
PROYECTADO]]-CATEGORIAS[[#This Row],[TOTAL PRODUCCION
ACTUAL]]</f>
        <v>0</v>
      </c>
      <c r="AB283" s="227">
        <v>0</v>
      </c>
      <c r="AC283" s="132"/>
      <c r="AD283" s="132"/>
      <c r="AE283" s="226">
        <f>SUM(CATEGORIAS[[#This Row],[INVENTARIO]:[PROYECCION
DE COSTO
DEL SALDO]])</f>
        <v>0</v>
      </c>
      <c r="AF283" s="132"/>
      <c r="AG283" s="132">
        <f>+CATEGORIAS[[#This Row],[PRESUPUESTO
FINAL
PROYECTADO]]-CATEGORIAS[[#This Row],[COSTO REAL]]-CATEGORIAS[[#This Row],[PROYECCION
TOTAL DE COSTO]]</f>
        <v>0</v>
      </c>
    </row>
    <row r="284" spans="1:33" x14ac:dyDescent="0.25">
      <c r="A284" s="274" t="str">
        <f>+IFERROR(VLOOKUP(CATEGORIAS[[#This Row],[CATEGORIA2]],[1]HOMOLOGACION!$A$1:$I$571,9,FALSE),0)</f>
        <v>0Q02</v>
      </c>
      <c r="B284" s="274" t="str">
        <f>+IFERROR(VLOOKUP(CATEGORIAS[[#This Row],[CATEGORIA2]],[1]HOMOLOGACION!$A$1:$C$571,3,FALSE),0)</f>
        <v>0X08</v>
      </c>
      <c r="C284" s="274" t="str">
        <f>+IFERROR(VLOOKUP(CATEGORIAS[[#This Row],[CATEGORIA2]],[1]HOMOLOGACION!$A$1:$D$571,4,FALSE),0)</f>
        <v xml:space="preserve">Ductos </v>
      </c>
      <c r="D284" s="144" t="s">
        <v>2002</v>
      </c>
      <c r="E284" s="273" t="s">
        <v>915</v>
      </c>
      <c r="F284" s="275" t="s">
        <v>361</v>
      </c>
      <c r="G284" s="313">
        <v>0</v>
      </c>
      <c r="H284" s="313">
        <v>0</v>
      </c>
      <c r="I284" s="130">
        <v>0</v>
      </c>
      <c r="J284" s="130"/>
      <c r="K284" s="130"/>
      <c r="L284" s="143">
        <f>CATEGORIAS[[#This Row],[ADICIONALES]]+CATEGORIAS[[#This Row],[POM]]</f>
        <v>0</v>
      </c>
      <c r="M284" s="131">
        <v>0</v>
      </c>
      <c r="N284" s="227">
        <v>0</v>
      </c>
      <c r="O284" s="296">
        <f>CATEGORIAS[[#This Row],[PRODUCCION
PARTIDAS
ORIGINALES
ACTUAL]]+CATEGORIAS[[#This Row],[PRODUCCION
ADICIONALES
ACTUAL]]</f>
        <v>0</v>
      </c>
      <c r="P284" s="227">
        <v>0</v>
      </c>
      <c r="Q284" s="227">
        <v>0</v>
      </c>
      <c r="R284" s="297">
        <f>CATEGORIAS[[#This Row],[PRODUCCION
ANTERIOR]]+CATEGORIAS[[#This Row],[PRODUCCION
ADICIONALES
ANTERIOR]]</f>
        <v>0</v>
      </c>
      <c r="S284" s="133">
        <v>0</v>
      </c>
      <c r="T284" s="133"/>
      <c r="U284" s="133"/>
      <c r="V284" s="296">
        <f>SUM(CATEGORIAS[[#This Row],[COSTO
ACUMULADO  AX]:[PROVISIONES]])</f>
        <v>0</v>
      </c>
      <c r="W284" s="298">
        <v>0</v>
      </c>
      <c r="X284" s="227"/>
      <c r="Y284" s="227"/>
      <c r="Z284" s="297">
        <f>SUM(CATEGORIAS[[#This Row],[COSTO ACUMULADO
ANTERIOR]:[PROVISIONES
ANTERIOR]])</f>
        <v>0</v>
      </c>
      <c r="AA284" s="139">
        <f>CATEGORIAS[[#This Row],[PRESUPUESTO
FINAL
PROYECTADO]]-CATEGORIAS[[#This Row],[TOTAL PRODUCCION
ACTUAL]]</f>
        <v>0</v>
      </c>
      <c r="AB284" s="227">
        <v>0</v>
      </c>
      <c r="AC284" s="132"/>
      <c r="AD284" s="132"/>
      <c r="AE284" s="226">
        <f>SUM(CATEGORIAS[[#This Row],[INVENTARIO]:[PROYECCION
DE COSTO
DEL SALDO]])</f>
        <v>0</v>
      </c>
      <c r="AF284" s="132"/>
      <c r="AG284" s="132">
        <f>+CATEGORIAS[[#This Row],[PRESUPUESTO
FINAL
PROYECTADO]]-CATEGORIAS[[#This Row],[COSTO REAL]]-CATEGORIAS[[#This Row],[PROYECCION
TOTAL DE COSTO]]</f>
        <v>0</v>
      </c>
    </row>
    <row r="285" spans="1:33" x14ac:dyDescent="0.25">
      <c r="A285" s="274" t="str">
        <f>+IFERROR(VLOOKUP(CATEGORIAS[[#This Row],[CATEGORIA2]],[1]HOMOLOGACION!$A$1:$I$571,9,FALSE),0)</f>
        <v>0Q02</v>
      </c>
      <c r="B285" s="274" t="str">
        <f>+IFERROR(VLOOKUP(CATEGORIAS[[#This Row],[CATEGORIA2]],[1]HOMOLOGACION!$A$1:$C$571,3,FALSE),0)</f>
        <v>0X08</v>
      </c>
      <c r="C285" s="274" t="str">
        <f>+IFERROR(VLOOKUP(CATEGORIAS[[#This Row],[CATEGORIA2]],[1]HOMOLOGACION!$A$1:$D$571,4,FALSE),0)</f>
        <v xml:space="preserve">Ductos </v>
      </c>
      <c r="D285" s="144" t="s">
        <v>2003</v>
      </c>
      <c r="E285" s="273" t="s">
        <v>917</v>
      </c>
      <c r="F285" s="275" t="s">
        <v>361</v>
      </c>
      <c r="G285" s="313">
        <v>0</v>
      </c>
      <c r="H285" s="313">
        <v>0</v>
      </c>
      <c r="I285" s="130">
        <v>0</v>
      </c>
      <c r="J285" s="130"/>
      <c r="K285" s="130"/>
      <c r="L285" s="143">
        <f>CATEGORIAS[[#This Row],[ADICIONALES]]+CATEGORIAS[[#This Row],[POM]]</f>
        <v>0</v>
      </c>
      <c r="M285" s="131">
        <v>0</v>
      </c>
      <c r="N285" s="227">
        <v>0</v>
      </c>
      <c r="O285" s="296">
        <f>CATEGORIAS[[#This Row],[PRODUCCION
PARTIDAS
ORIGINALES
ACTUAL]]+CATEGORIAS[[#This Row],[PRODUCCION
ADICIONALES
ACTUAL]]</f>
        <v>0</v>
      </c>
      <c r="P285" s="227">
        <v>0</v>
      </c>
      <c r="Q285" s="132">
        <v>0</v>
      </c>
      <c r="R285" s="297">
        <f>CATEGORIAS[[#This Row],[PRODUCCION
ANTERIOR]]+CATEGORIAS[[#This Row],[PRODUCCION
ADICIONALES
ANTERIOR]]</f>
        <v>0</v>
      </c>
      <c r="S285" s="133">
        <v>0</v>
      </c>
      <c r="T285" s="133"/>
      <c r="U285" s="133"/>
      <c r="V285" s="296">
        <f>SUM(CATEGORIAS[[#This Row],[COSTO
ACUMULADO  AX]:[PROVISIONES]])</f>
        <v>0</v>
      </c>
      <c r="W285" s="298">
        <v>0</v>
      </c>
      <c r="X285" s="227"/>
      <c r="Y285" s="227"/>
      <c r="Z285" s="297">
        <f>SUM(CATEGORIAS[[#This Row],[COSTO ACUMULADO
ANTERIOR]:[PROVISIONES
ANTERIOR]])</f>
        <v>0</v>
      </c>
      <c r="AA285" s="139">
        <f>CATEGORIAS[[#This Row],[PRESUPUESTO
FINAL
PROYECTADO]]-CATEGORIAS[[#This Row],[TOTAL PRODUCCION
ACTUAL]]</f>
        <v>0</v>
      </c>
      <c r="AB285" s="227">
        <v>0</v>
      </c>
      <c r="AC285" s="132"/>
      <c r="AD285" s="132"/>
      <c r="AE285" s="226">
        <f>SUM(CATEGORIAS[[#This Row],[INVENTARIO]:[PROYECCION
DE COSTO
DEL SALDO]])</f>
        <v>0</v>
      </c>
      <c r="AF285" s="132"/>
      <c r="AG285" s="132">
        <f>+CATEGORIAS[[#This Row],[PRESUPUESTO
FINAL
PROYECTADO]]-CATEGORIAS[[#This Row],[COSTO REAL]]-CATEGORIAS[[#This Row],[PROYECCION
TOTAL DE COSTO]]</f>
        <v>0</v>
      </c>
    </row>
    <row r="286" spans="1:33" x14ac:dyDescent="0.25">
      <c r="A286" s="274" t="str">
        <f>+IFERROR(VLOOKUP(CATEGORIAS[[#This Row],[CATEGORIA2]],[1]HOMOLOGACION!$A$1:$I$571,9,FALSE),0)</f>
        <v>0Q02</v>
      </c>
      <c r="B286" s="274" t="str">
        <f>+IFERROR(VLOOKUP(CATEGORIAS[[#This Row],[CATEGORIA2]],[1]HOMOLOGACION!$A$1:$C$571,3,FALSE),0)</f>
        <v>0X08</v>
      </c>
      <c r="C286" s="274" t="str">
        <f>+IFERROR(VLOOKUP(CATEGORIAS[[#This Row],[CATEGORIA2]],[1]HOMOLOGACION!$A$1:$D$571,4,FALSE),0)</f>
        <v xml:space="preserve">Ductos </v>
      </c>
      <c r="D286" s="144" t="s">
        <v>2004</v>
      </c>
      <c r="E286" s="273" t="s">
        <v>919</v>
      </c>
      <c r="F286" s="275" t="s">
        <v>361</v>
      </c>
      <c r="G286" s="313">
        <v>0</v>
      </c>
      <c r="H286" s="313">
        <v>0</v>
      </c>
      <c r="I286" s="130">
        <v>0</v>
      </c>
      <c r="J286" s="130"/>
      <c r="K286" s="130"/>
      <c r="L286" s="143">
        <f>CATEGORIAS[[#This Row],[ADICIONALES]]+CATEGORIAS[[#This Row],[POM]]</f>
        <v>0</v>
      </c>
      <c r="M286" s="131">
        <v>0</v>
      </c>
      <c r="N286" s="227">
        <v>0</v>
      </c>
      <c r="O286" s="296">
        <f>CATEGORIAS[[#This Row],[PRODUCCION
PARTIDAS
ORIGINALES
ACTUAL]]+CATEGORIAS[[#This Row],[PRODUCCION
ADICIONALES
ACTUAL]]</f>
        <v>0</v>
      </c>
      <c r="P286" s="227">
        <v>0</v>
      </c>
      <c r="Q286" s="227">
        <v>0</v>
      </c>
      <c r="R286" s="297">
        <f>CATEGORIAS[[#This Row],[PRODUCCION
ANTERIOR]]+CATEGORIAS[[#This Row],[PRODUCCION
ADICIONALES
ANTERIOR]]</f>
        <v>0</v>
      </c>
      <c r="S286" s="133">
        <v>0</v>
      </c>
      <c r="T286" s="133"/>
      <c r="U286" s="133"/>
      <c r="V286" s="296">
        <f>SUM(CATEGORIAS[[#This Row],[COSTO
ACUMULADO  AX]:[PROVISIONES]])</f>
        <v>0</v>
      </c>
      <c r="W286" s="298">
        <v>0</v>
      </c>
      <c r="X286" s="227"/>
      <c r="Y286" s="227"/>
      <c r="Z286" s="297">
        <f>SUM(CATEGORIAS[[#This Row],[COSTO ACUMULADO
ANTERIOR]:[PROVISIONES
ANTERIOR]])</f>
        <v>0</v>
      </c>
      <c r="AA286" s="139">
        <f>CATEGORIAS[[#This Row],[PRESUPUESTO
FINAL
PROYECTADO]]-CATEGORIAS[[#This Row],[TOTAL PRODUCCION
ACTUAL]]</f>
        <v>0</v>
      </c>
      <c r="AB286" s="227">
        <v>0</v>
      </c>
      <c r="AC286" s="132"/>
      <c r="AD286" s="132"/>
      <c r="AE286" s="226">
        <f>SUM(CATEGORIAS[[#This Row],[INVENTARIO]:[PROYECCION
DE COSTO
DEL SALDO]])</f>
        <v>0</v>
      </c>
      <c r="AF286" s="132"/>
      <c r="AG286" s="132">
        <f>+CATEGORIAS[[#This Row],[PRESUPUESTO
FINAL
PROYECTADO]]-CATEGORIAS[[#This Row],[COSTO REAL]]-CATEGORIAS[[#This Row],[PROYECCION
TOTAL DE COSTO]]</f>
        <v>0</v>
      </c>
    </row>
    <row r="287" spans="1:33" x14ac:dyDescent="0.25">
      <c r="A287" s="274" t="str">
        <f>+IFERROR(VLOOKUP(CATEGORIAS[[#This Row],[CATEGORIA2]],[1]HOMOLOGACION!$A$1:$I$571,9,FALSE),0)</f>
        <v>0Q02</v>
      </c>
      <c r="B287" s="274" t="str">
        <f>+IFERROR(VLOOKUP(CATEGORIAS[[#This Row],[CATEGORIA2]],[1]HOMOLOGACION!$A$1:$C$571,3,FALSE),0)</f>
        <v>0X08</v>
      </c>
      <c r="C287" s="274" t="str">
        <f>+IFERROR(VLOOKUP(CATEGORIAS[[#This Row],[CATEGORIA2]],[1]HOMOLOGACION!$A$1:$D$571,4,FALSE),0)</f>
        <v xml:space="preserve">Ductos </v>
      </c>
      <c r="D287" s="144" t="s">
        <v>2005</v>
      </c>
      <c r="E287" s="273" t="s">
        <v>921</v>
      </c>
      <c r="F287" s="275" t="s">
        <v>361</v>
      </c>
      <c r="G287" s="313">
        <v>0</v>
      </c>
      <c r="H287" s="313">
        <v>0</v>
      </c>
      <c r="I287" s="130">
        <v>0</v>
      </c>
      <c r="J287" s="130"/>
      <c r="K287" s="130"/>
      <c r="L287" s="143">
        <f>CATEGORIAS[[#This Row],[ADICIONALES]]+CATEGORIAS[[#This Row],[POM]]</f>
        <v>0</v>
      </c>
      <c r="M287" s="131">
        <v>0</v>
      </c>
      <c r="N287" s="227">
        <v>0</v>
      </c>
      <c r="O287" s="296">
        <f>CATEGORIAS[[#This Row],[PRODUCCION
PARTIDAS
ORIGINALES
ACTUAL]]+CATEGORIAS[[#This Row],[PRODUCCION
ADICIONALES
ACTUAL]]</f>
        <v>0</v>
      </c>
      <c r="P287" s="227">
        <v>0</v>
      </c>
      <c r="Q287" s="132">
        <v>0</v>
      </c>
      <c r="R287" s="297">
        <f>CATEGORIAS[[#This Row],[PRODUCCION
ANTERIOR]]+CATEGORIAS[[#This Row],[PRODUCCION
ADICIONALES
ANTERIOR]]</f>
        <v>0</v>
      </c>
      <c r="S287" s="133">
        <v>0</v>
      </c>
      <c r="T287" s="133"/>
      <c r="U287" s="133"/>
      <c r="V287" s="296">
        <f>SUM(CATEGORIAS[[#This Row],[COSTO
ACUMULADO  AX]:[PROVISIONES]])</f>
        <v>0</v>
      </c>
      <c r="W287" s="298">
        <v>0</v>
      </c>
      <c r="X287" s="227"/>
      <c r="Y287" s="227"/>
      <c r="Z287" s="297">
        <f>SUM(CATEGORIAS[[#This Row],[COSTO ACUMULADO
ANTERIOR]:[PROVISIONES
ANTERIOR]])</f>
        <v>0</v>
      </c>
      <c r="AA287" s="139">
        <f>CATEGORIAS[[#This Row],[PRESUPUESTO
FINAL
PROYECTADO]]-CATEGORIAS[[#This Row],[TOTAL PRODUCCION
ACTUAL]]</f>
        <v>0</v>
      </c>
      <c r="AB287" s="227">
        <v>0</v>
      </c>
      <c r="AC287" s="132"/>
      <c r="AD287" s="132"/>
      <c r="AE287" s="226">
        <f>SUM(CATEGORIAS[[#This Row],[INVENTARIO]:[PROYECCION
DE COSTO
DEL SALDO]])</f>
        <v>0</v>
      </c>
      <c r="AF287" s="132"/>
      <c r="AG287" s="132">
        <f>+CATEGORIAS[[#This Row],[PRESUPUESTO
FINAL
PROYECTADO]]-CATEGORIAS[[#This Row],[COSTO REAL]]-CATEGORIAS[[#This Row],[PROYECCION
TOTAL DE COSTO]]</f>
        <v>0</v>
      </c>
    </row>
    <row r="288" spans="1:33" x14ac:dyDescent="0.25">
      <c r="A288" s="274" t="str">
        <f>+IFERROR(VLOOKUP(CATEGORIAS[[#This Row],[CATEGORIA2]],[1]HOMOLOGACION!$A$1:$I$571,9,FALSE),0)</f>
        <v>0Q02</v>
      </c>
      <c r="B288" s="274" t="str">
        <f>+IFERROR(VLOOKUP(CATEGORIAS[[#This Row],[CATEGORIA2]],[1]HOMOLOGACION!$A$1:$C$571,3,FALSE),0)</f>
        <v>0X09</v>
      </c>
      <c r="C288" s="274" t="str">
        <f>+IFERROR(VLOOKUP(CATEGORIAS[[#This Row],[CATEGORIA2]],[1]HOMOLOGACION!$A$1:$D$571,4,FALSE),0)</f>
        <v xml:space="preserve">Estanque </v>
      </c>
      <c r="D288" s="144" t="s">
        <v>2006</v>
      </c>
      <c r="E288" s="273" t="s">
        <v>923</v>
      </c>
      <c r="F288" s="275" t="s">
        <v>361</v>
      </c>
      <c r="G288" s="313">
        <v>0</v>
      </c>
      <c r="H288" s="313">
        <v>0</v>
      </c>
      <c r="I288" s="130">
        <v>0</v>
      </c>
      <c r="J288" s="130"/>
      <c r="K288" s="130"/>
      <c r="L288" s="143">
        <f>CATEGORIAS[[#This Row],[ADICIONALES]]+CATEGORIAS[[#This Row],[POM]]</f>
        <v>0</v>
      </c>
      <c r="M288" s="131">
        <v>0</v>
      </c>
      <c r="N288" s="227">
        <v>0</v>
      </c>
      <c r="O288" s="296">
        <f>CATEGORIAS[[#This Row],[PRODUCCION
PARTIDAS
ORIGINALES
ACTUAL]]+CATEGORIAS[[#This Row],[PRODUCCION
ADICIONALES
ACTUAL]]</f>
        <v>0</v>
      </c>
      <c r="P288" s="227">
        <v>0</v>
      </c>
      <c r="Q288" s="227">
        <v>0</v>
      </c>
      <c r="R288" s="297">
        <f>CATEGORIAS[[#This Row],[PRODUCCION
ANTERIOR]]+CATEGORIAS[[#This Row],[PRODUCCION
ADICIONALES
ANTERIOR]]</f>
        <v>0</v>
      </c>
      <c r="S288" s="133">
        <v>0</v>
      </c>
      <c r="T288" s="133"/>
      <c r="U288" s="133"/>
      <c r="V288" s="296">
        <f>SUM(CATEGORIAS[[#This Row],[COSTO
ACUMULADO  AX]:[PROVISIONES]])</f>
        <v>0</v>
      </c>
      <c r="W288" s="298">
        <v>0</v>
      </c>
      <c r="X288" s="227"/>
      <c r="Y288" s="227"/>
      <c r="Z288" s="297">
        <f>SUM(CATEGORIAS[[#This Row],[COSTO ACUMULADO
ANTERIOR]:[PROVISIONES
ANTERIOR]])</f>
        <v>0</v>
      </c>
      <c r="AA288" s="139">
        <f>CATEGORIAS[[#This Row],[PRESUPUESTO
FINAL
PROYECTADO]]-CATEGORIAS[[#This Row],[TOTAL PRODUCCION
ACTUAL]]</f>
        <v>0</v>
      </c>
      <c r="AB288" s="227">
        <v>0</v>
      </c>
      <c r="AC288" s="132"/>
      <c r="AD288" s="132"/>
      <c r="AE288" s="226">
        <f>SUM(CATEGORIAS[[#This Row],[INVENTARIO]:[PROYECCION
DE COSTO
DEL SALDO]])</f>
        <v>0</v>
      </c>
      <c r="AF288" s="132"/>
      <c r="AG288" s="132">
        <f>+CATEGORIAS[[#This Row],[PRESUPUESTO
FINAL
PROYECTADO]]-CATEGORIAS[[#This Row],[COSTO REAL]]-CATEGORIAS[[#This Row],[PROYECCION
TOTAL DE COSTO]]</f>
        <v>0</v>
      </c>
    </row>
    <row r="289" spans="1:33" x14ac:dyDescent="0.25">
      <c r="A289" s="274" t="str">
        <f>+IFERROR(VLOOKUP(CATEGORIAS[[#This Row],[CATEGORIA2]],[1]HOMOLOGACION!$A$1:$I$571,9,FALSE),0)</f>
        <v>0Q02</v>
      </c>
      <c r="B289" s="274" t="str">
        <f>+IFERROR(VLOOKUP(CATEGORIAS[[#This Row],[CATEGORIA2]],[1]HOMOLOGACION!$A$1:$C$571,3,FALSE),0)</f>
        <v>0X09</v>
      </c>
      <c r="C289" s="274" t="str">
        <f>+IFERROR(VLOOKUP(CATEGORIAS[[#This Row],[CATEGORIA2]],[1]HOMOLOGACION!$A$1:$D$571,4,FALSE),0)</f>
        <v xml:space="preserve">Estanque </v>
      </c>
      <c r="D289" s="144" t="s">
        <v>2007</v>
      </c>
      <c r="E289" s="273" t="s">
        <v>925</v>
      </c>
      <c r="F289" s="275" t="s">
        <v>361</v>
      </c>
      <c r="G289" s="313">
        <v>0</v>
      </c>
      <c r="H289" s="313">
        <v>0</v>
      </c>
      <c r="I289" s="130">
        <v>0</v>
      </c>
      <c r="J289" s="130"/>
      <c r="K289" s="130"/>
      <c r="L289" s="143">
        <f>CATEGORIAS[[#This Row],[ADICIONALES]]+CATEGORIAS[[#This Row],[POM]]</f>
        <v>0</v>
      </c>
      <c r="M289" s="131">
        <v>0</v>
      </c>
      <c r="N289" s="227">
        <v>0</v>
      </c>
      <c r="O289" s="296">
        <f>CATEGORIAS[[#This Row],[PRODUCCION
PARTIDAS
ORIGINALES
ACTUAL]]+CATEGORIAS[[#This Row],[PRODUCCION
ADICIONALES
ACTUAL]]</f>
        <v>0</v>
      </c>
      <c r="P289" s="227">
        <v>0</v>
      </c>
      <c r="Q289" s="132">
        <v>0</v>
      </c>
      <c r="R289" s="297">
        <f>CATEGORIAS[[#This Row],[PRODUCCION
ANTERIOR]]+CATEGORIAS[[#This Row],[PRODUCCION
ADICIONALES
ANTERIOR]]</f>
        <v>0</v>
      </c>
      <c r="S289" s="133">
        <v>0</v>
      </c>
      <c r="T289" s="133"/>
      <c r="U289" s="133"/>
      <c r="V289" s="296">
        <f>SUM(CATEGORIAS[[#This Row],[COSTO
ACUMULADO  AX]:[PROVISIONES]])</f>
        <v>0</v>
      </c>
      <c r="W289" s="298">
        <v>0</v>
      </c>
      <c r="X289" s="227"/>
      <c r="Y289" s="227"/>
      <c r="Z289" s="297">
        <f>SUM(CATEGORIAS[[#This Row],[COSTO ACUMULADO
ANTERIOR]:[PROVISIONES
ANTERIOR]])</f>
        <v>0</v>
      </c>
      <c r="AA289" s="139">
        <f>CATEGORIAS[[#This Row],[PRESUPUESTO
FINAL
PROYECTADO]]-CATEGORIAS[[#This Row],[TOTAL PRODUCCION
ACTUAL]]</f>
        <v>0</v>
      </c>
      <c r="AB289" s="227">
        <v>0</v>
      </c>
      <c r="AC289" s="132"/>
      <c r="AD289" s="132"/>
      <c r="AE289" s="226">
        <f>SUM(CATEGORIAS[[#This Row],[INVENTARIO]:[PROYECCION
DE COSTO
DEL SALDO]])</f>
        <v>0</v>
      </c>
      <c r="AF289" s="132"/>
      <c r="AG289" s="132">
        <f>+CATEGORIAS[[#This Row],[PRESUPUESTO
FINAL
PROYECTADO]]-CATEGORIAS[[#This Row],[COSTO REAL]]-CATEGORIAS[[#This Row],[PROYECCION
TOTAL DE COSTO]]</f>
        <v>0</v>
      </c>
    </row>
    <row r="290" spans="1:33" x14ac:dyDescent="0.25">
      <c r="A290" s="274" t="str">
        <f>+IFERROR(VLOOKUP(CATEGORIAS[[#This Row],[CATEGORIA2]],[1]HOMOLOGACION!$A$1:$I$571,9,FALSE),0)</f>
        <v>0Q02</v>
      </c>
      <c r="B290" s="274" t="str">
        <f>+IFERROR(VLOOKUP(CATEGORIAS[[#This Row],[CATEGORIA2]],[1]HOMOLOGACION!$A$1:$C$571,3,FALSE),0)</f>
        <v>0X09</v>
      </c>
      <c r="C290" s="274" t="str">
        <f>+IFERROR(VLOOKUP(CATEGORIAS[[#This Row],[CATEGORIA2]],[1]HOMOLOGACION!$A$1:$D$571,4,FALSE),0)</f>
        <v xml:space="preserve">Estanque </v>
      </c>
      <c r="D290" s="144" t="s">
        <v>2008</v>
      </c>
      <c r="E290" s="273" t="s">
        <v>927</v>
      </c>
      <c r="F290" s="275" t="s">
        <v>361</v>
      </c>
      <c r="G290" s="313">
        <v>0</v>
      </c>
      <c r="H290" s="313">
        <v>0</v>
      </c>
      <c r="I290" s="130">
        <v>0</v>
      </c>
      <c r="J290" s="130"/>
      <c r="K290" s="130"/>
      <c r="L290" s="143">
        <f>CATEGORIAS[[#This Row],[ADICIONALES]]+CATEGORIAS[[#This Row],[POM]]</f>
        <v>0</v>
      </c>
      <c r="M290" s="131">
        <v>0</v>
      </c>
      <c r="N290" s="227">
        <v>0</v>
      </c>
      <c r="O290" s="296">
        <f>CATEGORIAS[[#This Row],[PRODUCCION
PARTIDAS
ORIGINALES
ACTUAL]]+CATEGORIAS[[#This Row],[PRODUCCION
ADICIONALES
ACTUAL]]</f>
        <v>0</v>
      </c>
      <c r="P290" s="227">
        <v>0</v>
      </c>
      <c r="Q290" s="227">
        <v>0</v>
      </c>
      <c r="R290" s="297">
        <f>CATEGORIAS[[#This Row],[PRODUCCION
ANTERIOR]]+CATEGORIAS[[#This Row],[PRODUCCION
ADICIONALES
ANTERIOR]]</f>
        <v>0</v>
      </c>
      <c r="S290" s="133">
        <v>0</v>
      </c>
      <c r="T290" s="133"/>
      <c r="U290" s="133"/>
      <c r="V290" s="296">
        <f>SUM(CATEGORIAS[[#This Row],[COSTO
ACUMULADO  AX]:[PROVISIONES]])</f>
        <v>0</v>
      </c>
      <c r="W290" s="298">
        <v>0</v>
      </c>
      <c r="X290" s="227"/>
      <c r="Y290" s="227"/>
      <c r="Z290" s="297">
        <f>SUM(CATEGORIAS[[#This Row],[COSTO ACUMULADO
ANTERIOR]:[PROVISIONES
ANTERIOR]])</f>
        <v>0</v>
      </c>
      <c r="AA290" s="139">
        <f>CATEGORIAS[[#This Row],[PRESUPUESTO
FINAL
PROYECTADO]]-CATEGORIAS[[#This Row],[TOTAL PRODUCCION
ACTUAL]]</f>
        <v>0</v>
      </c>
      <c r="AB290" s="227">
        <v>0</v>
      </c>
      <c r="AC290" s="132"/>
      <c r="AD290" s="132"/>
      <c r="AE290" s="226">
        <f>SUM(CATEGORIAS[[#This Row],[INVENTARIO]:[PROYECCION
DE COSTO
DEL SALDO]])</f>
        <v>0</v>
      </c>
      <c r="AF290" s="132"/>
      <c r="AG290" s="132">
        <f>+CATEGORIAS[[#This Row],[PRESUPUESTO
FINAL
PROYECTADO]]-CATEGORIAS[[#This Row],[COSTO REAL]]-CATEGORIAS[[#This Row],[PROYECCION
TOTAL DE COSTO]]</f>
        <v>0</v>
      </c>
    </row>
    <row r="291" spans="1:33" x14ac:dyDescent="0.25">
      <c r="A291" s="274" t="str">
        <f>+IFERROR(VLOOKUP(CATEGORIAS[[#This Row],[CATEGORIA2]],[1]HOMOLOGACION!$A$1:$I$571,9,FALSE),0)</f>
        <v>0Q02</v>
      </c>
      <c r="B291" s="274" t="str">
        <f>+IFERROR(VLOOKUP(CATEGORIAS[[#This Row],[CATEGORIA2]],[1]HOMOLOGACION!$A$1:$C$571,3,FALSE),0)</f>
        <v>0X09</v>
      </c>
      <c r="C291" s="274" t="str">
        <f>+IFERROR(VLOOKUP(CATEGORIAS[[#This Row],[CATEGORIA2]],[1]HOMOLOGACION!$A$1:$D$571,4,FALSE),0)</f>
        <v xml:space="preserve">Estanque </v>
      </c>
      <c r="D291" s="144" t="s">
        <v>2009</v>
      </c>
      <c r="E291" s="273" t="s">
        <v>929</v>
      </c>
      <c r="F291" s="275" t="s">
        <v>361</v>
      </c>
      <c r="G291" s="313">
        <v>0</v>
      </c>
      <c r="H291" s="313">
        <v>0</v>
      </c>
      <c r="I291" s="130">
        <v>0</v>
      </c>
      <c r="J291" s="130"/>
      <c r="K291" s="130"/>
      <c r="L291" s="143">
        <f>CATEGORIAS[[#This Row],[ADICIONALES]]+CATEGORIAS[[#This Row],[POM]]</f>
        <v>0</v>
      </c>
      <c r="M291" s="131">
        <v>0</v>
      </c>
      <c r="N291" s="227">
        <v>0</v>
      </c>
      <c r="O291" s="296">
        <f>CATEGORIAS[[#This Row],[PRODUCCION
PARTIDAS
ORIGINALES
ACTUAL]]+CATEGORIAS[[#This Row],[PRODUCCION
ADICIONALES
ACTUAL]]</f>
        <v>0</v>
      </c>
      <c r="P291" s="227">
        <v>0</v>
      </c>
      <c r="Q291" s="132">
        <v>0</v>
      </c>
      <c r="R291" s="297">
        <f>CATEGORIAS[[#This Row],[PRODUCCION
ANTERIOR]]+CATEGORIAS[[#This Row],[PRODUCCION
ADICIONALES
ANTERIOR]]</f>
        <v>0</v>
      </c>
      <c r="S291" s="133">
        <v>0</v>
      </c>
      <c r="T291" s="133"/>
      <c r="U291" s="133"/>
      <c r="V291" s="296">
        <f>SUM(CATEGORIAS[[#This Row],[COSTO
ACUMULADO  AX]:[PROVISIONES]])</f>
        <v>0</v>
      </c>
      <c r="W291" s="298">
        <v>0</v>
      </c>
      <c r="X291" s="227"/>
      <c r="Y291" s="227"/>
      <c r="Z291" s="297">
        <f>SUM(CATEGORIAS[[#This Row],[COSTO ACUMULADO
ANTERIOR]:[PROVISIONES
ANTERIOR]])</f>
        <v>0</v>
      </c>
      <c r="AA291" s="139">
        <f>CATEGORIAS[[#This Row],[PRESUPUESTO
FINAL
PROYECTADO]]-CATEGORIAS[[#This Row],[TOTAL PRODUCCION
ACTUAL]]</f>
        <v>0</v>
      </c>
      <c r="AB291" s="227">
        <v>0</v>
      </c>
      <c r="AC291" s="132"/>
      <c r="AD291" s="132"/>
      <c r="AE291" s="226">
        <f>SUM(CATEGORIAS[[#This Row],[INVENTARIO]:[PROYECCION
DE COSTO
DEL SALDO]])</f>
        <v>0</v>
      </c>
      <c r="AF291" s="132"/>
      <c r="AG291" s="132">
        <f>+CATEGORIAS[[#This Row],[PRESUPUESTO
FINAL
PROYECTADO]]-CATEGORIAS[[#This Row],[COSTO REAL]]-CATEGORIAS[[#This Row],[PROYECCION
TOTAL DE COSTO]]</f>
        <v>0</v>
      </c>
    </row>
    <row r="292" spans="1:33" x14ac:dyDescent="0.25">
      <c r="A292" s="274" t="str">
        <f>+IFERROR(VLOOKUP(CATEGORIAS[[#This Row],[CATEGORIA2]],[1]HOMOLOGACION!$A$1:$I$571,9,FALSE),0)</f>
        <v>0Q02</v>
      </c>
      <c r="B292" s="274" t="str">
        <f>+IFERROR(VLOOKUP(CATEGORIAS[[#This Row],[CATEGORIA2]],[1]HOMOLOGACION!$A$1:$C$571,3,FALSE),0)</f>
        <v>0X09</v>
      </c>
      <c r="C292" s="274" t="str">
        <f>+IFERROR(VLOOKUP(CATEGORIAS[[#This Row],[CATEGORIA2]],[1]HOMOLOGACION!$A$1:$D$571,4,FALSE),0)</f>
        <v xml:space="preserve">Estanque </v>
      </c>
      <c r="D292" s="144" t="s">
        <v>2010</v>
      </c>
      <c r="E292" s="273" t="s">
        <v>931</v>
      </c>
      <c r="F292" s="275" t="s">
        <v>361</v>
      </c>
      <c r="G292" s="313">
        <v>0</v>
      </c>
      <c r="H292" s="313">
        <v>0</v>
      </c>
      <c r="I292" s="130">
        <v>0</v>
      </c>
      <c r="J292" s="130"/>
      <c r="K292" s="130"/>
      <c r="L292" s="143">
        <f>CATEGORIAS[[#This Row],[ADICIONALES]]+CATEGORIAS[[#This Row],[POM]]</f>
        <v>0</v>
      </c>
      <c r="M292" s="131">
        <v>0</v>
      </c>
      <c r="N292" s="227">
        <v>0</v>
      </c>
      <c r="O292" s="296">
        <f>CATEGORIAS[[#This Row],[PRODUCCION
PARTIDAS
ORIGINALES
ACTUAL]]+CATEGORIAS[[#This Row],[PRODUCCION
ADICIONALES
ACTUAL]]</f>
        <v>0</v>
      </c>
      <c r="P292" s="227">
        <v>0</v>
      </c>
      <c r="Q292" s="227">
        <v>0</v>
      </c>
      <c r="R292" s="297">
        <f>CATEGORIAS[[#This Row],[PRODUCCION
ANTERIOR]]+CATEGORIAS[[#This Row],[PRODUCCION
ADICIONALES
ANTERIOR]]</f>
        <v>0</v>
      </c>
      <c r="S292" s="133">
        <v>0</v>
      </c>
      <c r="T292" s="133"/>
      <c r="U292" s="133"/>
      <c r="V292" s="296">
        <f>SUM(CATEGORIAS[[#This Row],[COSTO
ACUMULADO  AX]:[PROVISIONES]])</f>
        <v>0</v>
      </c>
      <c r="W292" s="298">
        <v>0</v>
      </c>
      <c r="X292" s="227"/>
      <c r="Y292" s="227"/>
      <c r="Z292" s="297">
        <f>SUM(CATEGORIAS[[#This Row],[COSTO ACUMULADO
ANTERIOR]:[PROVISIONES
ANTERIOR]])</f>
        <v>0</v>
      </c>
      <c r="AA292" s="139">
        <f>CATEGORIAS[[#This Row],[PRESUPUESTO
FINAL
PROYECTADO]]-CATEGORIAS[[#This Row],[TOTAL PRODUCCION
ACTUAL]]</f>
        <v>0</v>
      </c>
      <c r="AB292" s="227">
        <v>0</v>
      </c>
      <c r="AC292" s="132"/>
      <c r="AD292" s="132"/>
      <c r="AE292" s="226">
        <f>SUM(CATEGORIAS[[#This Row],[INVENTARIO]:[PROYECCION
DE COSTO
DEL SALDO]])</f>
        <v>0</v>
      </c>
      <c r="AF292" s="132"/>
      <c r="AG292" s="132">
        <f>+CATEGORIAS[[#This Row],[PRESUPUESTO
FINAL
PROYECTADO]]-CATEGORIAS[[#This Row],[COSTO REAL]]-CATEGORIAS[[#This Row],[PROYECCION
TOTAL DE COSTO]]</f>
        <v>0</v>
      </c>
    </row>
    <row r="293" spans="1:33" x14ac:dyDescent="0.25">
      <c r="A293" s="274" t="str">
        <f>+IFERROR(VLOOKUP(CATEGORIAS[[#This Row],[CATEGORIA2]],[1]HOMOLOGACION!$A$1:$I$571,9,FALSE),0)</f>
        <v>0Q02</v>
      </c>
      <c r="B293" s="274" t="str">
        <f>+IFERROR(VLOOKUP(CATEGORIAS[[#This Row],[CATEGORIA2]],[1]HOMOLOGACION!$A$1:$C$571,3,FALSE),0)</f>
        <v>0X09</v>
      </c>
      <c r="C293" s="274" t="str">
        <f>+IFERROR(VLOOKUP(CATEGORIAS[[#This Row],[CATEGORIA2]],[1]HOMOLOGACION!$A$1:$D$571,4,FALSE),0)</f>
        <v xml:space="preserve">Estanque </v>
      </c>
      <c r="D293" s="144" t="s">
        <v>2011</v>
      </c>
      <c r="E293" s="273" t="s">
        <v>933</v>
      </c>
      <c r="F293" s="275" t="s">
        <v>361</v>
      </c>
      <c r="G293" s="313">
        <v>0</v>
      </c>
      <c r="H293" s="313">
        <v>0</v>
      </c>
      <c r="I293" s="130">
        <v>0</v>
      </c>
      <c r="J293" s="130"/>
      <c r="K293" s="130"/>
      <c r="L293" s="143">
        <f>CATEGORIAS[[#This Row],[ADICIONALES]]+CATEGORIAS[[#This Row],[POM]]</f>
        <v>0</v>
      </c>
      <c r="M293" s="131">
        <v>0</v>
      </c>
      <c r="N293" s="227">
        <v>0</v>
      </c>
      <c r="O293" s="296">
        <f>CATEGORIAS[[#This Row],[PRODUCCION
PARTIDAS
ORIGINALES
ACTUAL]]+CATEGORIAS[[#This Row],[PRODUCCION
ADICIONALES
ACTUAL]]</f>
        <v>0</v>
      </c>
      <c r="P293" s="227">
        <v>0</v>
      </c>
      <c r="Q293" s="132">
        <v>0</v>
      </c>
      <c r="R293" s="297">
        <f>CATEGORIAS[[#This Row],[PRODUCCION
ANTERIOR]]+CATEGORIAS[[#This Row],[PRODUCCION
ADICIONALES
ANTERIOR]]</f>
        <v>0</v>
      </c>
      <c r="S293" s="133">
        <v>0</v>
      </c>
      <c r="T293" s="133"/>
      <c r="U293" s="133"/>
      <c r="V293" s="296">
        <f>SUM(CATEGORIAS[[#This Row],[COSTO
ACUMULADO  AX]:[PROVISIONES]])</f>
        <v>0</v>
      </c>
      <c r="W293" s="298">
        <v>0</v>
      </c>
      <c r="X293" s="227"/>
      <c r="Y293" s="227"/>
      <c r="Z293" s="297">
        <f>SUM(CATEGORIAS[[#This Row],[COSTO ACUMULADO
ANTERIOR]:[PROVISIONES
ANTERIOR]])</f>
        <v>0</v>
      </c>
      <c r="AA293" s="139">
        <f>CATEGORIAS[[#This Row],[PRESUPUESTO
FINAL
PROYECTADO]]-CATEGORIAS[[#This Row],[TOTAL PRODUCCION
ACTUAL]]</f>
        <v>0</v>
      </c>
      <c r="AB293" s="227">
        <v>0</v>
      </c>
      <c r="AC293" s="132"/>
      <c r="AD293" s="132"/>
      <c r="AE293" s="226">
        <f>SUM(CATEGORIAS[[#This Row],[INVENTARIO]:[PROYECCION
DE COSTO
DEL SALDO]])</f>
        <v>0</v>
      </c>
      <c r="AF293" s="132"/>
      <c r="AG293" s="132">
        <f>+CATEGORIAS[[#This Row],[PRESUPUESTO
FINAL
PROYECTADO]]-CATEGORIAS[[#This Row],[COSTO REAL]]-CATEGORIAS[[#This Row],[PROYECCION
TOTAL DE COSTO]]</f>
        <v>0</v>
      </c>
    </row>
    <row r="294" spans="1:33" x14ac:dyDescent="0.25">
      <c r="A294" s="274" t="str">
        <f>+IFERROR(VLOOKUP(CATEGORIAS[[#This Row],[CATEGORIA2]],[1]HOMOLOGACION!$A$1:$I$571,9,FALSE),0)</f>
        <v>0Q02</v>
      </c>
      <c r="B294" s="274" t="str">
        <f>+IFERROR(VLOOKUP(CATEGORIAS[[#This Row],[CATEGORIA2]],[1]HOMOLOGACION!$A$1:$C$571,3,FALSE),0)</f>
        <v>0X09</v>
      </c>
      <c r="C294" s="274" t="str">
        <f>+IFERROR(VLOOKUP(CATEGORIAS[[#This Row],[CATEGORIA2]],[1]HOMOLOGACION!$A$1:$D$571,4,FALSE),0)</f>
        <v xml:space="preserve">Estanque </v>
      </c>
      <c r="D294" s="144" t="s">
        <v>2012</v>
      </c>
      <c r="E294" s="273" t="s">
        <v>935</v>
      </c>
      <c r="F294" s="275" t="s">
        <v>361</v>
      </c>
      <c r="G294" s="313">
        <v>0</v>
      </c>
      <c r="H294" s="313">
        <v>0</v>
      </c>
      <c r="I294" s="130">
        <v>0</v>
      </c>
      <c r="J294" s="130"/>
      <c r="K294" s="130"/>
      <c r="L294" s="143">
        <f>CATEGORIAS[[#This Row],[ADICIONALES]]+CATEGORIAS[[#This Row],[POM]]</f>
        <v>0</v>
      </c>
      <c r="M294" s="131">
        <v>0</v>
      </c>
      <c r="N294" s="227">
        <v>0</v>
      </c>
      <c r="O294" s="296">
        <f>CATEGORIAS[[#This Row],[PRODUCCION
PARTIDAS
ORIGINALES
ACTUAL]]+CATEGORIAS[[#This Row],[PRODUCCION
ADICIONALES
ACTUAL]]</f>
        <v>0</v>
      </c>
      <c r="P294" s="227">
        <v>0</v>
      </c>
      <c r="Q294" s="227">
        <v>0</v>
      </c>
      <c r="R294" s="297">
        <f>CATEGORIAS[[#This Row],[PRODUCCION
ANTERIOR]]+CATEGORIAS[[#This Row],[PRODUCCION
ADICIONALES
ANTERIOR]]</f>
        <v>0</v>
      </c>
      <c r="S294" s="133">
        <v>0</v>
      </c>
      <c r="T294" s="133"/>
      <c r="U294" s="133"/>
      <c r="V294" s="296">
        <f>SUM(CATEGORIAS[[#This Row],[COSTO
ACUMULADO  AX]:[PROVISIONES]])</f>
        <v>0</v>
      </c>
      <c r="W294" s="298">
        <v>0</v>
      </c>
      <c r="X294" s="227"/>
      <c r="Y294" s="227"/>
      <c r="Z294" s="297">
        <f>SUM(CATEGORIAS[[#This Row],[COSTO ACUMULADO
ANTERIOR]:[PROVISIONES
ANTERIOR]])</f>
        <v>0</v>
      </c>
      <c r="AA294" s="139">
        <f>CATEGORIAS[[#This Row],[PRESUPUESTO
FINAL
PROYECTADO]]-CATEGORIAS[[#This Row],[TOTAL PRODUCCION
ACTUAL]]</f>
        <v>0</v>
      </c>
      <c r="AB294" s="227">
        <v>0</v>
      </c>
      <c r="AC294" s="132"/>
      <c r="AD294" s="132"/>
      <c r="AE294" s="226">
        <f>SUM(CATEGORIAS[[#This Row],[INVENTARIO]:[PROYECCION
DE COSTO
DEL SALDO]])</f>
        <v>0</v>
      </c>
      <c r="AF294" s="132"/>
      <c r="AG294" s="132">
        <f>+CATEGORIAS[[#This Row],[PRESUPUESTO
FINAL
PROYECTADO]]-CATEGORIAS[[#This Row],[COSTO REAL]]-CATEGORIAS[[#This Row],[PROYECCION
TOTAL DE COSTO]]</f>
        <v>0</v>
      </c>
    </row>
    <row r="295" spans="1:33" x14ac:dyDescent="0.25">
      <c r="A295" s="274" t="str">
        <f>+IFERROR(VLOOKUP(CATEGORIAS[[#This Row],[CATEGORIA2]],[1]HOMOLOGACION!$A$1:$I$571,9,FALSE),0)</f>
        <v>0Q02</v>
      </c>
      <c r="B295" s="274" t="str">
        <f>+IFERROR(VLOOKUP(CATEGORIAS[[#This Row],[CATEGORIA2]],[1]HOMOLOGACION!$A$1:$C$571,3,FALSE),0)</f>
        <v>0X09</v>
      </c>
      <c r="C295" s="274" t="str">
        <f>+IFERROR(VLOOKUP(CATEGORIAS[[#This Row],[CATEGORIA2]],[1]HOMOLOGACION!$A$1:$D$571,4,FALSE),0)</f>
        <v xml:space="preserve">Estanque </v>
      </c>
      <c r="D295" s="144" t="s">
        <v>2013</v>
      </c>
      <c r="E295" s="273" t="s">
        <v>937</v>
      </c>
      <c r="F295" s="275" t="s">
        <v>361</v>
      </c>
      <c r="G295" s="313">
        <v>0</v>
      </c>
      <c r="H295" s="313">
        <v>0</v>
      </c>
      <c r="I295" s="130">
        <v>0</v>
      </c>
      <c r="J295" s="130"/>
      <c r="K295" s="130"/>
      <c r="L295" s="143">
        <f>CATEGORIAS[[#This Row],[ADICIONALES]]+CATEGORIAS[[#This Row],[POM]]</f>
        <v>0</v>
      </c>
      <c r="M295" s="131">
        <v>0</v>
      </c>
      <c r="N295" s="227">
        <v>0</v>
      </c>
      <c r="O295" s="296">
        <f>CATEGORIAS[[#This Row],[PRODUCCION
PARTIDAS
ORIGINALES
ACTUAL]]+CATEGORIAS[[#This Row],[PRODUCCION
ADICIONALES
ACTUAL]]</f>
        <v>0</v>
      </c>
      <c r="P295" s="227">
        <v>0</v>
      </c>
      <c r="Q295" s="132">
        <v>0</v>
      </c>
      <c r="R295" s="297">
        <f>CATEGORIAS[[#This Row],[PRODUCCION
ANTERIOR]]+CATEGORIAS[[#This Row],[PRODUCCION
ADICIONALES
ANTERIOR]]</f>
        <v>0</v>
      </c>
      <c r="S295" s="133">
        <v>0</v>
      </c>
      <c r="T295" s="133"/>
      <c r="U295" s="133"/>
      <c r="V295" s="296">
        <f>SUM(CATEGORIAS[[#This Row],[COSTO
ACUMULADO  AX]:[PROVISIONES]])</f>
        <v>0</v>
      </c>
      <c r="W295" s="298">
        <v>0</v>
      </c>
      <c r="X295" s="227"/>
      <c r="Y295" s="227"/>
      <c r="Z295" s="297">
        <f>SUM(CATEGORIAS[[#This Row],[COSTO ACUMULADO
ANTERIOR]:[PROVISIONES
ANTERIOR]])</f>
        <v>0</v>
      </c>
      <c r="AA295" s="139">
        <f>CATEGORIAS[[#This Row],[PRESUPUESTO
FINAL
PROYECTADO]]-CATEGORIAS[[#This Row],[TOTAL PRODUCCION
ACTUAL]]</f>
        <v>0</v>
      </c>
      <c r="AB295" s="227">
        <v>0</v>
      </c>
      <c r="AC295" s="132"/>
      <c r="AD295" s="132"/>
      <c r="AE295" s="226">
        <f>SUM(CATEGORIAS[[#This Row],[INVENTARIO]:[PROYECCION
DE COSTO
DEL SALDO]])</f>
        <v>0</v>
      </c>
      <c r="AF295" s="132"/>
      <c r="AG295" s="132">
        <f>+CATEGORIAS[[#This Row],[PRESUPUESTO
FINAL
PROYECTADO]]-CATEGORIAS[[#This Row],[COSTO REAL]]-CATEGORIAS[[#This Row],[PROYECCION
TOTAL DE COSTO]]</f>
        <v>0</v>
      </c>
    </row>
    <row r="296" spans="1:33" x14ac:dyDescent="0.25">
      <c r="A296" s="274" t="str">
        <f>+IFERROR(VLOOKUP(CATEGORIAS[[#This Row],[CATEGORIA2]],[1]HOMOLOGACION!$A$1:$I$571,9,FALSE),0)</f>
        <v>0Q02</v>
      </c>
      <c r="B296" s="274" t="str">
        <f>+IFERROR(VLOOKUP(CATEGORIAS[[#This Row],[CATEGORIA2]],[1]HOMOLOGACION!$A$1:$C$571,3,FALSE),0)</f>
        <v>0X09</v>
      </c>
      <c r="C296" s="274" t="str">
        <f>+IFERROR(VLOOKUP(CATEGORIAS[[#This Row],[CATEGORIA2]],[1]HOMOLOGACION!$A$1:$D$571,4,FALSE),0)</f>
        <v xml:space="preserve">Estanque </v>
      </c>
      <c r="D296" s="144" t="s">
        <v>2014</v>
      </c>
      <c r="E296" s="273" t="s">
        <v>939</v>
      </c>
      <c r="F296" s="275" t="s">
        <v>361</v>
      </c>
      <c r="G296" s="313">
        <v>0</v>
      </c>
      <c r="H296" s="313">
        <v>0</v>
      </c>
      <c r="I296" s="130">
        <v>0</v>
      </c>
      <c r="J296" s="130"/>
      <c r="K296" s="130"/>
      <c r="L296" s="143">
        <f>CATEGORIAS[[#This Row],[ADICIONALES]]+CATEGORIAS[[#This Row],[POM]]</f>
        <v>0</v>
      </c>
      <c r="M296" s="131">
        <v>0</v>
      </c>
      <c r="N296" s="227">
        <v>0</v>
      </c>
      <c r="O296" s="296">
        <f>CATEGORIAS[[#This Row],[PRODUCCION
PARTIDAS
ORIGINALES
ACTUAL]]+CATEGORIAS[[#This Row],[PRODUCCION
ADICIONALES
ACTUAL]]</f>
        <v>0</v>
      </c>
      <c r="P296" s="227">
        <v>0</v>
      </c>
      <c r="Q296" s="227">
        <v>0</v>
      </c>
      <c r="R296" s="297">
        <f>CATEGORIAS[[#This Row],[PRODUCCION
ANTERIOR]]+CATEGORIAS[[#This Row],[PRODUCCION
ADICIONALES
ANTERIOR]]</f>
        <v>0</v>
      </c>
      <c r="S296" s="133">
        <v>0</v>
      </c>
      <c r="T296" s="133"/>
      <c r="U296" s="133"/>
      <c r="V296" s="296">
        <f>SUM(CATEGORIAS[[#This Row],[COSTO
ACUMULADO  AX]:[PROVISIONES]])</f>
        <v>0</v>
      </c>
      <c r="W296" s="298">
        <v>0</v>
      </c>
      <c r="X296" s="227"/>
      <c r="Y296" s="227"/>
      <c r="Z296" s="297">
        <f>SUM(CATEGORIAS[[#This Row],[COSTO ACUMULADO
ANTERIOR]:[PROVISIONES
ANTERIOR]])</f>
        <v>0</v>
      </c>
      <c r="AA296" s="139">
        <f>CATEGORIAS[[#This Row],[PRESUPUESTO
FINAL
PROYECTADO]]-CATEGORIAS[[#This Row],[TOTAL PRODUCCION
ACTUAL]]</f>
        <v>0</v>
      </c>
      <c r="AB296" s="227">
        <v>0</v>
      </c>
      <c r="AC296" s="132"/>
      <c r="AD296" s="132"/>
      <c r="AE296" s="226">
        <f>SUM(CATEGORIAS[[#This Row],[INVENTARIO]:[PROYECCION
DE COSTO
DEL SALDO]])</f>
        <v>0</v>
      </c>
      <c r="AF296" s="132"/>
      <c r="AG296" s="132">
        <f>+CATEGORIAS[[#This Row],[PRESUPUESTO
FINAL
PROYECTADO]]-CATEGORIAS[[#This Row],[COSTO REAL]]-CATEGORIAS[[#This Row],[PROYECCION
TOTAL DE COSTO]]</f>
        <v>0</v>
      </c>
    </row>
    <row r="297" spans="1:33" x14ac:dyDescent="0.25">
      <c r="A297" s="274" t="str">
        <f>+IFERROR(VLOOKUP(CATEGORIAS[[#This Row],[CATEGORIA2]],[1]HOMOLOGACION!$A$1:$I$571,9,FALSE),0)</f>
        <v>0Q02</v>
      </c>
      <c r="B297" s="274" t="str">
        <f>+IFERROR(VLOOKUP(CATEGORIAS[[#This Row],[CATEGORIA2]],[1]HOMOLOGACION!$A$1:$C$571,3,FALSE),0)</f>
        <v>0X09</v>
      </c>
      <c r="C297" s="274" t="str">
        <f>+IFERROR(VLOOKUP(CATEGORIAS[[#This Row],[CATEGORIA2]],[1]HOMOLOGACION!$A$1:$D$571,4,FALSE),0)</f>
        <v xml:space="preserve">Estanque </v>
      </c>
      <c r="D297" s="144" t="s">
        <v>2015</v>
      </c>
      <c r="E297" s="273" t="s">
        <v>941</v>
      </c>
      <c r="F297" s="275" t="s">
        <v>361</v>
      </c>
      <c r="G297" s="313">
        <v>0</v>
      </c>
      <c r="H297" s="313">
        <v>0</v>
      </c>
      <c r="I297" s="130">
        <v>0</v>
      </c>
      <c r="J297" s="130"/>
      <c r="K297" s="130"/>
      <c r="L297" s="143">
        <f>CATEGORIAS[[#This Row],[ADICIONALES]]+CATEGORIAS[[#This Row],[POM]]</f>
        <v>0</v>
      </c>
      <c r="M297" s="131">
        <v>0</v>
      </c>
      <c r="N297" s="227">
        <v>0</v>
      </c>
      <c r="O297" s="296">
        <f>CATEGORIAS[[#This Row],[PRODUCCION
PARTIDAS
ORIGINALES
ACTUAL]]+CATEGORIAS[[#This Row],[PRODUCCION
ADICIONALES
ACTUAL]]</f>
        <v>0</v>
      </c>
      <c r="P297" s="227">
        <v>0</v>
      </c>
      <c r="Q297" s="132">
        <v>0</v>
      </c>
      <c r="R297" s="297">
        <f>CATEGORIAS[[#This Row],[PRODUCCION
ANTERIOR]]+CATEGORIAS[[#This Row],[PRODUCCION
ADICIONALES
ANTERIOR]]</f>
        <v>0</v>
      </c>
      <c r="S297" s="133">
        <v>0</v>
      </c>
      <c r="T297" s="133"/>
      <c r="U297" s="133"/>
      <c r="V297" s="296">
        <f>SUM(CATEGORIAS[[#This Row],[COSTO
ACUMULADO  AX]:[PROVISIONES]])</f>
        <v>0</v>
      </c>
      <c r="W297" s="298">
        <v>0</v>
      </c>
      <c r="X297" s="227"/>
      <c r="Y297" s="227"/>
      <c r="Z297" s="297">
        <f>SUM(CATEGORIAS[[#This Row],[COSTO ACUMULADO
ANTERIOR]:[PROVISIONES
ANTERIOR]])</f>
        <v>0</v>
      </c>
      <c r="AA297" s="139">
        <f>CATEGORIAS[[#This Row],[PRESUPUESTO
FINAL
PROYECTADO]]-CATEGORIAS[[#This Row],[TOTAL PRODUCCION
ACTUAL]]</f>
        <v>0</v>
      </c>
      <c r="AB297" s="227">
        <v>0</v>
      </c>
      <c r="AC297" s="132"/>
      <c r="AD297" s="132"/>
      <c r="AE297" s="226">
        <f>SUM(CATEGORIAS[[#This Row],[INVENTARIO]:[PROYECCION
DE COSTO
DEL SALDO]])</f>
        <v>0</v>
      </c>
      <c r="AF297" s="132"/>
      <c r="AG297" s="132">
        <f>+CATEGORIAS[[#This Row],[PRESUPUESTO
FINAL
PROYECTADO]]-CATEGORIAS[[#This Row],[COSTO REAL]]-CATEGORIAS[[#This Row],[PROYECCION
TOTAL DE COSTO]]</f>
        <v>0</v>
      </c>
    </row>
    <row r="298" spans="1:33" x14ac:dyDescent="0.25">
      <c r="A298" s="274" t="str">
        <f>+IFERROR(VLOOKUP(CATEGORIAS[[#This Row],[CATEGORIA2]],[1]HOMOLOGACION!$A$1:$I$571,9,FALSE),0)</f>
        <v>0Q02</v>
      </c>
      <c r="B298" s="274" t="str">
        <f>+IFERROR(VLOOKUP(CATEGORIAS[[#This Row],[CATEGORIA2]],[1]HOMOLOGACION!$A$1:$C$571,3,FALSE),0)</f>
        <v>0X10</v>
      </c>
      <c r="C298" s="274" t="str">
        <f>+IFERROR(VLOOKUP(CATEGORIAS[[#This Row],[CATEGORIA2]],[1]HOMOLOGACION!$A$1:$D$571,4,FALSE),0)</f>
        <v xml:space="preserve">Ingeniería </v>
      </c>
      <c r="D298" s="144" t="s">
        <v>2016</v>
      </c>
      <c r="E298" s="273" t="s">
        <v>943</v>
      </c>
      <c r="F298" s="275" t="s">
        <v>361</v>
      </c>
      <c r="G298" s="313">
        <v>0</v>
      </c>
      <c r="H298" s="313">
        <v>0</v>
      </c>
      <c r="I298" s="130">
        <v>0</v>
      </c>
      <c r="J298" s="130"/>
      <c r="K298" s="130"/>
      <c r="L298" s="143">
        <f>CATEGORIAS[[#This Row],[ADICIONALES]]+CATEGORIAS[[#This Row],[POM]]</f>
        <v>0</v>
      </c>
      <c r="M298" s="131">
        <v>0</v>
      </c>
      <c r="N298" s="227">
        <v>0</v>
      </c>
      <c r="O298" s="296">
        <f>CATEGORIAS[[#This Row],[PRODUCCION
PARTIDAS
ORIGINALES
ACTUAL]]+CATEGORIAS[[#This Row],[PRODUCCION
ADICIONALES
ACTUAL]]</f>
        <v>0</v>
      </c>
      <c r="P298" s="227">
        <v>0</v>
      </c>
      <c r="Q298" s="227">
        <v>0</v>
      </c>
      <c r="R298" s="297">
        <f>CATEGORIAS[[#This Row],[PRODUCCION
ANTERIOR]]+CATEGORIAS[[#This Row],[PRODUCCION
ADICIONALES
ANTERIOR]]</f>
        <v>0</v>
      </c>
      <c r="S298" s="133">
        <v>0</v>
      </c>
      <c r="T298" s="133"/>
      <c r="U298" s="133"/>
      <c r="V298" s="296">
        <f>SUM(CATEGORIAS[[#This Row],[COSTO
ACUMULADO  AX]:[PROVISIONES]])</f>
        <v>0</v>
      </c>
      <c r="W298" s="298">
        <v>0</v>
      </c>
      <c r="X298" s="227"/>
      <c r="Y298" s="227"/>
      <c r="Z298" s="297">
        <f>SUM(CATEGORIAS[[#This Row],[COSTO ACUMULADO
ANTERIOR]:[PROVISIONES
ANTERIOR]])</f>
        <v>0</v>
      </c>
      <c r="AA298" s="139">
        <f>CATEGORIAS[[#This Row],[PRESUPUESTO
FINAL
PROYECTADO]]-CATEGORIAS[[#This Row],[TOTAL PRODUCCION
ACTUAL]]</f>
        <v>0</v>
      </c>
      <c r="AB298" s="227">
        <v>0</v>
      </c>
      <c r="AC298" s="132"/>
      <c r="AD298" s="132"/>
      <c r="AE298" s="226">
        <f>SUM(CATEGORIAS[[#This Row],[INVENTARIO]:[PROYECCION
DE COSTO
DEL SALDO]])</f>
        <v>0</v>
      </c>
      <c r="AF298" s="132"/>
      <c r="AG298" s="132">
        <f>+CATEGORIAS[[#This Row],[PRESUPUESTO
FINAL
PROYECTADO]]-CATEGORIAS[[#This Row],[COSTO REAL]]-CATEGORIAS[[#This Row],[PROYECCION
TOTAL DE COSTO]]</f>
        <v>0</v>
      </c>
    </row>
    <row r="299" spans="1:33" x14ac:dyDescent="0.25">
      <c r="A299" s="274" t="str">
        <f>+IFERROR(VLOOKUP(CATEGORIAS[[#This Row],[CATEGORIA2]],[1]HOMOLOGACION!$A$1:$I$571,9,FALSE),0)</f>
        <v>0Q02</v>
      </c>
      <c r="B299" s="274" t="str">
        <f>+IFERROR(VLOOKUP(CATEGORIAS[[#This Row],[CATEGORIA2]],[1]HOMOLOGACION!$A$1:$C$571,3,FALSE),0)</f>
        <v>0X10</v>
      </c>
      <c r="C299" s="274" t="str">
        <f>+IFERROR(VLOOKUP(CATEGORIAS[[#This Row],[CATEGORIA2]],[1]HOMOLOGACION!$A$1:$D$571,4,FALSE),0)</f>
        <v xml:space="preserve">Ingeniería </v>
      </c>
      <c r="D299" s="144" t="s">
        <v>2017</v>
      </c>
      <c r="E299" s="273" t="s">
        <v>945</v>
      </c>
      <c r="F299" s="275" t="s">
        <v>361</v>
      </c>
      <c r="G299" s="313">
        <v>0</v>
      </c>
      <c r="H299" s="313">
        <v>0</v>
      </c>
      <c r="I299" s="130">
        <v>0</v>
      </c>
      <c r="J299" s="130"/>
      <c r="K299" s="130"/>
      <c r="L299" s="143">
        <f>CATEGORIAS[[#This Row],[ADICIONALES]]+CATEGORIAS[[#This Row],[POM]]</f>
        <v>0</v>
      </c>
      <c r="M299" s="131">
        <v>0</v>
      </c>
      <c r="N299" s="227">
        <v>0</v>
      </c>
      <c r="O299" s="296">
        <f>CATEGORIAS[[#This Row],[PRODUCCION
PARTIDAS
ORIGINALES
ACTUAL]]+CATEGORIAS[[#This Row],[PRODUCCION
ADICIONALES
ACTUAL]]</f>
        <v>0</v>
      </c>
      <c r="P299" s="227">
        <v>0</v>
      </c>
      <c r="Q299" s="132">
        <v>0</v>
      </c>
      <c r="R299" s="297">
        <f>CATEGORIAS[[#This Row],[PRODUCCION
ANTERIOR]]+CATEGORIAS[[#This Row],[PRODUCCION
ADICIONALES
ANTERIOR]]</f>
        <v>0</v>
      </c>
      <c r="S299" s="133">
        <v>0</v>
      </c>
      <c r="T299" s="133"/>
      <c r="U299" s="133"/>
      <c r="V299" s="296">
        <f>SUM(CATEGORIAS[[#This Row],[COSTO
ACUMULADO  AX]:[PROVISIONES]])</f>
        <v>0</v>
      </c>
      <c r="W299" s="298">
        <v>0</v>
      </c>
      <c r="X299" s="227"/>
      <c r="Y299" s="227"/>
      <c r="Z299" s="297">
        <f>SUM(CATEGORIAS[[#This Row],[COSTO ACUMULADO
ANTERIOR]:[PROVISIONES
ANTERIOR]])</f>
        <v>0</v>
      </c>
      <c r="AA299" s="139">
        <f>CATEGORIAS[[#This Row],[PRESUPUESTO
FINAL
PROYECTADO]]-CATEGORIAS[[#This Row],[TOTAL PRODUCCION
ACTUAL]]</f>
        <v>0</v>
      </c>
      <c r="AB299" s="227">
        <v>0</v>
      </c>
      <c r="AC299" s="132"/>
      <c r="AD299" s="132"/>
      <c r="AE299" s="226">
        <f>SUM(CATEGORIAS[[#This Row],[INVENTARIO]:[PROYECCION
DE COSTO
DEL SALDO]])</f>
        <v>0</v>
      </c>
      <c r="AF299" s="132"/>
      <c r="AG299" s="132">
        <f>+CATEGORIAS[[#This Row],[PRESUPUESTO
FINAL
PROYECTADO]]-CATEGORIAS[[#This Row],[COSTO REAL]]-CATEGORIAS[[#This Row],[PROYECCION
TOTAL DE COSTO]]</f>
        <v>0</v>
      </c>
    </row>
    <row r="300" spans="1:33" x14ac:dyDescent="0.25">
      <c r="A300" s="274" t="str">
        <f>+IFERROR(VLOOKUP(CATEGORIAS[[#This Row],[CATEGORIA2]],[1]HOMOLOGACION!$A$1:$I$571,9,FALSE),0)</f>
        <v>0Q02</v>
      </c>
      <c r="B300" s="274" t="str">
        <f>+IFERROR(VLOOKUP(CATEGORIAS[[#This Row],[CATEGORIA2]],[1]HOMOLOGACION!$A$1:$C$571,3,FALSE),0)</f>
        <v>0X10</v>
      </c>
      <c r="C300" s="274" t="str">
        <f>+IFERROR(VLOOKUP(CATEGORIAS[[#This Row],[CATEGORIA2]],[1]HOMOLOGACION!$A$1:$D$571,4,FALSE),0)</f>
        <v xml:space="preserve">Ingeniería </v>
      </c>
      <c r="D300" s="144" t="s">
        <v>2018</v>
      </c>
      <c r="E300" s="273" t="s">
        <v>947</v>
      </c>
      <c r="F300" s="275" t="s">
        <v>361</v>
      </c>
      <c r="G300" s="313">
        <v>0</v>
      </c>
      <c r="H300" s="313">
        <v>0</v>
      </c>
      <c r="I300" s="130">
        <v>0</v>
      </c>
      <c r="J300" s="130"/>
      <c r="K300" s="130"/>
      <c r="L300" s="143">
        <f>CATEGORIAS[[#This Row],[ADICIONALES]]+CATEGORIAS[[#This Row],[POM]]</f>
        <v>0</v>
      </c>
      <c r="M300" s="131">
        <v>0</v>
      </c>
      <c r="N300" s="227">
        <v>0</v>
      </c>
      <c r="O300" s="296">
        <f>CATEGORIAS[[#This Row],[PRODUCCION
PARTIDAS
ORIGINALES
ACTUAL]]+CATEGORIAS[[#This Row],[PRODUCCION
ADICIONALES
ACTUAL]]</f>
        <v>0</v>
      </c>
      <c r="P300" s="227">
        <v>0</v>
      </c>
      <c r="Q300" s="227">
        <v>0</v>
      </c>
      <c r="R300" s="297">
        <f>CATEGORIAS[[#This Row],[PRODUCCION
ANTERIOR]]+CATEGORIAS[[#This Row],[PRODUCCION
ADICIONALES
ANTERIOR]]</f>
        <v>0</v>
      </c>
      <c r="S300" s="133">
        <v>0</v>
      </c>
      <c r="T300" s="133"/>
      <c r="U300" s="133"/>
      <c r="V300" s="296">
        <f>SUM(CATEGORIAS[[#This Row],[COSTO
ACUMULADO  AX]:[PROVISIONES]])</f>
        <v>0</v>
      </c>
      <c r="W300" s="298">
        <v>0</v>
      </c>
      <c r="X300" s="227"/>
      <c r="Y300" s="227"/>
      <c r="Z300" s="297">
        <f>SUM(CATEGORIAS[[#This Row],[COSTO ACUMULADO
ANTERIOR]:[PROVISIONES
ANTERIOR]])</f>
        <v>0</v>
      </c>
      <c r="AA300" s="139">
        <f>CATEGORIAS[[#This Row],[PRESUPUESTO
FINAL
PROYECTADO]]-CATEGORIAS[[#This Row],[TOTAL PRODUCCION
ACTUAL]]</f>
        <v>0</v>
      </c>
      <c r="AB300" s="227">
        <v>0</v>
      </c>
      <c r="AC300" s="132"/>
      <c r="AD300" s="132"/>
      <c r="AE300" s="226">
        <f>SUM(CATEGORIAS[[#This Row],[INVENTARIO]:[PROYECCION
DE COSTO
DEL SALDO]])</f>
        <v>0</v>
      </c>
      <c r="AF300" s="132"/>
      <c r="AG300" s="132">
        <f>+CATEGORIAS[[#This Row],[PRESUPUESTO
FINAL
PROYECTADO]]-CATEGORIAS[[#This Row],[COSTO REAL]]-CATEGORIAS[[#This Row],[PROYECCION
TOTAL DE COSTO]]</f>
        <v>0</v>
      </c>
    </row>
    <row r="301" spans="1:33" x14ac:dyDescent="0.25">
      <c r="A301" s="274" t="str">
        <f>+IFERROR(VLOOKUP(CATEGORIAS[[#This Row],[CATEGORIA2]],[1]HOMOLOGACION!$A$1:$I$571,9,FALSE),0)</f>
        <v>0Q02</v>
      </c>
      <c r="B301" s="274" t="str">
        <f>+IFERROR(VLOOKUP(CATEGORIAS[[#This Row],[CATEGORIA2]],[1]HOMOLOGACION!$A$1:$C$571,3,FALSE),0)</f>
        <v>0X10</v>
      </c>
      <c r="C301" s="274" t="str">
        <f>+IFERROR(VLOOKUP(CATEGORIAS[[#This Row],[CATEGORIA2]],[1]HOMOLOGACION!$A$1:$D$571,4,FALSE),0)</f>
        <v xml:space="preserve">Ingeniería </v>
      </c>
      <c r="D301" s="144" t="s">
        <v>2019</v>
      </c>
      <c r="E301" s="273" t="s">
        <v>949</v>
      </c>
      <c r="F301" s="275" t="s">
        <v>361</v>
      </c>
      <c r="G301" s="313">
        <v>0</v>
      </c>
      <c r="H301" s="313">
        <v>0</v>
      </c>
      <c r="I301" s="130">
        <v>0</v>
      </c>
      <c r="J301" s="130"/>
      <c r="K301" s="130"/>
      <c r="L301" s="143">
        <f>CATEGORIAS[[#This Row],[ADICIONALES]]+CATEGORIAS[[#This Row],[POM]]</f>
        <v>0</v>
      </c>
      <c r="M301" s="131">
        <v>0</v>
      </c>
      <c r="N301" s="227">
        <v>0</v>
      </c>
      <c r="O301" s="296">
        <f>CATEGORIAS[[#This Row],[PRODUCCION
PARTIDAS
ORIGINALES
ACTUAL]]+CATEGORIAS[[#This Row],[PRODUCCION
ADICIONALES
ACTUAL]]</f>
        <v>0</v>
      </c>
      <c r="P301" s="227">
        <v>0</v>
      </c>
      <c r="Q301" s="132">
        <v>0</v>
      </c>
      <c r="R301" s="297">
        <f>CATEGORIAS[[#This Row],[PRODUCCION
ANTERIOR]]+CATEGORIAS[[#This Row],[PRODUCCION
ADICIONALES
ANTERIOR]]</f>
        <v>0</v>
      </c>
      <c r="S301" s="133">
        <v>0</v>
      </c>
      <c r="T301" s="133"/>
      <c r="U301" s="133"/>
      <c r="V301" s="296">
        <f>SUM(CATEGORIAS[[#This Row],[COSTO
ACUMULADO  AX]:[PROVISIONES]])</f>
        <v>0</v>
      </c>
      <c r="W301" s="298">
        <v>0</v>
      </c>
      <c r="X301" s="227"/>
      <c r="Y301" s="227"/>
      <c r="Z301" s="297">
        <f>SUM(CATEGORIAS[[#This Row],[COSTO ACUMULADO
ANTERIOR]:[PROVISIONES
ANTERIOR]])</f>
        <v>0</v>
      </c>
      <c r="AA301" s="139">
        <f>CATEGORIAS[[#This Row],[PRESUPUESTO
FINAL
PROYECTADO]]-CATEGORIAS[[#This Row],[TOTAL PRODUCCION
ACTUAL]]</f>
        <v>0</v>
      </c>
      <c r="AB301" s="227">
        <v>0</v>
      </c>
      <c r="AC301" s="132"/>
      <c r="AD301" s="132"/>
      <c r="AE301" s="226">
        <f>SUM(CATEGORIAS[[#This Row],[INVENTARIO]:[PROYECCION
DE COSTO
DEL SALDO]])</f>
        <v>0</v>
      </c>
      <c r="AF301" s="132"/>
      <c r="AG301" s="132">
        <f>+CATEGORIAS[[#This Row],[PRESUPUESTO
FINAL
PROYECTADO]]-CATEGORIAS[[#This Row],[COSTO REAL]]-CATEGORIAS[[#This Row],[PROYECCION
TOTAL DE COSTO]]</f>
        <v>0</v>
      </c>
    </row>
    <row r="302" spans="1:33" x14ac:dyDescent="0.25">
      <c r="A302" s="274" t="str">
        <f>+IFERROR(VLOOKUP(CATEGORIAS[[#This Row],[CATEGORIA2]],[1]HOMOLOGACION!$A$1:$I$571,9,FALSE),0)</f>
        <v>0Q02</v>
      </c>
      <c r="B302" s="274" t="str">
        <f>+IFERROR(VLOOKUP(CATEGORIAS[[#This Row],[CATEGORIA2]],[1]HOMOLOGACION!$A$1:$C$571,3,FALSE),0)</f>
        <v>0X11</v>
      </c>
      <c r="C302" s="274" t="str">
        <f>+IFERROR(VLOOKUP(CATEGORIAS[[#This Row],[CATEGORIA2]],[1]HOMOLOGACION!$A$1:$D$571,4,FALSE),0)</f>
        <v xml:space="preserve">Otras especialidades </v>
      </c>
      <c r="D302" s="144" t="s">
        <v>2020</v>
      </c>
      <c r="E302" s="273" t="s">
        <v>951</v>
      </c>
      <c r="F302" s="275" t="s">
        <v>361</v>
      </c>
      <c r="G302" s="313">
        <v>0</v>
      </c>
      <c r="H302" s="313">
        <v>0</v>
      </c>
      <c r="I302" s="130">
        <v>0</v>
      </c>
      <c r="J302" s="130"/>
      <c r="K302" s="130"/>
      <c r="L302" s="143">
        <f>CATEGORIAS[[#This Row],[ADICIONALES]]+CATEGORIAS[[#This Row],[POM]]</f>
        <v>0</v>
      </c>
      <c r="M302" s="131">
        <v>0</v>
      </c>
      <c r="N302" s="227">
        <v>0</v>
      </c>
      <c r="O302" s="296">
        <f>CATEGORIAS[[#This Row],[PRODUCCION
PARTIDAS
ORIGINALES
ACTUAL]]+CATEGORIAS[[#This Row],[PRODUCCION
ADICIONALES
ACTUAL]]</f>
        <v>0</v>
      </c>
      <c r="P302" s="227">
        <v>0</v>
      </c>
      <c r="Q302" s="227">
        <v>0</v>
      </c>
      <c r="R302" s="297">
        <f>CATEGORIAS[[#This Row],[PRODUCCION
ANTERIOR]]+CATEGORIAS[[#This Row],[PRODUCCION
ADICIONALES
ANTERIOR]]</f>
        <v>0</v>
      </c>
      <c r="S302" s="133">
        <v>0</v>
      </c>
      <c r="T302" s="133"/>
      <c r="U302" s="133"/>
      <c r="V302" s="296">
        <f>SUM(CATEGORIAS[[#This Row],[COSTO
ACUMULADO  AX]:[PROVISIONES]])</f>
        <v>0</v>
      </c>
      <c r="W302" s="298">
        <v>0</v>
      </c>
      <c r="X302" s="227"/>
      <c r="Y302" s="227"/>
      <c r="Z302" s="297">
        <f>SUM(CATEGORIAS[[#This Row],[COSTO ACUMULADO
ANTERIOR]:[PROVISIONES
ANTERIOR]])</f>
        <v>0</v>
      </c>
      <c r="AA302" s="139">
        <f>CATEGORIAS[[#This Row],[PRESUPUESTO
FINAL
PROYECTADO]]-CATEGORIAS[[#This Row],[TOTAL PRODUCCION
ACTUAL]]</f>
        <v>0</v>
      </c>
      <c r="AB302" s="227">
        <v>0</v>
      </c>
      <c r="AC302" s="132"/>
      <c r="AD302" s="132"/>
      <c r="AE302" s="226">
        <f>SUM(CATEGORIAS[[#This Row],[INVENTARIO]:[PROYECCION
DE COSTO
DEL SALDO]])</f>
        <v>0</v>
      </c>
      <c r="AF302" s="132"/>
      <c r="AG302" s="132">
        <f>+CATEGORIAS[[#This Row],[PRESUPUESTO
FINAL
PROYECTADO]]-CATEGORIAS[[#This Row],[COSTO REAL]]-CATEGORIAS[[#This Row],[PROYECCION
TOTAL DE COSTO]]</f>
        <v>0</v>
      </c>
    </row>
    <row r="303" spans="1:33" x14ac:dyDescent="0.25">
      <c r="A303" s="274" t="str">
        <f>+IFERROR(VLOOKUP(CATEGORIAS[[#This Row],[CATEGORIA2]],[1]HOMOLOGACION!$A$1:$I$571,9,FALSE),0)</f>
        <v>0Q02</v>
      </c>
      <c r="B303" s="274" t="str">
        <f>+IFERROR(VLOOKUP(CATEGORIAS[[#This Row],[CATEGORIA2]],[1]HOMOLOGACION!$A$1:$C$571,3,FALSE),0)</f>
        <v>0X11</v>
      </c>
      <c r="C303" s="274" t="str">
        <f>+IFERROR(VLOOKUP(CATEGORIAS[[#This Row],[CATEGORIA2]],[1]HOMOLOGACION!$A$1:$D$571,4,FALSE),0)</f>
        <v xml:space="preserve">Otras especialidades </v>
      </c>
      <c r="D303" s="144" t="s">
        <v>2021</v>
      </c>
      <c r="E303" s="273" t="s">
        <v>953</v>
      </c>
      <c r="F303" s="275" t="s">
        <v>361</v>
      </c>
      <c r="G303" s="313">
        <v>0</v>
      </c>
      <c r="H303" s="313">
        <v>0</v>
      </c>
      <c r="I303" s="130">
        <v>0</v>
      </c>
      <c r="J303" s="130"/>
      <c r="K303" s="130"/>
      <c r="L303" s="143">
        <f>CATEGORIAS[[#This Row],[ADICIONALES]]+CATEGORIAS[[#This Row],[POM]]</f>
        <v>0</v>
      </c>
      <c r="M303" s="131">
        <v>0</v>
      </c>
      <c r="N303" s="227">
        <v>0</v>
      </c>
      <c r="O303" s="296">
        <f>CATEGORIAS[[#This Row],[PRODUCCION
PARTIDAS
ORIGINALES
ACTUAL]]+CATEGORIAS[[#This Row],[PRODUCCION
ADICIONALES
ACTUAL]]</f>
        <v>0</v>
      </c>
      <c r="P303" s="227">
        <v>0</v>
      </c>
      <c r="Q303" s="132">
        <v>0</v>
      </c>
      <c r="R303" s="297">
        <f>CATEGORIAS[[#This Row],[PRODUCCION
ANTERIOR]]+CATEGORIAS[[#This Row],[PRODUCCION
ADICIONALES
ANTERIOR]]</f>
        <v>0</v>
      </c>
      <c r="S303" s="133">
        <v>0</v>
      </c>
      <c r="T303" s="133"/>
      <c r="U303" s="133"/>
      <c r="V303" s="296">
        <f>SUM(CATEGORIAS[[#This Row],[COSTO
ACUMULADO  AX]:[PROVISIONES]])</f>
        <v>0</v>
      </c>
      <c r="W303" s="298">
        <v>0</v>
      </c>
      <c r="X303" s="227"/>
      <c r="Y303" s="227"/>
      <c r="Z303" s="297">
        <f>SUM(CATEGORIAS[[#This Row],[COSTO ACUMULADO
ANTERIOR]:[PROVISIONES
ANTERIOR]])</f>
        <v>0</v>
      </c>
      <c r="AA303" s="139">
        <f>CATEGORIAS[[#This Row],[PRESUPUESTO
FINAL
PROYECTADO]]-CATEGORIAS[[#This Row],[TOTAL PRODUCCION
ACTUAL]]</f>
        <v>0</v>
      </c>
      <c r="AB303" s="227">
        <v>0</v>
      </c>
      <c r="AC303" s="132"/>
      <c r="AD303" s="132"/>
      <c r="AE303" s="226">
        <f>SUM(CATEGORIAS[[#This Row],[INVENTARIO]:[PROYECCION
DE COSTO
DEL SALDO]])</f>
        <v>0</v>
      </c>
      <c r="AF303" s="132"/>
      <c r="AG303" s="132">
        <f>+CATEGORIAS[[#This Row],[PRESUPUESTO
FINAL
PROYECTADO]]-CATEGORIAS[[#This Row],[COSTO REAL]]-CATEGORIAS[[#This Row],[PROYECCION
TOTAL DE COSTO]]</f>
        <v>0</v>
      </c>
    </row>
    <row r="304" spans="1:33" x14ac:dyDescent="0.25">
      <c r="A304" s="274" t="str">
        <f>+IFERROR(VLOOKUP(CATEGORIAS[[#This Row],[CATEGORIA2]],[1]HOMOLOGACION!$A$1:$I$571,9,FALSE),0)</f>
        <v>0Q02</v>
      </c>
      <c r="B304" s="274" t="str">
        <f>+IFERROR(VLOOKUP(CATEGORIAS[[#This Row],[CATEGORIA2]],[1]HOMOLOGACION!$A$1:$C$571,3,FALSE),0)</f>
        <v>0X11</v>
      </c>
      <c r="C304" s="274" t="str">
        <f>+IFERROR(VLOOKUP(CATEGORIAS[[#This Row],[CATEGORIA2]],[1]HOMOLOGACION!$A$1:$D$571,4,FALSE),0)</f>
        <v xml:space="preserve">Otras especialidades </v>
      </c>
      <c r="D304" s="144" t="s">
        <v>2022</v>
      </c>
      <c r="E304" s="273" t="s">
        <v>955</v>
      </c>
      <c r="F304" s="275" t="s">
        <v>361</v>
      </c>
      <c r="G304" s="313">
        <v>0</v>
      </c>
      <c r="H304" s="313">
        <v>0</v>
      </c>
      <c r="I304" s="130">
        <v>0</v>
      </c>
      <c r="J304" s="130"/>
      <c r="K304" s="130"/>
      <c r="L304" s="143">
        <f>CATEGORIAS[[#This Row],[ADICIONALES]]+CATEGORIAS[[#This Row],[POM]]</f>
        <v>0</v>
      </c>
      <c r="M304" s="131">
        <v>0</v>
      </c>
      <c r="N304" s="227">
        <v>0</v>
      </c>
      <c r="O304" s="296">
        <f>CATEGORIAS[[#This Row],[PRODUCCION
PARTIDAS
ORIGINALES
ACTUAL]]+CATEGORIAS[[#This Row],[PRODUCCION
ADICIONALES
ACTUAL]]</f>
        <v>0</v>
      </c>
      <c r="P304" s="227">
        <v>0</v>
      </c>
      <c r="Q304" s="227">
        <v>0</v>
      </c>
      <c r="R304" s="297">
        <f>CATEGORIAS[[#This Row],[PRODUCCION
ANTERIOR]]+CATEGORIAS[[#This Row],[PRODUCCION
ADICIONALES
ANTERIOR]]</f>
        <v>0</v>
      </c>
      <c r="S304" s="133">
        <v>0</v>
      </c>
      <c r="T304" s="133"/>
      <c r="U304" s="133"/>
      <c r="V304" s="296">
        <f>SUM(CATEGORIAS[[#This Row],[COSTO
ACUMULADO  AX]:[PROVISIONES]])</f>
        <v>0</v>
      </c>
      <c r="W304" s="298">
        <v>0</v>
      </c>
      <c r="X304" s="227"/>
      <c r="Y304" s="227"/>
      <c r="Z304" s="297">
        <f>SUM(CATEGORIAS[[#This Row],[COSTO ACUMULADO
ANTERIOR]:[PROVISIONES
ANTERIOR]])</f>
        <v>0</v>
      </c>
      <c r="AA304" s="139">
        <f>CATEGORIAS[[#This Row],[PRESUPUESTO
FINAL
PROYECTADO]]-CATEGORIAS[[#This Row],[TOTAL PRODUCCION
ACTUAL]]</f>
        <v>0</v>
      </c>
      <c r="AB304" s="227">
        <v>0</v>
      </c>
      <c r="AC304" s="132"/>
      <c r="AD304" s="132"/>
      <c r="AE304" s="226">
        <f>SUM(CATEGORIAS[[#This Row],[INVENTARIO]:[PROYECCION
DE COSTO
DEL SALDO]])</f>
        <v>0</v>
      </c>
      <c r="AF304" s="132"/>
      <c r="AG304" s="132">
        <f>+CATEGORIAS[[#This Row],[PRESUPUESTO
FINAL
PROYECTADO]]-CATEGORIAS[[#This Row],[COSTO REAL]]-CATEGORIAS[[#This Row],[PROYECCION
TOTAL DE COSTO]]</f>
        <v>0</v>
      </c>
    </row>
    <row r="305" spans="1:33" x14ac:dyDescent="0.25">
      <c r="A305" s="274" t="str">
        <f>+IFERROR(VLOOKUP(CATEGORIAS[[#This Row],[CATEGORIA2]],[1]HOMOLOGACION!$A$1:$I$571,9,FALSE),0)</f>
        <v>0Q02</v>
      </c>
      <c r="B305" s="274" t="str">
        <f>+IFERROR(VLOOKUP(CATEGORIAS[[#This Row],[CATEGORIA2]],[1]HOMOLOGACION!$A$1:$C$571,3,FALSE),0)</f>
        <v>0X11</v>
      </c>
      <c r="C305" s="274" t="str">
        <f>+IFERROR(VLOOKUP(CATEGORIAS[[#This Row],[CATEGORIA2]],[1]HOMOLOGACION!$A$1:$D$571,4,FALSE),0)</f>
        <v xml:space="preserve">Otras especialidades </v>
      </c>
      <c r="D305" s="144" t="s">
        <v>2023</v>
      </c>
      <c r="E305" s="273" t="s">
        <v>957</v>
      </c>
      <c r="F305" s="275" t="s">
        <v>361</v>
      </c>
      <c r="G305" s="313">
        <v>0</v>
      </c>
      <c r="H305" s="313">
        <v>0</v>
      </c>
      <c r="I305" s="130">
        <v>0</v>
      </c>
      <c r="J305" s="130"/>
      <c r="K305" s="130"/>
      <c r="L305" s="143">
        <f>CATEGORIAS[[#This Row],[ADICIONALES]]+CATEGORIAS[[#This Row],[POM]]</f>
        <v>0</v>
      </c>
      <c r="M305" s="131">
        <v>0</v>
      </c>
      <c r="N305" s="227">
        <v>0</v>
      </c>
      <c r="O305" s="296">
        <f>CATEGORIAS[[#This Row],[PRODUCCION
PARTIDAS
ORIGINALES
ACTUAL]]+CATEGORIAS[[#This Row],[PRODUCCION
ADICIONALES
ACTUAL]]</f>
        <v>0</v>
      </c>
      <c r="P305" s="227">
        <v>0</v>
      </c>
      <c r="Q305" s="132">
        <v>0</v>
      </c>
      <c r="R305" s="297">
        <f>CATEGORIAS[[#This Row],[PRODUCCION
ANTERIOR]]+CATEGORIAS[[#This Row],[PRODUCCION
ADICIONALES
ANTERIOR]]</f>
        <v>0</v>
      </c>
      <c r="S305" s="133">
        <v>0</v>
      </c>
      <c r="T305" s="133"/>
      <c r="U305" s="133"/>
      <c r="V305" s="296">
        <f>SUM(CATEGORIAS[[#This Row],[COSTO
ACUMULADO  AX]:[PROVISIONES]])</f>
        <v>0</v>
      </c>
      <c r="W305" s="298">
        <v>0</v>
      </c>
      <c r="X305" s="227"/>
      <c r="Y305" s="227"/>
      <c r="Z305" s="297">
        <f>SUM(CATEGORIAS[[#This Row],[COSTO ACUMULADO
ANTERIOR]:[PROVISIONES
ANTERIOR]])</f>
        <v>0</v>
      </c>
      <c r="AA305" s="139">
        <f>CATEGORIAS[[#This Row],[PRESUPUESTO
FINAL
PROYECTADO]]-CATEGORIAS[[#This Row],[TOTAL PRODUCCION
ACTUAL]]</f>
        <v>0</v>
      </c>
      <c r="AB305" s="227">
        <v>0</v>
      </c>
      <c r="AC305" s="132"/>
      <c r="AD305" s="132"/>
      <c r="AE305" s="226">
        <f>SUM(CATEGORIAS[[#This Row],[INVENTARIO]:[PROYECCION
DE COSTO
DEL SALDO]])</f>
        <v>0</v>
      </c>
      <c r="AF305" s="132"/>
      <c r="AG305" s="132">
        <f>+CATEGORIAS[[#This Row],[PRESUPUESTO
FINAL
PROYECTADO]]-CATEGORIAS[[#This Row],[COSTO REAL]]-CATEGORIAS[[#This Row],[PROYECCION
TOTAL DE COSTO]]</f>
        <v>0</v>
      </c>
    </row>
    <row r="306" spans="1:33" x14ac:dyDescent="0.25">
      <c r="A306" s="274" t="str">
        <f>+IFERROR(VLOOKUP(CATEGORIAS[[#This Row],[CATEGORIA2]],[1]HOMOLOGACION!$A$1:$I$571,9,FALSE),0)</f>
        <v>0Q02</v>
      </c>
      <c r="B306" s="274" t="str">
        <f>+IFERROR(VLOOKUP(CATEGORIAS[[#This Row],[CATEGORIA2]],[1]HOMOLOGACION!$A$1:$C$571,3,FALSE),0)</f>
        <v>0X11</v>
      </c>
      <c r="C306" s="274" t="str">
        <f>+IFERROR(VLOOKUP(CATEGORIAS[[#This Row],[CATEGORIA2]],[1]HOMOLOGACION!$A$1:$D$571,4,FALSE),0)</f>
        <v xml:space="preserve">Otras especialidades </v>
      </c>
      <c r="D306" s="144" t="s">
        <v>2024</v>
      </c>
      <c r="E306" s="273" t="s">
        <v>959</v>
      </c>
      <c r="F306" s="275" t="s">
        <v>361</v>
      </c>
      <c r="G306" s="313">
        <v>0</v>
      </c>
      <c r="H306" s="313">
        <v>0</v>
      </c>
      <c r="I306" s="130">
        <v>0</v>
      </c>
      <c r="J306" s="130"/>
      <c r="K306" s="130"/>
      <c r="L306" s="143">
        <f>CATEGORIAS[[#This Row],[ADICIONALES]]+CATEGORIAS[[#This Row],[POM]]</f>
        <v>0</v>
      </c>
      <c r="M306" s="131">
        <v>0</v>
      </c>
      <c r="N306" s="227">
        <v>0</v>
      </c>
      <c r="O306" s="296">
        <f>CATEGORIAS[[#This Row],[PRODUCCION
PARTIDAS
ORIGINALES
ACTUAL]]+CATEGORIAS[[#This Row],[PRODUCCION
ADICIONALES
ACTUAL]]</f>
        <v>0</v>
      </c>
      <c r="P306" s="227">
        <v>0</v>
      </c>
      <c r="Q306" s="227">
        <v>0</v>
      </c>
      <c r="R306" s="297">
        <f>CATEGORIAS[[#This Row],[PRODUCCION
ANTERIOR]]+CATEGORIAS[[#This Row],[PRODUCCION
ADICIONALES
ANTERIOR]]</f>
        <v>0</v>
      </c>
      <c r="S306" s="133">
        <v>0</v>
      </c>
      <c r="T306" s="133"/>
      <c r="U306" s="133"/>
      <c r="V306" s="296">
        <f>SUM(CATEGORIAS[[#This Row],[COSTO
ACUMULADO  AX]:[PROVISIONES]])</f>
        <v>0</v>
      </c>
      <c r="W306" s="298">
        <v>0</v>
      </c>
      <c r="X306" s="227"/>
      <c r="Y306" s="227"/>
      <c r="Z306" s="297">
        <f>SUM(CATEGORIAS[[#This Row],[COSTO ACUMULADO
ANTERIOR]:[PROVISIONES
ANTERIOR]])</f>
        <v>0</v>
      </c>
      <c r="AA306" s="139">
        <f>CATEGORIAS[[#This Row],[PRESUPUESTO
FINAL
PROYECTADO]]-CATEGORIAS[[#This Row],[TOTAL PRODUCCION
ACTUAL]]</f>
        <v>0</v>
      </c>
      <c r="AB306" s="227">
        <v>0</v>
      </c>
      <c r="AC306" s="132"/>
      <c r="AD306" s="132"/>
      <c r="AE306" s="226">
        <f>SUM(CATEGORIAS[[#This Row],[INVENTARIO]:[PROYECCION
DE COSTO
DEL SALDO]])</f>
        <v>0</v>
      </c>
      <c r="AF306" s="132"/>
      <c r="AG306" s="132">
        <f>+CATEGORIAS[[#This Row],[PRESUPUESTO
FINAL
PROYECTADO]]-CATEGORIAS[[#This Row],[COSTO REAL]]-CATEGORIAS[[#This Row],[PROYECCION
TOTAL DE COSTO]]</f>
        <v>0</v>
      </c>
    </row>
    <row r="307" spans="1:33" x14ac:dyDescent="0.25">
      <c r="A307" s="274" t="str">
        <f>+IFERROR(VLOOKUP(CATEGORIAS[[#This Row],[CATEGORIA2]],[1]HOMOLOGACION!$A$1:$I$571,9,FALSE),0)</f>
        <v>0Q02</v>
      </c>
      <c r="B307" s="274" t="str">
        <f>+IFERROR(VLOOKUP(CATEGORIAS[[#This Row],[CATEGORIA2]],[1]HOMOLOGACION!$A$1:$C$571,3,FALSE),0)</f>
        <v>0X11</v>
      </c>
      <c r="C307" s="274" t="str">
        <f>+IFERROR(VLOOKUP(CATEGORIAS[[#This Row],[CATEGORIA2]],[1]HOMOLOGACION!$A$1:$D$571,4,FALSE),0)</f>
        <v xml:space="preserve">Otras especialidades </v>
      </c>
      <c r="D307" s="144" t="s">
        <v>2025</v>
      </c>
      <c r="E307" s="273" t="s">
        <v>961</v>
      </c>
      <c r="F307" s="275" t="s">
        <v>361</v>
      </c>
      <c r="G307" s="313">
        <v>0</v>
      </c>
      <c r="H307" s="313">
        <v>0</v>
      </c>
      <c r="I307" s="130">
        <v>0</v>
      </c>
      <c r="J307" s="130"/>
      <c r="K307" s="130"/>
      <c r="L307" s="143">
        <f>CATEGORIAS[[#This Row],[ADICIONALES]]+CATEGORIAS[[#This Row],[POM]]</f>
        <v>0</v>
      </c>
      <c r="M307" s="131">
        <v>0</v>
      </c>
      <c r="N307" s="227">
        <v>0</v>
      </c>
      <c r="O307" s="296">
        <f>CATEGORIAS[[#This Row],[PRODUCCION
PARTIDAS
ORIGINALES
ACTUAL]]+CATEGORIAS[[#This Row],[PRODUCCION
ADICIONALES
ACTUAL]]</f>
        <v>0</v>
      </c>
      <c r="P307" s="227">
        <v>0</v>
      </c>
      <c r="Q307" s="132">
        <v>0</v>
      </c>
      <c r="R307" s="297">
        <f>CATEGORIAS[[#This Row],[PRODUCCION
ANTERIOR]]+CATEGORIAS[[#This Row],[PRODUCCION
ADICIONALES
ANTERIOR]]</f>
        <v>0</v>
      </c>
      <c r="S307" s="133">
        <v>0</v>
      </c>
      <c r="T307" s="133"/>
      <c r="U307" s="133"/>
      <c r="V307" s="296">
        <f>SUM(CATEGORIAS[[#This Row],[COSTO
ACUMULADO  AX]:[PROVISIONES]])</f>
        <v>0</v>
      </c>
      <c r="W307" s="298">
        <v>0</v>
      </c>
      <c r="X307" s="227"/>
      <c r="Y307" s="227"/>
      <c r="Z307" s="297">
        <f>SUM(CATEGORIAS[[#This Row],[COSTO ACUMULADO
ANTERIOR]:[PROVISIONES
ANTERIOR]])</f>
        <v>0</v>
      </c>
      <c r="AA307" s="139">
        <f>CATEGORIAS[[#This Row],[PRESUPUESTO
FINAL
PROYECTADO]]-CATEGORIAS[[#This Row],[TOTAL PRODUCCION
ACTUAL]]</f>
        <v>0</v>
      </c>
      <c r="AB307" s="227">
        <v>0</v>
      </c>
      <c r="AC307" s="132"/>
      <c r="AD307" s="132"/>
      <c r="AE307" s="226">
        <f>SUM(CATEGORIAS[[#This Row],[INVENTARIO]:[PROYECCION
DE COSTO
DEL SALDO]])</f>
        <v>0</v>
      </c>
      <c r="AF307" s="132"/>
      <c r="AG307" s="132">
        <f>+CATEGORIAS[[#This Row],[PRESUPUESTO
FINAL
PROYECTADO]]-CATEGORIAS[[#This Row],[COSTO REAL]]-CATEGORIAS[[#This Row],[PROYECCION
TOTAL DE COSTO]]</f>
        <v>0</v>
      </c>
    </row>
    <row r="308" spans="1:33" x14ac:dyDescent="0.25">
      <c r="A308" s="274" t="str">
        <f>+IFERROR(VLOOKUP(CATEGORIAS[[#This Row],[CATEGORIA2]],[1]HOMOLOGACION!$A$1:$I$571,9,FALSE),0)</f>
        <v>0Q02</v>
      </c>
      <c r="B308" s="274" t="str">
        <f>+IFERROR(VLOOKUP(CATEGORIAS[[#This Row],[CATEGORIA2]],[1]HOMOLOGACION!$A$1:$C$571,3,FALSE),0)</f>
        <v>0X11</v>
      </c>
      <c r="C308" s="274" t="str">
        <f>+IFERROR(VLOOKUP(CATEGORIAS[[#This Row],[CATEGORIA2]],[1]HOMOLOGACION!$A$1:$D$571,4,FALSE),0)</f>
        <v xml:space="preserve">Otras especialidades </v>
      </c>
      <c r="D308" s="144" t="s">
        <v>2026</v>
      </c>
      <c r="E308" s="273" t="s">
        <v>963</v>
      </c>
      <c r="F308" s="275" t="s">
        <v>361</v>
      </c>
      <c r="G308" s="313">
        <v>0</v>
      </c>
      <c r="H308" s="313">
        <v>0</v>
      </c>
      <c r="I308" s="130">
        <v>0</v>
      </c>
      <c r="J308" s="130"/>
      <c r="K308" s="130"/>
      <c r="L308" s="143">
        <f>CATEGORIAS[[#This Row],[ADICIONALES]]+CATEGORIAS[[#This Row],[POM]]</f>
        <v>0</v>
      </c>
      <c r="M308" s="131">
        <v>0</v>
      </c>
      <c r="N308" s="227">
        <v>0</v>
      </c>
      <c r="O308" s="296">
        <f>CATEGORIAS[[#This Row],[PRODUCCION
PARTIDAS
ORIGINALES
ACTUAL]]+CATEGORIAS[[#This Row],[PRODUCCION
ADICIONALES
ACTUAL]]</f>
        <v>0</v>
      </c>
      <c r="P308" s="227">
        <v>0</v>
      </c>
      <c r="Q308" s="227">
        <v>0</v>
      </c>
      <c r="R308" s="297">
        <f>CATEGORIAS[[#This Row],[PRODUCCION
ANTERIOR]]+CATEGORIAS[[#This Row],[PRODUCCION
ADICIONALES
ANTERIOR]]</f>
        <v>0</v>
      </c>
      <c r="S308" s="133">
        <v>0</v>
      </c>
      <c r="T308" s="133"/>
      <c r="U308" s="133"/>
      <c r="V308" s="296">
        <f>SUM(CATEGORIAS[[#This Row],[COSTO
ACUMULADO  AX]:[PROVISIONES]])</f>
        <v>0</v>
      </c>
      <c r="W308" s="298">
        <v>0</v>
      </c>
      <c r="X308" s="227"/>
      <c r="Y308" s="227"/>
      <c r="Z308" s="297">
        <f>SUM(CATEGORIAS[[#This Row],[COSTO ACUMULADO
ANTERIOR]:[PROVISIONES
ANTERIOR]])</f>
        <v>0</v>
      </c>
      <c r="AA308" s="139">
        <f>CATEGORIAS[[#This Row],[PRESUPUESTO
FINAL
PROYECTADO]]-CATEGORIAS[[#This Row],[TOTAL PRODUCCION
ACTUAL]]</f>
        <v>0</v>
      </c>
      <c r="AB308" s="227">
        <v>0</v>
      </c>
      <c r="AC308" s="132"/>
      <c r="AD308" s="132"/>
      <c r="AE308" s="226">
        <f>SUM(CATEGORIAS[[#This Row],[INVENTARIO]:[PROYECCION
DE COSTO
DEL SALDO]])</f>
        <v>0</v>
      </c>
      <c r="AF308" s="132"/>
      <c r="AG308" s="132">
        <f>+CATEGORIAS[[#This Row],[PRESUPUESTO
FINAL
PROYECTADO]]-CATEGORIAS[[#This Row],[COSTO REAL]]-CATEGORIAS[[#This Row],[PROYECCION
TOTAL DE COSTO]]</f>
        <v>0</v>
      </c>
    </row>
    <row r="309" spans="1:33" x14ac:dyDescent="0.25">
      <c r="A309" s="274" t="str">
        <f>+IFERROR(VLOOKUP(CATEGORIAS[[#This Row],[CATEGORIA2]],[1]HOMOLOGACION!$A$1:$I$571,9,FALSE),0)</f>
        <v>0Q02</v>
      </c>
      <c r="B309" s="274" t="str">
        <f>+IFERROR(VLOOKUP(CATEGORIAS[[#This Row],[CATEGORIA2]],[1]HOMOLOGACION!$A$1:$C$571,3,FALSE),0)</f>
        <v>0X11</v>
      </c>
      <c r="C309" s="274" t="str">
        <f>+IFERROR(VLOOKUP(CATEGORIAS[[#This Row],[CATEGORIA2]],[1]HOMOLOGACION!$A$1:$D$571,4,FALSE),0)</f>
        <v xml:space="preserve">Otras especialidades </v>
      </c>
      <c r="D309" s="144" t="s">
        <v>2027</v>
      </c>
      <c r="E309" s="273" t="s">
        <v>965</v>
      </c>
      <c r="F309" s="275" t="s">
        <v>361</v>
      </c>
      <c r="G309" s="313">
        <v>0</v>
      </c>
      <c r="H309" s="313">
        <v>0</v>
      </c>
      <c r="I309" s="130">
        <v>0</v>
      </c>
      <c r="J309" s="130"/>
      <c r="K309" s="130"/>
      <c r="L309" s="143">
        <f>CATEGORIAS[[#This Row],[ADICIONALES]]+CATEGORIAS[[#This Row],[POM]]</f>
        <v>0</v>
      </c>
      <c r="M309" s="131">
        <v>0</v>
      </c>
      <c r="N309" s="227">
        <v>0</v>
      </c>
      <c r="O309" s="296">
        <f>CATEGORIAS[[#This Row],[PRODUCCION
PARTIDAS
ORIGINALES
ACTUAL]]+CATEGORIAS[[#This Row],[PRODUCCION
ADICIONALES
ACTUAL]]</f>
        <v>0</v>
      </c>
      <c r="P309" s="227">
        <v>0</v>
      </c>
      <c r="Q309" s="132">
        <v>0</v>
      </c>
      <c r="R309" s="297">
        <f>CATEGORIAS[[#This Row],[PRODUCCION
ANTERIOR]]+CATEGORIAS[[#This Row],[PRODUCCION
ADICIONALES
ANTERIOR]]</f>
        <v>0</v>
      </c>
      <c r="S309" s="133">
        <v>0</v>
      </c>
      <c r="T309" s="133"/>
      <c r="U309" s="133"/>
      <c r="V309" s="296">
        <f>SUM(CATEGORIAS[[#This Row],[COSTO
ACUMULADO  AX]:[PROVISIONES]])</f>
        <v>0</v>
      </c>
      <c r="W309" s="298">
        <v>0</v>
      </c>
      <c r="X309" s="227"/>
      <c r="Y309" s="227"/>
      <c r="Z309" s="297">
        <f>SUM(CATEGORIAS[[#This Row],[COSTO ACUMULADO
ANTERIOR]:[PROVISIONES
ANTERIOR]])</f>
        <v>0</v>
      </c>
      <c r="AA309" s="139">
        <f>CATEGORIAS[[#This Row],[PRESUPUESTO
FINAL
PROYECTADO]]-CATEGORIAS[[#This Row],[TOTAL PRODUCCION
ACTUAL]]</f>
        <v>0</v>
      </c>
      <c r="AB309" s="227">
        <v>0</v>
      </c>
      <c r="AC309" s="132"/>
      <c r="AD309" s="132"/>
      <c r="AE309" s="226">
        <f>SUM(CATEGORIAS[[#This Row],[INVENTARIO]:[PROYECCION
DE COSTO
DEL SALDO]])</f>
        <v>0</v>
      </c>
      <c r="AF309" s="132"/>
      <c r="AG309" s="132">
        <f>+CATEGORIAS[[#This Row],[PRESUPUESTO
FINAL
PROYECTADO]]-CATEGORIAS[[#This Row],[COSTO REAL]]-CATEGORIAS[[#This Row],[PROYECCION
TOTAL DE COSTO]]</f>
        <v>0</v>
      </c>
    </row>
    <row r="310" spans="1:33" x14ac:dyDescent="0.25">
      <c r="A310" s="274" t="str">
        <f>+IFERROR(VLOOKUP(CATEGORIAS[[#This Row],[CATEGORIA2]],[1]HOMOLOGACION!$A$1:$I$571,9,FALSE),0)</f>
        <v>0Q02</v>
      </c>
      <c r="B310" s="274" t="str">
        <f>+IFERROR(VLOOKUP(CATEGORIAS[[#This Row],[CATEGORIA2]],[1]HOMOLOGACION!$A$1:$C$571,3,FALSE),0)</f>
        <v>0X11</v>
      </c>
      <c r="C310" s="274" t="str">
        <f>+IFERROR(VLOOKUP(CATEGORIAS[[#This Row],[CATEGORIA2]],[1]HOMOLOGACION!$A$1:$D$571,4,FALSE),0)</f>
        <v xml:space="preserve">Otras especialidades </v>
      </c>
      <c r="D310" s="144" t="s">
        <v>2028</v>
      </c>
      <c r="E310" s="273" t="s">
        <v>967</v>
      </c>
      <c r="F310" s="275" t="s">
        <v>364</v>
      </c>
      <c r="G310" s="313">
        <v>6272000</v>
      </c>
      <c r="H310" s="313">
        <v>6272000</v>
      </c>
      <c r="I310" s="130">
        <v>0</v>
      </c>
      <c r="J310" s="130"/>
      <c r="K310" s="130"/>
      <c r="L310" s="143">
        <f>CATEGORIAS[[#This Row],[ADICIONALES]]+CATEGORIAS[[#This Row],[POM]]</f>
        <v>6272000</v>
      </c>
      <c r="M310" s="131">
        <v>0</v>
      </c>
      <c r="N310" s="227">
        <v>0</v>
      </c>
      <c r="O310" s="296">
        <f>CATEGORIAS[[#This Row],[PRODUCCION
PARTIDAS
ORIGINALES
ACTUAL]]+CATEGORIAS[[#This Row],[PRODUCCION
ADICIONALES
ACTUAL]]</f>
        <v>0</v>
      </c>
      <c r="P310" s="227">
        <v>0</v>
      </c>
      <c r="Q310" s="227">
        <v>0</v>
      </c>
      <c r="R310" s="297">
        <f>CATEGORIAS[[#This Row],[PRODUCCION
ANTERIOR]]+CATEGORIAS[[#This Row],[PRODUCCION
ADICIONALES
ANTERIOR]]</f>
        <v>0</v>
      </c>
      <c r="S310" s="133">
        <v>0</v>
      </c>
      <c r="T310" s="133"/>
      <c r="U310" s="133"/>
      <c r="V310" s="296">
        <f>SUM(CATEGORIAS[[#This Row],[COSTO
ACUMULADO  AX]:[PROVISIONES]])</f>
        <v>0</v>
      </c>
      <c r="W310" s="298">
        <v>0</v>
      </c>
      <c r="X310" s="227"/>
      <c r="Y310" s="227"/>
      <c r="Z310" s="297">
        <f>SUM(CATEGORIAS[[#This Row],[COSTO ACUMULADO
ANTERIOR]:[PROVISIONES
ANTERIOR]])</f>
        <v>0</v>
      </c>
      <c r="AA310" s="139">
        <f>CATEGORIAS[[#This Row],[PRESUPUESTO
FINAL
PROYECTADO]]-CATEGORIAS[[#This Row],[TOTAL PRODUCCION
ACTUAL]]</f>
        <v>6272000</v>
      </c>
      <c r="AB310" s="227">
        <v>0</v>
      </c>
      <c r="AC310" s="132"/>
      <c r="AD310" s="132">
        <v>6272000</v>
      </c>
      <c r="AE310" s="226">
        <f>SUM(CATEGORIAS[[#This Row],[INVENTARIO]:[PROYECCION
DE COSTO
DEL SALDO]])</f>
        <v>6272000</v>
      </c>
      <c r="AF310" s="132"/>
      <c r="AG310" s="132">
        <f>+CATEGORIAS[[#This Row],[PRESUPUESTO
FINAL
PROYECTADO]]-CATEGORIAS[[#This Row],[COSTO REAL]]-CATEGORIAS[[#This Row],[PROYECCION
TOTAL DE COSTO]]</f>
        <v>0</v>
      </c>
    </row>
    <row r="311" spans="1:33" x14ac:dyDescent="0.25">
      <c r="A311" s="274" t="str">
        <f>+IFERROR(VLOOKUP(CATEGORIAS[[#This Row],[CATEGORIA2]],[1]HOMOLOGACION!$A$1:$I$571,9,FALSE),0)</f>
        <v>0Q02</v>
      </c>
      <c r="B311" s="274" t="str">
        <f>+IFERROR(VLOOKUP(CATEGORIAS[[#This Row],[CATEGORIA2]],[1]HOMOLOGACION!$A$1:$C$571,3,FALSE),0)</f>
        <v>0X11</v>
      </c>
      <c r="C311" s="274" t="str">
        <f>+IFERROR(VLOOKUP(CATEGORIAS[[#This Row],[CATEGORIA2]],[1]HOMOLOGACION!$A$1:$D$571,4,FALSE),0)</f>
        <v xml:space="preserve">Otras especialidades </v>
      </c>
      <c r="D311" s="144" t="s">
        <v>2029</v>
      </c>
      <c r="E311" s="273" t="s">
        <v>969</v>
      </c>
      <c r="F311" s="275" t="s">
        <v>361</v>
      </c>
      <c r="G311" s="313">
        <v>0</v>
      </c>
      <c r="H311" s="313">
        <v>0</v>
      </c>
      <c r="I311" s="130">
        <v>0</v>
      </c>
      <c r="J311" s="130"/>
      <c r="K311" s="130"/>
      <c r="L311" s="143">
        <f>CATEGORIAS[[#This Row],[ADICIONALES]]+CATEGORIAS[[#This Row],[POM]]</f>
        <v>0</v>
      </c>
      <c r="M311" s="131">
        <v>0</v>
      </c>
      <c r="N311" s="227">
        <v>0</v>
      </c>
      <c r="O311" s="296">
        <f>CATEGORIAS[[#This Row],[PRODUCCION
PARTIDAS
ORIGINALES
ACTUAL]]+CATEGORIAS[[#This Row],[PRODUCCION
ADICIONALES
ACTUAL]]</f>
        <v>0</v>
      </c>
      <c r="P311" s="227">
        <v>0</v>
      </c>
      <c r="Q311" s="132">
        <v>0</v>
      </c>
      <c r="R311" s="297">
        <f>CATEGORIAS[[#This Row],[PRODUCCION
ANTERIOR]]+CATEGORIAS[[#This Row],[PRODUCCION
ADICIONALES
ANTERIOR]]</f>
        <v>0</v>
      </c>
      <c r="S311" s="133">
        <v>0</v>
      </c>
      <c r="T311" s="133"/>
      <c r="U311" s="133"/>
      <c r="V311" s="296">
        <f>SUM(CATEGORIAS[[#This Row],[COSTO
ACUMULADO  AX]:[PROVISIONES]])</f>
        <v>0</v>
      </c>
      <c r="W311" s="298">
        <v>0</v>
      </c>
      <c r="X311" s="227"/>
      <c r="Y311" s="227"/>
      <c r="Z311" s="297">
        <f>SUM(CATEGORIAS[[#This Row],[COSTO ACUMULADO
ANTERIOR]:[PROVISIONES
ANTERIOR]])</f>
        <v>0</v>
      </c>
      <c r="AA311" s="139">
        <f>CATEGORIAS[[#This Row],[PRESUPUESTO
FINAL
PROYECTADO]]-CATEGORIAS[[#This Row],[TOTAL PRODUCCION
ACTUAL]]</f>
        <v>0</v>
      </c>
      <c r="AB311" s="227">
        <v>0</v>
      </c>
      <c r="AC311" s="132"/>
      <c r="AD311" s="132"/>
      <c r="AE311" s="226">
        <f>SUM(CATEGORIAS[[#This Row],[INVENTARIO]:[PROYECCION
DE COSTO
DEL SALDO]])</f>
        <v>0</v>
      </c>
      <c r="AF311" s="132"/>
      <c r="AG311" s="132">
        <f>+CATEGORIAS[[#This Row],[PRESUPUESTO
FINAL
PROYECTADO]]-CATEGORIAS[[#This Row],[COSTO REAL]]-CATEGORIAS[[#This Row],[PROYECCION
TOTAL DE COSTO]]</f>
        <v>0</v>
      </c>
    </row>
    <row r="312" spans="1:33" x14ac:dyDescent="0.25">
      <c r="A312" s="274" t="str">
        <f>+IFERROR(VLOOKUP(CATEGORIAS[[#This Row],[CATEGORIA2]],[1]HOMOLOGACION!$A$1:$I$571,9,FALSE),0)</f>
        <v>0Q02</v>
      </c>
      <c r="B312" s="274" t="str">
        <f>+IFERROR(VLOOKUP(CATEGORIAS[[#This Row],[CATEGORIA2]],[1]HOMOLOGACION!$A$1:$C$571,3,FALSE),0)</f>
        <v>0X11</v>
      </c>
      <c r="C312" s="274" t="str">
        <f>+IFERROR(VLOOKUP(CATEGORIAS[[#This Row],[CATEGORIA2]],[1]HOMOLOGACION!$A$1:$D$571,4,FALSE),0)</f>
        <v xml:space="preserve">Otras especialidades </v>
      </c>
      <c r="D312" s="144" t="s">
        <v>2030</v>
      </c>
      <c r="E312" s="273" t="s">
        <v>971</v>
      </c>
      <c r="F312" s="275" t="s">
        <v>361</v>
      </c>
      <c r="G312" s="313">
        <v>0</v>
      </c>
      <c r="H312" s="313">
        <v>0</v>
      </c>
      <c r="I312" s="130">
        <v>0</v>
      </c>
      <c r="J312" s="130"/>
      <c r="K312" s="130"/>
      <c r="L312" s="143">
        <f>CATEGORIAS[[#This Row],[ADICIONALES]]+CATEGORIAS[[#This Row],[POM]]</f>
        <v>0</v>
      </c>
      <c r="M312" s="131">
        <v>0</v>
      </c>
      <c r="N312" s="227">
        <v>0</v>
      </c>
      <c r="O312" s="296">
        <f>CATEGORIAS[[#This Row],[PRODUCCION
PARTIDAS
ORIGINALES
ACTUAL]]+CATEGORIAS[[#This Row],[PRODUCCION
ADICIONALES
ACTUAL]]</f>
        <v>0</v>
      </c>
      <c r="P312" s="227">
        <v>0</v>
      </c>
      <c r="Q312" s="227">
        <v>0</v>
      </c>
      <c r="R312" s="297">
        <f>CATEGORIAS[[#This Row],[PRODUCCION
ANTERIOR]]+CATEGORIAS[[#This Row],[PRODUCCION
ADICIONALES
ANTERIOR]]</f>
        <v>0</v>
      </c>
      <c r="S312" s="133">
        <v>0</v>
      </c>
      <c r="T312" s="133"/>
      <c r="U312" s="133"/>
      <c r="V312" s="296">
        <f>SUM(CATEGORIAS[[#This Row],[COSTO
ACUMULADO  AX]:[PROVISIONES]])</f>
        <v>0</v>
      </c>
      <c r="W312" s="298">
        <v>0</v>
      </c>
      <c r="X312" s="227"/>
      <c r="Y312" s="227"/>
      <c r="Z312" s="297">
        <f>SUM(CATEGORIAS[[#This Row],[COSTO ACUMULADO
ANTERIOR]:[PROVISIONES
ANTERIOR]])</f>
        <v>0</v>
      </c>
      <c r="AA312" s="139">
        <f>CATEGORIAS[[#This Row],[PRESUPUESTO
FINAL
PROYECTADO]]-CATEGORIAS[[#This Row],[TOTAL PRODUCCION
ACTUAL]]</f>
        <v>0</v>
      </c>
      <c r="AB312" s="227">
        <v>0</v>
      </c>
      <c r="AC312" s="132"/>
      <c r="AD312" s="132"/>
      <c r="AE312" s="226">
        <f>SUM(CATEGORIAS[[#This Row],[INVENTARIO]:[PROYECCION
DE COSTO
DEL SALDO]])</f>
        <v>0</v>
      </c>
      <c r="AF312" s="132"/>
      <c r="AG312" s="132">
        <f>+CATEGORIAS[[#This Row],[PRESUPUESTO
FINAL
PROYECTADO]]-CATEGORIAS[[#This Row],[COSTO REAL]]-CATEGORIAS[[#This Row],[PROYECCION
TOTAL DE COSTO]]</f>
        <v>0</v>
      </c>
    </row>
    <row r="313" spans="1:33" x14ac:dyDescent="0.25">
      <c r="A313" s="274" t="str">
        <f>+IFERROR(VLOOKUP(CATEGORIAS[[#This Row],[CATEGORIA2]],[1]HOMOLOGACION!$A$1:$I$571,9,FALSE),0)</f>
        <v>0Q02</v>
      </c>
      <c r="B313" s="274" t="str">
        <f>+IFERROR(VLOOKUP(CATEGORIAS[[#This Row],[CATEGORIA2]],[1]HOMOLOGACION!$A$1:$C$571,3,FALSE),0)</f>
        <v>0X11</v>
      </c>
      <c r="C313" s="274" t="str">
        <f>+IFERROR(VLOOKUP(CATEGORIAS[[#This Row],[CATEGORIA2]],[1]HOMOLOGACION!$A$1:$D$571,4,FALSE),0)</f>
        <v xml:space="preserve">Otras especialidades </v>
      </c>
      <c r="D313" s="144" t="s">
        <v>2031</v>
      </c>
      <c r="E313" s="273" t="s">
        <v>971</v>
      </c>
      <c r="F313" s="275" t="s">
        <v>361</v>
      </c>
      <c r="G313" s="313">
        <v>0</v>
      </c>
      <c r="H313" s="313">
        <v>0</v>
      </c>
      <c r="I313" s="130">
        <v>0</v>
      </c>
      <c r="J313" s="130"/>
      <c r="K313" s="130"/>
      <c r="L313" s="143">
        <f>CATEGORIAS[[#This Row],[ADICIONALES]]+CATEGORIAS[[#This Row],[POM]]</f>
        <v>0</v>
      </c>
      <c r="M313" s="131">
        <v>0</v>
      </c>
      <c r="N313" s="227">
        <v>0</v>
      </c>
      <c r="O313" s="296">
        <f>CATEGORIAS[[#This Row],[PRODUCCION
PARTIDAS
ORIGINALES
ACTUAL]]+CATEGORIAS[[#This Row],[PRODUCCION
ADICIONALES
ACTUAL]]</f>
        <v>0</v>
      </c>
      <c r="P313" s="227">
        <v>0</v>
      </c>
      <c r="Q313" s="132">
        <v>0</v>
      </c>
      <c r="R313" s="297">
        <f>CATEGORIAS[[#This Row],[PRODUCCION
ANTERIOR]]+CATEGORIAS[[#This Row],[PRODUCCION
ADICIONALES
ANTERIOR]]</f>
        <v>0</v>
      </c>
      <c r="S313" s="133">
        <v>0</v>
      </c>
      <c r="T313" s="133"/>
      <c r="U313" s="133"/>
      <c r="V313" s="296">
        <f>SUM(CATEGORIAS[[#This Row],[COSTO
ACUMULADO  AX]:[PROVISIONES]])</f>
        <v>0</v>
      </c>
      <c r="W313" s="298">
        <v>0</v>
      </c>
      <c r="X313" s="227"/>
      <c r="Y313" s="227"/>
      <c r="Z313" s="297">
        <f>SUM(CATEGORIAS[[#This Row],[COSTO ACUMULADO
ANTERIOR]:[PROVISIONES
ANTERIOR]])</f>
        <v>0</v>
      </c>
      <c r="AA313" s="139">
        <f>CATEGORIAS[[#This Row],[PRESUPUESTO
FINAL
PROYECTADO]]-CATEGORIAS[[#This Row],[TOTAL PRODUCCION
ACTUAL]]</f>
        <v>0</v>
      </c>
      <c r="AB313" s="227">
        <v>0</v>
      </c>
      <c r="AC313" s="132"/>
      <c r="AD313" s="132"/>
      <c r="AE313" s="226">
        <f>SUM(CATEGORIAS[[#This Row],[INVENTARIO]:[PROYECCION
DE COSTO
DEL SALDO]])</f>
        <v>0</v>
      </c>
      <c r="AF313" s="132"/>
      <c r="AG313" s="132">
        <f>+CATEGORIAS[[#This Row],[PRESUPUESTO
FINAL
PROYECTADO]]-CATEGORIAS[[#This Row],[COSTO REAL]]-CATEGORIAS[[#This Row],[PROYECCION
TOTAL DE COSTO]]</f>
        <v>0</v>
      </c>
    </row>
    <row r="314" spans="1:33" x14ac:dyDescent="0.25">
      <c r="A314" s="274" t="str">
        <f>+IFERROR(VLOOKUP(CATEGORIAS[[#This Row],[CATEGORIA2]],[1]HOMOLOGACION!$A$1:$I$571,9,FALSE),0)</f>
        <v>0Q02</v>
      </c>
      <c r="B314" s="274" t="str">
        <f>+IFERROR(VLOOKUP(CATEGORIAS[[#This Row],[CATEGORIA2]],[1]HOMOLOGACION!$A$1:$C$571,3,FALSE),0)</f>
        <v>0X11</v>
      </c>
      <c r="C314" s="274" t="str">
        <f>+IFERROR(VLOOKUP(CATEGORIAS[[#This Row],[CATEGORIA2]],[1]HOMOLOGACION!$A$1:$D$571,4,FALSE),0)</f>
        <v xml:space="preserve">Otras especialidades </v>
      </c>
      <c r="D314" s="144" t="s">
        <v>2032</v>
      </c>
      <c r="E314" s="273" t="s">
        <v>974</v>
      </c>
      <c r="F314" s="275" t="s">
        <v>361</v>
      </c>
      <c r="G314" s="313">
        <v>0</v>
      </c>
      <c r="H314" s="313">
        <v>0</v>
      </c>
      <c r="I314" s="130">
        <v>0</v>
      </c>
      <c r="J314" s="130"/>
      <c r="K314" s="130"/>
      <c r="L314" s="143">
        <f>CATEGORIAS[[#This Row],[ADICIONALES]]+CATEGORIAS[[#This Row],[POM]]</f>
        <v>0</v>
      </c>
      <c r="M314" s="131">
        <v>0</v>
      </c>
      <c r="N314" s="227">
        <v>0</v>
      </c>
      <c r="O314" s="296">
        <f>CATEGORIAS[[#This Row],[PRODUCCION
PARTIDAS
ORIGINALES
ACTUAL]]+CATEGORIAS[[#This Row],[PRODUCCION
ADICIONALES
ACTUAL]]</f>
        <v>0</v>
      </c>
      <c r="P314" s="227">
        <v>0</v>
      </c>
      <c r="Q314" s="227">
        <v>0</v>
      </c>
      <c r="R314" s="297">
        <f>CATEGORIAS[[#This Row],[PRODUCCION
ANTERIOR]]+CATEGORIAS[[#This Row],[PRODUCCION
ADICIONALES
ANTERIOR]]</f>
        <v>0</v>
      </c>
      <c r="S314" s="133">
        <v>0</v>
      </c>
      <c r="T314" s="133"/>
      <c r="U314" s="133"/>
      <c r="V314" s="296">
        <f>SUM(CATEGORIAS[[#This Row],[COSTO
ACUMULADO  AX]:[PROVISIONES]])</f>
        <v>0</v>
      </c>
      <c r="W314" s="298">
        <v>0</v>
      </c>
      <c r="X314" s="227"/>
      <c r="Y314" s="227"/>
      <c r="Z314" s="297">
        <f>SUM(CATEGORIAS[[#This Row],[COSTO ACUMULADO
ANTERIOR]:[PROVISIONES
ANTERIOR]])</f>
        <v>0</v>
      </c>
      <c r="AA314" s="139">
        <f>CATEGORIAS[[#This Row],[PRESUPUESTO
FINAL
PROYECTADO]]-CATEGORIAS[[#This Row],[TOTAL PRODUCCION
ACTUAL]]</f>
        <v>0</v>
      </c>
      <c r="AB314" s="227">
        <v>0</v>
      </c>
      <c r="AC314" s="132"/>
      <c r="AD314" s="132"/>
      <c r="AE314" s="226">
        <f>SUM(CATEGORIAS[[#This Row],[INVENTARIO]:[PROYECCION
DE COSTO
DEL SALDO]])</f>
        <v>0</v>
      </c>
      <c r="AF314" s="132"/>
      <c r="AG314" s="132">
        <f>+CATEGORIAS[[#This Row],[PRESUPUESTO
FINAL
PROYECTADO]]-CATEGORIAS[[#This Row],[COSTO REAL]]-CATEGORIAS[[#This Row],[PROYECCION
TOTAL DE COSTO]]</f>
        <v>0</v>
      </c>
    </row>
    <row r="315" spans="1:33" x14ac:dyDescent="0.25">
      <c r="A315" s="274" t="str">
        <f>+IFERROR(VLOOKUP(CATEGORIAS[[#This Row],[CATEGORIA2]],[1]HOMOLOGACION!$A$1:$I$571,9,FALSE),0)</f>
        <v>0Q02</v>
      </c>
      <c r="B315" s="274" t="str">
        <f>+IFERROR(VLOOKUP(CATEGORIAS[[#This Row],[CATEGORIA2]],[1]HOMOLOGACION!$A$1:$C$571,3,FALSE),0)</f>
        <v>0X11</v>
      </c>
      <c r="C315" s="274" t="str">
        <f>+IFERROR(VLOOKUP(CATEGORIAS[[#This Row],[CATEGORIA2]],[1]HOMOLOGACION!$A$1:$D$571,4,FALSE),0)</f>
        <v xml:space="preserve">Otras especialidades </v>
      </c>
      <c r="D315" s="144" t="s">
        <v>2033</v>
      </c>
      <c r="E315" s="273" t="s">
        <v>976</v>
      </c>
      <c r="F315" s="275" t="s">
        <v>361</v>
      </c>
      <c r="G315" s="313">
        <v>0</v>
      </c>
      <c r="H315" s="313">
        <v>0</v>
      </c>
      <c r="I315" s="130">
        <v>0</v>
      </c>
      <c r="J315" s="130"/>
      <c r="K315" s="130"/>
      <c r="L315" s="143">
        <f>CATEGORIAS[[#This Row],[ADICIONALES]]+CATEGORIAS[[#This Row],[POM]]</f>
        <v>0</v>
      </c>
      <c r="M315" s="131">
        <v>0</v>
      </c>
      <c r="N315" s="227">
        <v>0</v>
      </c>
      <c r="O315" s="296">
        <f>CATEGORIAS[[#This Row],[PRODUCCION
PARTIDAS
ORIGINALES
ACTUAL]]+CATEGORIAS[[#This Row],[PRODUCCION
ADICIONALES
ACTUAL]]</f>
        <v>0</v>
      </c>
      <c r="P315" s="227">
        <v>0</v>
      </c>
      <c r="Q315" s="227">
        <v>0</v>
      </c>
      <c r="R315" s="297">
        <f>CATEGORIAS[[#This Row],[PRODUCCION
ANTERIOR]]+CATEGORIAS[[#This Row],[PRODUCCION
ADICIONALES
ANTERIOR]]</f>
        <v>0</v>
      </c>
      <c r="S315" s="133">
        <v>0</v>
      </c>
      <c r="T315" s="133"/>
      <c r="U315" s="133"/>
      <c r="V315" s="296">
        <f>SUM(CATEGORIAS[[#This Row],[COSTO
ACUMULADO  AX]:[PROVISIONES]])</f>
        <v>0</v>
      </c>
      <c r="W315" s="298">
        <v>0</v>
      </c>
      <c r="X315" s="227"/>
      <c r="Y315" s="227"/>
      <c r="Z315" s="297">
        <f>SUM(CATEGORIAS[[#This Row],[COSTO ACUMULADO
ANTERIOR]:[PROVISIONES
ANTERIOR]])</f>
        <v>0</v>
      </c>
      <c r="AA315" s="139">
        <f>CATEGORIAS[[#This Row],[PRESUPUESTO
FINAL
PROYECTADO]]-CATEGORIAS[[#This Row],[TOTAL PRODUCCION
ACTUAL]]</f>
        <v>0</v>
      </c>
      <c r="AB315" s="227">
        <v>0</v>
      </c>
      <c r="AC315" s="132"/>
      <c r="AD315" s="132"/>
      <c r="AE315" s="226">
        <f>SUM(CATEGORIAS[[#This Row],[INVENTARIO]:[PROYECCION
DE COSTO
DEL SALDO]])</f>
        <v>0</v>
      </c>
      <c r="AF315" s="132"/>
      <c r="AG315" s="132">
        <f>+CATEGORIAS[[#This Row],[PRESUPUESTO
FINAL
PROYECTADO]]-CATEGORIAS[[#This Row],[COSTO REAL]]-CATEGORIAS[[#This Row],[PROYECCION
TOTAL DE COSTO]]</f>
        <v>0</v>
      </c>
    </row>
    <row r="316" spans="1:33" x14ac:dyDescent="0.25">
      <c r="A316" s="274" t="str">
        <f>+IFERROR(VLOOKUP(CATEGORIAS[[#This Row],[CATEGORIA2]],[1]HOMOLOGACION!$A$1:$I$571,9,FALSE),0)</f>
        <v>0Q01</v>
      </c>
      <c r="B316" s="274" t="str">
        <f>+IFERROR(VLOOKUP(CATEGORIAS[[#This Row],[CATEGORIA2]],[1]HOMOLOGACION!$A$1:$C$571,3,FALSE),0)</f>
        <v>0D01</v>
      </c>
      <c r="C316" s="274" t="str">
        <f>+IFERROR(VLOOKUP(CATEGORIAS[[#This Row],[CATEGORIA2]],[1]HOMOLOGACION!$A$1:$D$571,4,FALSE),0)</f>
        <v>Equipos Mayores</v>
      </c>
      <c r="D316" s="144" t="s">
        <v>2034</v>
      </c>
      <c r="E316" s="273" t="s">
        <v>978</v>
      </c>
      <c r="F316" s="275" t="s">
        <v>361</v>
      </c>
      <c r="G316" s="313">
        <v>0</v>
      </c>
      <c r="H316" s="313">
        <v>0</v>
      </c>
      <c r="I316" s="130">
        <v>0</v>
      </c>
      <c r="J316" s="130"/>
      <c r="K316" s="130"/>
      <c r="L316" s="143">
        <f>CATEGORIAS[[#This Row],[ADICIONALES]]+CATEGORIAS[[#This Row],[POM]]</f>
        <v>0</v>
      </c>
      <c r="M316" s="131">
        <v>0</v>
      </c>
      <c r="N316" s="227">
        <v>0</v>
      </c>
      <c r="O316" s="296">
        <f>CATEGORIAS[[#This Row],[PRODUCCION
PARTIDAS
ORIGINALES
ACTUAL]]+CATEGORIAS[[#This Row],[PRODUCCION
ADICIONALES
ACTUAL]]</f>
        <v>0</v>
      </c>
      <c r="P316" s="227">
        <v>0</v>
      </c>
      <c r="Q316" s="132">
        <v>0</v>
      </c>
      <c r="R316" s="297">
        <f>CATEGORIAS[[#This Row],[PRODUCCION
ANTERIOR]]+CATEGORIAS[[#This Row],[PRODUCCION
ADICIONALES
ANTERIOR]]</f>
        <v>0</v>
      </c>
      <c r="S316" s="133">
        <v>0</v>
      </c>
      <c r="T316" s="133"/>
      <c r="U316" s="133"/>
      <c r="V316" s="296">
        <f>SUM(CATEGORIAS[[#This Row],[COSTO
ACUMULADO  AX]:[PROVISIONES]])</f>
        <v>0</v>
      </c>
      <c r="W316" s="298">
        <v>0</v>
      </c>
      <c r="X316" s="227"/>
      <c r="Y316" s="227"/>
      <c r="Z316" s="297">
        <f>SUM(CATEGORIAS[[#This Row],[COSTO ACUMULADO
ANTERIOR]:[PROVISIONES
ANTERIOR]])</f>
        <v>0</v>
      </c>
      <c r="AA316" s="139">
        <f>CATEGORIAS[[#This Row],[PRESUPUESTO
FINAL
PROYECTADO]]-CATEGORIAS[[#This Row],[TOTAL PRODUCCION
ACTUAL]]</f>
        <v>0</v>
      </c>
      <c r="AB316" s="227">
        <v>0</v>
      </c>
      <c r="AC316" s="132"/>
      <c r="AD316" s="132"/>
      <c r="AE316" s="226">
        <f>SUM(CATEGORIAS[[#This Row],[INVENTARIO]:[PROYECCION
DE COSTO
DEL SALDO]])</f>
        <v>0</v>
      </c>
      <c r="AF316" s="132"/>
      <c r="AG316" s="132">
        <f>+CATEGORIAS[[#This Row],[PRESUPUESTO
FINAL
PROYECTADO]]-CATEGORIAS[[#This Row],[COSTO REAL]]-CATEGORIAS[[#This Row],[PROYECCION
TOTAL DE COSTO]]</f>
        <v>0</v>
      </c>
    </row>
    <row r="317" spans="1:33" x14ac:dyDescent="0.25">
      <c r="A317" s="274" t="str">
        <f>+IFERROR(VLOOKUP(CATEGORIAS[[#This Row],[CATEGORIA2]],[1]HOMOLOGACION!$A$1:$I$571,9,FALSE),0)</f>
        <v>0Q01</v>
      </c>
      <c r="B317" s="274" t="str">
        <f>+IFERROR(VLOOKUP(CATEGORIAS[[#This Row],[CATEGORIA2]],[1]HOMOLOGACION!$A$1:$C$571,3,FALSE),0)</f>
        <v>0D01</v>
      </c>
      <c r="C317" s="274" t="str">
        <f>+IFERROR(VLOOKUP(CATEGORIAS[[#This Row],[CATEGORIA2]],[1]HOMOLOGACION!$A$1:$D$571,4,FALSE),0)</f>
        <v>Equipos Mayores</v>
      </c>
      <c r="D317" s="144" t="s">
        <v>2035</v>
      </c>
      <c r="E317" s="273" t="s">
        <v>980</v>
      </c>
      <c r="F317" s="275" t="s">
        <v>361</v>
      </c>
      <c r="G317" s="313">
        <v>0</v>
      </c>
      <c r="H317" s="313">
        <v>0</v>
      </c>
      <c r="I317" s="130">
        <v>0</v>
      </c>
      <c r="J317" s="130"/>
      <c r="K317" s="130"/>
      <c r="L317" s="143">
        <f>CATEGORIAS[[#This Row],[ADICIONALES]]+CATEGORIAS[[#This Row],[POM]]</f>
        <v>0</v>
      </c>
      <c r="M317" s="131">
        <v>0</v>
      </c>
      <c r="N317" s="227">
        <v>0</v>
      </c>
      <c r="O317" s="296">
        <f>CATEGORIAS[[#This Row],[PRODUCCION
PARTIDAS
ORIGINALES
ACTUAL]]+CATEGORIAS[[#This Row],[PRODUCCION
ADICIONALES
ACTUAL]]</f>
        <v>0</v>
      </c>
      <c r="P317" s="227">
        <v>0</v>
      </c>
      <c r="Q317" s="227">
        <v>0</v>
      </c>
      <c r="R317" s="297">
        <f>CATEGORIAS[[#This Row],[PRODUCCION
ANTERIOR]]+CATEGORIAS[[#This Row],[PRODUCCION
ADICIONALES
ANTERIOR]]</f>
        <v>0</v>
      </c>
      <c r="S317" s="133">
        <v>0</v>
      </c>
      <c r="T317" s="133"/>
      <c r="U317" s="133"/>
      <c r="V317" s="296">
        <f>SUM(CATEGORIAS[[#This Row],[COSTO
ACUMULADO  AX]:[PROVISIONES]])</f>
        <v>0</v>
      </c>
      <c r="W317" s="298">
        <v>0</v>
      </c>
      <c r="X317" s="227"/>
      <c r="Y317" s="227"/>
      <c r="Z317" s="297">
        <f>SUM(CATEGORIAS[[#This Row],[COSTO ACUMULADO
ANTERIOR]:[PROVISIONES
ANTERIOR]])</f>
        <v>0</v>
      </c>
      <c r="AA317" s="139">
        <f>CATEGORIAS[[#This Row],[PRESUPUESTO
FINAL
PROYECTADO]]-CATEGORIAS[[#This Row],[TOTAL PRODUCCION
ACTUAL]]</f>
        <v>0</v>
      </c>
      <c r="AB317" s="227">
        <v>0</v>
      </c>
      <c r="AC317" s="132"/>
      <c r="AD317" s="132"/>
      <c r="AE317" s="226">
        <f>SUM(CATEGORIAS[[#This Row],[INVENTARIO]:[PROYECCION
DE COSTO
DEL SALDO]])</f>
        <v>0</v>
      </c>
      <c r="AF317" s="132"/>
      <c r="AG317" s="132">
        <f>+CATEGORIAS[[#This Row],[PRESUPUESTO
FINAL
PROYECTADO]]-CATEGORIAS[[#This Row],[COSTO REAL]]-CATEGORIAS[[#This Row],[PROYECCION
TOTAL DE COSTO]]</f>
        <v>0</v>
      </c>
    </row>
    <row r="318" spans="1:33" x14ac:dyDescent="0.25">
      <c r="A318" s="274" t="str">
        <f>+IFERROR(VLOOKUP(CATEGORIAS[[#This Row],[CATEGORIA2]],[1]HOMOLOGACION!$A$1:$I$571,9,FALSE),0)</f>
        <v>0Q01</v>
      </c>
      <c r="B318" s="274" t="str">
        <f>+IFERROR(VLOOKUP(CATEGORIAS[[#This Row],[CATEGORIA2]],[1]HOMOLOGACION!$A$1:$C$571,3,FALSE),0)</f>
        <v>0D01</v>
      </c>
      <c r="C318" s="274" t="str">
        <f>+IFERROR(VLOOKUP(CATEGORIAS[[#This Row],[CATEGORIA2]],[1]HOMOLOGACION!$A$1:$D$571,4,FALSE),0)</f>
        <v>Equipos Mayores</v>
      </c>
      <c r="D318" s="144" t="s">
        <v>2036</v>
      </c>
      <c r="E318" s="273" t="s">
        <v>982</v>
      </c>
      <c r="F318" s="275" t="s">
        <v>361</v>
      </c>
      <c r="G318" s="313">
        <v>0</v>
      </c>
      <c r="H318" s="313">
        <v>0</v>
      </c>
      <c r="I318" s="130">
        <v>0</v>
      </c>
      <c r="J318" s="130"/>
      <c r="K318" s="130"/>
      <c r="L318" s="143">
        <f>CATEGORIAS[[#This Row],[ADICIONALES]]+CATEGORIAS[[#This Row],[POM]]</f>
        <v>0</v>
      </c>
      <c r="M318" s="131">
        <v>0</v>
      </c>
      <c r="N318" s="227">
        <v>0</v>
      </c>
      <c r="O318" s="296">
        <f>CATEGORIAS[[#This Row],[PRODUCCION
PARTIDAS
ORIGINALES
ACTUAL]]+CATEGORIAS[[#This Row],[PRODUCCION
ADICIONALES
ACTUAL]]</f>
        <v>0</v>
      </c>
      <c r="P318" s="227">
        <v>0</v>
      </c>
      <c r="Q318" s="132">
        <v>0</v>
      </c>
      <c r="R318" s="297">
        <f>CATEGORIAS[[#This Row],[PRODUCCION
ANTERIOR]]+CATEGORIAS[[#This Row],[PRODUCCION
ADICIONALES
ANTERIOR]]</f>
        <v>0</v>
      </c>
      <c r="S318" s="133">
        <v>0</v>
      </c>
      <c r="T318" s="133"/>
      <c r="U318" s="133"/>
      <c r="V318" s="296">
        <f>SUM(CATEGORIAS[[#This Row],[COSTO
ACUMULADO  AX]:[PROVISIONES]])</f>
        <v>0</v>
      </c>
      <c r="W318" s="298">
        <v>0</v>
      </c>
      <c r="X318" s="227"/>
      <c r="Y318" s="227"/>
      <c r="Z318" s="297">
        <f>SUM(CATEGORIAS[[#This Row],[COSTO ACUMULADO
ANTERIOR]:[PROVISIONES
ANTERIOR]])</f>
        <v>0</v>
      </c>
      <c r="AA318" s="139">
        <f>CATEGORIAS[[#This Row],[PRESUPUESTO
FINAL
PROYECTADO]]-CATEGORIAS[[#This Row],[TOTAL PRODUCCION
ACTUAL]]</f>
        <v>0</v>
      </c>
      <c r="AB318" s="227">
        <v>0</v>
      </c>
      <c r="AC318" s="132"/>
      <c r="AD318" s="132"/>
      <c r="AE318" s="226">
        <f>SUM(CATEGORIAS[[#This Row],[INVENTARIO]:[PROYECCION
DE COSTO
DEL SALDO]])</f>
        <v>0</v>
      </c>
      <c r="AF318" s="132"/>
      <c r="AG318" s="132">
        <f>+CATEGORIAS[[#This Row],[PRESUPUESTO
FINAL
PROYECTADO]]-CATEGORIAS[[#This Row],[COSTO REAL]]-CATEGORIAS[[#This Row],[PROYECCION
TOTAL DE COSTO]]</f>
        <v>0</v>
      </c>
    </row>
    <row r="319" spans="1:33" x14ac:dyDescent="0.25">
      <c r="A319" s="274" t="str">
        <f>+IFERROR(VLOOKUP(CATEGORIAS[[#This Row],[CATEGORIA2]],[1]HOMOLOGACION!$A$1:$I$571,9,FALSE),0)</f>
        <v>0Q01</v>
      </c>
      <c r="B319" s="274" t="str">
        <f>+IFERROR(VLOOKUP(CATEGORIAS[[#This Row],[CATEGORIA2]],[1]HOMOLOGACION!$A$1:$C$571,3,FALSE),0)</f>
        <v>0D01</v>
      </c>
      <c r="C319" s="274" t="str">
        <f>+IFERROR(VLOOKUP(CATEGORIAS[[#This Row],[CATEGORIA2]],[1]HOMOLOGACION!$A$1:$D$571,4,FALSE),0)</f>
        <v>Equipos Mayores</v>
      </c>
      <c r="D319" s="144" t="s">
        <v>2037</v>
      </c>
      <c r="E319" s="273" t="s">
        <v>984</v>
      </c>
      <c r="F319" s="275" t="s">
        <v>361</v>
      </c>
      <c r="G319" s="313">
        <v>0</v>
      </c>
      <c r="H319" s="313">
        <v>0</v>
      </c>
      <c r="I319" s="130">
        <v>0</v>
      </c>
      <c r="J319" s="130"/>
      <c r="K319" s="130"/>
      <c r="L319" s="143">
        <f>CATEGORIAS[[#This Row],[ADICIONALES]]+CATEGORIAS[[#This Row],[POM]]</f>
        <v>0</v>
      </c>
      <c r="M319" s="131">
        <v>0</v>
      </c>
      <c r="N319" s="227">
        <v>0</v>
      </c>
      <c r="O319" s="296">
        <f>CATEGORIAS[[#This Row],[PRODUCCION
PARTIDAS
ORIGINALES
ACTUAL]]+CATEGORIAS[[#This Row],[PRODUCCION
ADICIONALES
ACTUAL]]</f>
        <v>0</v>
      </c>
      <c r="P319" s="227">
        <v>0</v>
      </c>
      <c r="Q319" s="227">
        <v>0</v>
      </c>
      <c r="R319" s="297">
        <f>CATEGORIAS[[#This Row],[PRODUCCION
ANTERIOR]]+CATEGORIAS[[#This Row],[PRODUCCION
ADICIONALES
ANTERIOR]]</f>
        <v>0</v>
      </c>
      <c r="S319" s="133">
        <v>0</v>
      </c>
      <c r="T319" s="133"/>
      <c r="U319" s="133"/>
      <c r="V319" s="296">
        <f>SUM(CATEGORIAS[[#This Row],[COSTO
ACUMULADO  AX]:[PROVISIONES]])</f>
        <v>0</v>
      </c>
      <c r="W319" s="298">
        <v>0</v>
      </c>
      <c r="X319" s="227"/>
      <c r="Y319" s="227"/>
      <c r="Z319" s="297">
        <f>SUM(CATEGORIAS[[#This Row],[COSTO ACUMULADO
ANTERIOR]:[PROVISIONES
ANTERIOR]])</f>
        <v>0</v>
      </c>
      <c r="AA319" s="139">
        <f>CATEGORIAS[[#This Row],[PRESUPUESTO
FINAL
PROYECTADO]]-CATEGORIAS[[#This Row],[TOTAL PRODUCCION
ACTUAL]]</f>
        <v>0</v>
      </c>
      <c r="AB319" s="227">
        <v>0</v>
      </c>
      <c r="AC319" s="132"/>
      <c r="AD319" s="132"/>
      <c r="AE319" s="226">
        <f>SUM(CATEGORIAS[[#This Row],[INVENTARIO]:[PROYECCION
DE COSTO
DEL SALDO]])</f>
        <v>0</v>
      </c>
      <c r="AF319" s="132"/>
      <c r="AG319" s="132">
        <f>+CATEGORIAS[[#This Row],[PRESUPUESTO
FINAL
PROYECTADO]]-CATEGORIAS[[#This Row],[COSTO REAL]]-CATEGORIAS[[#This Row],[PROYECCION
TOTAL DE COSTO]]</f>
        <v>0</v>
      </c>
    </row>
    <row r="320" spans="1:33" x14ac:dyDescent="0.25">
      <c r="A320" s="274" t="str">
        <f>+IFERROR(VLOOKUP(CATEGORIAS[[#This Row],[CATEGORIA2]],[1]HOMOLOGACION!$A$1:$I$571,9,FALSE),0)</f>
        <v>0Q01</v>
      </c>
      <c r="B320" s="274" t="str">
        <f>+IFERROR(VLOOKUP(CATEGORIAS[[#This Row],[CATEGORIA2]],[1]HOMOLOGACION!$A$1:$C$571,3,FALSE),0)</f>
        <v>0D01</v>
      </c>
      <c r="C320" s="274" t="str">
        <f>+IFERROR(VLOOKUP(CATEGORIAS[[#This Row],[CATEGORIA2]],[1]HOMOLOGACION!$A$1:$D$571,4,FALSE),0)</f>
        <v>Equipos Mayores</v>
      </c>
      <c r="D320" s="144" t="s">
        <v>2038</v>
      </c>
      <c r="E320" s="273" t="s">
        <v>986</v>
      </c>
      <c r="F320" s="275" t="s">
        <v>361</v>
      </c>
      <c r="G320" s="313">
        <v>0</v>
      </c>
      <c r="H320" s="313">
        <v>0</v>
      </c>
      <c r="I320" s="130">
        <v>0</v>
      </c>
      <c r="J320" s="130"/>
      <c r="K320" s="130"/>
      <c r="L320" s="143">
        <f>CATEGORIAS[[#This Row],[ADICIONALES]]+CATEGORIAS[[#This Row],[POM]]</f>
        <v>0</v>
      </c>
      <c r="M320" s="131">
        <v>0</v>
      </c>
      <c r="N320" s="227">
        <v>0</v>
      </c>
      <c r="O320" s="296">
        <f>CATEGORIAS[[#This Row],[PRODUCCION
PARTIDAS
ORIGINALES
ACTUAL]]+CATEGORIAS[[#This Row],[PRODUCCION
ADICIONALES
ACTUAL]]</f>
        <v>0</v>
      </c>
      <c r="P320" s="227">
        <v>0</v>
      </c>
      <c r="Q320" s="132">
        <v>0</v>
      </c>
      <c r="R320" s="297">
        <f>CATEGORIAS[[#This Row],[PRODUCCION
ANTERIOR]]+CATEGORIAS[[#This Row],[PRODUCCION
ADICIONALES
ANTERIOR]]</f>
        <v>0</v>
      </c>
      <c r="S320" s="133">
        <v>0</v>
      </c>
      <c r="T320" s="133"/>
      <c r="U320" s="133"/>
      <c r="V320" s="296">
        <f>SUM(CATEGORIAS[[#This Row],[COSTO
ACUMULADO  AX]:[PROVISIONES]])</f>
        <v>0</v>
      </c>
      <c r="W320" s="298">
        <v>0</v>
      </c>
      <c r="X320" s="227"/>
      <c r="Y320" s="227"/>
      <c r="Z320" s="297">
        <f>SUM(CATEGORIAS[[#This Row],[COSTO ACUMULADO
ANTERIOR]:[PROVISIONES
ANTERIOR]])</f>
        <v>0</v>
      </c>
      <c r="AA320" s="139">
        <f>CATEGORIAS[[#This Row],[PRESUPUESTO
FINAL
PROYECTADO]]-CATEGORIAS[[#This Row],[TOTAL PRODUCCION
ACTUAL]]</f>
        <v>0</v>
      </c>
      <c r="AB320" s="227">
        <v>0</v>
      </c>
      <c r="AC320" s="132"/>
      <c r="AD320" s="132"/>
      <c r="AE320" s="226">
        <f>SUM(CATEGORIAS[[#This Row],[INVENTARIO]:[PROYECCION
DE COSTO
DEL SALDO]])</f>
        <v>0</v>
      </c>
      <c r="AF320" s="132"/>
      <c r="AG320" s="132">
        <f>+CATEGORIAS[[#This Row],[PRESUPUESTO
FINAL
PROYECTADO]]-CATEGORIAS[[#This Row],[COSTO REAL]]-CATEGORIAS[[#This Row],[PROYECCION
TOTAL DE COSTO]]</f>
        <v>0</v>
      </c>
    </row>
    <row r="321" spans="1:33" x14ac:dyDescent="0.25">
      <c r="A321" s="274" t="str">
        <f>+IFERROR(VLOOKUP(CATEGORIAS[[#This Row],[CATEGORIA2]],[1]HOMOLOGACION!$A$1:$I$571,9,FALSE),0)</f>
        <v>0Q01</v>
      </c>
      <c r="B321" s="274" t="str">
        <f>+IFERROR(VLOOKUP(CATEGORIAS[[#This Row],[CATEGORIA2]],[1]HOMOLOGACION!$A$1:$C$571,3,FALSE),0)</f>
        <v>0D01</v>
      </c>
      <c r="C321" s="274" t="str">
        <f>+IFERROR(VLOOKUP(CATEGORIAS[[#This Row],[CATEGORIA2]],[1]HOMOLOGACION!$A$1:$D$571,4,FALSE),0)</f>
        <v>Equipos Mayores</v>
      </c>
      <c r="D321" s="144" t="s">
        <v>2039</v>
      </c>
      <c r="E321" s="273" t="s">
        <v>988</v>
      </c>
      <c r="F321" s="275" t="s">
        <v>361</v>
      </c>
      <c r="G321" s="313">
        <v>0</v>
      </c>
      <c r="H321" s="313">
        <v>0</v>
      </c>
      <c r="I321" s="130">
        <v>0</v>
      </c>
      <c r="J321" s="130"/>
      <c r="K321" s="130"/>
      <c r="L321" s="143">
        <f>CATEGORIAS[[#This Row],[ADICIONALES]]+CATEGORIAS[[#This Row],[POM]]</f>
        <v>0</v>
      </c>
      <c r="M321" s="131">
        <v>0</v>
      </c>
      <c r="N321" s="227">
        <v>0</v>
      </c>
      <c r="O321" s="296">
        <f>CATEGORIAS[[#This Row],[PRODUCCION
PARTIDAS
ORIGINALES
ACTUAL]]+CATEGORIAS[[#This Row],[PRODUCCION
ADICIONALES
ACTUAL]]</f>
        <v>0</v>
      </c>
      <c r="P321" s="227">
        <v>0</v>
      </c>
      <c r="Q321" s="227">
        <v>0</v>
      </c>
      <c r="R321" s="297">
        <f>CATEGORIAS[[#This Row],[PRODUCCION
ANTERIOR]]+CATEGORIAS[[#This Row],[PRODUCCION
ADICIONALES
ANTERIOR]]</f>
        <v>0</v>
      </c>
      <c r="S321" s="133">
        <v>0</v>
      </c>
      <c r="T321" s="133"/>
      <c r="U321" s="133"/>
      <c r="V321" s="296">
        <f>SUM(CATEGORIAS[[#This Row],[COSTO
ACUMULADO  AX]:[PROVISIONES]])</f>
        <v>0</v>
      </c>
      <c r="W321" s="298">
        <v>0</v>
      </c>
      <c r="X321" s="227"/>
      <c r="Y321" s="227"/>
      <c r="Z321" s="297">
        <f>SUM(CATEGORIAS[[#This Row],[COSTO ACUMULADO
ANTERIOR]:[PROVISIONES
ANTERIOR]])</f>
        <v>0</v>
      </c>
      <c r="AA321" s="139">
        <f>CATEGORIAS[[#This Row],[PRESUPUESTO
FINAL
PROYECTADO]]-CATEGORIAS[[#This Row],[TOTAL PRODUCCION
ACTUAL]]</f>
        <v>0</v>
      </c>
      <c r="AB321" s="227">
        <v>0</v>
      </c>
      <c r="AC321" s="132"/>
      <c r="AD321" s="132"/>
      <c r="AE321" s="226">
        <f>SUM(CATEGORIAS[[#This Row],[INVENTARIO]:[PROYECCION
DE COSTO
DEL SALDO]])</f>
        <v>0</v>
      </c>
      <c r="AF321" s="132"/>
      <c r="AG321" s="132">
        <f>+CATEGORIAS[[#This Row],[PRESUPUESTO
FINAL
PROYECTADO]]-CATEGORIAS[[#This Row],[COSTO REAL]]-CATEGORIAS[[#This Row],[PROYECCION
TOTAL DE COSTO]]</f>
        <v>0</v>
      </c>
    </row>
    <row r="322" spans="1:33" x14ac:dyDescent="0.25">
      <c r="A322" s="274" t="str">
        <f>+IFERROR(VLOOKUP(CATEGORIAS[[#This Row],[CATEGORIA2]],[1]HOMOLOGACION!$A$1:$I$571,9,FALSE),0)</f>
        <v>0Q01</v>
      </c>
      <c r="B322" s="274" t="str">
        <f>+IFERROR(VLOOKUP(CATEGORIAS[[#This Row],[CATEGORIA2]],[1]HOMOLOGACION!$A$1:$C$571,3,FALSE),0)</f>
        <v>0D01</v>
      </c>
      <c r="C322" s="274" t="str">
        <f>+IFERROR(VLOOKUP(CATEGORIAS[[#This Row],[CATEGORIA2]],[1]HOMOLOGACION!$A$1:$D$571,4,FALSE),0)</f>
        <v>Equipos Mayores</v>
      </c>
      <c r="D322" s="144" t="s">
        <v>2040</v>
      </c>
      <c r="E322" s="273" t="s">
        <v>990</v>
      </c>
      <c r="F322" s="275" t="s">
        <v>361</v>
      </c>
      <c r="G322" s="313">
        <v>0</v>
      </c>
      <c r="H322" s="313">
        <v>0</v>
      </c>
      <c r="I322" s="130">
        <v>0</v>
      </c>
      <c r="J322" s="130"/>
      <c r="K322" s="130"/>
      <c r="L322" s="143">
        <f>CATEGORIAS[[#This Row],[ADICIONALES]]+CATEGORIAS[[#This Row],[POM]]</f>
        <v>0</v>
      </c>
      <c r="M322" s="131">
        <v>0</v>
      </c>
      <c r="N322" s="227">
        <v>0</v>
      </c>
      <c r="O322" s="296">
        <f>CATEGORIAS[[#This Row],[PRODUCCION
PARTIDAS
ORIGINALES
ACTUAL]]+CATEGORIAS[[#This Row],[PRODUCCION
ADICIONALES
ACTUAL]]</f>
        <v>0</v>
      </c>
      <c r="P322" s="227">
        <v>0</v>
      </c>
      <c r="Q322" s="132">
        <v>0</v>
      </c>
      <c r="R322" s="297">
        <f>CATEGORIAS[[#This Row],[PRODUCCION
ANTERIOR]]+CATEGORIAS[[#This Row],[PRODUCCION
ADICIONALES
ANTERIOR]]</f>
        <v>0</v>
      </c>
      <c r="S322" s="133">
        <v>0</v>
      </c>
      <c r="T322" s="133"/>
      <c r="U322" s="133"/>
      <c r="V322" s="296">
        <f>SUM(CATEGORIAS[[#This Row],[COSTO
ACUMULADO  AX]:[PROVISIONES]])</f>
        <v>0</v>
      </c>
      <c r="W322" s="298">
        <v>0</v>
      </c>
      <c r="X322" s="227"/>
      <c r="Y322" s="227"/>
      <c r="Z322" s="297">
        <f>SUM(CATEGORIAS[[#This Row],[COSTO ACUMULADO
ANTERIOR]:[PROVISIONES
ANTERIOR]])</f>
        <v>0</v>
      </c>
      <c r="AA322" s="139">
        <f>CATEGORIAS[[#This Row],[PRESUPUESTO
FINAL
PROYECTADO]]-CATEGORIAS[[#This Row],[TOTAL PRODUCCION
ACTUAL]]</f>
        <v>0</v>
      </c>
      <c r="AB322" s="227">
        <v>0</v>
      </c>
      <c r="AC322" s="132"/>
      <c r="AD322" s="132"/>
      <c r="AE322" s="226">
        <f>SUM(CATEGORIAS[[#This Row],[INVENTARIO]:[PROYECCION
DE COSTO
DEL SALDO]])</f>
        <v>0</v>
      </c>
      <c r="AF322" s="132"/>
      <c r="AG322" s="132">
        <f>+CATEGORIAS[[#This Row],[PRESUPUESTO
FINAL
PROYECTADO]]-CATEGORIAS[[#This Row],[COSTO REAL]]-CATEGORIAS[[#This Row],[PROYECCION
TOTAL DE COSTO]]</f>
        <v>0</v>
      </c>
    </row>
    <row r="323" spans="1:33" x14ac:dyDescent="0.25">
      <c r="A323" s="274" t="str">
        <f>+IFERROR(VLOOKUP(CATEGORIAS[[#This Row],[CATEGORIA2]],[1]HOMOLOGACION!$A$1:$I$571,9,FALSE),0)</f>
        <v>0Q01</v>
      </c>
      <c r="B323" s="274" t="str">
        <f>+IFERROR(VLOOKUP(CATEGORIAS[[#This Row],[CATEGORIA2]],[1]HOMOLOGACION!$A$1:$C$571,3,FALSE),0)</f>
        <v>0D01</v>
      </c>
      <c r="C323" s="274" t="str">
        <f>+IFERROR(VLOOKUP(CATEGORIAS[[#This Row],[CATEGORIA2]],[1]HOMOLOGACION!$A$1:$D$571,4,FALSE),0)</f>
        <v>Equipos Mayores</v>
      </c>
      <c r="D323" s="144" t="s">
        <v>2041</v>
      </c>
      <c r="E323" s="273" t="s">
        <v>992</v>
      </c>
      <c r="F323" s="275" t="s">
        <v>361</v>
      </c>
      <c r="G323" s="313">
        <v>0</v>
      </c>
      <c r="H323" s="313">
        <v>0</v>
      </c>
      <c r="I323" s="130">
        <v>0</v>
      </c>
      <c r="J323" s="130"/>
      <c r="K323" s="130"/>
      <c r="L323" s="143">
        <f>CATEGORIAS[[#This Row],[ADICIONALES]]+CATEGORIAS[[#This Row],[POM]]</f>
        <v>0</v>
      </c>
      <c r="M323" s="131">
        <v>0</v>
      </c>
      <c r="N323" s="227">
        <v>0</v>
      </c>
      <c r="O323" s="296">
        <f>CATEGORIAS[[#This Row],[PRODUCCION
PARTIDAS
ORIGINALES
ACTUAL]]+CATEGORIAS[[#This Row],[PRODUCCION
ADICIONALES
ACTUAL]]</f>
        <v>0</v>
      </c>
      <c r="P323" s="227">
        <v>0</v>
      </c>
      <c r="Q323" s="227">
        <v>0</v>
      </c>
      <c r="R323" s="297">
        <f>CATEGORIAS[[#This Row],[PRODUCCION
ANTERIOR]]+CATEGORIAS[[#This Row],[PRODUCCION
ADICIONALES
ANTERIOR]]</f>
        <v>0</v>
      </c>
      <c r="S323" s="133">
        <v>0</v>
      </c>
      <c r="T323" s="133"/>
      <c r="U323" s="133"/>
      <c r="V323" s="296">
        <f>SUM(CATEGORIAS[[#This Row],[COSTO
ACUMULADO  AX]:[PROVISIONES]])</f>
        <v>0</v>
      </c>
      <c r="W323" s="298">
        <v>0</v>
      </c>
      <c r="X323" s="227"/>
      <c r="Y323" s="227"/>
      <c r="Z323" s="297">
        <f>SUM(CATEGORIAS[[#This Row],[COSTO ACUMULADO
ANTERIOR]:[PROVISIONES
ANTERIOR]])</f>
        <v>0</v>
      </c>
      <c r="AA323" s="139">
        <f>CATEGORIAS[[#This Row],[PRESUPUESTO
FINAL
PROYECTADO]]-CATEGORIAS[[#This Row],[TOTAL PRODUCCION
ACTUAL]]</f>
        <v>0</v>
      </c>
      <c r="AB323" s="227">
        <v>0</v>
      </c>
      <c r="AC323" s="132"/>
      <c r="AD323" s="132"/>
      <c r="AE323" s="226">
        <f>SUM(CATEGORIAS[[#This Row],[INVENTARIO]:[PROYECCION
DE COSTO
DEL SALDO]])</f>
        <v>0</v>
      </c>
      <c r="AF323" s="132"/>
      <c r="AG323" s="132">
        <f>+CATEGORIAS[[#This Row],[PRESUPUESTO
FINAL
PROYECTADO]]-CATEGORIAS[[#This Row],[COSTO REAL]]-CATEGORIAS[[#This Row],[PROYECCION
TOTAL DE COSTO]]</f>
        <v>0</v>
      </c>
    </row>
    <row r="324" spans="1:33" x14ac:dyDescent="0.25">
      <c r="A324" s="274" t="str">
        <f>+IFERROR(VLOOKUP(CATEGORIAS[[#This Row],[CATEGORIA2]],[1]HOMOLOGACION!$A$1:$I$571,9,FALSE),0)</f>
        <v>0Q01</v>
      </c>
      <c r="B324" s="274" t="str">
        <f>+IFERROR(VLOOKUP(CATEGORIAS[[#This Row],[CATEGORIA2]],[1]HOMOLOGACION!$A$1:$C$571,3,FALSE),0)</f>
        <v>0D01</v>
      </c>
      <c r="C324" s="274" t="str">
        <f>+IFERROR(VLOOKUP(CATEGORIAS[[#This Row],[CATEGORIA2]],[1]HOMOLOGACION!$A$1:$D$571,4,FALSE),0)</f>
        <v>Equipos Mayores</v>
      </c>
      <c r="D324" s="144" t="s">
        <v>2042</v>
      </c>
      <c r="E324" s="273" t="s">
        <v>994</v>
      </c>
      <c r="F324" s="275" t="s">
        <v>361</v>
      </c>
      <c r="G324" s="313">
        <v>0</v>
      </c>
      <c r="H324" s="313">
        <v>0</v>
      </c>
      <c r="I324" s="130">
        <v>0</v>
      </c>
      <c r="J324" s="130"/>
      <c r="K324" s="130"/>
      <c r="L324" s="143">
        <f>CATEGORIAS[[#This Row],[ADICIONALES]]+CATEGORIAS[[#This Row],[POM]]</f>
        <v>0</v>
      </c>
      <c r="M324" s="131">
        <v>0</v>
      </c>
      <c r="N324" s="227">
        <v>0</v>
      </c>
      <c r="O324" s="296">
        <f>CATEGORIAS[[#This Row],[PRODUCCION
PARTIDAS
ORIGINALES
ACTUAL]]+CATEGORIAS[[#This Row],[PRODUCCION
ADICIONALES
ACTUAL]]</f>
        <v>0</v>
      </c>
      <c r="P324" s="227">
        <v>0</v>
      </c>
      <c r="Q324" s="132">
        <v>0</v>
      </c>
      <c r="R324" s="297">
        <f>CATEGORIAS[[#This Row],[PRODUCCION
ANTERIOR]]+CATEGORIAS[[#This Row],[PRODUCCION
ADICIONALES
ANTERIOR]]</f>
        <v>0</v>
      </c>
      <c r="S324" s="133">
        <v>0</v>
      </c>
      <c r="T324" s="133"/>
      <c r="U324" s="133"/>
      <c r="V324" s="296">
        <f>SUM(CATEGORIAS[[#This Row],[COSTO
ACUMULADO  AX]:[PROVISIONES]])</f>
        <v>0</v>
      </c>
      <c r="W324" s="298">
        <v>0</v>
      </c>
      <c r="X324" s="227"/>
      <c r="Y324" s="227"/>
      <c r="Z324" s="297">
        <f>SUM(CATEGORIAS[[#This Row],[COSTO ACUMULADO
ANTERIOR]:[PROVISIONES
ANTERIOR]])</f>
        <v>0</v>
      </c>
      <c r="AA324" s="139">
        <f>CATEGORIAS[[#This Row],[PRESUPUESTO
FINAL
PROYECTADO]]-CATEGORIAS[[#This Row],[TOTAL PRODUCCION
ACTUAL]]</f>
        <v>0</v>
      </c>
      <c r="AB324" s="227">
        <v>0</v>
      </c>
      <c r="AC324" s="132"/>
      <c r="AD324" s="132"/>
      <c r="AE324" s="226">
        <f>SUM(CATEGORIAS[[#This Row],[INVENTARIO]:[PROYECCION
DE COSTO
DEL SALDO]])</f>
        <v>0</v>
      </c>
      <c r="AF324" s="132"/>
      <c r="AG324" s="132">
        <f>+CATEGORIAS[[#This Row],[PRESUPUESTO
FINAL
PROYECTADO]]-CATEGORIAS[[#This Row],[COSTO REAL]]-CATEGORIAS[[#This Row],[PROYECCION
TOTAL DE COSTO]]</f>
        <v>0</v>
      </c>
    </row>
    <row r="325" spans="1:33" x14ac:dyDescent="0.25">
      <c r="A325" s="274" t="str">
        <f>+IFERROR(VLOOKUP(CATEGORIAS[[#This Row],[CATEGORIA2]],[1]HOMOLOGACION!$A$1:$I$571,9,FALSE),0)</f>
        <v>0Q01</v>
      </c>
      <c r="B325" s="274" t="str">
        <f>+IFERROR(VLOOKUP(CATEGORIAS[[#This Row],[CATEGORIA2]],[1]HOMOLOGACION!$A$1:$C$571,3,FALSE),0)</f>
        <v>0D01</v>
      </c>
      <c r="C325" s="274" t="str">
        <f>+IFERROR(VLOOKUP(CATEGORIAS[[#This Row],[CATEGORIA2]],[1]HOMOLOGACION!$A$1:$D$571,4,FALSE),0)</f>
        <v>Equipos Mayores</v>
      </c>
      <c r="D325" s="144" t="s">
        <v>2043</v>
      </c>
      <c r="E325" s="273" t="s">
        <v>996</v>
      </c>
      <c r="F325" s="275" t="s">
        <v>361</v>
      </c>
      <c r="G325" s="313">
        <v>0</v>
      </c>
      <c r="H325" s="313">
        <v>0</v>
      </c>
      <c r="I325" s="130">
        <v>0</v>
      </c>
      <c r="J325" s="130"/>
      <c r="K325" s="130"/>
      <c r="L325" s="143">
        <f>CATEGORIAS[[#This Row],[ADICIONALES]]+CATEGORIAS[[#This Row],[POM]]</f>
        <v>0</v>
      </c>
      <c r="M325" s="131">
        <v>0</v>
      </c>
      <c r="N325" s="227">
        <v>0</v>
      </c>
      <c r="O325" s="296">
        <f>CATEGORIAS[[#This Row],[PRODUCCION
PARTIDAS
ORIGINALES
ACTUAL]]+CATEGORIAS[[#This Row],[PRODUCCION
ADICIONALES
ACTUAL]]</f>
        <v>0</v>
      </c>
      <c r="P325" s="227">
        <v>0</v>
      </c>
      <c r="Q325" s="132">
        <v>0</v>
      </c>
      <c r="R325" s="297">
        <f>CATEGORIAS[[#This Row],[PRODUCCION
ANTERIOR]]+CATEGORIAS[[#This Row],[PRODUCCION
ADICIONALES
ANTERIOR]]</f>
        <v>0</v>
      </c>
      <c r="S325" s="133">
        <v>0</v>
      </c>
      <c r="T325" s="133"/>
      <c r="U325" s="133"/>
      <c r="V325" s="296">
        <f>SUM(CATEGORIAS[[#This Row],[COSTO
ACUMULADO  AX]:[PROVISIONES]])</f>
        <v>0</v>
      </c>
      <c r="W325" s="298">
        <v>0</v>
      </c>
      <c r="X325" s="227"/>
      <c r="Y325" s="227"/>
      <c r="Z325" s="297">
        <f>SUM(CATEGORIAS[[#This Row],[COSTO ACUMULADO
ANTERIOR]:[PROVISIONES
ANTERIOR]])</f>
        <v>0</v>
      </c>
      <c r="AA325" s="139">
        <f>CATEGORIAS[[#This Row],[PRESUPUESTO
FINAL
PROYECTADO]]-CATEGORIAS[[#This Row],[TOTAL PRODUCCION
ACTUAL]]</f>
        <v>0</v>
      </c>
      <c r="AB325" s="227">
        <v>0</v>
      </c>
      <c r="AC325" s="132"/>
      <c r="AD325" s="132"/>
      <c r="AE325" s="226">
        <f>SUM(CATEGORIAS[[#This Row],[INVENTARIO]:[PROYECCION
DE COSTO
DEL SALDO]])</f>
        <v>0</v>
      </c>
      <c r="AF325" s="132"/>
      <c r="AG325" s="132">
        <f>+CATEGORIAS[[#This Row],[PRESUPUESTO
FINAL
PROYECTADO]]-CATEGORIAS[[#This Row],[COSTO REAL]]-CATEGORIAS[[#This Row],[PROYECCION
TOTAL DE COSTO]]</f>
        <v>0</v>
      </c>
    </row>
    <row r="326" spans="1:33" x14ac:dyDescent="0.25">
      <c r="A326" s="274" t="str">
        <f>+IFERROR(VLOOKUP(CATEGORIAS[[#This Row],[CATEGORIA2]],[1]HOMOLOGACION!$A$1:$I$571,9,FALSE),0)</f>
        <v>0Q01</v>
      </c>
      <c r="B326" s="274" t="str">
        <f>+IFERROR(VLOOKUP(CATEGORIAS[[#This Row],[CATEGORIA2]],[1]HOMOLOGACION!$A$1:$C$571,3,FALSE),0)</f>
        <v>0D01</v>
      </c>
      <c r="C326" s="274" t="str">
        <f>+IFERROR(VLOOKUP(CATEGORIAS[[#This Row],[CATEGORIA2]],[1]HOMOLOGACION!$A$1:$D$571,4,FALSE),0)</f>
        <v>Equipos Mayores</v>
      </c>
      <c r="D326" s="144" t="s">
        <v>2044</v>
      </c>
      <c r="E326" s="273" t="s">
        <v>998</v>
      </c>
      <c r="F326" s="275" t="s">
        <v>361</v>
      </c>
      <c r="G326" s="313">
        <v>0</v>
      </c>
      <c r="H326" s="313">
        <v>0</v>
      </c>
      <c r="I326" s="130">
        <v>0</v>
      </c>
      <c r="J326" s="130"/>
      <c r="K326" s="130"/>
      <c r="L326" s="143">
        <f>CATEGORIAS[[#This Row],[ADICIONALES]]+CATEGORIAS[[#This Row],[POM]]</f>
        <v>0</v>
      </c>
      <c r="M326" s="131">
        <v>0</v>
      </c>
      <c r="N326" s="227">
        <v>0</v>
      </c>
      <c r="O326" s="296">
        <f>CATEGORIAS[[#This Row],[PRODUCCION
PARTIDAS
ORIGINALES
ACTUAL]]+CATEGORIAS[[#This Row],[PRODUCCION
ADICIONALES
ACTUAL]]</f>
        <v>0</v>
      </c>
      <c r="P326" s="227">
        <v>0</v>
      </c>
      <c r="Q326" s="227">
        <v>0</v>
      </c>
      <c r="R326" s="297">
        <f>CATEGORIAS[[#This Row],[PRODUCCION
ANTERIOR]]+CATEGORIAS[[#This Row],[PRODUCCION
ADICIONALES
ANTERIOR]]</f>
        <v>0</v>
      </c>
      <c r="S326" s="133">
        <v>0</v>
      </c>
      <c r="T326" s="133"/>
      <c r="U326" s="133"/>
      <c r="V326" s="296">
        <f>SUM(CATEGORIAS[[#This Row],[COSTO
ACUMULADO  AX]:[PROVISIONES]])</f>
        <v>0</v>
      </c>
      <c r="W326" s="298">
        <v>0</v>
      </c>
      <c r="X326" s="227"/>
      <c r="Y326" s="227"/>
      <c r="Z326" s="297">
        <f>SUM(CATEGORIAS[[#This Row],[COSTO ACUMULADO
ANTERIOR]:[PROVISIONES
ANTERIOR]])</f>
        <v>0</v>
      </c>
      <c r="AA326" s="139">
        <f>CATEGORIAS[[#This Row],[PRESUPUESTO
FINAL
PROYECTADO]]-CATEGORIAS[[#This Row],[TOTAL PRODUCCION
ACTUAL]]</f>
        <v>0</v>
      </c>
      <c r="AB326" s="227">
        <v>0</v>
      </c>
      <c r="AC326" s="132"/>
      <c r="AD326" s="132"/>
      <c r="AE326" s="226">
        <f>SUM(CATEGORIAS[[#This Row],[INVENTARIO]:[PROYECCION
DE COSTO
DEL SALDO]])</f>
        <v>0</v>
      </c>
      <c r="AF326" s="132"/>
      <c r="AG326" s="132">
        <f>+CATEGORIAS[[#This Row],[PRESUPUESTO
FINAL
PROYECTADO]]-CATEGORIAS[[#This Row],[COSTO REAL]]-CATEGORIAS[[#This Row],[PROYECCION
TOTAL DE COSTO]]</f>
        <v>0</v>
      </c>
    </row>
    <row r="327" spans="1:33" x14ac:dyDescent="0.25">
      <c r="A327" s="274" t="str">
        <f>+IFERROR(VLOOKUP(CATEGORIAS[[#This Row],[CATEGORIA2]],[1]HOMOLOGACION!$A$1:$I$571,9,FALSE),0)</f>
        <v>0Q01</v>
      </c>
      <c r="B327" s="274" t="str">
        <f>+IFERROR(VLOOKUP(CATEGORIAS[[#This Row],[CATEGORIA2]],[1]HOMOLOGACION!$A$1:$C$571,3,FALSE),0)</f>
        <v>0D01</v>
      </c>
      <c r="C327" s="274" t="str">
        <f>+IFERROR(VLOOKUP(CATEGORIAS[[#This Row],[CATEGORIA2]],[1]HOMOLOGACION!$A$1:$D$571,4,FALSE),0)</f>
        <v>Equipos Mayores</v>
      </c>
      <c r="D327" s="144" t="s">
        <v>2045</v>
      </c>
      <c r="E327" s="273" t="s">
        <v>998</v>
      </c>
      <c r="F327" s="275" t="s">
        <v>361</v>
      </c>
      <c r="G327" s="313">
        <v>0</v>
      </c>
      <c r="H327" s="313">
        <v>0</v>
      </c>
      <c r="I327" s="130">
        <v>0</v>
      </c>
      <c r="J327" s="130"/>
      <c r="K327" s="130"/>
      <c r="L327" s="143">
        <f>CATEGORIAS[[#This Row],[ADICIONALES]]+CATEGORIAS[[#This Row],[POM]]</f>
        <v>0</v>
      </c>
      <c r="M327" s="131">
        <v>0</v>
      </c>
      <c r="N327" s="227">
        <v>0</v>
      </c>
      <c r="O327" s="296">
        <f>CATEGORIAS[[#This Row],[PRODUCCION
PARTIDAS
ORIGINALES
ACTUAL]]+CATEGORIAS[[#This Row],[PRODUCCION
ADICIONALES
ACTUAL]]</f>
        <v>0</v>
      </c>
      <c r="P327" s="227">
        <v>0</v>
      </c>
      <c r="Q327" s="227">
        <v>0</v>
      </c>
      <c r="R327" s="297">
        <f>CATEGORIAS[[#This Row],[PRODUCCION
ANTERIOR]]+CATEGORIAS[[#This Row],[PRODUCCION
ADICIONALES
ANTERIOR]]</f>
        <v>0</v>
      </c>
      <c r="S327" s="133">
        <v>0</v>
      </c>
      <c r="T327" s="133"/>
      <c r="U327" s="133"/>
      <c r="V327" s="296">
        <f>SUM(CATEGORIAS[[#This Row],[COSTO
ACUMULADO  AX]:[PROVISIONES]])</f>
        <v>0</v>
      </c>
      <c r="W327" s="298">
        <v>0</v>
      </c>
      <c r="X327" s="227"/>
      <c r="Y327" s="227"/>
      <c r="Z327" s="297">
        <f>SUM(CATEGORIAS[[#This Row],[COSTO ACUMULADO
ANTERIOR]:[PROVISIONES
ANTERIOR]])</f>
        <v>0</v>
      </c>
      <c r="AA327" s="139">
        <f>CATEGORIAS[[#This Row],[PRESUPUESTO
FINAL
PROYECTADO]]-CATEGORIAS[[#This Row],[TOTAL PRODUCCION
ACTUAL]]</f>
        <v>0</v>
      </c>
      <c r="AB327" s="227">
        <v>0</v>
      </c>
      <c r="AC327" s="132"/>
      <c r="AD327" s="132"/>
      <c r="AE327" s="226">
        <f>SUM(CATEGORIAS[[#This Row],[INVENTARIO]:[PROYECCION
DE COSTO
DEL SALDO]])</f>
        <v>0</v>
      </c>
      <c r="AF327" s="132"/>
      <c r="AG327" s="132">
        <f>+CATEGORIAS[[#This Row],[PRESUPUESTO
FINAL
PROYECTADO]]-CATEGORIAS[[#This Row],[COSTO REAL]]-CATEGORIAS[[#This Row],[PROYECCION
TOTAL DE COSTO]]</f>
        <v>0</v>
      </c>
    </row>
    <row r="328" spans="1:33" x14ac:dyDescent="0.25">
      <c r="A328" s="274" t="str">
        <f>+IFERROR(VLOOKUP(CATEGORIAS[[#This Row],[CATEGORIA2]],[1]HOMOLOGACION!$A$1:$I$571,9,FALSE),0)</f>
        <v>0Q01</v>
      </c>
      <c r="B328" s="274" t="str">
        <f>+IFERROR(VLOOKUP(CATEGORIAS[[#This Row],[CATEGORIA2]],[1]HOMOLOGACION!$A$1:$C$571,3,FALSE),0)</f>
        <v>0D01</v>
      </c>
      <c r="C328" s="274" t="str">
        <f>+IFERROR(VLOOKUP(CATEGORIAS[[#This Row],[CATEGORIA2]],[1]HOMOLOGACION!$A$1:$D$571,4,FALSE),0)</f>
        <v>Equipos Mayores</v>
      </c>
      <c r="D328" s="144" t="s">
        <v>2046</v>
      </c>
      <c r="E328" s="273" t="s">
        <v>1001</v>
      </c>
      <c r="F328" s="275" t="s">
        <v>361</v>
      </c>
      <c r="G328" s="313">
        <v>0</v>
      </c>
      <c r="H328" s="313">
        <v>0</v>
      </c>
      <c r="I328" s="130">
        <v>0</v>
      </c>
      <c r="J328" s="130"/>
      <c r="K328" s="130"/>
      <c r="L328" s="143">
        <f>CATEGORIAS[[#This Row],[ADICIONALES]]+CATEGORIAS[[#This Row],[POM]]</f>
        <v>0</v>
      </c>
      <c r="M328" s="131">
        <v>0</v>
      </c>
      <c r="N328" s="227">
        <v>0</v>
      </c>
      <c r="O328" s="296">
        <f>CATEGORIAS[[#This Row],[PRODUCCION
PARTIDAS
ORIGINALES
ACTUAL]]+CATEGORIAS[[#This Row],[PRODUCCION
ADICIONALES
ACTUAL]]</f>
        <v>0</v>
      </c>
      <c r="P328" s="227">
        <v>0</v>
      </c>
      <c r="Q328" s="227">
        <v>0</v>
      </c>
      <c r="R328" s="297">
        <f>CATEGORIAS[[#This Row],[PRODUCCION
ANTERIOR]]+CATEGORIAS[[#This Row],[PRODUCCION
ADICIONALES
ANTERIOR]]</f>
        <v>0</v>
      </c>
      <c r="S328" s="133">
        <v>0</v>
      </c>
      <c r="T328" s="133"/>
      <c r="U328" s="133"/>
      <c r="V328" s="296">
        <f>SUM(CATEGORIAS[[#This Row],[COSTO
ACUMULADO  AX]:[PROVISIONES]])</f>
        <v>0</v>
      </c>
      <c r="W328" s="298">
        <v>0</v>
      </c>
      <c r="X328" s="227"/>
      <c r="Y328" s="227"/>
      <c r="Z328" s="297">
        <f>SUM(CATEGORIAS[[#This Row],[COSTO ACUMULADO
ANTERIOR]:[PROVISIONES
ANTERIOR]])</f>
        <v>0</v>
      </c>
      <c r="AA328" s="139">
        <f>CATEGORIAS[[#This Row],[PRESUPUESTO
FINAL
PROYECTADO]]-CATEGORIAS[[#This Row],[TOTAL PRODUCCION
ACTUAL]]</f>
        <v>0</v>
      </c>
      <c r="AB328" s="227">
        <v>0</v>
      </c>
      <c r="AC328" s="132"/>
      <c r="AD328" s="132"/>
      <c r="AE328" s="226">
        <f>SUM(CATEGORIAS[[#This Row],[INVENTARIO]:[PROYECCION
DE COSTO
DEL SALDO]])</f>
        <v>0</v>
      </c>
      <c r="AF328" s="132"/>
      <c r="AG328" s="132">
        <f>+CATEGORIAS[[#This Row],[PRESUPUESTO
FINAL
PROYECTADO]]-CATEGORIAS[[#This Row],[COSTO REAL]]-CATEGORIAS[[#This Row],[PROYECCION
TOTAL DE COSTO]]</f>
        <v>0</v>
      </c>
    </row>
    <row r="329" spans="1:33" x14ac:dyDescent="0.25">
      <c r="A329" s="274" t="str">
        <f>+IFERROR(VLOOKUP(CATEGORIAS[[#This Row],[CATEGORIA2]],[1]HOMOLOGACION!$A$1:$I$571,9,FALSE),0)</f>
        <v>0Q01</v>
      </c>
      <c r="B329" s="274" t="str">
        <f>+IFERROR(VLOOKUP(CATEGORIAS[[#This Row],[CATEGORIA2]],[1]HOMOLOGACION!$A$1:$C$571,3,FALSE),0)</f>
        <v>0D01</v>
      </c>
      <c r="C329" s="274" t="str">
        <f>+IFERROR(VLOOKUP(CATEGORIAS[[#This Row],[CATEGORIA2]],[1]HOMOLOGACION!$A$1:$D$571,4,FALSE),0)</f>
        <v>Equipos Mayores</v>
      </c>
      <c r="D329" s="144" t="s">
        <v>2047</v>
      </c>
      <c r="E329" s="273" t="s">
        <v>1003</v>
      </c>
      <c r="F329" s="275" t="s">
        <v>361</v>
      </c>
      <c r="G329" s="313">
        <v>0</v>
      </c>
      <c r="H329" s="313">
        <v>0</v>
      </c>
      <c r="I329" s="130">
        <v>0</v>
      </c>
      <c r="J329" s="130"/>
      <c r="K329" s="130"/>
      <c r="L329" s="143">
        <f>CATEGORIAS[[#This Row],[ADICIONALES]]+CATEGORIAS[[#This Row],[POM]]</f>
        <v>0</v>
      </c>
      <c r="M329" s="131">
        <v>0</v>
      </c>
      <c r="N329" s="227">
        <v>0</v>
      </c>
      <c r="O329" s="296">
        <f>CATEGORIAS[[#This Row],[PRODUCCION
PARTIDAS
ORIGINALES
ACTUAL]]+CATEGORIAS[[#This Row],[PRODUCCION
ADICIONALES
ACTUAL]]</f>
        <v>0</v>
      </c>
      <c r="P329" s="227">
        <v>0</v>
      </c>
      <c r="Q329" s="227">
        <v>0</v>
      </c>
      <c r="R329" s="297">
        <f>CATEGORIAS[[#This Row],[PRODUCCION
ANTERIOR]]+CATEGORIAS[[#This Row],[PRODUCCION
ADICIONALES
ANTERIOR]]</f>
        <v>0</v>
      </c>
      <c r="S329" s="133">
        <v>0</v>
      </c>
      <c r="T329" s="133"/>
      <c r="U329" s="133"/>
      <c r="V329" s="296">
        <f>SUM(CATEGORIAS[[#This Row],[COSTO
ACUMULADO  AX]:[PROVISIONES]])</f>
        <v>0</v>
      </c>
      <c r="W329" s="298">
        <v>0</v>
      </c>
      <c r="X329" s="227"/>
      <c r="Y329" s="227"/>
      <c r="Z329" s="297">
        <f>SUM(CATEGORIAS[[#This Row],[COSTO ACUMULADO
ANTERIOR]:[PROVISIONES
ANTERIOR]])</f>
        <v>0</v>
      </c>
      <c r="AA329" s="139">
        <f>CATEGORIAS[[#This Row],[PRESUPUESTO
FINAL
PROYECTADO]]-CATEGORIAS[[#This Row],[TOTAL PRODUCCION
ACTUAL]]</f>
        <v>0</v>
      </c>
      <c r="AB329" s="227">
        <v>0</v>
      </c>
      <c r="AC329" s="132"/>
      <c r="AD329" s="132"/>
      <c r="AE329" s="226">
        <f>SUM(CATEGORIAS[[#This Row],[INVENTARIO]:[PROYECCION
DE COSTO
DEL SALDO]])</f>
        <v>0</v>
      </c>
      <c r="AF329" s="132"/>
      <c r="AG329" s="132">
        <f>+CATEGORIAS[[#This Row],[PRESUPUESTO
FINAL
PROYECTADO]]-CATEGORIAS[[#This Row],[COSTO REAL]]-CATEGORIAS[[#This Row],[PROYECCION
TOTAL DE COSTO]]</f>
        <v>0</v>
      </c>
    </row>
    <row r="330" spans="1:33" x14ac:dyDescent="0.25">
      <c r="A330" s="274" t="str">
        <f>+IFERROR(VLOOKUP(CATEGORIAS[[#This Row],[CATEGORIA2]],[1]HOMOLOGACION!$A$1:$I$571,9,FALSE),0)</f>
        <v>0Q01</v>
      </c>
      <c r="B330" s="274" t="str">
        <f>+IFERROR(VLOOKUP(CATEGORIAS[[#This Row],[CATEGORIA2]],[1]HOMOLOGACION!$A$1:$C$571,3,FALSE),0)</f>
        <v>0D03</v>
      </c>
      <c r="C330" s="274" t="str">
        <f>+IFERROR(VLOOKUP(CATEGORIAS[[#This Row],[CATEGORIA2]],[1]HOMOLOGACION!$A$1:$D$571,4,FALSE),0)</f>
        <v>Movimiento de Tierra</v>
      </c>
      <c r="D330" s="144" t="s">
        <v>2048</v>
      </c>
      <c r="E330" s="273" t="s">
        <v>1005</v>
      </c>
      <c r="F330" s="275" t="s">
        <v>361</v>
      </c>
      <c r="G330" s="313">
        <v>0</v>
      </c>
      <c r="H330" s="313">
        <v>0</v>
      </c>
      <c r="I330" s="130">
        <v>0</v>
      </c>
      <c r="J330" s="130"/>
      <c r="K330" s="130"/>
      <c r="L330" s="143">
        <f>CATEGORIAS[[#This Row],[ADICIONALES]]+CATEGORIAS[[#This Row],[POM]]</f>
        <v>0</v>
      </c>
      <c r="M330" s="131">
        <v>0</v>
      </c>
      <c r="N330" s="227">
        <v>0</v>
      </c>
      <c r="O330" s="296">
        <f>CATEGORIAS[[#This Row],[PRODUCCION
PARTIDAS
ORIGINALES
ACTUAL]]+CATEGORIAS[[#This Row],[PRODUCCION
ADICIONALES
ACTUAL]]</f>
        <v>0</v>
      </c>
      <c r="P330" s="227">
        <v>0</v>
      </c>
      <c r="Q330" s="227">
        <v>0</v>
      </c>
      <c r="R330" s="297">
        <f>CATEGORIAS[[#This Row],[PRODUCCION
ANTERIOR]]+CATEGORIAS[[#This Row],[PRODUCCION
ADICIONALES
ANTERIOR]]</f>
        <v>0</v>
      </c>
      <c r="S330" s="133">
        <v>0</v>
      </c>
      <c r="T330" s="133"/>
      <c r="U330" s="133"/>
      <c r="V330" s="296">
        <f>SUM(CATEGORIAS[[#This Row],[COSTO
ACUMULADO  AX]:[PROVISIONES]])</f>
        <v>0</v>
      </c>
      <c r="W330" s="298">
        <v>0</v>
      </c>
      <c r="X330" s="227"/>
      <c r="Y330" s="227"/>
      <c r="Z330" s="297">
        <f>SUM(CATEGORIAS[[#This Row],[COSTO ACUMULADO
ANTERIOR]:[PROVISIONES
ANTERIOR]])</f>
        <v>0</v>
      </c>
      <c r="AA330" s="139">
        <f>CATEGORIAS[[#This Row],[PRESUPUESTO
FINAL
PROYECTADO]]-CATEGORIAS[[#This Row],[TOTAL PRODUCCION
ACTUAL]]</f>
        <v>0</v>
      </c>
      <c r="AB330" s="227">
        <v>0</v>
      </c>
      <c r="AC330" s="132"/>
      <c r="AD330" s="132"/>
      <c r="AE330" s="226">
        <f>SUM(CATEGORIAS[[#This Row],[INVENTARIO]:[PROYECCION
DE COSTO
DEL SALDO]])</f>
        <v>0</v>
      </c>
      <c r="AF330" s="132"/>
      <c r="AG330" s="132">
        <f>+CATEGORIAS[[#This Row],[PRESUPUESTO
FINAL
PROYECTADO]]-CATEGORIAS[[#This Row],[COSTO REAL]]-CATEGORIAS[[#This Row],[PROYECCION
TOTAL DE COSTO]]</f>
        <v>0</v>
      </c>
    </row>
    <row r="331" spans="1:33" x14ac:dyDescent="0.25">
      <c r="A331" s="274" t="str">
        <f>+IFERROR(VLOOKUP(CATEGORIAS[[#This Row],[CATEGORIA2]],[1]HOMOLOGACION!$A$1:$I$571,9,FALSE),0)</f>
        <v>0Q01</v>
      </c>
      <c r="B331" s="274" t="str">
        <f>+IFERROR(VLOOKUP(CATEGORIAS[[#This Row],[CATEGORIA2]],[1]HOMOLOGACION!$A$1:$C$571,3,FALSE),0)</f>
        <v>0D03</v>
      </c>
      <c r="C331" s="274" t="str">
        <f>+IFERROR(VLOOKUP(CATEGORIAS[[#This Row],[CATEGORIA2]],[1]HOMOLOGACION!$A$1:$D$571,4,FALSE),0)</f>
        <v>Movimiento de Tierra</v>
      </c>
      <c r="D331" s="144" t="s">
        <v>2049</v>
      </c>
      <c r="E331" s="273" t="s">
        <v>1007</v>
      </c>
      <c r="F331" s="275" t="s">
        <v>361</v>
      </c>
      <c r="G331" s="313">
        <v>0</v>
      </c>
      <c r="H331" s="313">
        <v>0</v>
      </c>
      <c r="I331" s="130">
        <v>0</v>
      </c>
      <c r="J331" s="130"/>
      <c r="K331" s="130"/>
      <c r="L331" s="143">
        <f>CATEGORIAS[[#This Row],[ADICIONALES]]+CATEGORIAS[[#This Row],[POM]]</f>
        <v>0</v>
      </c>
      <c r="M331" s="131">
        <v>0</v>
      </c>
      <c r="N331" s="227">
        <v>0</v>
      </c>
      <c r="O331" s="296">
        <f>CATEGORIAS[[#This Row],[PRODUCCION
PARTIDAS
ORIGINALES
ACTUAL]]+CATEGORIAS[[#This Row],[PRODUCCION
ADICIONALES
ACTUAL]]</f>
        <v>0</v>
      </c>
      <c r="P331" s="227">
        <v>0</v>
      </c>
      <c r="Q331" s="227">
        <v>0</v>
      </c>
      <c r="R331" s="297">
        <f>CATEGORIAS[[#This Row],[PRODUCCION
ANTERIOR]]+CATEGORIAS[[#This Row],[PRODUCCION
ADICIONALES
ANTERIOR]]</f>
        <v>0</v>
      </c>
      <c r="S331" s="133">
        <v>0</v>
      </c>
      <c r="T331" s="133"/>
      <c r="U331" s="133"/>
      <c r="V331" s="296">
        <f>SUM(CATEGORIAS[[#This Row],[COSTO
ACUMULADO  AX]:[PROVISIONES]])</f>
        <v>0</v>
      </c>
      <c r="W331" s="298">
        <v>0</v>
      </c>
      <c r="X331" s="227"/>
      <c r="Y331" s="227"/>
      <c r="Z331" s="297">
        <f>SUM(CATEGORIAS[[#This Row],[COSTO ACUMULADO
ANTERIOR]:[PROVISIONES
ANTERIOR]])</f>
        <v>0</v>
      </c>
      <c r="AA331" s="139">
        <f>CATEGORIAS[[#This Row],[PRESUPUESTO
FINAL
PROYECTADO]]-CATEGORIAS[[#This Row],[TOTAL PRODUCCION
ACTUAL]]</f>
        <v>0</v>
      </c>
      <c r="AB331" s="227">
        <v>0</v>
      </c>
      <c r="AC331" s="132"/>
      <c r="AD331" s="132"/>
      <c r="AE331" s="226">
        <f>SUM(CATEGORIAS[[#This Row],[INVENTARIO]:[PROYECCION
DE COSTO
DEL SALDO]])</f>
        <v>0</v>
      </c>
      <c r="AF331" s="132"/>
      <c r="AG331" s="132">
        <f>+CATEGORIAS[[#This Row],[PRESUPUESTO
FINAL
PROYECTADO]]-CATEGORIAS[[#This Row],[COSTO REAL]]-CATEGORIAS[[#This Row],[PROYECCION
TOTAL DE COSTO]]</f>
        <v>0</v>
      </c>
    </row>
    <row r="332" spans="1:33" x14ac:dyDescent="0.25">
      <c r="A332" s="274" t="str">
        <f>+IFERROR(VLOOKUP(CATEGORIAS[[#This Row],[CATEGORIA2]],[1]HOMOLOGACION!$A$1:$I$571,9,FALSE),0)</f>
        <v>0Q01</v>
      </c>
      <c r="B332" s="274" t="str">
        <f>+IFERROR(VLOOKUP(CATEGORIAS[[#This Row],[CATEGORIA2]],[1]HOMOLOGACION!$A$1:$C$571,3,FALSE),0)</f>
        <v>0D03</v>
      </c>
      <c r="C332" s="274" t="str">
        <f>+IFERROR(VLOOKUP(CATEGORIAS[[#This Row],[CATEGORIA2]],[1]HOMOLOGACION!$A$1:$D$571,4,FALSE),0)</f>
        <v>Movimiento de Tierra</v>
      </c>
      <c r="D332" s="144" t="s">
        <v>2050</v>
      </c>
      <c r="E332" s="273" t="s">
        <v>1009</v>
      </c>
      <c r="F332" s="275" t="s">
        <v>364</v>
      </c>
      <c r="G332" s="313">
        <v>21492401.631495975</v>
      </c>
      <c r="H332" s="313">
        <v>21492401.631495975</v>
      </c>
      <c r="I332" s="130">
        <v>5226429.1458733678</v>
      </c>
      <c r="J332" s="130"/>
      <c r="K332" s="130"/>
      <c r="L332" s="143">
        <f>CATEGORIAS[[#This Row],[ADICIONALES]]+CATEGORIAS[[#This Row],[POM]]</f>
        <v>26718830.777369343</v>
      </c>
      <c r="M332" s="131">
        <v>15420132.1664</v>
      </c>
      <c r="N332" s="227">
        <v>0</v>
      </c>
      <c r="O332" s="296">
        <f>CATEGORIAS[[#This Row],[PRODUCCION
PARTIDAS
ORIGINALES
ACTUAL]]+CATEGORIAS[[#This Row],[PRODUCCION
ADICIONALES
ACTUAL]]</f>
        <v>15420132.1664</v>
      </c>
      <c r="P332" s="227">
        <v>14455990.066400003</v>
      </c>
      <c r="Q332" s="227">
        <v>0</v>
      </c>
      <c r="R332" s="297">
        <f>CATEGORIAS[[#This Row],[PRODUCCION
ANTERIOR]]+CATEGORIAS[[#This Row],[PRODUCCION
ADICIONALES
ANTERIOR]]</f>
        <v>14455990.066400003</v>
      </c>
      <c r="S332" s="133">
        <v>4840000</v>
      </c>
      <c r="T332" s="133">
        <v>11140000</v>
      </c>
      <c r="U332" s="133"/>
      <c r="V332" s="296">
        <f>SUM(CATEGORIAS[[#This Row],[COSTO
ACUMULADO  AX]:[PROVISIONES]])</f>
        <v>15980000</v>
      </c>
      <c r="W332" s="298">
        <v>2640000</v>
      </c>
      <c r="X332" s="227">
        <v>8880000</v>
      </c>
      <c r="Y332" s="227">
        <v>4460000</v>
      </c>
      <c r="Z332" s="297">
        <f>SUM(CATEGORIAS[[#This Row],[COSTO ACUMULADO
ANTERIOR]:[PROVISIONES
ANTERIOR]])</f>
        <v>15980000</v>
      </c>
      <c r="AA332" s="139">
        <f>CATEGORIAS[[#This Row],[PRESUPUESTO
FINAL
PROYECTADO]]-CATEGORIAS[[#This Row],[TOTAL PRODUCCION
ACTUAL]]</f>
        <v>11298698.610969342</v>
      </c>
      <c r="AB332" s="227">
        <v>0</v>
      </c>
      <c r="AC332" s="132"/>
      <c r="AD332" s="132">
        <v>10738830.777369343</v>
      </c>
      <c r="AE332" s="226">
        <f>SUM(CATEGORIAS[[#This Row],[INVENTARIO]:[PROYECCION
DE COSTO
DEL SALDO]])</f>
        <v>10738830.777369343</v>
      </c>
      <c r="AF332" s="132"/>
      <c r="AG332" s="132">
        <f>+CATEGORIAS[[#This Row],[PRESUPUESTO
FINAL
PROYECTADO]]-CATEGORIAS[[#This Row],[COSTO REAL]]-CATEGORIAS[[#This Row],[PROYECCION
TOTAL DE COSTO]]</f>
        <v>0</v>
      </c>
    </row>
    <row r="333" spans="1:33" x14ac:dyDescent="0.25">
      <c r="A333" s="274" t="str">
        <f>+IFERROR(VLOOKUP(CATEGORIAS[[#This Row],[CATEGORIA2]],[1]HOMOLOGACION!$A$1:$I$571,9,FALSE),0)</f>
        <v>0Q01</v>
      </c>
      <c r="B333" s="274" t="str">
        <f>+IFERROR(VLOOKUP(CATEGORIAS[[#This Row],[CATEGORIA2]],[1]HOMOLOGACION!$A$1:$C$571,3,FALSE),0)</f>
        <v>0D03</v>
      </c>
      <c r="C333" s="274" t="str">
        <f>+IFERROR(VLOOKUP(CATEGORIAS[[#This Row],[CATEGORIA2]],[1]HOMOLOGACION!$A$1:$D$571,4,FALSE),0)</f>
        <v>Movimiento de Tierra</v>
      </c>
      <c r="D333" s="144" t="s">
        <v>2051</v>
      </c>
      <c r="E333" s="273" t="s">
        <v>1011</v>
      </c>
      <c r="F333" s="275" t="s">
        <v>361</v>
      </c>
      <c r="G333" s="313">
        <v>0</v>
      </c>
      <c r="H333" s="313">
        <v>0</v>
      </c>
      <c r="I333" s="130">
        <v>0</v>
      </c>
      <c r="J333" s="130"/>
      <c r="K333" s="130"/>
      <c r="L333" s="143">
        <f>CATEGORIAS[[#This Row],[ADICIONALES]]+CATEGORIAS[[#This Row],[POM]]</f>
        <v>0</v>
      </c>
      <c r="M333" s="131">
        <v>0</v>
      </c>
      <c r="N333" s="227">
        <v>0</v>
      </c>
      <c r="O333" s="296">
        <f>CATEGORIAS[[#This Row],[PRODUCCION
PARTIDAS
ORIGINALES
ACTUAL]]+CATEGORIAS[[#This Row],[PRODUCCION
ADICIONALES
ACTUAL]]</f>
        <v>0</v>
      </c>
      <c r="P333" s="227">
        <v>0</v>
      </c>
      <c r="Q333" s="227">
        <v>0</v>
      </c>
      <c r="R333" s="297">
        <f>CATEGORIAS[[#This Row],[PRODUCCION
ANTERIOR]]+CATEGORIAS[[#This Row],[PRODUCCION
ADICIONALES
ANTERIOR]]</f>
        <v>0</v>
      </c>
      <c r="S333" s="133">
        <v>0</v>
      </c>
      <c r="T333" s="133"/>
      <c r="U333" s="133"/>
      <c r="V333" s="296">
        <f>SUM(CATEGORIAS[[#This Row],[COSTO
ACUMULADO  AX]:[PROVISIONES]])</f>
        <v>0</v>
      </c>
      <c r="W333" s="298">
        <v>0</v>
      </c>
      <c r="X333" s="227"/>
      <c r="Y333" s="227"/>
      <c r="Z333" s="297">
        <f>SUM(CATEGORIAS[[#This Row],[COSTO ACUMULADO
ANTERIOR]:[PROVISIONES
ANTERIOR]])</f>
        <v>0</v>
      </c>
      <c r="AA333" s="139">
        <f>CATEGORIAS[[#This Row],[PRESUPUESTO
FINAL
PROYECTADO]]-CATEGORIAS[[#This Row],[TOTAL PRODUCCION
ACTUAL]]</f>
        <v>0</v>
      </c>
      <c r="AB333" s="227">
        <v>0</v>
      </c>
      <c r="AC333" s="132"/>
      <c r="AD333" s="132"/>
      <c r="AE333" s="226">
        <f>SUM(CATEGORIAS[[#This Row],[INVENTARIO]:[PROYECCION
DE COSTO
DEL SALDO]])</f>
        <v>0</v>
      </c>
      <c r="AF333" s="132"/>
      <c r="AG333" s="132">
        <f>+CATEGORIAS[[#This Row],[PRESUPUESTO
FINAL
PROYECTADO]]-CATEGORIAS[[#This Row],[COSTO REAL]]-CATEGORIAS[[#This Row],[PROYECCION
TOTAL DE COSTO]]</f>
        <v>0</v>
      </c>
    </row>
    <row r="334" spans="1:33" x14ac:dyDescent="0.25">
      <c r="A334" s="274" t="str">
        <f>+IFERROR(VLOOKUP(CATEGORIAS[[#This Row],[CATEGORIA2]],[1]HOMOLOGACION!$A$1:$I$571,9,FALSE),0)</f>
        <v>0Q01</v>
      </c>
      <c r="B334" s="274" t="str">
        <f>+IFERROR(VLOOKUP(CATEGORIAS[[#This Row],[CATEGORIA2]],[1]HOMOLOGACION!$A$1:$C$571,3,FALSE),0)</f>
        <v>0D02</v>
      </c>
      <c r="C334" s="274" t="str">
        <f>+IFERROR(VLOOKUP(CATEGORIAS[[#This Row],[CATEGORIA2]],[1]HOMOLOGACION!$A$1:$D$571,4,FALSE),0)</f>
        <v>Generador</v>
      </c>
      <c r="D334" s="144" t="s">
        <v>2052</v>
      </c>
      <c r="E334" s="273" t="s">
        <v>1013</v>
      </c>
      <c r="F334" s="275" t="s">
        <v>361</v>
      </c>
      <c r="G334" s="313">
        <v>0</v>
      </c>
      <c r="H334" s="313">
        <v>0</v>
      </c>
      <c r="I334" s="130">
        <v>0</v>
      </c>
      <c r="J334" s="130"/>
      <c r="K334" s="130"/>
      <c r="L334" s="143">
        <f>CATEGORIAS[[#This Row],[ADICIONALES]]+CATEGORIAS[[#This Row],[POM]]</f>
        <v>0</v>
      </c>
      <c r="M334" s="131">
        <v>0</v>
      </c>
      <c r="N334" s="227">
        <v>0</v>
      </c>
      <c r="O334" s="296">
        <f>CATEGORIAS[[#This Row],[PRODUCCION
PARTIDAS
ORIGINALES
ACTUAL]]+CATEGORIAS[[#This Row],[PRODUCCION
ADICIONALES
ACTUAL]]</f>
        <v>0</v>
      </c>
      <c r="P334" s="227">
        <v>0</v>
      </c>
      <c r="Q334" s="227">
        <v>0</v>
      </c>
      <c r="R334" s="297">
        <f>CATEGORIAS[[#This Row],[PRODUCCION
ANTERIOR]]+CATEGORIAS[[#This Row],[PRODUCCION
ADICIONALES
ANTERIOR]]</f>
        <v>0</v>
      </c>
      <c r="S334" s="133">
        <v>0</v>
      </c>
      <c r="T334" s="133"/>
      <c r="U334" s="133"/>
      <c r="V334" s="296">
        <f>SUM(CATEGORIAS[[#This Row],[COSTO
ACUMULADO  AX]:[PROVISIONES]])</f>
        <v>0</v>
      </c>
      <c r="W334" s="298">
        <v>0</v>
      </c>
      <c r="X334" s="227"/>
      <c r="Y334" s="227"/>
      <c r="Z334" s="297">
        <f>SUM(CATEGORIAS[[#This Row],[COSTO ACUMULADO
ANTERIOR]:[PROVISIONES
ANTERIOR]])</f>
        <v>0</v>
      </c>
      <c r="AA334" s="139">
        <f>CATEGORIAS[[#This Row],[PRESUPUESTO
FINAL
PROYECTADO]]-CATEGORIAS[[#This Row],[TOTAL PRODUCCION
ACTUAL]]</f>
        <v>0</v>
      </c>
      <c r="AB334" s="227">
        <v>0</v>
      </c>
      <c r="AC334" s="132"/>
      <c r="AD334" s="132"/>
      <c r="AE334" s="226">
        <f>SUM(CATEGORIAS[[#This Row],[INVENTARIO]:[PROYECCION
DE COSTO
DEL SALDO]])</f>
        <v>0</v>
      </c>
      <c r="AF334" s="132"/>
      <c r="AG334" s="132">
        <f>+CATEGORIAS[[#This Row],[PRESUPUESTO
FINAL
PROYECTADO]]-CATEGORIAS[[#This Row],[COSTO REAL]]-CATEGORIAS[[#This Row],[PROYECCION
TOTAL DE COSTO]]</f>
        <v>0</v>
      </c>
    </row>
    <row r="335" spans="1:33" x14ac:dyDescent="0.25">
      <c r="A335" s="274" t="str">
        <f>+IFERROR(VLOOKUP(CATEGORIAS[[#This Row],[CATEGORIA2]],[1]HOMOLOGACION!$A$1:$I$571,9,FALSE),0)</f>
        <v>0Q01</v>
      </c>
      <c r="B335" s="274" t="str">
        <f>+IFERROR(VLOOKUP(CATEGORIAS[[#This Row],[CATEGORIA2]],[1]HOMOLOGACION!$A$1:$C$571,3,FALSE),0)</f>
        <v>0D02</v>
      </c>
      <c r="C335" s="274" t="str">
        <f>+IFERROR(VLOOKUP(CATEGORIAS[[#This Row],[CATEGORIA2]],[1]HOMOLOGACION!$A$1:$D$571,4,FALSE),0)</f>
        <v>Generador</v>
      </c>
      <c r="D335" s="144" t="s">
        <v>2053</v>
      </c>
      <c r="E335" s="273" t="s">
        <v>1015</v>
      </c>
      <c r="F335" s="275" t="s">
        <v>361</v>
      </c>
      <c r="G335" s="313">
        <v>0</v>
      </c>
      <c r="H335" s="313">
        <v>0</v>
      </c>
      <c r="I335" s="130">
        <v>0</v>
      </c>
      <c r="J335" s="130"/>
      <c r="K335" s="130"/>
      <c r="L335" s="143">
        <f>CATEGORIAS[[#This Row],[ADICIONALES]]+CATEGORIAS[[#This Row],[POM]]</f>
        <v>0</v>
      </c>
      <c r="M335" s="131">
        <v>0</v>
      </c>
      <c r="N335" s="227">
        <v>0</v>
      </c>
      <c r="O335" s="296">
        <f>CATEGORIAS[[#This Row],[PRODUCCION
PARTIDAS
ORIGINALES
ACTUAL]]+CATEGORIAS[[#This Row],[PRODUCCION
ADICIONALES
ACTUAL]]</f>
        <v>0</v>
      </c>
      <c r="P335" s="227">
        <v>0</v>
      </c>
      <c r="Q335" s="132">
        <v>0</v>
      </c>
      <c r="R335" s="297">
        <f>CATEGORIAS[[#This Row],[PRODUCCION
ANTERIOR]]+CATEGORIAS[[#This Row],[PRODUCCION
ADICIONALES
ANTERIOR]]</f>
        <v>0</v>
      </c>
      <c r="S335" s="133">
        <v>0</v>
      </c>
      <c r="T335" s="133"/>
      <c r="U335" s="133"/>
      <c r="V335" s="296">
        <f>SUM(CATEGORIAS[[#This Row],[COSTO
ACUMULADO  AX]:[PROVISIONES]])</f>
        <v>0</v>
      </c>
      <c r="W335" s="298">
        <v>0</v>
      </c>
      <c r="X335" s="227"/>
      <c r="Y335" s="227"/>
      <c r="Z335" s="297">
        <f>SUM(CATEGORIAS[[#This Row],[COSTO ACUMULADO
ANTERIOR]:[PROVISIONES
ANTERIOR]])</f>
        <v>0</v>
      </c>
      <c r="AA335" s="139">
        <f>CATEGORIAS[[#This Row],[PRESUPUESTO
FINAL
PROYECTADO]]-CATEGORIAS[[#This Row],[TOTAL PRODUCCION
ACTUAL]]</f>
        <v>0</v>
      </c>
      <c r="AB335" s="227">
        <v>0</v>
      </c>
      <c r="AC335" s="132"/>
      <c r="AD335" s="132"/>
      <c r="AE335" s="226">
        <f>SUM(CATEGORIAS[[#This Row],[INVENTARIO]:[PROYECCION
DE COSTO
DEL SALDO]])</f>
        <v>0</v>
      </c>
      <c r="AF335" s="132"/>
      <c r="AG335" s="132">
        <f>+CATEGORIAS[[#This Row],[PRESUPUESTO
FINAL
PROYECTADO]]-CATEGORIAS[[#This Row],[COSTO REAL]]-CATEGORIAS[[#This Row],[PROYECCION
TOTAL DE COSTO]]</f>
        <v>0</v>
      </c>
    </row>
    <row r="336" spans="1:33" x14ac:dyDescent="0.25">
      <c r="A336" s="274" t="str">
        <f>+IFERROR(VLOOKUP(CATEGORIAS[[#This Row],[CATEGORIA2]],[1]HOMOLOGACION!$A$1:$I$571,9,FALSE),0)</f>
        <v>0Q01</v>
      </c>
      <c r="B336" s="274" t="str">
        <f>+IFERROR(VLOOKUP(CATEGORIAS[[#This Row],[CATEGORIA2]],[1]HOMOLOGACION!$A$1:$C$571,3,FALSE),0)</f>
        <v>0D02</v>
      </c>
      <c r="C336" s="274" t="str">
        <f>+IFERROR(VLOOKUP(CATEGORIAS[[#This Row],[CATEGORIA2]],[1]HOMOLOGACION!$A$1:$D$571,4,FALSE),0)</f>
        <v>Generador</v>
      </c>
      <c r="D336" s="144" t="s">
        <v>2054</v>
      </c>
      <c r="E336" s="273" t="s">
        <v>1017</v>
      </c>
      <c r="F336" s="275" t="s">
        <v>361</v>
      </c>
      <c r="G336" s="313">
        <v>0</v>
      </c>
      <c r="H336" s="313">
        <v>0</v>
      </c>
      <c r="I336" s="130">
        <v>0</v>
      </c>
      <c r="J336" s="130"/>
      <c r="K336" s="130"/>
      <c r="L336" s="143">
        <f>CATEGORIAS[[#This Row],[ADICIONALES]]+CATEGORIAS[[#This Row],[POM]]</f>
        <v>0</v>
      </c>
      <c r="M336" s="131">
        <v>0</v>
      </c>
      <c r="N336" s="227">
        <v>0</v>
      </c>
      <c r="O336" s="296">
        <f>CATEGORIAS[[#This Row],[PRODUCCION
PARTIDAS
ORIGINALES
ACTUAL]]+CATEGORIAS[[#This Row],[PRODUCCION
ADICIONALES
ACTUAL]]</f>
        <v>0</v>
      </c>
      <c r="P336" s="227">
        <v>0</v>
      </c>
      <c r="Q336" s="227">
        <v>0</v>
      </c>
      <c r="R336" s="297">
        <f>CATEGORIAS[[#This Row],[PRODUCCION
ANTERIOR]]+CATEGORIAS[[#This Row],[PRODUCCION
ADICIONALES
ANTERIOR]]</f>
        <v>0</v>
      </c>
      <c r="S336" s="133">
        <v>0</v>
      </c>
      <c r="T336" s="133"/>
      <c r="U336" s="133"/>
      <c r="V336" s="296">
        <f>SUM(CATEGORIAS[[#This Row],[COSTO
ACUMULADO  AX]:[PROVISIONES]])</f>
        <v>0</v>
      </c>
      <c r="W336" s="298">
        <v>0</v>
      </c>
      <c r="X336" s="227"/>
      <c r="Y336" s="227"/>
      <c r="Z336" s="297">
        <f>SUM(CATEGORIAS[[#This Row],[COSTO ACUMULADO
ANTERIOR]:[PROVISIONES
ANTERIOR]])</f>
        <v>0</v>
      </c>
      <c r="AA336" s="139">
        <f>CATEGORIAS[[#This Row],[PRESUPUESTO
FINAL
PROYECTADO]]-CATEGORIAS[[#This Row],[TOTAL PRODUCCION
ACTUAL]]</f>
        <v>0</v>
      </c>
      <c r="AB336" s="227">
        <v>0</v>
      </c>
      <c r="AC336" s="132"/>
      <c r="AD336" s="132"/>
      <c r="AE336" s="226">
        <f>SUM(CATEGORIAS[[#This Row],[INVENTARIO]:[PROYECCION
DE COSTO
DEL SALDO]])</f>
        <v>0</v>
      </c>
      <c r="AF336" s="132"/>
      <c r="AG336" s="132">
        <f>+CATEGORIAS[[#This Row],[PRESUPUESTO
FINAL
PROYECTADO]]-CATEGORIAS[[#This Row],[COSTO REAL]]-CATEGORIAS[[#This Row],[PROYECCION
TOTAL DE COSTO]]</f>
        <v>0</v>
      </c>
    </row>
    <row r="337" spans="1:33" x14ac:dyDescent="0.25">
      <c r="A337" s="274" t="str">
        <f>+IFERROR(VLOOKUP(CATEGORIAS[[#This Row],[CATEGORIA2]],[1]HOMOLOGACION!$A$1:$I$571,9,FALSE),0)</f>
        <v>0Q01</v>
      </c>
      <c r="B337" s="274" t="str">
        <f>+IFERROR(VLOOKUP(CATEGORIAS[[#This Row],[CATEGORIA2]],[1]HOMOLOGACION!$A$1:$C$571,3,FALSE),0)</f>
        <v>0D02</v>
      </c>
      <c r="C337" s="274" t="str">
        <f>+IFERROR(VLOOKUP(CATEGORIAS[[#This Row],[CATEGORIA2]],[1]HOMOLOGACION!$A$1:$D$571,4,FALSE),0)</f>
        <v>Generador</v>
      </c>
      <c r="D337" s="144" t="s">
        <v>2055</v>
      </c>
      <c r="E337" s="273" t="s">
        <v>1019</v>
      </c>
      <c r="F337" s="275" t="s">
        <v>361</v>
      </c>
      <c r="G337" s="313">
        <v>0</v>
      </c>
      <c r="H337" s="313">
        <v>0</v>
      </c>
      <c r="I337" s="130">
        <v>0</v>
      </c>
      <c r="J337" s="130"/>
      <c r="K337" s="130"/>
      <c r="L337" s="143">
        <f>CATEGORIAS[[#This Row],[ADICIONALES]]+CATEGORIAS[[#This Row],[POM]]</f>
        <v>0</v>
      </c>
      <c r="M337" s="131">
        <v>0</v>
      </c>
      <c r="N337" s="227">
        <v>0</v>
      </c>
      <c r="O337" s="296">
        <f>CATEGORIAS[[#This Row],[PRODUCCION
PARTIDAS
ORIGINALES
ACTUAL]]+CATEGORIAS[[#This Row],[PRODUCCION
ADICIONALES
ACTUAL]]</f>
        <v>0</v>
      </c>
      <c r="P337" s="227">
        <v>0</v>
      </c>
      <c r="Q337" s="132">
        <v>0</v>
      </c>
      <c r="R337" s="297">
        <f>CATEGORIAS[[#This Row],[PRODUCCION
ANTERIOR]]+CATEGORIAS[[#This Row],[PRODUCCION
ADICIONALES
ANTERIOR]]</f>
        <v>0</v>
      </c>
      <c r="S337" s="133">
        <v>0</v>
      </c>
      <c r="T337" s="133"/>
      <c r="U337" s="133"/>
      <c r="V337" s="296">
        <f>SUM(CATEGORIAS[[#This Row],[COSTO
ACUMULADO  AX]:[PROVISIONES]])</f>
        <v>0</v>
      </c>
      <c r="W337" s="298">
        <v>0</v>
      </c>
      <c r="X337" s="227"/>
      <c r="Y337" s="227"/>
      <c r="Z337" s="297">
        <f>SUM(CATEGORIAS[[#This Row],[COSTO ACUMULADO
ANTERIOR]:[PROVISIONES
ANTERIOR]])</f>
        <v>0</v>
      </c>
      <c r="AA337" s="139">
        <f>CATEGORIAS[[#This Row],[PRESUPUESTO
FINAL
PROYECTADO]]-CATEGORIAS[[#This Row],[TOTAL PRODUCCION
ACTUAL]]</f>
        <v>0</v>
      </c>
      <c r="AB337" s="227">
        <v>0</v>
      </c>
      <c r="AC337" s="132"/>
      <c r="AD337" s="132"/>
      <c r="AE337" s="226">
        <f>SUM(CATEGORIAS[[#This Row],[INVENTARIO]:[PROYECCION
DE COSTO
DEL SALDO]])</f>
        <v>0</v>
      </c>
      <c r="AF337" s="132"/>
      <c r="AG337" s="132">
        <f>+CATEGORIAS[[#This Row],[PRESUPUESTO
FINAL
PROYECTADO]]-CATEGORIAS[[#This Row],[COSTO REAL]]-CATEGORIAS[[#This Row],[PROYECCION
TOTAL DE COSTO]]</f>
        <v>0</v>
      </c>
    </row>
    <row r="338" spans="1:33" x14ac:dyDescent="0.25">
      <c r="A338" s="274" t="str">
        <f>+IFERROR(VLOOKUP(CATEGORIAS[[#This Row],[CATEGORIA2]],[1]HOMOLOGACION!$A$1:$I$571,9,FALSE),0)</f>
        <v>0Q01</v>
      </c>
      <c r="B338" s="274" t="str">
        <f>+IFERROR(VLOOKUP(CATEGORIAS[[#This Row],[CATEGORIA2]],[1]HOMOLOGACION!$A$1:$C$571,3,FALSE),0)</f>
        <v>0D01</v>
      </c>
      <c r="C338" s="274" t="str">
        <f>+IFERROR(VLOOKUP(CATEGORIAS[[#This Row],[CATEGORIA2]],[1]HOMOLOGACION!$A$1:$D$571,4,FALSE),0)</f>
        <v>Equipos Mayores</v>
      </c>
      <c r="D338" s="144" t="s">
        <v>2056</v>
      </c>
      <c r="E338" s="273" t="s">
        <v>1021</v>
      </c>
      <c r="F338" s="275" t="s">
        <v>361</v>
      </c>
      <c r="G338" s="313">
        <v>0</v>
      </c>
      <c r="H338" s="313">
        <v>0</v>
      </c>
      <c r="I338" s="130">
        <v>0</v>
      </c>
      <c r="J338" s="130"/>
      <c r="K338" s="130"/>
      <c r="L338" s="143">
        <f>CATEGORIAS[[#This Row],[ADICIONALES]]+CATEGORIAS[[#This Row],[POM]]</f>
        <v>0</v>
      </c>
      <c r="M338" s="131">
        <v>0</v>
      </c>
      <c r="N338" s="227">
        <v>0</v>
      </c>
      <c r="O338" s="296">
        <f>CATEGORIAS[[#This Row],[PRODUCCION
PARTIDAS
ORIGINALES
ACTUAL]]+CATEGORIAS[[#This Row],[PRODUCCION
ADICIONALES
ACTUAL]]</f>
        <v>0</v>
      </c>
      <c r="P338" s="227">
        <v>0</v>
      </c>
      <c r="Q338" s="227">
        <v>0</v>
      </c>
      <c r="R338" s="297">
        <f>CATEGORIAS[[#This Row],[PRODUCCION
ANTERIOR]]+CATEGORIAS[[#This Row],[PRODUCCION
ADICIONALES
ANTERIOR]]</f>
        <v>0</v>
      </c>
      <c r="S338" s="133">
        <v>0</v>
      </c>
      <c r="T338" s="133"/>
      <c r="U338" s="133"/>
      <c r="V338" s="296">
        <f>SUM(CATEGORIAS[[#This Row],[COSTO
ACUMULADO  AX]:[PROVISIONES]])</f>
        <v>0</v>
      </c>
      <c r="W338" s="298">
        <v>0</v>
      </c>
      <c r="X338" s="227"/>
      <c r="Y338" s="227"/>
      <c r="Z338" s="297">
        <f>SUM(CATEGORIAS[[#This Row],[COSTO ACUMULADO
ANTERIOR]:[PROVISIONES
ANTERIOR]])</f>
        <v>0</v>
      </c>
      <c r="AA338" s="139">
        <f>CATEGORIAS[[#This Row],[PRESUPUESTO
FINAL
PROYECTADO]]-CATEGORIAS[[#This Row],[TOTAL PRODUCCION
ACTUAL]]</f>
        <v>0</v>
      </c>
      <c r="AB338" s="227">
        <v>0</v>
      </c>
      <c r="AC338" s="132"/>
      <c r="AD338" s="132"/>
      <c r="AE338" s="226">
        <f>SUM(CATEGORIAS[[#This Row],[INVENTARIO]:[PROYECCION
DE COSTO
DEL SALDO]])</f>
        <v>0</v>
      </c>
      <c r="AF338" s="132"/>
      <c r="AG338" s="132">
        <f>+CATEGORIAS[[#This Row],[PRESUPUESTO
FINAL
PROYECTADO]]-CATEGORIAS[[#This Row],[COSTO REAL]]-CATEGORIAS[[#This Row],[PROYECCION
TOTAL DE COSTO]]</f>
        <v>0</v>
      </c>
    </row>
    <row r="339" spans="1:33" x14ac:dyDescent="0.25">
      <c r="A339" s="274" t="str">
        <f>+IFERROR(VLOOKUP(CATEGORIAS[[#This Row],[CATEGORIA2]],[1]HOMOLOGACION!$A$1:$I$571,9,FALSE),0)</f>
        <v>0Q01</v>
      </c>
      <c r="B339" s="274" t="str">
        <f>+IFERROR(VLOOKUP(CATEGORIAS[[#This Row],[CATEGORIA2]],[1]HOMOLOGACION!$A$1:$C$571,3,FALSE),0)</f>
        <v>0D01</v>
      </c>
      <c r="C339" s="274" t="str">
        <f>+IFERROR(VLOOKUP(CATEGORIAS[[#This Row],[CATEGORIA2]],[1]HOMOLOGACION!$A$1:$D$571,4,FALSE),0)</f>
        <v>Equipos Mayores</v>
      </c>
      <c r="D339" s="144" t="s">
        <v>2057</v>
      </c>
      <c r="E339" s="273" t="s">
        <v>1023</v>
      </c>
      <c r="F339" s="275" t="s">
        <v>361</v>
      </c>
      <c r="G339" s="313">
        <v>0</v>
      </c>
      <c r="H339" s="313">
        <v>0</v>
      </c>
      <c r="I339" s="130">
        <v>0</v>
      </c>
      <c r="J339" s="130"/>
      <c r="K339" s="130"/>
      <c r="L339" s="143">
        <f>CATEGORIAS[[#This Row],[ADICIONALES]]+CATEGORIAS[[#This Row],[POM]]</f>
        <v>0</v>
      </c>
      <c r="M339" s="131">
        <v>0</v>
      </c>
      <c r="N339" s="227">
        <v>0</v>
      </c>
      <c r="O339" s="296">
        <f>CATEGORIAS[[#This Row],[PRODUCCION
PARTIDAS
ORIGINALES
ACTUAL]]+CATEGORIAS[[#This Row],[PRODUCCION
ADICIONALES
ACTUAL]]</f>
        <v>0</v>
      </c>
      <c r="P339" s="227">
        <v>0</v>
      </c>
      <c r="Q339" s="132">
        <v>0</v>
      </c>
      <c r="R339" s="297">
        <f>CATEGORIAS[[#This Row],[PRODUCCION
ANTERIOR]]+CATEGORIAS[[#This Row],[PRODUCCION
ADICIONALES
ANTERIOR]]</f>
        <v>0</v>
      </c>
      <c r="S339" s="133">
        <v>0</v>
      </c>
      <c r="T339" s="133"/>
      <c r="U339" s="133"/>
      <c r="V339" s="296">
        <f>SUM(CATEGORIAS[[#This Row],[COSTO
ACUMULADO  AX]:[PROVISIONES]])</f>
        <v>0</v>
      </c>
      <c r="W339" s="298">
        <v>0</v>
      </c>
      <c r="X339" s="227"/>
      <c r="Y339" s="227"/>
      <c r="Z339" s="297">
        <f>SUM(CATEGORIAS[[#This Row],[COSTO ACUMULADO
ANTERIOR]:[PROVISIONES
ANTERIOR]])</f>
        <v>0</v>
      </c>
      <c r="AA339" s="139">
        <f>CATEGORIAS[[#This Row],[PRESUPUESTO
FINAL
PROYECTADO]]-CATEGORIAS[[#This Row],[TOTAL PRODUCCION
ACTUAL]]</f>
        <v>0</v>
      </c>
      <c r="AB339" s="227">
        <v>0</v>
      </c>
      <c r="AC339" s="132"/>
      <c r="AD339" s="132"/>
      <c r="AE339" s="226">
        <f>SUM(CATEGORIAS[[#This Row],[INVENTARIO]:[PROYECCION
DE COSTO
DEL SALDO]])</f>
        <v>0</v>
      </c>
      <c r="AF339" s="132"/>
      <c r="AG339" s="132">
        <f>+CATEGORIAS[[#This Row],[PRESUPUESTO
FINAL
PROYECTADO]]-CATEGORIAS[[#This Row],[COSTO REAL]]-CATEGORIAS[[#This Row],[PROYECCION
TOTAL DE COSTO]]</f>
        <v>0</v>
      </c>
    </row>
    <row r="340" spans="1:33" x14ac:dyDescent="0.25">
      <c r="A340" s="274" t="str">
        <f>+IFERROR(VLOOKUP(CATEGORIAS[[#This Row],[CATEGORIA2]],[1]HOMOLOGACION!$A$1:$I$571,9,FALSE),0)</f>
        <v>0Q01</v>
      </c>
      <c r="B340" s="274" t="str">
        <f>+IFERROR(VLOOKUP(CATEGORIAS[[#This Row],[CATEGORIA2]],[1]HOMOLOGACION!$A$1:$C$571,3,FALSE),0)</f>
        <v>0D01</v>
      </c>
      <c r="C340" s="274" t="str">
        <f>+IFERROR(VLOOKUP(CATEGORIAS[[#This Row],[CATEGORIA2]],[1]HOMOLOGACION!$A$1:$D$571,4,FALSE),0)</f>
        <v>Equipos Mayores</v>
      </c>
      <c r="D340" s="144" t="s">
        <v>2058</v>
      </c>
      <c r="E340" s="273" t="s">
        <v>1025</v>
      </c>
      <c r="F340" s="275" t="s">
        <v>361</v>
      </c>
      <c r="G340" s="313">
        <v>0</v>
      </c>
      <c r="H340" s="313">
        <v>0</v>
      </c>
      <c r="I340" s="130">
        <v>0</v>
      </c>
      <c r="J340" s="130"/>
      <c r="K340" s="130"/>
      <c r="L340" s="143">
        <f>CATEGORIAS[[#This Row],[ADICIONALES]]+CATEGORIAS[[#This Row],[POM]]</f>
        <v>0</v>
      </c>
      <c r="M340" s="131">
        <v>0</v>
      </c>
      <c r="N340" s="227">
        <v>0</v>
      </c>
      <c r="O340" s="296">
        <f>CATEGORIAS[[#This Row],[PRODUCCION
PARTIDAS
ORIGINALES
ACTUAL]]+CATEGORIAS[[#This Row],[PRODUCCION
ADICIONALES
ACTUAL]]</f>
        <v>0</v>
      </c>
      <c r="P340" s="227">
        <v>0</v>
      </c>
      <c r="Q340" s="132">
        <v>0</v>
      </c>
      <c r="R340" s="297">
        <f>CATEGORIAS[[#This Row],[PRODUCCION
ANTERIOR]]+CATEGORIAS[[#This Row],[PRODUCCION
ADICIONALES
ANTERIOR]]</f>
        <v>0</v>
      </c>
      <c r="S340" s="133">
        <v>0</v>
      </c>
      <c r="T340" s="133"/>
      <c r="U340" s="133"/>
      <c r="V340" s="296">
        <f>SUM(CATEGORIAS[[#This Row],[COSTO
ACUMULADO  AX]:[PROVISIONES]])</f>
        <v>0</v>
      </c>
      <c r="W340" s="298">
        <v>0</v>
      </c>
      <c r="X340" s="227"/>
      <c r="Y340" s="227"/>
      <c r="Z340" s="297">
        <f>SUM(CATEGORIAS[[#This Row],[COSTO ACUMULADO
ANTERIOR]:[PROVISIONES
ANTERIOR]])</f>
        <v>0</v>
      </c>
      <c r="AA340" s="139">
        <f>CATEGORIAS[[#This Row],[PRESUPUESTO
FINAL
PROYECTADO]]-CATEGORIAS[[#This Row],[TOTAL PRODUCCION
ACTUAL]]</f>
        <v>0</v>
      </c>
      <c r="AB340" s="227">
        <v>0</v>
      </c>
      <c r="AC340" s="132"/>
      <c r="AD340" s="132"/>
      <c r="AE340" s="226">
        <f>SUM(CATEGORIAS[[#This Row],[INVENTARIO]:[PROYECCION
DE COSTO
DEL SALDO]])</f>
        <v>0</v>
      </c>
      <c r="AF340" s="132"/>
      <c r="AG340" s="132">
        <f>+CATEGORIAS[[#This Row],[PRESUPUESTO
FINAL
PROYECTADO]]-CATEGORIAS[[#This Row],[COSTO REAL]]-CATEGORIAS[[#This Row],[PROYECCION
TOTAL DE COSTO]]</f>
        <v>0</v>
      </c>
    </row>
    <row r="341" spans="1:33" x14ac:dyDescent="0.25">
      <c r="A341" s="274" t="str">
        <f>+IFERROR(VLOOKUP(CATEGORIAS[[#This Row],[CATEGORIA2]],[1]HOMOLOGACION!$A$1:$I$571,9,FALSE),0)</f>
        <v>0Q01</v>
      </c>
      <c r="B341" s="274" t="str">
        <f>+IFERROR(VLOOKUP(CATEGORIAS[[#This Row],[CATEGORIA2]],[1]HOMOLOGACION!$A$1:$C$571,3,FALSE),0)</f>
        <v>0D01</v>
      </c>
      <c r="C341" s="274" t="str">
        <f>+IFERROR(VLOOKUP(CATEGORIAS[[#This Row],[CATEGORIA2]],[1]HOMOLOGACION!$A$1:$D$571,4,FALSE),0)</f>
        <v>Equipos Mayores</v>
      </c>
      <c r="D341" s="144" t="s">
        <v>2059</v>
      </c>
      <c r="E341" s="273" t="s">
        <v>1027</v>
      </c>
      <c r="F341" s="275" t="s">
        <v>361</v>
      </c>
      <c r="G341" s="313">
        <v>0</v>
      </c>
      <c r="H341" s="313">
        <v>0</v>
      </c>
      <c r="I341" s="130">
        <v>0</v>
      </c>
      <c r="J341" s="130"/>
      <c r="K341" s="130"/>
      <c r="L341" s="143">
        <f>CATEGORIAS[[#This Row],[ADICIONALES]]+CATEGORIAS[[#This Row],[POM]]</f>
        <v>0</v>
      </c>
      <c r="M341" s="131">
        <v>0</v>
      </c>
      <c r="N341" s="227">
        <v>0</v>
      </c>
      <c r="O341" s="296">
        <f>CATEGORIAS[[#This Row],[PRODUCCION
PARTIDAS
ORIGINALES
ACTUAL]]+CATEGORIAS[[#This Row],[PRODUCCION
ADICIONALES
ACTUAL]]</f>
        <v>0</v>
      </c>
      <c r="P341" s="227">
        <v>0</v>
      </c>
      <c r="Q341" s="227">
        <v>0</v>
      </c>
      <c r="R341" s="297">
        <f>CATEGORIAS[[#This Row],[PRODUCCION
ANTERIOR]]+CATEGORIAS[[#This Row],[PRODUCCION
ADICIONALES
ANTERIOR]]</f>
        <v>0</v>
      </c>
      <c r="S341" s="133">
        <v>0</v>
      </c>
      <c r="T341" s="133"/>
      <c r="U341" s="133"/>
      <c r="V341" s="296">
        <f>SUM(CATEGORIAS[[#This Row],[COSTO
ACUMULADO  AX]:[PROVISIONES]])</f>
        <v>0</v>
      </c>
      <c r="W341" s="298">
        <v>0</v>
      </c>
      <c r="X341" s="227"/>
      <c r="Y341" s="227"/>
      <c r="Z341" s="297">
        <f>SUM(CATEGORIAS[[#This Row],[COSTO ACUMULADO
ANTERIOR]:[PROVISIONES
ANTERIOR]])</f>
        <v>0</v>
      </c>
      <c r="AA341" s="139">
        <f>CATEGORIAS[[#This Row],[PRESUPUESTO
FINAL
PROYECTADO]]-CATEGORIAS[[#This Row],[TOTAL PRODUCCION
ACTUAL]]</f>
        <v>0</v>
      </c>
      <c r="AB341" s="227">
        <v>0</v>
      </c>
      <c r="AC341" s="132"/>
      <c r="AD341" s="132"/>
      <c r="AE341" s="226">
        <f>SUM(CATEGORIAS[[#This Row],[INVENTARIO]:[PROYECCION
DE COSTO
DEL SALDO]])</f>
        <v>0</v>
      </c>
      <c r="AF341" s="132"/>
      <c r="AG341" s="132">
        <f>+CATEGORIAS[[#This Row],[PRESUPUESTO
FINAL
PROYECTADO]]-CATEGORIAS[[#This Row],[COSTO REAL]]-CATEGORIAS[[#This Row],[PROYECCION
TOTAL DE COSTO]]</f>
        <v>0</v>
      </c>
    </row>
    <row r="342" spans="1:33" x14ac:dyDescent="0.25">
      <c r="A342" s="274" t="str">
        <f>+IFERROR(VLOOKUP(CATEGORIAS[[#This Row],[CATEGORIA2]],[1]HOMOLOGACION!$A$1:$I$571,9,FALSE),0)</f>
        <v>0Q01</v>
      </c>
      <c r="B342" s="274" t="str">
        <f>+IFERROR(VLOOKUP(CATEGORIAS[[#This Row],[CATEGORIA2]],[1]HOMOLOGACION!$A$1:$C$571,3,FALSE),0)</f>
        <v>0D01</v>
      </c>
      <c r="C342" s="274" t="str">
        <f>+IFERROR(VLOOKUP(CATEGORIAS[[#This Row],[CATEGORIA2]],[1]HOMOLOGACION!$A$1:$D$571,4,FALSE),0)</f>
        <v>Equipos Mayores</v>
      </c>
      <c r="D342" s="144" t="s">
        <v>2060</v>
      </c>
      <c r="E342" s="273" t="s">
        <v>1029</v>
      </c>
      <c r="F342" s="275" t="s">
        <v>361</v>
      </c>
      <c r="G342" s="313">
        <v>0</v>
      </c>
      <c r="H342" s="313">
        <v>0</v>
      </c>
      <c r="I342" s="130">
        <v>0</v>
      </c>
      <c r="J342" s="130"/>
      <c r="K342" s="130"/>
      <c r="L342" s="143">
        <f>CATEGORIAS[[#This Row],[ADICIONALES]]+CATEGORIAS[[#This Row],[POM]]</f>
        <v>0</v>
      </c>
      <c r="M342" s="131">
        <v>0</v>
      </c>
      <c r="N342" s="227">
        <v>0</v>
      </c>
      <c r="O342" s="296">
        <f>CATEGORIAS[[#This Row],[PRODUCCION
PARTIDAS
ORIGINALES
ACTUAL]]+CATEGORIAS[[#This Row],[PRODUCCION
ADICIONALES
ACTUAL]]</f>
        <v>0</v>
      </c>
      <c r="P342" s="227">
        <v>0</v>
      </c>
      <c r="Q342" s="227">
        <v>0</v>
      </c>
      <c r="R342" s="297">
        <f>CATEGORIAS[[#This Row],[PRODUCCION
ANTERIOR]]+CATEGORIAS[[#This Row],[PRODUCCION
ADICIONALES
ANTERIOR]]</f>
        <v>0</v>
      </c>
      <c r="S342" s="133">
        <v>0</v>
      </c>
      <c r="T342" s="133"/>
      <c r="U342" s="133"/>
      <c r="V342" s="296">
        <f>SUM(CATEGORIAS[[#This Row],[COSTO
ACUMULADO  AX]:[PROVISIONES]])</f>
        <v>0</v>
      </c>
      <c r="W342" s="298">
        <v>0</v>
      </c>
      <c r="X342" s="227"/>
      <c r="Y342" s="227"/>
      <c r="Z342" s="297">
        <f>SUM(CATEGORIAS[[#This Row],[COSTO ACUMULADO
ANTERIOR]:[PROVISIONES
ANTERIOR]])</f>
        <v>0</v>
      </c>
      <c r="AA342" s="139">
        <f>CATEGORIAS[[#This Row],[PRESUPUESTO
FINAL
PROYECTADO]]-CATEGORIAS[[#This Row],[TOTAL PRODUCCION
ACTUAL]]</f>
        <v>0</v>
      </c>
      <c r="AB342" s="227">
        <v>0</v>
      </c>
      <c r="AC342" s="132"/>
      <c r="AD342" s="132"/>
      <c r="AE342" s="226">
        <f>SUM(CATEGORIAS[[#This Row],[INVENTARIO]:[PROYECCION
DE COSTO
DEL SALDO]])</f>
        <v>0</v>
      </c>
      <c r="AF342" s="132"/>
      <c r="AG342" s="132">
        <f>+CATEGORIAS[[#This Row],[PRESUPUESTO
FINAL
PROYECTADO]]-CATEGORIAS[[#This Row],[COSTO REAL]]-CATEGORIAS[[#This Row],[PROYECCION
TOTAL DE COSTO]]</f>
        <v>0</v>
      </c>
    </row>
    <row r="343" spans="1:33" x14ac:dyDescent="0.25">
      <c r="A343" s="274" t="str">
        <f>+IFERROR(VLOOKUP(CATEGORIAS[[#This Row],[CATEGORIA2]],[1]HOMOLOGACION!$A$1:$I$571,9,FALSE),0)</f>
        <v>0Q01</v>
      </c>
      <c r="B343" s="274" t="str">
        <f>+IFERROR(VLOOKUP(CATEGORIAS[[#This Row],[CATEGORIA2]],[1]HOMOLOGACION!$A$1:$C$571,3,FALSE),0)</f>
        <v>0D01</v>
      </c>
      <c r="C343" s="274" t="str">
        <f>+IFERROR(VLOOKUP(CATEGORIAS[[#This Row],[CATEGORIA2]],[1]HOMOLOGACION!$A$1:$D$571,4,FALSE),0)</f>
        <v>Equipos Mayores</v>
      </c>
      <c r="D343" s="144" t="s">
        <v>2061</v>
      </c>
      <c r="E343" s="273" t="s">
        <v>1031</v>
      </c>
      <c r="F343" s="275" t="s">
        <v>361</v>
      </c>
      <c r="G343" s="313">
        <v>0</v>
      </c>
      <c r="H343" s="313">
        <v>0</v>
      </c>
      <c r="I343" s="130">
        <v>0</v>
      </c>
      <c r="J343" s="130"/>
      <c r="K343" s="130"/>
      <c r="L343" s="143">
        <f>CATEGORIAS[[#This Row],[ADICIONALES]]+CATEGORIAS[[#This Row],[POM]]</f>
        <v>0</v>
      </c>
      <c r="M343" s="131">
        <v>0</v>
      </c>
      <c r="N343" s="227">
        <v>0</v>
      </c>
      <c r="O343" s="296">
        <f>CATEGORIAS[[#This Row],[PRODUCCION
PARTIDAS
ORIGINALES
ACTUAL]]+CATEGORIAS[[#This Row],[PRODUCCION
ADICIONALES
ACTUAL]]</f>
        <v>0</v>
      </c>
      <c r="P343" s="227">
        <v>0</v>
      </c>
      <c r="Q343" s="227">
        <v>0</v>
      </c>
      <c r="R343" s="297">
        <f>CATEGORIAS[[#This Row],[PRODUCCION
ANTERIOR]]+CATEGORIAS[[#This Row],[PRODUCCION
ADICIONALES
ANTERIOR]]</f>
        <v>0</v>
      </c>
      <c r="S343" s="133">
        <v>0</v>
      </c>
      <c r="T343" s="133"/>
      <c r="U343" s="133"/>
      <c r="V343" s="296">
        <f>SUM(CATEGORIAS[[#This Row],[COSTO
ACUMULADO  AX]:[PROVISIONES]])</f>
        <v>0</v>
      </c>
      <c r="W343" s="298">
        <v>0</v>
      </c>
      <c r="X343" s="227"/>
      <c r="Y343" s="227"/>
      <c r="Z343" s="297">
        <f>SUM(CATEGORIAS[[#This Row],[COSTO ACUMULADO
ANTERIOR]:[PROVISIONES
ANTERIOR]])</f>
        <v>0</v>
      </c>
      <c r="AA343" s="139">
        <f>CATEGORIAS[[#This Row],[PRESUPUESTO
FINAL
PROYECTADO]]-CATEGORIAS[[#This Row],[TOTAL PRODUCCION
ACTUAL]]</f>
        <v>0</v>
      </c>
      <c r="AB343" s="227">
        <v>0</v>
      </c>
      <c r="AC343" s="132"/>
      <c r="AD343" s="132"/>
      <c r="AE343" s="226">
        <f>SUM(CATEGORIAS[[#This Row],[INVENTARIO]:[PROYECCION
DE COSTO
DEL SALDO]])</f>
        <v>0</v>
      </c>
      <c r="AF343" s="132"/>
      <c r="AG343" s="132">
        <f>+CATEGORIAS[[#This Row],[PRESUPUESTO
FINAL
PROYECTADO]]-CATEGORIAS[[#This Row],[COSTO REAL]]-CATEGORIAS[[#This Row],[PROYECCION
TOTAL DE COSTO]]</f>
        <v>0</v>
      </c>
    </row>
    <row r="344" spans="1:33" x14ac:dyDescent="0.25">
      <c r="A344" s="274" t="str">
        <f>+IFERROR(VLOOKUP(CATEGORIAS[[#This Row],[CATEGORIA2]],[1]HOMOLOGACION!$A$1:$I$571,9,FALSE),0)</f>
        <v>0Q01</v>
      </c>
      <c r="B344" s="274" t="str">
        <f>+IFERROR(VLOOKUP(CATEGORIAS[[#This Row],[CATEGORIA2]],[1]HOMOLOGACION!$A$1:$C$571,3,FALSE),0)</f>
        <v>0D01</v>
      </c>
      <c r="C344" s="274" t="str">
        <f>+IFERROR(VLOOKUP(CATEGORIAS[[#This Row],[CATEGORIA2]],[1]HOMOLOGACION!$A$1:$D$571,4,FALSE),0)</f>
        <v>Equipos Mayores</v>
      </c>
      <c r="D344" s="144" t="s">
        <v>2062</v>
      </c>
      <c r="E344" s="273" t="s">
        <v>1033</v>
      </c>
      <c r="F344" s="275" t="s">
        <v>361</v>
      </c>
      <c r="G344" s="313">
        <v>0</v>
      </c>
      <c r="H344" s="313">
        <v>0</v>
      </c>
      <c r="I344" s="130">
        <v>0</v>
      </c>
      <c r="J344" s="130"/>
      <c r="K344" s="130"/>
      <c r="L344" s="143">
        <f>CATEGORIAS[[#This Row],[ADICIONALES]]+CATEGORIAS[[#This Row],[POM]]</f>
        <v>0</v>
      </c>
      <c r="M344" s="131">
        <v>0</v>
      </c>
      <c r="N344" s="227">
        <v>0</v>
      </c>
      <c r="O344" s="296">
        <f>CATEGORIAS[[#This Row],[PRODUCCION
PARTIDAS
ORIGINALES
ACTUAL]]+CATEGORIAS[[#This Row],[PRODUCCION
ADICIONALES
ACTUAL]]</f>
        <v>0</v>
      </c>
      <c r="P344" s="227">
        <v>0</v>
      </c>
      <c r="Q344" s="227">
        <v>0</v>
      </c>
      <c r="R344" s="297">
        <f>CATEGORIAS[[#This Row],[PRODUCCION
ANTERIOR]]+CATEGORIAS[[#This Row],[PRODUCCION
ADICIONALES
ANTERIOR]]</f>
        <v>0</v>
      </c>
      <c r="S344" s="133">
        <v>0</v>
      </c>
      <c r="T344" s="133"/>
      <c r="U344" s="133"/>
      <c r="V344" s="296">
        <f>SUM(CATEGORIAS[[#This Row],[COSTO
ACUMULADO  AX]:[PROVISIONES]])</f>
        <v>0</v>
      </c>
      <c r="W344" s="298">
        <v>0</v>
      </c>
      <c r="X344" s="227"/>
      <c r="Y344" s="227"/>
      <c r="Z344" s="297">
        <f>SUM(CATEGORIAS[[#This Row],[COSTO ACUMULADO
ANTERIOR]:[PROVISIONES
ANTERIOR]])</f>
        <v>0</v>
      </c>
      <c r="AA344" s="139">
        <f>CATEGORIAS[[#This Row],[PRESUPUESTO
FINAL
PROYECTADO]]-CATEGORIAS[[#This Row],[TOTAL PRODUCCION
ACTUAL]]</f>
        <v>0</v>
      </c>
      <c r="AB344" s="227">
        <v>0</v>
      </c>
      <c r="AC344" s="132"/>
      <c r="AD344" s="132"/>
      <c r="AE344" s="226">
        <f>SUM(CATEGORIAS[[#This Row],[INVENTARIO]:[PROYECCION
DE COSTO
DEL SALDO]])</f>
        <v>0</v>
      </c>
      <c r="AF344" s="132"/>
      <c r="AG344" s="132">
        <f>+CATEGORIAS[[#This Row],[PRESUPUESTO
FINAL
PROYECTADO]]-CATEGORIAS[[#This Row],[COSTO REAL]]-CATEGORIAS[[#This Row],[PROYECCION
TOTAL DE COSTO]]</f>
        <v>0</v>
      </c>
    </row>
    <row r="345" spans="1:33" x14ac:dyDescent="0.25">
      <c r="A345" s="274" t="str">
        <f>+IFERROR(VLOOKUP(CATEGORIAS[[#This Row],[CATEGORIA2]],[1]HOMOLOGACION!$A$1:$I$571,9,FALSE),0)</f>
        <v>0Q01</v>
      </c>
      <c r="B345" s="274" t="str">
        <f>+IFERROR(VLOOKUP(CATEGORIAS[[#This Row],[CATEGORIA2]],[1]HOMOLOGACION!$A$1:$C$571,3,FALSE),0)</f>
        <v>0D01</v>
      </c>
      <c r="C345" s="274" t="str">
        <f>+IFERROR(VLOOKUP(CATEGORIAS[[#This Row],[CATEGORIA2]],[1]HOMOLOGACION!$A$1:$D$571,4,FALSE),0)</f>
        <v>Equipos Mayores</v>
      </c>
      <c r="D345" s="144" t="s">
        <v>2063</v>
      </c>
      <c r="E345" s="273" t="s">
        <v>1035</v>
      </c>
      <c r="F345" s="275" t="s">
        <v>361</v>
      </c>
      <c r="G345" s="313">
        <v>0</v>
      </c>
      <c r="H345" s="313">
        <v>0</v>
      </c>
      <c r="I345" s="130">
        <v>0</v>
      </c>
      <c r="J345" s="130"/>
      <c r="K345" s="130"/>
      <c r="L345" s="143">
        <f>CATEGORIAS[[#This Row],[ADICIONALES]]+CATEGORIAS[[#This Row],[POM]]</f>
        <v>0</v>
      </c>
      <c r="M345" s="131">
        <v>0</v>
      </c>
      <c r="N345" s="227">
        <v>0</v>
      </c>
      <c r="O345" s="296">
        <f>CATEGORIAS[[#This Row],[PRODUCCION
PARTIDAS
ORIGINALES
ACTUAL]]+CATEGORIAS[[#This Row],[PRODUCCION
ADICIONALES
ACTUAL]]</f>
        <v>0</v>
      </c>
      <c r="P345" s="227">
        <v>0</v>
      </c>
      <c r="Q345" s="227">
        <v>0</v>
      </c>
      <c r="R345" s="297">
        <f>CATEGORIAS[[#This Row],[PRODUCCION
ANTERIOR]]+CATEGORIAS[[#This Row],[PRODUCCION
ADICIONALES
ANTERIOR]]</f>
        <v>0</v>
      </c>
      <c r="S345" s="133">
        <v>0</v>
      </c>
      <c r="T345" s="133"/>
      <c r="U345" s="133"/>
      <c r="V345" s="296">
        <f>SUM(CATEGORIAS[[#This Row],[COSTO
ACUMULADO  AX]:[PROVISIONES]])</f>
        <v>0</v>
      </c>
      <c r="W345" s="298">
        <v>0</v>
      </c>
      <c r="X345" s="227"/>
      <c r="Y345" s="227"/>
      <c r="Z345" s="297">
        <f>SUM(CATEGORIAS[[#This Row],[COSTO ACUMULADO
ANTERIOR]:[PROVISIONES
ANTERIOR]])</f>
        <v>0</v>
      </c>
      <c r="AA345" s="139">
        <f>CATEGORIAS[[#This Row],[PRESUPUESTO
FINAL
PROYECTADO]]-CATEGORIAS[[#This Row],[TOTAL PRODUCCION
ACTUAL]]</f>
        <v>0</v>
      </c>
      <c r="AB345" s="227">
        <v>0</v>
      </c>
      <c r="AC345" s="132"/>
      <c r="AD345" s="132"/>
      <c r="AE345" s="226">
        <f>SUM(CATEGORIAS[[#This Row],[INVENTARIO]:[PROYECCION
DE COSTO
DEL SALDO]])</f>
        <v>0</v>
      </c>
      <c r="AF345" s="132"/>
      <c r="AG345" s="132">
        <f>+CATEGORIAS[[#This Row],[PRESUPUESTO
FINAL
PROYECTADO]]-CATEGORIAS[[#This Row],[COSTO REAL]]-CATEGORIAS[[#This Row],[PROYECCION
TOTAL DE COSTO]]</f>
        <v>0</v>
      </c>
    </row>
    <row r="346" spans="1:33" x14ac:dyDescent="0.25">
      <c r="A346" s="274" t="str">
        <f>+IFERROR(VLOOKUP(CATEGORIAS[[#This Row],[CATEGORIA2]],[1]HOMOLOGACION!$A$1:$I$571,9,FALSE),0)</f>
        <v>0Q01</v>
      </c>
      <c r="B346" s="274" t="str">
        <f>+IFERROR(VLOOKUP(CATEGORIAS[[#This Row],[CATEGORIA2]],[1]HOMOLOGACION!$A$1:$C$571,3,FALSE),0)</f>
        <v>0D01</v>
      </c>
      <c r="C346" s="274" t="str">
        <f>+IFERROR(VLOOKUP(CATEGORIAS[[#This Row],[CATEGORIA2]],[1]HOMOLOGACION!$A$1:$D$571,4,FALSE),0)</f>
        <v>Equipos Mayores</v>
      </c>
      <c r="D346" s="144" t="s">
        <v>2064</v>
      </c>
      <c r="E346" s="273" t="s">
        <v>1037</v>
      </c>
      <c r="F346" s="275" t="s">
        <v>361</v>
      </c>
      <c r="G346" s="313">
        <v>0</v>
      </c>
      <c r="H346" s="313">
        <v>0</v>
      </c>
      <c r="I346" s="130">
        <v>0</v>
      </c>
      <c r="J346" s="130"/>
      <c r="K346" s="130"/>
      <c r="L346" s="143">
        <f>CATEGORIAS[[#This Row],[ADICIONALES]]+CATEGORIAS[[#This Row],[POM]]</f>
        <v>0</v>
      </c>
      <c r="M346" s="131">
        <v>0</v>
      </c>
      <c r="N346" s="227">
        <v>0</v>
      </c>
      <c r="O346" s="296">
        <f>CATEGORIAS[[#This Row],[PRODUCCION
PARTIDAS
ORIGINALES
ACTUAL]]+CATEGORIAS[[#This Row],[PRODUCCION
ADICIONALES
ACTUAL]]</f>
        <v>0</v>
      </c>
      <c r="P346" s="227">
        <v>0</v>
      </c>
      <c r="Q346" s="227">
        <v>0</v>
      </c>
      <c r="R346" s="297">
        <f>CATEGORIAS[[#This Row],[PRODUCCION
ANTERIOR]]+CATEGORIAS[[#This Row],[PRODUCCION
ADICIONALES
ANTERIOR]]</f>
        <v>0</v>
      </c>
      <c r="S346" s="133">
        <v>0</v>
      </c>
      <c r="T346" s="133"/>
      <c r="U346" s="133"/>
      <c r="V346" s="296">
        <f>SUM(CATEGORIAS[[#This Row],[COSTO
ACUMULADO  AX]:[PROVISIONES]])</f>
        <v>0</v>
      </c>
      <c r="W346" s="298">
        <v>0</v>
      </c>
      <c r="X346" s="227"/>
      <c r="Y346" s="227"/>
      <c r="Z346" s="297">
        <f>SUM(CATEGORIAS[[#This Row],[COSTO ACUMULADO
ANTERIOR]:[PROVISIONES
ANTERIOR]])</f>
        <v>0</v>
      </c>
      <c r="AA346" s="139">
        <f>CATEGORIAS[[#This Row],[PRESUPUESTO
FINAL
PROYECTADO]]-CATEGORIAS[[#This Row],[TOTAL PRODUCCION
ACTUAL]]</f>
        <v>0</v>
      </c>
      <c r="AB346" s="227">
        <v>0</v>
      </c>
      <c r="AC346" s="132"/>
      <c r="AD346" s="132"/>
      <c r="AE346" s="226">
        <f>SUM(CATEGORIAS[[#This Row],[INVENTARIO]:[PROYECCION
DE COSTO
DEL SALDO]])</f>
        <v>0</v>
      </c>
      <c r="AF346" s="132"/>
      <c r="AG346" s="132">
        <f>+CATEGORIAS[[#This Row],[PRESUPUESTO
FINAL
PROYECTADO]]-CATEGORIAS[[#This Row],[COSTO REAL]]-CATEGORIAS[[#This Row],[PROYECCION
TOTAL DE COSTO]]</f>
        <v>0</v>
      </c>
    </row>
    <row r="347" spans="1:33" x14ac:dyDescent="0.25">
      <c r="A347" s="274" t="str">
        <f>+IFERROR(VLOOKUP(CATEGORIAS[[#This Row],[CATEGORIA2]],[1]HOMOLOGACION!$A$1:$I$571,9,FALSE),0)</f>
        <v>0Q01</v>
      </c>
      <c r="B347" s="274" t="str">
        <f>+IFERROR(VLOOKUP(CATEGORIAS[[#This Row],[CATEGORIA2]],[1]HOMOLOGACION!$A$1:$C$571,3,FALSE),0)</f>
        <v>0D01</v>
      </c>
      <c r="C347" s="274" t="str">
        <f>+IFERROR(VLOOKUP(CATEGORIAS[[#This Row],[CATEGORIA2]],[1]HOMOLOGACION!$A$1:$D$571,4,FALSE),0)</f>
        <v>Equipos Mayores</v>
      </c>
      <c r="D347" s="144" t="s">
        <v>2065</v>
      </c>
      <c r="E347" s="273" t="s">
        <v>1039</v>
      </c>
      <c r="F347" s="275" t="s">
        <v>361</v>
      </c>
      <c r="G347" s="313">
        <v>0</v>
      </c>
      <c r="H347" s="313">
        <v>0</v>
      </c>
      <c r="I347" s="130">
        <v>0</v>
      </c>
      <c r="J347" s="130"/>
      <c r="K347" s="130"/>
      <c r="L347" s="143">
        <f>CATEGORIAS[[#This Row],[ADICIONALES]]+CATEGORIAS[[#This Row],[POM]]</f>
        <v>0</v>
      </c>
      <c r="M347" s="131">
        <v>0</v>
      </c>
      <c r="N347" s="227">
        <v>0</v>
      </c>
      <c r="O347" s="296">
        <f>CATEGORIAS[[#This Row],[PRODUCCION
PARTIDAS
ORIGINALES
ACTUAL]]+CATEGORIAS[[#This Row],[PRODUCCION
ADICIONALES
ACTUAL]]</f>
        <v>0</v>
      </c>
      <c r="P347" s="227">
        <v>0</v>
      </c>
      <c r="Q347" s="227">
        <v>0</v>
      </c>
      <c r="R347" s="297">
        <f>CATEGORIAS[[#This Row],[PRODUCCION
ANTERIOR]]+CATEGORIAS[[#This Row],[PRODUCCION
ADICIONALES
ANTERIOR]]</f>
        <v>0</v>
      </c>
      <c r="S347" s="133">
        <v>0</v>
      </c>
      <c r="T347" s="133"/>
      <c r="U347" s="133"/>
      <c r="V347" s="296">
        <f>SUM(CATEGORIAS[[#This Row],[COSTO
ACUMULADO  AX]:[PROVISIONES]])</f>
        <v>0</v>
      </c>
      <c r="W347" s="298">
        <v>0</v>
      </c>
      <c r="X347" s="227"/>
      <c r="Y347" s="227"/>
      <c r="Z347" s="297">
        <f>SUM(CATEGORIAS[[#This Row],[COSTO ACUMULADO
ANTERIOR]:[PROVISIONES
ANTERIOR]])</f>
        <v>0</v>
      </c>
      <c r="AA347" s="139">
        <f>CATEGORIAS[[#This Row],[PRESUPUESTO
FINAL
PROYECTADO]]-CATEGORIAS[[#This Row],[TOTAL PRODUCCION
ACTUAL]]</f>
        <v>0</v>
      </c>
      <c r="AB347" s="227">
        <v>0</v>
      </c>
      <c r="AC347" s="132"/>
      <c r="AD347" s="132"/>
      <c r="AE347" s="226">
        <f>SUM(CATEGORIAS[[#This Row],[INVENTARIO]:[PROYECCION
DE COSTO
DEL SALDO]])</f>
        <v>0</v>
      </c>
      <c r="AF347" s="132"/>
      <c r="AG347" s="132">
        <f>+CATEGORIAS[[#This Row],[PRESUPUESTO
FINAL
PROYECTADO]]-CATEGORIAS[[#This Row],[COSTO REAL]]-CATEGORIAS[[#This Row],[PROYECCION
TOTAL DE COSTO]]</f>
        <v>0</v>
      </c>
    </row>
    <row r="348" spans="1:33" x14ac:dyDescent="0.25">
      <c r="A348" s="274" t="str">
        <f>+IFERROR(VLOOKUP(CATEGORIAS[[#This Row],[CATEGORIA2]],[1]HOMOLOGACION!$A$1:$I$571,9,FALSE),0)</f>
        <v>0Q01</v>
      </c>
      <c r="B348" s="274" t="str">
        <f>+IFERROR(VLOOKUP(CATEGORIAS[[#This Row],[CATEGORIA2]],[1]HOMOLOGACION!$A$1:$C$571,3,FALSE),0)</f>
        <v>0D01</v>
      </c>
      <c r="C348" s="274" t="str">
        <f>+IFERROR(VLOOKUP(CATEGORIAS[[#This Row],[CATEGORIA2]],[1]HOMOLOGACION!$A$1:$D$571,4,FALSE),0)</f>
        <v>Equipos Mayores</v>
      </c>
      <c r="D348" s="144" t="s">
        <v>2066</v>
      </c>
      <c r="E348" s="273" t="s">
        <v>1041</v>
      </c>
      <c r="F348" s="275" t="s">
        <v>361</v>
      </c>
      <c r="G348" s="313">
        <v>0</v>
      </c>
      <c r="H348" s="313">
        <v>0</v>
      </c>
      <c r="I348" s="130">
        <v>0</v>
      </c>
      <c r="J348" s="130"/>
      <c r="K348" s="130"/>
      <c r="L348" s="143">
        <f>CATEGORIAS[[#This Row],[ADICIONALES]]+CATEGORIAS[[#This Row],[POM]]</f>
        <v>0</v>
      </c>
      <c r="M348" s="131">
        <v>0</v>
      </c>
      <c r="N348" s="227">
        <v>0</v>
      </c>
      <c r="O348" s="296">
        <f>CATEGORIAS[[#This Row],[PRODUCCION
PARTIDAS
ORIGINALES
ACTUAL]]+CATEGORIAS[[#This Row],[PRODUCCION
ADICIONALES
ACTUAL]]</f>
        <v>0</v>
      </c>
      <c r="P348" s="227">
        <v>0</v>
      </c>
      <c r="Q348" s="227">
        <v>0</v>
      </c>
      <c r="R348" s="297">
        <f>CATEGORIAS[[#This Row],[PRODUCCION
ANTERIOR]]+CATEGORIAS[[#This Row],[PRODUCCION
ADICIONALES
ANTERIOR]]</f>
        <v>0</v>
      </c>
      <c r="S348" s="133">
        <v>0</v>
      </c>
      <c r="T348" s="133"/>
      <c r="U348" s="133"/>
      <c r="V348" s="296">
        <f>SUM(CATEGORIAS[[#This Row],[COSTO
ACUMULADO  AX]:[PROVISIONES]])</f>
        <v>0</v>
      </c>
      <c r="W348" s="298">
        <v>0</v>
      </c>
      <c r="X348" s="227"/>
      <c r="Y348" s="227"/>
      <c r="Z348" s="297">
        <f>SUM(CATEGORIAS[[#This Row],[COSTO ACUMULADO
ANTERIOR]:[PROVISIONES
ANTERIOR]])</f>
        <v>0</v>
      </c>
      <c r="AA348" s="139">
        <f>CATEGORIAS[[#This Row],[PRESUPUESTO
FINAL
PROYECTADO]]-CATEGORIAS[[#This Row],[TOTAL PRODUCCION
ACTUAL]]</f>
        <v>0</v>
      </c>
      <c r="AB348" s="227">
        <v>0</v>
      </c>
      <c r="AC348" s="132"/>
      <c r="AD348" s="132"/>
      <c r="AE348" s="226">
        <f>SUM(CATEGORIAS[[#This Row],[INVENTARIO]:[PROYECCION
DE COSTO
DEL SALDO]])</f>
        <v>0</v>
      </c>
      <c r="AF348" s="132"/>
      <c r="AG348" s="132">
        <f>+CATEGORIAS[[#This Row],[PRESUPUESTO
FINAL
PROYECTADO]]-CATEGORIAS[[#This Row],[COSTO REAL]]-CATEGORIAS[[#This Row],[PROYECCION
TOTAL DE COSTO]]</f>
        <v>0</v>
      </c>
    </row>
    <row r="349" spans="1:33" x14ac:dyDescent="0.25">
      <c r="A349" s="274" t="str">
        <f>+IFERROR(VLOOKUP(CATEGORIAS[[#This Row],[CATEGORIA2]],[1]HOMOLOGACION!$A$1:$I$571,9,FALSE),0)</f>
        <v>0Q01</v>
      </c>
      <c r="B349" s="274" t="str">
        <f>+IFERROR(VLOOKUP(CATEGORIAS[[#This Row],[CATEGORIA2]],[1]HOMOLOGACION!$A$1:$C$571,3,FALSE),0)</f>
        <v>0D01</v>
      </c>
      <c r="C349" s="274" t="str">
        <f>+IFERROR(VLOOKUP(CATEGORIAS[[#This Row],[CATEGORIA2]],[1]HOMOLOGACION!$A$1:$D$571,4,FALSE),0)</f>
        <v>Equipos Mayores</v>
      </c>
      <c r="D349" s="144" t="s">
        <v>2067</v>
      </c>
      <c r="E349" s="273" t="s">
        <v>1043</v>
      </c>
      <c r="F349" s="275" t="s">
        <v>361</v>
      </c>
      <c r="G349" s="313">
        <v>0</v>
      </c>
      <c r="H349" s="313">
        <v>0</v>
      </c>
      <c r="I349" s="130">
        <v>0</v>
      </c>
      <c r="J349" s="130"/>
      <c r="K349" s="130"/>
      <c r="L349" s="143">
        <f>CATEGORIAS[[#This Row],[ADICIONALES]]+CATEGORIAS[[#This Row],[POM]]</f>
        <v>0</v>
      </c>
      <c r="M349" s="131">
        <v>0</v>
      </c>
      <c r="N349" s="227">
        <v>0</v>
      </c>
      <c r="O349" s="296">
        <f>CATEGORIAS[[#This Row],[PRODUCCION
PARTIDAS
ORIGINALES
ACTUAL]]+CATEGORIAS[[#This Row],[PRODUCCION
ADICIONALES
ACTUAL]]</f>
        <v>0</v>
      </c>
      <c r="P349" s="227">
        <v>0</v>
      </c>
      <c r="Q349" s="132">
        <v>0</v>
      </c>
      <c r="R349" s="297">
        <f>CATEGORIAS[[#This Row],[PRODUCCION
ANTERIOR]]+CATEGORIAS[[#This Row],[PRODUCCION
ADICIONALES
ANTERIOR]]</f>
        <v>0</v>
      </c>
      <c r="S349" s="133">
        <v>0</v>
      </c>
      <c r="T349" s="133"/>
      <c r="U349" s="133"/>
      <c r="V349" s="296">
        <f>SUM(CATEGORIAS[[#This Row],[COSTO
ACUMULADO  AX]:[PROVISIONES]])</f>
        <v>0</v>
      </c>
      <c r="W349" s="298">
        <v>0</v>
      </c>
      <c r="X349" s="227"/>
      <c r="Y349" s="227"/>
      <c r="Z349" s="297">
        <f>SUM(CATEGORIAS[[#This Row],[COSTO ACUMULADO
ANTERIOR]:[PROVISIONES
ANTERIOR]])</f>
        <v>0</v>
      </c>
      <c r="AA349" s="139">
        <f>CATEGORIAS[[#This Row],[PRESUPUESTO
FINAL
PROYECTADO]]-CATEGORIAS[[#This Row],[TOTAL PRODUCCION
ACTUAL]]</f>
        <v>0</v>
      </c>
      <c r="AB349" s="227">
        <v>0</v>
      </c>
      <c r="AC349" s="132"/>
      <c r="AD349" s="132"/>
      <c r="AE349" s="226">
        <f>SUM(CATEGORIAS[[#This Row],[INVENTARIO]:[PROYECCION
DE COSTO
DEL SALDO]])</f>
        <v>0</v>
      </c>
      <c r="AF349" s="132"/>
      <c r="AG349" s="132">
        <f>+CATEGORIAS[[#This Row],[PRESUPUESTO
FINAL
PROYECTADO]]-CATEGORIAS[[#This Row],[COSTO REAL]]-CATEGORIAS[[#This Row],[PROYECCION
TOTAL DE COSTO]]</f>
        <v>0</v>
      </c>
    </row>
    <row r="350" spans="1:33" x14ac:dyDescent="0.25">
      <c r="A350" s="274" t="str">
        <f>+IFERROR(VLOOKUP(CATEGORIAS[[#This Row],[CATEGORIA2]],[1]HOMOLOGACION!$A$1:$I$571,9,FALSE),0)</f>
        <v>0Q01</v>
      </c>
      <c r="B350" s="274" t="str">
        <f>+IFERROR(VLOOKUP(CATEGORIAS[[#This Row],[CATEGORIA2]],[1]HOMOLOGACION!$A$1:$C$571,3,FALSE),0)</f>
        <v>0D01</v>
      </c>
      <c r="C350" s="274" t="str">
        <f>+IFERROR(VLOOKUP(CATEGORIAS[[#This Row],[CATEGORIA2]],[1]HOMOLOGACION!$A$1:$D$571,4,FALSE),0)</f>
        <v>Equipos Mayores</v>
      </c>
      <c r="D350" s="144" t="s">
        <v>2068</v>
      </c>
      <c r="E350" s="273" t="s">
        <v>1045</v>
      </c>
      <c r="F350" s="275" t="s">
        <v>361</v>
      </c>
      <c r="G350" s="313">
        <v>0</v>
      </c>
      <c r="H350" s="313">
        <v>0</v>
      </c>
      <c r="I350" s="130">
        <v>0</v>
      </c>
      <c r="J350" s="130"/>
      <c r="K350" s="130"/>
      <c r="L350" s="143">
        <f>CATEGORIAS[[#This Row],[ADICIONALES]]+CATEGORIAS[[#This Row],[POM]]</f>
        <v>0</v>
      </c>
      <c r="M350" s="131">
        <v>0</v>
      </c>
      <c r="N350" s="227">
        <v>0</v>
      </c>
      <c r="O350" s="296">
        <f>CATEGORIAS[[#This Row],[PRODUCCION
PARTIDAS
ORIGINALES
ACTUAL]]+CATEGORIAS[[#This Row],[PRODUCCION
ADICIONALES
ACTUAL]]</f>
        <v>0</v>
      </c>
      <c r="P350" s="227">
        <v>0</v>
      </c>
      <c r="Q350" s="132">
        <v>0</v>
      </c>
      <c r="R350" s="297">
        <f>CATEGORIAS[[#This Row],[PRODUCCION
ANTERIOR]]+CATEGORIAS[[#This Row],[PRODUCCION
ADICIONALES
ANTERIOR]]</f>
        <v>0</v>
      </c>
      <c r="S350" s="133">
        <v>0</v>
      </c>
      <c r="T350" s="133"/>
      <c r="U350" s="133"/>
      <c r="V350" s="296">
        <f>SUM(CATEGORIAS[[#This Row],[COSTO
ACUMULADO  AX]:[PROVISIONES]])</f>
        <v>0</v>
      </c>
      <c r="W350" s="298">
        <v>0</v>
      </c>
      <c r="X350" s="227"/>
      <c r="Y350" s="227"/>
      <c r="Z350" s="297">
        <f>SUM(CATEGORIAS[[#This Row],[COSTO ACUMULADO
ANTERIOR]:[PROVISIONES
ANTERIOR]])</f>
        <v>0</v>
      </c>
      <c r="AA350" s="139">
        <f>CATEGORIAS[[#This Row],[PRESUPUESTO
FINAL
PROYECTADO]]-CATEGORIAS[[#This Row],[TOTAL PRODUCCION
ACTUAL]]</f>
        <v>0</v>
      </c>
      <c r="AB350" s="227">
        <v>0</v>
      </c>
      <c r="AC350" s="132"/>
      <c r="AD350" s="132"/>
      <c r="AE350" s="226">
        <f>SUM(CATEGORIAS[[#This Row],[INVENTARIO]:[PROYECCION
DE COSTO
DEL SALDO]])</f>
        <v>0</v>
      </c>
      <c r="AF350" s="132"/>
      <c r="AG350" s="132">
        <f>+CATEGORIAS[[#This Row],[PRESUPUESTO
FINAL
PROYECTADO]]-CATEGORIAS[[#This Row],[COSTO REAL]]-CATEGORIAS[[#This Row],[PROYECCION
TOTAL DE COSTO]]</f>
        <v>0</v>
      </c>
    </row>
    <row r="351" spans="1:33" x14ac:dyDescent="0.25">
      <c r="A351" s="274" t="str">
        <f>+IFERROR(VLOOKUP(CATEGORIAS[[#This Row],[CATEGORIA2]],[1]HOMOLOGACION!$A$1:$I$571,9,FALSE),0)</f>
        <v>0Q01</v>
      </c>
      <c r="B351" s="274" t="str">
        <f>+IFERROR(VLOOKUP(CATEGORIAS[[#This Row],[CATEGORIA2]],[1]HOMOLOGACION!$A$1:$C$571,3,FALSE),0)</f>
        <v>0D01</v>
      </c>
      <c r="C351" s="274" t="str">
        <f>+IFERROR(VLOOKUP(CATEGORIAS[[#This Row],[CATEGORIA2]],[1]HOMOLOGACION!$A$1:$D$571,4,FALSE),0)</f>
        <v>Equipos Mayores</v>
      </c>
      <c r="D351" s="144" t="s">
        <v>2069</v>
      </c>
      <c r="E351" s="273" t="s">
        <v>1047</v>
      </c>
      <c r="F351" s="275" t="s">
        <v>361</v>
      </c>
      <c r="G351" s="313">
        <v>0</v>
      </c>
      <c r="H351" s="313">
        <v>0</v>
      </c>
      <c r="I351" s="130">
        <v>0</v>
      </c>
      <c r="J351" s="130"/>
      <c r="K351" s="130"/>
      <c r="L351" s="143">
        <f>CATEGORIAS[[#This Row],[ADICIONALES]]+CATEGORIAS[[#This Row],[POM]]</f>
        <v>0</v>
      </c>
      <c r="M351" s="131">
        <v>0</v>
      </c>
      <c r="N351" s="227">
        <v>0</v>
      </c>
      <c r="O351" s="296">
        <f>CATEGORIAS[[#This Row],[PRODUCCION
PARTIDAS
ORIGINALES
ACTUAL]]+CATEGORIAS[[#This Row],[PRODUCCION
ADICIONALES
ACTUAL]]</f>
        <v>0</v>
      </c>
      <c r="P351" s="227">
        <v>0</v>
      </c>
      <c r="Q351" s="227">
        <v>0</v>
      </c>
      <c r="R351" s="297">
        <f>CATEGORIAS[[#This Row],[PRODUCCION
ANTERIOR]]+CATEGORIAS[[#This Row],[PRODUCCION
ADICIONALES
ANTERIOR]]</f>
        <v>0</v>
      </c>
      <c r="S351" s="133">
        <v>0</v>
      </c>
      <c r="T351" s="133"/>
      <c r="U351" s="133"/>
      <c r="V351" s="296">
        <f>SUM(CATEGORIAS[[#This Row],[COSTO
ACUMULADO  AX]:[PROVISIONES]])</f>
        <v>0</v>
      </c>
      <c r="W351" s="298">
        <v>0</v>
      </c>
      <c r="X351" s="227"/>
      <c r="Y351" s="227"/>
      <c r="Z351" s="297">
        <f>SUM(CATEGORIAS[[#This Row],[COSTO ACUMULADO
ANTERIOR]:[PROVISIONES
ANTERIOR]])</f>
        <v>0</v>
      </c>
      <c r="AA351" s="139">
        <f>CATEGORIAS[[#This Row],[PRESUPUESTO
FINAL
PROYECTADO]]-CATEGORIAS[[#This Row],[TOTAL PRODUCCION
ACTUAL]]</f>
        <v>0</v>
      </c>
      <c r="AB351" s="227">
        <v>0</v>
      </c>
      <c r="AC351" s="132"/>
      <c r="AD351" s="132"/>
      <c r="AE351" s="226">
        <f>SUM(CATEGORIAS[[#This Row],[INVENTARIO]:[PROYECCION
DE COSTO
DEL SALDO]])</f>
        <v>0</v>
      </c>
      <c r="AF351" s="132"/>
      <c r="AG351" s="132">
        <f>+CATEGORIAS[[#This Row],[PRESUPUESTO
FINAL
PROYECTADO]]-CATEGORIAS[[#This Row],[COSTO REAL]]-CATEGORIAS[[#This Row],[PROYECCION
TOTAL DE COSTO]]</f>
        <v>0</v>
      </c>
    </row>
    <row r="352" spans="1:33" x14ac:dyDescent="0.25">
      <c r="A352" s="274" t="str">
        <f>+IFERROR(VLOOKUP(CATEGORIAS[[#This Row],[CATEGORIA2]],[1]HOMOLOGACION!$A$1:$I$571,9,FALSE),0)</f>
        <v>0Q01</v>
      </c>
      <c r="B352" s="274" t="str">
        <f>+IFERROR(VLOOKUP(CATEGORIAS[[#This Row],[CATEGORIA2]],[1]HOMOLOGACION!$A$1:$C$571,3,FALSE),0)</f>
        <v>0D01</v>
      </c>
      <c r="C352" s="274" t="str">
        <f>+IFERROR(VLOOKUP(CATEGORIAS[[#This Row],[CATEGORIA2]],[1]HOMOLOGACION!$A$1:$D$571,4,FALSE),0)</f>
        <v>Equipos Mayores</v>
      </c>
      <c r="D352" s="144" t="s">
        <v>2070</v>
      </c>
      <c r="E352" s="273" t="s">
        <v>1049</v>
      </c>
      <c r="F352" s="275" t="s">
        <v>361</v>
      </c>
      <c r="G352" s="313">
        <v>0</v>
      </c>
      <c r="H352" s="313">
        <v>0</v>
      </c>
      <c r="I352" s="130">
        <v>0</v>
      </c>
      <c r="J352" s="130"/>
      <c r="K352" s="130"/>
      <c r="L352" s="143">
        <f>CATEGORIAS[[#This Row],[ADICIONALES]]+CATEGORIAS[[#This Row],[POM]]</f>
        <v>0</v>
      </c>
      <c r="M352" s="131">
        <v>0</v>
      </c>
      <c r="N352" s="227">
        <v>0</v>
      </c>
      <c r="O352" s="296">
        <f>CATEGORIAS[[#This Row],[PRODUCCION
PARTIDAS
ORIGINALES
ACTUAL]]+CATEGORIAS[[#This Row],[PRODUCCION
ADICIONALES
ACTUAL]]</f>
        <v>0</v>
      </c>
      <c r="P352" s="227">
        <v>0</v>
      </c>
      <c r="Q352" s="227">
        <v>0</v>
      </c>
      <c r="R352" s="297">
        <f>CATEGORIAS[[#This Row],[PRODUCCION
ANTERIOR]]+CATEGORIAS[[#This Row],[PRODUCCION
ADICIONALES
ANTERIOR]]</f>
        <v>0</v>
      </c>
      <c r="S352" s="133">
        <v>0</v>
      </c>
      <c r="T352" s="133"/>
      <c r="U352" s="133"/>
      <c r="V352" s="296">
        <f>SUM(CATEGORIAS[[#This Row],[COSTO
ACUMULADO  AX]:[PROVISIONES]])</f>
        <v>0</v>
      </c>
      <c r="W352" s="298">
        <v>0</v>
      </c>
      <c r="X352" s="227"/>
      <c r="Y352" s="227"/>
      <c r="Z352" s="297">
        <f>SUM(CATEGORIAS[[#This Row],[COSTO ACUMULADO
ANTERIOR]:[PROVISIONES
ANTERIOR]])</f>
        <v>0</v>
      </c>
      <c r="AA352" s="139">
        <f>CATEGORIAS[[#This Row],[PRESUPUESTO
FINAL
PROYECTADO]]-CATEGORIAS[[#This Row],[TOTAL PRODUCCION
ACTUAL]]</f>
        <v>0</v>
      </c>
      <c r="AB352" s="227">
        <v>0</v>
      </c>
      <c r="AC352" s="132"/>
      <c r="AD352" s="132"/>
      <c r="AE352" s="226">
        <f>SUM(CATEGORIAS[[#This Row],[INVENTARIO]:[PROYECCION
DE COSTO
DEL SALDO]])</f>
        <v>0</v>
      </c>
      <c r="AF352" s="132"/>
      <c r="AG352" s="132">
        <f>+CATEGORIAS[[#This Row],[PRESUPUESTO
FINAL
PROYECTADO]]-CATEGORIAS[[#This Row],[COSTO REAL]]-CATEGORIAS[[#This Row],[PROYECCION
TOTAL DE COSTO]]</f>
        <v>0</v>
      </c>
    </row>
    <row r="353" spans="1:33" x14ac:dyDescent="0.25">
      <c r="A353" s="274" t="str">
        <f>+IFERROR(VLOOKUP(CATEGORIAS[[#This Row],[CATEGORIA2]],[1]HOMOLOGACION!$A$1:$I$571,9,FALSE),0)</f>
        <v>0Q01</v>
      </c>
      <c r="B353" s="274" t="str">
        <f>+IFERROR(VLOOKUP(CATEGORIAS[[#This Row],[CATEGORIA2]],[1]HOMOLOGACION!$A$1:$C$571,3,FALSE),0)</f>
        <v>0D01</v>
      </c>
      <c r="C353" s="274" t="str">
        <f>+IFERROR(VLOOKUP(CATEGORIAS[[#This Row],[CATEGORIA2]],[1]HOMOLOGACION!$A$1:$D$571,4,FALSE),0)</f>
        <v>Equipos Mayores</v>
      </c>
      <c r="D353" s="144" t="s">
        <v>2071</v>
      </c>
      <c r="E353" s="273" t="s">
        <v>1051</v>
      </c>
      <c r="F353" s="275" t="s">
        <v>361</v>
      </c>
      <c r="G353" s="313">
        <v>0</v>
      </c>
      <c r="H353" s="313">
        <v>0</v>
      </c>
      <c r="I353" s="130">
        <v>0</v>
      </c>
      <c r="J353" s="130"/>
      <c r="K353" s="130"/>
      <c r="L353" s="143">
        <f>CATEGORIAS[[#This Row],[ADICIONALES]]+CATEGORIAS[[#This Row],[POM]]</f>
        <v>0</v>
      </c>
      <c r="M353" s="131">
        <v>0</v>
      </c>
      <c r="N353" s="227">
        <v>0</v>
      </c>
      <c r="O353" s="296">
        <f>CATEGORIAS[[#This Row],[PRODUCCION
PARTIDAS
ORIGINALES
ACTUAL]]+CATEGORIAS[[#This Row],[PRODUCCION
ADICIONALES
ACTUAL]]</f>
        <v>0</v>
      </c>
      <c r="P353" s="227">
        <v>0</v>
      </c>
      <c r="Q353" s="227">
        <v>0</v>
      </c>
      <c r="R353" s="297">
        <f>CATEGORIAS[[#This Row],[PRODUCCION
ANTERIOR]]+CATEGORIAS[[#This Row],[PRODUCCION
ADICIONALES
ANTERIOR]]</f>
        <v>0</v>
      </c>
      <c r="S353" s="133">
        <v>0</v>
      </c>
      <c r="T353" s="133"/>
      <c r="U353" s="133"/>
      <c r="V353" s="296">
        <f>SUM(CATEGORIAS[[#This Row],[COSTO
ACUMULADO  AX]:[PROVISIONES]])</f>
        <v>0</v>
      </c>
      <c r="W353" s="298">
        <v>0</v>
      </c>
      <c r="X353" s="227"/>
      <c r="Y353" s="227"/>
      <c r="Z353" s="297">
        <f>SUM(CATEGORIAS[[#This Row],[COSTO ACUMULADO
ANTERIOR]:[PROVISIONES
ANTERIOR]])</f>
        <v>0</v>
      </c>
      <c r="AA353" s="139">
        <f>CATEGORIAS[[#This Row],[PRESUPUESTO
FINAL
PROYECTADO]]-CATEGORIAS[[#This Row],[TOTAL PRODUCCION
ACTUAL]]</f>
        <v>0</v>
      </c>
      <c r="AB353" s="227">
        <v>0</v>
      </c>
      <c r="AC353" s="132"/>
      <c r="AD353" s="132"/>
      <c r="AE353" s="226">
        <f>SUM(CATEGORIAS[[#This Row],[INVENTARIO]:[PROYECCION
DE COSTO
DEL SALDO]])</f>
        <v>0</v>
      </c>
      <c r="AF353" s="132"/>
      <c r="AG353" s="132">
        <f>+CATEGORIAS[[#This Row],[PRESUPUESTO
FINAL
PROYECTADO]]-CATEGORIAS[[#This Row],[COSTO REAL]]-CATEGORIAS[[#This Row],[PROYECCION
TOTAL DE COSTO]]</f>
        <v>0</v>
      </c>
    </row>
    <row r="354" spans="1:33" x14ac:dyDescent="0.25">
      <c r="A354" s="274" t="str">
        <f>+IFERROR(VLOOKUP(CATEGORIAS[[#This Row],[CATEGORIA2]],[1]HOMOLOGACION!$A$1:$I$571,9,FALSE),0)</f>
        <v>0Q01</v>
      </c>
      <c r="B354" s="274" t="str">
        <f>+IFERROR(VLOOKUP(CATEGORIAS[[#This Row],[CATEGORIA2]],[1]HOMOLOGACION!$A$1:$C$571,3,FALSE),0)</f>
        <v>0D01</v>
      </c>
      <c r="C354" s="274" t="str">
        <f>+IFERROR(VLOOKUP(CATEGORIAS[[#This Row],[CATEGORIA2]],[1]HOMOLOGACION!$A$1:$D$571,4,FALSE),0)</f>
        <v>Equipos Mayores</v>
      </c>
      <c r="D354" s="144" t="s">
        <v>2072</v>
      </c>
      <c r="E354" s="273" t="s">
        <v>1053</v>
      </c>
      <c r="F354" s="275" t="s">
        <v>361</v>
      </c>
      <c r="G354" s="313">
        <v>0</v>
      </c>
      <c r="H354" s="313">
        <v>0</v>
      </c>
      <c r="I354" s="130">
        <v>0</v>
      </c>
      <c r="J354" s="130"/>
      <c r="K354" s="130"/>
      <c r="L354" s="143">
        <f>CATEGORIAS[[#This Row],[ADICIONALES]]+CATEGORIAS[[#This Row],[POM]]</f>
        <v>0</v>
      </c>
      <c r="M354" s="131">
        <v>0</v>
      </c>
      <c r="N354" s="227">
        <v>0</v>
      </c>
      <c r="O354" s="296">
        <f>CATEGORIAS[[#This Row],[PRODUCCION
PARTIDAS
ORIGINALES
ACTUAL]]+CATEGORIAS[[#This Row],[PRODUCCION
ADICIONALES
ACTUAL]]</f>
        <v>0</v>
      </c>
      <c r="P354" s="227">
        <v>0</v>
      </c>
      <c r="Q354" s="132">
        <v>0</v>
      </c>
      <c r="R354" s="297">
        <f>CATEGORIAS[[#This Row],[PRODUCCION
ANTERIOR]]+CATEGORIAS[[#This Row],[PRODUCCION
ADICIONALES
ANTERIOR]]</f>
        <v>0</v>
      </c>
      <c r="S354" s="133">
        <v>0</v>
      </c>
      <c r="T354" s="133"/>
      <c r="U354" s="133"/>
      <c r="V354" s="296">
        <f>SUM(CATEGORIAS[[#This Row],[COSTO
ACUMULADO  AX]:[PROVISIONES]])</f>
        <v>0</v>
      </c>
      <c r="W354" s="298">
        <v>0</v>
      </c>
      <c r="X354" s="227"/>
      <c r="Y354" s="227"/>
      <c r="Z354" s="297">
        <f>SUM(CATEGORIAS[[#This Row],[COSTO ACUMULADO
ANTERIOR]:[PROVISIONES
ANTERIOR]])</f>
        <v>0</v>
      </c>
      <c r="AA354" s="139">
        <f>CATEGORIAS[[#This Row],[PRESUPUESTO
FINAL
PROYECTADO]]-CATEGORIAS[[#This Row],[TOTAL PRODUCCION
ACTUAL]]</f>
        <v>0</v>
      </c>
      <c r="AB354" s="227">
        <v>0</v>
      </c>
      <c r="AC354" s="132"/>
      <c r="AD354" s="132"/>
      <c r="AE354" s="226">
        <f>SUM(CATEGORIAS[[#This Row],[INVENTARIO]:[PROYECCION
DE COSTO
DEL SALDO]])</f>
        <v>0</v>
      </c>
      <c r="AF354" s="132"/>
      <c r="AG354" s="132">
        <f>+CATEGORIAS[[#This Row],[PRESUPUESTO
FINAL
PROYECTADO]]-CATEGORIAS[[#This Row],[COSTO REAL]]-CATEGORIAS[[#This Row],[PROYECCION
TOTAL DE COSTO]]</f>
        <v>0</v>
      </c>
    </row>
    <row r="355" spans="1:33" x14ac:dyDescent="0.25">
      <c r="A355" s="274" t="str">
        <f>+IFERROR(VLOOKUP(CATEGORIAS[[#This Row],[CATEGORIA2]],[1]HOMOLOGACION!$A$1:$I$571,9,FALSE),0)</f>
        <v>0Q01</v>
      </c>
      <c r="B355" s="274" t="str">
        <f>+IFERROR(VLOOKUP(CATEGORIAS[[#This Row],[CATEGORIA2]],[1]HOMOLOGACION!$A$1:$C$571,3,FALSE),0)</f>
        <v>0D01</v>
      </c>
      <c r="C355" s="274" t="str">
        <f>+IFERROR(VLOOKUP(CATEGORIAS[[#This Row],[CATEGORIA2]],[1]HOMOLOGACION!$A$1:$D$571,4,FALSE),0)</f>
        <v>Equipos Mayores</v>
      </c>
      <c r="D355" s="144" t="s">
        <v>2073</v>
      </c>
      <c r="E355" s="273" t="s">
        <v>1055</v>
      </c>
      <c r="F355" s="275" t="s">
        <v>361</v>
      </c>
      <c r="G355" s="313">
        <v>0</v>
      </c>
      <c r="H355" s="313">
        <v>0</v>
      </c>
      <c r="I355" s="130">
        <v>0</v>
      </c>
      <c r="J355" s="130"/>
      <c r="K355" s="130"/>
      <c r="L355" s="143">
        <f>CATEGORIAS[[#This Row],[ADICIONALES]]+CATEGORIAS[[#This Row],[POM]]</f>
        <v>0</v>
      </c>
      <c r="M355" s="131">
        <v>0</v>
      </c>
      <c r="N355" s="227">
        <v>0</v>
      </c>
      <c r="O355" s="296">
        <f>CATEGORIAS[[#This Row],[PRODUCCION
PARTIDAS
ORIGINALES
ACTUAL]]+CATEGORIAS[[#This Row],[PRODUCCION
ADICIONALES
ACTUAL]]</f>
        <v>0</v>
      </c>
      <c r="P355" s="227">
        <v>0</v>
      </c>
      <c r="Q355" s="227">
        <v>0</v>
      </c>
      <c r="R355" s="297">
        <f>CATEGORIAS[[#This Row],[PRODUCCION
ANTERIOR]]+CATEGORIAS[[#This Row],[PRODUCCION
ADICIONALES
ANTERIOR]]</f>
        <v>0</v>
      </c>
      <c r="S355" s="133">
        <v>33201689</v>
      </c>
      <c r="T355" s="133">
        <v>-33201689</v>
      </c>
      <c r="U355" s="133"/>
      <c r="V355" s="296">
        <f>SUM(CATEGORIAS[[#This Row],[COSTO
ACUMULADO  AX]:[PROVISIONES]])</f>
        <v>0</v>
      </c>
      <c r="W355" s="298">
        <v>33201689</v>
      </c>
      <c r="X355" s="227">
        <v>-33201689</v>
      </c>
      <c r="Y355" s="227"/>
      <c r="Z355" s="297">
        <f>SUM(CATEGORIAS[[#This Row],[COSTO ACUMULADO
ANTERIOR]:[PROVISIONES
ANTERIOR]])</f>
        <v>0</v>
      </c>
      <c r="AA355" s="139">
        <f>CATEGORIAS[[#This Row],[PRESUPUESTO
FINAL
PROYECTADO]]-CATEGORIAS[[#This Row],[TOTAL PRODUCCION
ACTUAL]]</f>
        <v>0</v>
      </c>
      <c r="AB355" s="227">
        <v>0</v>
      </c>
      <c r="AC355" s="132"/>
      <c r="AD355" s="132"/>
      <c r="AE355" s="226">
        <f>SUM(CATEGORIAS[[#This Row],[INVENTARIO]:[PROYECCION
DE COSTO
DEL SALDO]])</f>
        <v>0</v>
      </c>
      <c r="AF355" s="132"/>
      <c r="AG355" s="132">
        <f>+CATEGORIAS[[#This Row],[PRESUPUESTO
FINAL
PROYECTADO]]-CATEGORIAS[[#This Row],[COSTO REAL]]-CATEGORIAS[[#This Row],[PROYECCION
TOTAL DE COSTO]]</f>
        <v>0</v>
      </c>
    </row>
    <row r="356" spans="1:33" x14ac:dyDescent="0.25">
      <c r="A356" s="274" t="str">
        <f>+IFERROR(VLOOKUP(CATEGORIAS[[#This Row],[CATEGORIA2]],[1]HOMOLOGACION!$A$1:$I$571,9,FALSE),0)</f>
        <v>0Q01</v>
      </c>
      <c r="B356" s="274" t="str">
        <f>+IFERROR(VLOOKUP(CATEGORIAS[[#This Row],[CATEGORIA2]],[1]HOMOLOGACION!$A$1:$C$571,3,FALSE),0)</f>
        <v>0D01</v>
      </c>
      <c r="C356" s="274" t="str">
        <f>+IFERROR(VLOOKUP(CATEGORIAS[[#This Row],[CATEGORIA2]],[1]HOMOLOGACION!$A$1:$D$571,4,FALSE),0)</f>
        <v>Equipos Mayores</v>
      </c>
      <c r="D356" s="144" t="s">
        <v>2074</v>
      </c>
      <c r="E356" s="273" t="s">
        <v>1057</v>
      </c>
      <c r="F356" s="275" t="s">
        <v>364</v>
      </c>
      <c r="G356" s="313">
        <v>358822229.46900004</v>
      </c>
      <c r="H356" s="313">
        <v>358822229.46900004</v>
      </c>
      <c r="I356" s="130">
        <v>13795341.88032</v>
      </c>
      <c r="J356" s="130"/>
      <c r="K356" s="130"/>
      <c r="L356" s="143">
        <f>CATEGORIAS[[#This Row],[ADICIONALES]]+CATEGORIAS[[#This Row],[POM]]</f>
        <v>372617571.34932005</v>
      </c>
      <c r="M356" s="131">
        <v>128359954.75691205</v>
      </c>
      <c r="N356" s="227">
        <v>0</v>
      </c>
      <c r="O356" s="296">
        <f>CATEGORIAS[[#This Row],[PRODUCCION
PARTIDAS
ORIGINALES
ACTUAL]]+CATEGORIAS[[#This Row],[PRODUCCION
ADICIONALES
ACTUAL]]</f>
        <v>128359954.75691205</v>
      </c>
      <c r="P356" s="227">
        <v>93469516.312360942</v>
      </c>
      <c r="Q356" s="132">
        <v>0</v>
      </c>
      <c r="R356" s="297">
        <f>CATEGORIAS[[#This Row],[PRODUCCION
ANTERIOR]]+CATEGORIAS[[#This Row],[PRODUCCION
ADICIONALES
ANTERIOR]]</f>
        <v>93469516.312360942</v>
      </c>
      <c r="S356" s="133">
        <v>57499937</v>
      </c>
      <c r="T356" s="133">
        <v>28931376</v>
      </c>
      <c r="U356" s="133">
        <v>43112197</v>
      </c>
      <c r="V356" s="296">
        <f>SUM(CATEGORIAS[[#This Row],[COSTO
ACUMULADO  AX]:[PROVISIONES]])</f>
        <v>129543510</v>
      </c>
      <c r="W356" s="298">
        <v>32656437</v>
      </c>
      <c r="X356" s="227">
        <v>25681375</v>
      </c>
      <c r="Y356" s="227">
        <v>40690659</v>
      </c>
      <c r="Z356" s="297">
        <f>SUM(CATEGORIAS[[#This Row],[COSTO ACUMULADO
ANTERIOR]:[PROVISIONES
ANTERIOR]])</f>
        <v>99028471</v>
      </c>
      <c r="AA356" s="139">
        <f>CATEGORIAS[[#This Row],[PRESUPUESTO
FINAL
PROYECTADO]]-CATEGORIAS[[#This Row],[TOTAL PRODUCCION
ACTUAL]]</f>
        <v>244257616.592408</v>
      </c>
      <c r="AB356" s="227">
        <v>0</v>
      </c>
      <c r="AC356" s="132"/>
      <c r="AD356" s="132">
        <v>243074061.34932005</v>
      </c>
      <c r="AE356" s="226">
        <f>SUM(CATEGORIAS[[#This Row],[INVENTARIO]:[PROYECCION
DE COSTO
DEL SALDO]])</f>
        <v>243074061.34932005</v>
      </c>
      <c r="AF356" s="132"/>
      <c r="AG356" s="132">
        <f>+CATEGORIAS[[#This Row],[PRESUPUESTO
FINAL
PROYECTADO]]-CATEGORIAS[[#This Row],[COSTO REAL]]-CATEGORIAS[[#This Row],[PROYECCION
TOTAL DE COSTO]]</f>
        <v>0</v>
      </c>
    </row>
    <row r="357" spans="1:33" x14ac:dyDescent="0.25">
      <c r="A357" s="274" t="str">
        <f>+IFERROR(VLOOKUP(CATEGORIAS[[#This Row],[CATEGORIA2]],[1]HOMOLOGACION!$A$1:$I$571,9,FALSE),0)</f>
        <v>0Q01</v>
      </c>
      <c r="B357" s="274" t="str">
        <f>+IFERROR(VLOOKUP(CATEGORIAS[[#This Row],[CATEGORIA2]],[1]HOMOLOGACION!$A$1:$C$571,3,FALSE),0)</f>
        <v>0D01</v>
      </c>
      <c r="C357" s="274" t="str">
        <f>+IFERROR(VLOOKUP(CATEGORIAS[[#This Row],[CATEGORIA2]],[1]HOMOLOGACION!$A$1:$D$571,4,FALSE),0)</f>
        <v>Equipos Mayores</v>
      </c>
      <c r="D357" s="144" t="s">
        <v>2075</v>
      </c>
      <c r="E357" s="273" t="s">
        <v>1059</v>
      </c>
      <c r="F357" s="275" t="s">
        <v>361</v>
      </c>
      <c r="G357" s="313">
        <v>0</v>
      </c>
      <c r="H357" s="313">
        <v>0</v>
      </c>
      <c r="I357" s="130">
        <v>0</v>
      </c>
      <c r="J357" s="130"/>
      <c r="K357" s="130"/>
      <c r="L357" s="143">
        <f>CATEGORIAS[[#This Row],[ADICIONALES]]+CATEGORIAS[[#This Row],[POM]]</f>
        <v>0</v>
      </c>
      <c r="M357" s="131">
        <v>0</v>
      </c>
      <c r="N357" s="227">
        <v>0</v>
      </c>
      <c r="O357" s="296">
        <f>CATEGORIAS[[#This Row],[PRODUCCION
PARTIDAS
ORIGINALES
ACTUAL]]+CATEGORIAS[[#This Row],[PRODUCCION
ADICIONALES
ACTUAL]]</f>
        <v>0</v>
      </c>
      <c r="P357" s="227">
        <v>0</v>
      </c>
      <c r="Q357" s="227">
        <v>0</v>
      </c>
      <c r="R357" s="297">
        <f>CATEGORIAS[[#This Row],[PRODUCCION
ANTERIOR]]+CATEGORIAS[[#This Row],[PRODUCCION
ADICIONALES
ANTERIOR]]</f>
        <v>0</v>
      </c>
      <c r="S357" s="133">
        <v>-3</v>
      </c>
      <c r="T357" s="133"/>
      <c r="U357" s="133"/>
      <c r="V357" s="296">
        <f>SUM(CATEGORIAS[[#This Row],[COSTO
ACUMULADO  AX]:[PROVISIONES]])</f>
        <v>-3</v>
      </c>
      <c r="W357" s="298">
        <v>-3</v>
      </c>
      <c r="X357" s="227"/>
      <c r="Y357" s="227">
        <v>3</v>
      </c>
      <c r="Z357" s="297">
        <f>SUM(CATEGORIAS[[#This Row],[COSTO ACUMULADO
ANTERIOR]:[PROVISIONES
ANTERIOR]])</f>
        <v>0</v>
      </c>
      <c r="AA357" s="139">
        <f>CATEGORIAS[[#This Row],[PRESUPUESTO
FINAL
PROYECTADO]]-CATEGORIAS[[#This Row],[TOTAL PRODUCCION
ACTUAL]]</f>
        <v>0</v>
      </c>
      <c r="AB357" s="227">
        <v>0</v>
      </c>
      <c r="AC357" s="132"/>
      <c r="AD357" s="132"/>
      <c r="AE357" s="226">
        <f>SUM(CATEGORIAS[[#This Row],[INVENTARIO]:[PROYECCION
DE COSTO
DEL SALDO]])</f>
        <v>0</v>
      </c>
      <c r="AF357" s="132"/>
      <c r="AG357" s="132">
        <f>+CATEGORIAS[[#This Row],[PRESUPUESTO
FINAL
PROYECTADO]]-CATEGORIAS[[#This Row],[COSTO REAL]]-CATEGORIAS[[#This Row],[PROYECCION
TOTAL DE COSTO]]</f>
        <v>3</v>
      </c>
    </row>
    <row r="358" spans="1:33" x14ac:dyDescent="0.25">
      <c r="A358" s="274" t="str">
        <f>+IFERROR(VLOOKUP(CATEGORIAS[[#This Row],[CATEGORIA2]],[1]HOMOLOGACION!$A$1:$I$571,9,FALSE),0)</f>
        <v>0Q01</v>
      </c>
      <c r="B358" s="274" t="str">
        <f>+IFERROR(VLOOKUP(CATEGORIAS[[#This Row],[CATEGORIA2]],[1]HOMOLOGACION!$A$1:$C$571,3,FALSE),0)</f>
        <v>0D09</v>
      </c>
      <c r="C358" s="274" t="str">
        <f>+IFERROR(VLOOKUP(CATEGORIAS[[#This Row],[CATEGORIA2]],[1]HOMOLOGACION!$A$1:$D$571,4,FALSE),0)</f>
        <v>Equipos menores</v>
      </c>
      <c r="D358" s="144" t="s">
        <v>2076</v>
      </c>
      <c r="E358" s="273" t="s">
        <v>1061</v>
      </c>
      <c r="F358" s="275" t="s">
        <v>361</v>
      </c>
      <c r="G358" s="313">
        <v>0</v>
      </c>
      <c r="H358" s="313">
        <v>0</v>
      </c>
      <c r="I358" s="130">
        <v>0</v>
      </c>
      <c r="J358" s="130"/>
      <c r="K358" s="130"/>
      <c r="L358" s="143">
        <f>CATEGORIAS[[#This Row],[ADICIONALES]]+CATEGORIAS[[#This Row],[POM]]</f>
        <v>0</v>
      </c>
      <c r="M358" s="131">
        <v>0</v>
      </c>
      <c r="N358" s="227">
        <v>0</v>
      </c>
      <c r="O358" s="296">
        <f>CATEGORIAS[[#This Row],[PRODUCCION
PARTIDAS
ORIGINALES
ACTUAL]]+CATEGORIAS[[#This Row],[PRODUCCION
ADICIONALES
ACTUAL]]</f>
        <v>0</v>
      </c>
      <c r="P358" s="227">
        <v>0</v>
      </c>
      <c r="Q358" s="132">
        <v>0</v>
      </c>
      <c r="R358" s="297">
        <f>CATEGORIAS[[#This Row],[PRODUCCION
ANTERIOR]]+CATEGORIAS[[#This Row],[PRODUCCION
ADICIONALES
ANTERIOR]]</f>
        <v>0</v>
      </c>
      <c r="S358" s="133">
        <v>0</v>
      </c>
      <c r="T358" s="133"/>
      <c r="U358" s="133"/>
      <c r="V358" s="296">
        <f>SUM(CATEGORIAS[[#This Row],[COSTO
ACUMULADO  AX]:[PROVISIONES]])</f>
        <v>0</v>
      </c>
      <c r="W358" s="298">
        <v>0</v>
      </c>
      <c r="X358" s="227"/>
      <c r="Y358" s="227"/>
      <c r="Z358" s="297">
        <f>SUM(CATEGORIAS[[#This Row],[COSTO ACUMULADO
ANTERIOR]:[PROVISIONES
ANTERIOR]])</f>
        <v>0</v>
      </c>
      <c r="AA358" s="139">
        <f>CATEGORIAS[[#This Row],[PRESUPUESTO
FINAL
PROYECTADO]]-CATEGORIAS[[#This Row],[TOTAL PRODUCCION
ACTUAL]]</f>
        <v>0</v>
      </c>
      <c r="AB358" s="227">
        <v>0</v>
      </c>
      <c r="AC358" s="132"/>
      <c r="AD358" s="132"/>
      <c r="AE358" s="226">
        <f>SUM(CATEGORIAS[[#This Row],[INVENTARIO]:[PROYECCION
DE COSTO
DEL SALDO]])</f>
        <v>0</v>
      </c>
      <c r="AF358" s="132"/>
      <c r="AG358" s="132">
        <f>+CATEGORIAS[[#This Row],[PRESUPUESTO
FINAL
PROYECTADO]]-CATEGORIAS[[#This Row],[COSTO REAL]]-CATEGORIAS[[#This Row],[PROYECCION
TOTAL DE COSTO]]</f>
        <v>0</v>
      </c>
    </row>
    <row r="359" spans="1:33" x14ac:dyDescent="0.25">
      <c r="A359" s="274" t="str">
        <f>+IFERROR(VLOOKUP(CATEGORIAS[[#This Row],[CATEGORIA2]],[1]HOMOLOGACION!$A$1:$I$571,9,FALSE),0)</f>
        <v>0Q01</v>
      </c>
      <c r="B359" s="274" t="str">
        <f>+IFERROR(VLOOKUP(CATEGORIAS[[#This Row],[CATEGORIA2]],[1]HOMOLOGACION!$A$1:$C$571,3,FALSE),0)</f>
        <v>0D09</v>
      </c>
      <c r="C359" s="274" t="str">
        <f>+IFERROR(VLOOKUP(CATEGORIAS[[#This Row],[CATEGORIA2]],[1]HOMOLOGACION!$A$1:$D$571,4,FALSE),0)</f>
        <v>Equipos menores</v>
      </c>
      <c r="D359" s="144" t="s">
        <v>2077</v>
      </c>
      <c r="E359" s="273" t="s">
        <v>1063</v>
      </c>
      <c r="F359" s="275" t="s">
        <v>361</v>
      </c>
      <c r="G359" s="313">
        <v>0</v>
      </c>
      <c r="H359" s="313">
        <v>0</v>
      </c>
      <c r="I359" s="130">
        <v>0</v>
      </c>
      <c r="J359" s="130"/>
      <c r="K359" s="130"/>
      <c r="L359" s="143">
        <f>CATEGORIAS[[#This Row],[ADICIONALES]]+CATEGORIAS[[#This Row],[POM]]</f>
        <v>0</v>
      </c>
      <c r="M359" s="131">
        <v>0</v>
      </c>
      <c r="N359" s="227">
        <v>0</v>
      </c>
      <c r="O359" s="296">
        <f>CATEGORIAS[[#This Row],[PRODUCCION
PARTIDAS
ORIGINALES
ACTUAL]]+CATEGORIAS[[#This Row],[PRODUCCION
ADICIONALES
ACTUAL]]</f>
        <v>0</v>
      </c>
      <c r="P359" s="227">
        <v>0</v>
      </c>
      <c r="Q359" s="227">
        <v>0</v>
      </c>
      <c r="R359" s="297">
        <f>CATEGORIAS[[#This Row],[PRODUCCION
ANTERIOR]]+CATEGORIAS[[#This Row],[PRODUCCION
ADICIONALES
ANTERIOR]]</f>
        <v>0</v>
      </c>
      <c r="S359" s="133">
        <v>0</v>
      </c>
      <c r="T359" s="133"/>
      <c r="U359" s="133"/>
      <c r="V359" s="296">
        <f>SUM(CATEGORIAS[[#This Row],[COSTO
ACUMULADO  AX]:[PROVISIONES]])</f>
        <v>0</v>
      </c>
      <c r="W359" s="298">
        <v>0</v>
      </c>
      <c r="X359" s="227"/>
      <c r="Y359" s="227"/>
      <c r="Z359" s="297">
        <f>SUM(CATEGORIAS[[#This Row],[COSTO ACUMULADO
ANTERIOR]:[PROVISIONES
ANTERIOR]])</f>
        <v>0</v>
      </c>
      <c r="AA359" s="139">
        <f>CATEGORIAS[[#This Row],[PRESUPUESTO
FINAL
PROYECTADO]]-CATEGORIAS[[#This Row],[TOTAL PRODUCCION
ACTUAL]]</f>
        <v>0</v>
      </c>
      <c r="AB359" s="227">
        <v>0</v>
      </c>
      <c r="AC359" s="132"/>
      <c r="AD359" s="132"/>
      <c r="AE359" s="226">
        <f>SUM(CATEGORIAS[[#This Row],[INVENTARIO]:[PROYECCION
DE COSTO
DEL SALDO]])</f>
        <v>0</v>
      </c>
      <c r="AF359" s="132"/>
      <c r="AG359" s="132">
        <f>+CATEGORIAS[[#This Row],[PRESUPUESTO
FINAL
PROYECTADO]]-CATEGORIAS[[#This Row],[COSTO REAL]]-CATEGORIAS[[#This Row],[PROYECCION
TOTAL DE COSTO]]</f>
        <v>0</v>
      </c>
    </row>
    <row r="360" spans="1:33" x14ac:dyDescent="0.25">
      <c r="A360" s="274" t="str">
        <f>+IFERROR(VLOOKUP(CATEGORIAS[[#This Row],[CATEGORIA2]],[1]HOMOLOGACION!$A$1:$I$571,9,FALSE),0)</f>
        <v>0Q01</v>
      </c>
      <c r="B360" s="274" t="str">
        <f>+IFERROR(VLOOKUP(CATEGORIAS[[#This Row],[CATEGORIA2]],[1]HOMOLOGACION!$A$1:$C$571,3,FALSE),0)</f>
        <v>0D09</v>
      </c>
      <c r="C360" s="274" t="str">
        <f>+IFERROR(VLOOKUP(CATEGORIAS[[#This Row],[CATEGORIA2]],[1]HOMOLOGACION!$A$1:$D$571,4,FALSE),0)</f>
        <v>Equipos menores</v>
      </c>
      <c r="D360" s="144" t="s">
        <v>2078</v>
      </c>
      <c r="E360" s="273" t="s">
        <v>1065</v>
      </c>
      <c r="F360" s="275" t="s">
        <v>361</v>
      </c>
      <c r="G360" s="313">
        <v>0</v>
      </c>
      <c r="H360" s="313">
        <v>0</v>
      </c>
      <c r="I360" s="130">
        <v>0</v>
      </c>
      <c r="J360" s="130"/>
      <c r="K360" s="130"/>
      <c r="L360" s="143">
        <f>CATEGORIAS[[#This Row],[ADICIONALES]]+CATEGORIAS[[#This Row],[POM]]</f>
        <v>0</v>
      </c>
      <c r="M360" s="131">
        <v>0</v>
      </c>
      <c r="N360" s="227">
        <v>0</v>
      </c>
      <c r="O360" s="296">
        <f>CATEGORIAS[[#This Row],[PRODUCCION
PARTIDAS
ORIGINALES
ACTUAL]]+CATEGORIAS[[#This Row],[PRODUCCION
ADICIONALES
ACTUAL]]</f>
        <v>0</v>
      </c>
      <c r="P360" s="227">
        <v>0</v>
      </c>
      <c r="Q360" s="132">
        <v>0</v>
      </c>
      <c r="R360" s="297">
        <f>CATEGORIAS[[#This Row],[PRODUCCION
ANTERIOR]]+CATEGORIAS[[#This Row],[PRODUCCION
ADICIONALES
ANTERIOR]]</f>
        <v>0</v>
      </c>
      <c r="S360" s="133">
        <v>0</v>
      </c>
      <c r="T360" s="133"/>
      <c r="U360" s="133"/>
      <c r="V360" s="296">
        <f>SUM(CATEGORIAS[[#This Row],[COSTO
ACUMULADO  AX]:[PROVISIONES]])</f>
        <v>0</v>
      </c>
      <c r="W360" s="298">
        <v>0</v>
      </c>
      <c r="X360" s="227"/>
      <c r="Y360" s="227"/>
      <c r="Z360" s="297">
        <f>SUM(CATEGORIAS[[#This Row],[COSTO ACUMULADO
ANTERIOR]:[PROVISIONES
ANTERIOR]])</f>
        <v>0</v>
      </c>
      <c r="AA360" s="139">
        <f>CATEGORIAS[[#This Row],[PRESUPUESTO
FINAL
PROYECTADO]]-CATEGORIAS[[#This Row],[TOTAL PRODUCCION
ACTUAL]]</f>
        <v>0</v>
      </c>
      <c r="AB360" s="227">
        <v>0</v>
      </c>
      <c r="AC360" s="132"/>
      <c r="AD360" s="132"/>
      <c r="AE360" s="226">
        <f>SUM(CATEGORIAS[[#This Row],[INVENTARIO]:[PROYECCION
DE COSTO
DEL SALDO]])</f>
        <v>0</v>
      </c>
      <c r="AF360" s="132"/>
      <c r="AG360" s="132">
        <f>+CATEGORIAS[[#This Row],[PRESUPUESTO
FINAL
PROYECTADO]]-CATEGORIAS[[#This Row],[COSTO REAL]]-CATEGORIAS[[#This Row],[PROYECCION
TOTAL DE COSTO]]</f>
        <v>0</v>
      </c>
    </row>
    <row r="361" spans="1:33" x14ac:dyDescent="0.25">
      <c r="A361" s="274" t="str">
        <f>+IFERROR(VLOOKUP(CATEGORIAS[[#This Row],[CATEGORIA2]],[1]HOMOLOGACION!$A$1:$I$571,9,FALSE),0)</f>
        <v>0Q01</v>
      </c>
      <c r="B361" s="274" t="str">
        <f>+IFERROR(VLOOKUP(CATEGORIAS[[#This Row],[CATEGORIA2]],[1]HOMOLOGACION!$A$1:$C$571,3,FALSE),0)</f>
        <v>0D09</v>
      </c>
      <c r="C361" s="274" t="str">
        <f>+IFERROR(VLOOKUP(CATEGORIAS[[#This Row],[CATEGORIA2]],[1]HOMOLOGACION!$A$1:$D$571,4,FALSE),0)</f>
        <v>Equipos menores</v>
      </c>
      <c r="D361" s="144" t="s">
        <v>2079</v>
      </c>
      <c r="E361" s="273" t="s">
        <v>1067</v>
      </c>
      <c r="F361" s="275" t="s">
        <v>361</v>
      </c>
      <c r="G361" s="313">
        <v>0</v>
      </c>
      <c r="H361" s="313">
        <v>0</v>
      </c>
      <c r="I361" s="130">
        <v>0</v>
      </c>
      <c r="J361" s="130"/>
      <c r="K361" s="130"/>
      <c r="L361" s="143">
        <f>CATEGORIAS[[#This Row],[ADICIONALES]]+CATEGORIAS[[#This Row],[POM]]</f>
        <v>0</v>
      </c>
      <c r="M361" s="131">
        <v>0</v>
      </c>
      <c r="N361" s="227">
        <v>0</v>
      </c>
      <c r="O361" s="296">
        <f>CATEGORIAS[[#This Row],[PRODUCCION
PARTIDAS
ORIGINALES
ACTUAL]]+CATEGORIAS[[#This Row],[PRODUCCION
ADICIONALES
ACTUAL]]</f>
        <v>0</v>
      </c>
      <c r="P361" s="227">
        <v>0</v>
      </c>
      <c r="Q361" s="227">
        <v>0</v>
      </c>
      <c r="R361" s="297">
        <f>CATEGORIAS[[#This Row],[PRODUCCION
ANTERIOR]]+CATEGORIAS[[#This Row],[PRODUCCION
ADICIONALES
ANTERIOR]]</f>
        <v>0</v>
      </c>
      <c r="S361" s="133">
        <v>0</v>
      </c>
      <c r="T361" s="133"/>
      <c r="U361" s="133"/>
      <c r="V361" s="296">
        <f>SUM(CATEGORIAS[[#This Row],[COSTO
ACUMULADO  AX]:[PROVISIONES]])</f>
        <v>0</v>
      </c>
      <c r="W361" s="298">
        <v>0</v>
      </c>
      <c r="X361" s="227"/>
      <c r="Y361" s="227"/>
      <c r="Z361" s="297">
        <f>SUM(CATEGORIAS[[#This Row],[COSTO ACUMULADO
ANTERIOR]:[PROVISIONES
ANTERIOR]])</f>
        <v>0</v>
      </c>
      <c r="AA361" s="139">
        <f>CATEGORIAS[[#This Row],[PRESUPUESTO
FINAL
PROYECTADO]]-CATEGORIAS[[#This Row],[TOTAL PRODUCCION
ACTUAL]]</f>
        <v>0</v>
      </c>
      <c r="AB361" s="227">
        <v>0</v>
      </c>
      <c r="AC361" s="132"/>
      <c r="AD361" s="132"/>
      <c r="AE361" s="226">
        <f>SUM(CATEGORIAS[[#This Row],[INVENTARIO]:[PROYECCION
DE COSTO
DEL SALDO]])</f>
        <v>0</v>
      </c>
      <c r="AF361" s="132"/>
      <c r="AG361" s="132">
        <f>+CATEGORIAS[[#This Row],[PRESUPUESTO
FINAL
PROYECTADO]]-CATEGORIAS[[#This Row],[COSTO REAL]]-CATEGORIAS[[#This Row],[PROYECCION
TOTAL DE COSTO]]</f>
        <v>0</v>
      </c>
    </row>
    <row r="362" spans="1:33" x14ac:dyDescent="0.25">
      <c r="A362" s="274" t="str">
        <f>+IFERROR(VLOOKUP(CATEGORIAS[[#This Row],[CATEGORIA2]],[1]HOMOLOGACION!$A$1:$I$571,9,FALSE),0)</f>
        <v>0Q01</v>
      </c>
      <c r="B362" s="274" t="str">
        <f>+IFERROR(VLOOKUP(CATEGORIAS[[#This Row],[CATEGORIA2]],[1]HOMOLOGACION!$A$1:$C$571,3,FALSE),0)</f>
        <v>0D09</v>
      </c>
      <c r="C362" s="274" t="str">
        <f>+IFERROR(VLOOKUP(CATEGORIAS[[#This Row],[CATEGORIA2]],[1]HOMOLOGACION!$A$1:$D$571,4,FALSE),0)</f>
        <v>Equipos menores</v>
      </c>
      <c r="D362" s="144" t="s">
        <v>2080</v>
      </c>
      <c r="E362" s="273" t="s">
        <v>1069</v>
      </c>
      <c r="F362" s="275" t="s">
        <v>361</v>
      </c>
      <c r="G362" s="313">
        <v>0</v>
      </c>
      <c r="H362" s="313">
        <v>0</v>
      </c>
      <c r="I362" s="130">
        <v>0</v>
      </c>
      <c r="J362" s="130"/>
      <c r="K362" s="130"/>
      <c r="L362" s="143">
        <f>CATEGORIAS[[#This Row],[ADICIONALES]]+CATEGORIAS[[#This Row],[POM]]</f>
        <v>0</v>
      </c>
      <c r="M362" s="131">
        <v>0</v>
      </c>
      <c r="N362" s="227">
        <v>0</v>
      </c>
      <c r="O362" s="296">
        <f>CATEGORIAS[[#This Row],[PRODUCCION
PARTIDAS
ORIGINALES
ACTUAL]]+CATEGORIAS[[#This Row],[PRODUCCION
ADICIONALES
ACTUAL]]</f>
        <v>0</v>
      </c>
      <c r="P362" s="227">
        <v>0</v>
      </c>
      <c r="Q362" s="132">
        <v>0</v>
      </c>
      <c r="R362" s="297">
        <f>CATEGORIAS[[#This Row],[PRODUCCION
ANTERIOR]]+CATEGORIAS[[#This Row],[PRODUCCION
ADICIONALES
ANTERIOR]]</f>
        <v>0</v>
      </c>
      <c r="S362" s="133">
        <v>0</v>
      </c>
      <c r="T362" s="133"/>
      <c r="U362" s="133"/>
      <c r="V362" s="296">
        <f>SUM(CATEGORIAS[[#This Row],[COSTO
ACUMULADO  AX]:[PROVISIONES]])</f>
        <v>0</v>
      </c>
      <c r="W362" s="298">
        <v>0</v>
      </c>
      <c r="X362" s="227"/>
      <c r="Y362" s="227"/>
      <c r="Z362" s="297">
        <f>SUM(CATEGORIAS[[#This Row],[COSTO ACUMULADO
ANTERIOR]:[PROVISIONES
ANTERIOR]])</f>
        <v>0</v>
      </c>
      <c r="AA362" s="139">
        <f>CATEGORIAS[[#This Row],[PRESUPUESTO
FINAL
PROYECTADO]]-CATEGORIAS[[#This Row],[TOTAL PRODUCCION
ACTUAL]]</f>
        <v>0</v>
      </c>
      <c r="AB362" s="227">
        <v>0</v>
      </c>
      <c r="AC362" s="132"/>
      <c r="AD362" s="132"/>
      <c r="AE362" s="226">
        <f>SUM(CATEGORIAS[[#This Row],[INVENTARIO]:[PROYECCION
DE COSTO
DEL SALDO]])</f>
        <v>0</v>
      </c>
      <c r="AF362" s="132"/>
      <c r="AG362" s="132">
        <f>+CATEGORIAS[[#This Row],[PRESUPUESTO
FINAL
PROYECTADO]]-CATEGORIAS[[#This Row],[COSTO REAL]]-CATEGORIAS[[#This Row],[PROYECCION
TOTAL DE COSTO]]</f>
        <v>0</v>
      </c>
    </row>
    <row r="363" spans="1:33" x14ac:dyDescent="0.25">
      <c r="A363" s="274" t="str">
        <f>+IFERROR(VLOOKUP(CATEGORIAS[[#This Row],[CATEGORIA2]],[1]HOMOLOGACION!$A$1:$I$571,9,FALSE),0)</f>
        <v>0Q01</v>
      </c>
      <c r="B363" s="274" t="str">
        <f>+IFERROR(VLOOKUP(CATEGORIAS[[#This Row],[CATEGORIA2]],[1]HOMOLOGACION!$A$1:$C$571,3,FALSE),0)</f>
        <v>0D09</v>
      </c>
      <c r="C363" s="274" t="str">
        <f>+IFERROR(VLOOKUP(CATEGORIAS[[#This Row],[CATEGORIA2]],[1]HOMOLOGACION!$A$1:$D$571,4,FALSE),0)</f>
        <v>Equipos menores</v>
      </c>
      <c r="D363" s="144" t="s">
        <v>2081</v>
      </c>
      <c r="E363" s="273" t="s">
        <v>1071</v>
      </c>
      <c r="F363" s="275" t="s">
        <v>361</v>
      </c>
      <c r="G363" s="313">
        <v>0</v>
      </c>
      <c r="H363" s="313">
        <v>0</v>
      </c>
      <c r="I363" s="130">
        <v>0</v>
      </c>
      <c r="J363" s="130"/>
      <c r="K363" s="130"/>
      <c r="L363" s="143">
        <f>CATEGORIAS[[#This Row],[ADICIONALES]]+CATEGORIAS[[#This Row],[POM]]</f>
        <v>0</v>
      </c>
      <c r="M363" s="131">
        <v>0</v>
      </c>
      <c r="N363" s="227">
        <v>0</v>
      </c>
      <c r="O363" s="296">
        <f>CATEGORIAS[[#This Row],[PRODUCCION
PARTIDAS
ORIGINALES
ACTUAL]]+CATEGORIAS[[#This Row],[PRODUCCION
ADICIONALES
ACTUAL]]</f>
        <v>0</v>
      </c>
      <c r="P363" s="227">
        <v>0</v>
      </c>
      <c r="Q363" s="227">
        <v>0</v>
      </c>
      <c r="R363" s="297">
        <f>CATEGORIAS[[#This Row],[PRODUCCION
ANTERIOR]]+CATEGORIAS[[#This Row],[PRODUCCION
ADICIONALES
ANTERIOR]]</f>
        <v>0</v>
      </c>
      <c r="S363" s="133">
        <v>0</v>
      </c>
      <c r="T363" s="133"/>
      <c r="U363" s="133"/>
      <c r="V363" s="296">
        <f>SUM(CATEGORIAS[[#This Row],[COSTO
ACUMULADO  AX]:[PROVISIONES]])</f>
        <v>0</v>
      </c>
      <c r="W363" s="298">
        <v>0</v>
      </c>
      <c r="X363" s="227"/>
      <c r="Y363" s="227"/>
      <c r="Z363" s="297">
        <f>SUM(CATEGORIAS[[#This Row],[COSTO ACUMULADO
ANTERIOR]:[PROVISIONES
ANTERIOR]])</f>
        <v>0</v>
      </c>
      <c r="AA363" s="139">
        <f>CATEGORIAS[[#This Row],[PRESUPUESTO
FINAL
PROYECTADO]]-CATEGORIAS[[#This Row],[TOTAL PRODUCCION
ACTUAL]]</f>
        <v>0</v>
      </c>
      <c r="AB363" s="227">
        <v>0</v>
      </c>
      <c r="AC363" s="132"/>
      <c r="AD363" s="132"/>
      <c r="AE363" s="226">
        <f>SUM(CATEGORIAS[[#This Row],[INVENTARIO]:[PROYECCION
DE COSTO
DEL SALDO]])</f>
        <v>0</v>
      </c>
      <c r="AF363" s="132"/>
      <c r="AG363" s="132">
        <f>+CATEGORIAS[[#This Row],[PRESUPUESTO
FINAL
PROYECTADO]]-CATEGORIAS[[#This Row],[COSTO REAL]]-CATEGORIAS[[#This Row],[PROYECCION
TOTAL DE COSTO]]</f>
        <v>0</v>
      </c>
    </row>
    <row r="364" spans="1:33" x14ac:dyDescent="0.25">
      <c r="A364" s="274" t="str">
        <f>+IFERROR(VLOOKUP(CATEGORIAS[[#This Row],[CATEGORIA2]],[1]HOMOLOGACION!$A$1:$I$571,9,FALSE),0)</f>
        <v>0Q01</v>
      </c>
      <c r="B364" s="274" t="str">
        <f>+IFERROR(VLOOKUP(CATEGORIAS[[#This Row],[CATEGORIA2]],[1]HOMOLOGACION!$A$1:$C$571,3,FALSE),0)</f>
        <v>0D09</v>
      </c>
      <c r="C364" s="274" t="str">
        <f>+IFERROR(VLOOKUP(CATEGORIAS[[#This Row],[CATEGORIA2]],[1]HOMOLOGACION!$A$1:$D$571,4,FALSE),0)</f>
        <v>Equipos menores</v>
      </c>
      <c r="D364" s="144" t="s">
        <v>2082</v>
      </c>
      <c r="E364" s="273" t="s">
        <v>1073</v>
      </c>
      <c r="F364" s="275" t="s">
        <v>361</v>
      </c>
      <c r="G364" s="313">
        <v>0</v>
      </c>
      <c r="H364" s="313">
        <v>0</v>
      </c>
      <c r="I364" s="130">
        <v>0</v>
      </c>
      <c r="J364" s="130"/>
      <c r="K364" s="130"/>
      <c r="L364" s="143">
        <f>CATEGORIAS[[#This Row],[ADICIONALES]]+CATEGORIAS[[#This Row],[POM]]</f>
        <v>0</v>
      </c>
      <c r="M364" s="131">
        <v>0</v>
      </c>
      <c r="N364" s="227">
        <v>0</v>
      </c>
      <c r="O364" s="296">
        <f>CATEGORIAS[[#This Row],[PRODUCCION
PARTIDAS
ORIGINALES
ACTUAL]]+CATEGORIAS[[#This Row],[PRODUCCION
ADICIONALES
ACTUAL]]</f>
        <v>0</v>
      </c>
      <c r="P364" s="227">
        <v>0</v>
      </c>
      <c r="Q364" s="132">
        <v>0</v>
      </c>
      <c r="R364" s="297">
        <f>CATEGORIAS[[#This Row],[PRODUCCION
ANTERIOR]]+CATEGORIAS[[#This Row],[PRODUCCION
ADICIONALES
ANTERIOR]]</f>
        <v>0</v>
      </c>
      <c r="S364" s="133">
        <v>0</v>
      </c>
      <c r="T364" s="133"/>
      <c r="U364" s="133"/>
      <c r="V364" s="296">
        <f>SUM(CATEGORIAS[[#This Row],[COSTO
ACUMULADO  AX]:[PROVISIONES]])</f>
        <v>0</v>
      </c>
      <c r="W364" s="298">
        <v>0</v>
      </c>
      <c r="X364" s="227"/>
      <c r="Y364" s="227"/>
      <c r="Z364" s="297">
        <f>SUM(CATEGORIAS[[#This Row],[COSTO ACUMULADO
ANTERIOR]:[PROVISIONES
ANTERIOR]])</f>
        <v>0</v>
      </c>
      <c r="AA364" s="139">
        <f>CATEGORIAS[[#This Row],[PRESUPUESTO
FINAL
PROYECTADO]]-CATEGORIAS[[#This Row],[TOTAL PRODUCCION
ACTUAL]]</f>
        <v>0</v>
      </c>
      <c r="AB364" s="227">
        <v>0</v>
      </c>
      <c r="AC364" s="132"/>
      <c r="AD364" s="132"/>
      <c r="AE364" s="226">
        <f>SUM(CATEGORIAS[[#This Row],[INVENTARIO]:[PROYECCION
DE COSTO
DEL SALDO]])</f>
        <v>0</v>
      </c>
      <c r="AF364" s="132"/>
      <c r="AG364" s="132">
        <f>+CATEGORIAS[[#This Row],[PRESUPUESTO
FINAL
PROYECTADO]]-CATEGORIAS[[#This Row],[COSTO REAL]]-CATEGORIAS[[#This Row],[PROYECCION
TOTAL DE COSTO]]</f>
        <v>0</v>
      </c>
    </row>
    <row r="365" spans="1:33" x14ac:dyDescent="0.25">
      <c r="A365" s="274" t="str">
        <f>+IFERROR(VLOOKUP(CATEGORIAS[[#This Row],[CATEGORIA2]],[1]HOMOLOGACION!$A$1:$I$571,9,FALSE),0)</f>
        <v>0Q01</v>
      </c>
      <c r="B365" s="274" t="str">
        <f>+IFERROR(VLOOKUP(CATEGORIAS[[#This Row],[CATEGORIA2]],[1]HOMOLOGACION!$A$1:$C$571,3,FALSE),0)</f>
        <v>0D09</v>
      </c>
      <c r="C365" s="274" t="str">
        <f>+IFERROR(VLOOKUP(CATEGORIAS[[#This Row],[CATEGORIA2]],[1]HOMOLOGACION!$A$1:$D$571,4,FALSE),0)</f>
        <v>Equipos menores</v>
      </c>
      <c r="D365" s="144" t="s">
        <v>2083</v>
      </c>
      <c r="E365" s="273" t="s">
        <v>1075</v>
      </c>
      <c r="F365" s="275" t="s">
        <v>361</v>
      </c>
      <c r="G365" s="313">
        <v>0</v>
      </c>
      <c r="H365" s="313">
        <v>0</v>
      </c>
      <c r="I365" s="130">
        <v>0</v>
      </c>
      <c r="J365" s="130"/>
      <c r="K365" s="130"/>
      <c r="L365" s="143">
        <f>CATEGORIAS[[#This Row],[ADICIONALES]]+CATEGORIAS[[#This Row],[POM]]</f>
        <v>0</v>
      </c>
      <c r="M365" s="131">
        <v>0</v>
      </c>
      <c r="N365" s="227">
        <v>0</v>
      </c>
      <c r="O365" s="296">
        <f>CATEGORIAS[[#This Row],[PRODUCCION
PARTIDAS
ORIGINALES
ACTUAL]]+CATEGORIAS[[#This Row],[PRODUCCION
ADICIONALES
ACTUAL]]</f>
        <v>0</v>
      </c>
      <c r="P365" s="227">
        <v>0</v>
      </c>
      <c r="Q365" s="227">
        <v>0</v>
      </c>
      <c r="R365" s="297">
        <f>CATEGORIAS[[#This Row],[PRODUCCION
ANTERIOR]]+CATEGORIAS[[#This Row],[PRODUCCION
ADICIONALES
ANTERIOR]]</f>
        <v>0</v>
      </c>
      <c r="S365" s="133">
        <v>0</v>
      </c>
      <c r="T365" s="133"/>
      <c r="U365" s="133"/>
      <c r="V365" s="296">
        <f>SUM(CATEGORIAS[[#This Row],[COSTO
ACUMULADO  AX]:[PROVISIONES]])</f>
        <v>0</v>
      </c>
      <c r="W365" s="298">
        <v>0</v>
      </c>
      <c r="X365" s="227"/>
      <c r="Y365" s="227"/>
      <c r="Z365" s="297">
        <f>SUM(CATEGORIAS[[#This Row],[COSTO ACUMULADO
ANTERIOR]:[PROVISIONES
ANTERIOR]])</f>
        <v>0</v>
      </c>
      <c r="AA365" s="139">
        <f>CATEGORIAS[[#This Row],[PRESUPUESTO
FINAL
PROYECTADO]]-CATEGORIAS[[#This Row],[TOTAL PRODUCCION
ACTUAL]]</f>
        <v>0</v>
      </c>
      <c r="AB365" s="227">
        <v>0</v>
      </c>
      <c r="AC365" s="132"/>
      <c r="AD365" s="132"/>
      <c r="AE365" s="226">
        <f>SUM(CATEGORIAS[[#This Row],[INVENTARIO]:[PROYECCION
DE COSTO
DEL SALDO]])</f>
        <v>0</v>
      </c>
      <c r="AF365" s="132"/>
      <c r="AG365" s="132">
        <f>+CATEGORIAS[[#This Row],[PRESUPUESTO
FINAL
PROYECTADO]]-CATEGORIAS[[#This Row],[COSTO REAL]]-CATEGORIAS[[#This Row],[PROYECCION
TOTAL DE COSTO]]</f>
        <v>0</v>
      </c>
    </row>
    <row r="366" spans="1:33" x14ac:dyDescent="0.25">
      <c r="A366" s="274" t="str">
        <f>+IFERROR(VLOOKUP(CATEGORIAS[[#This Row],[CATEGORIA2]],[1]HOMOLOGACION!$A$1:$I$571,9,FALSE),0)</f>
        <v>0Q01</v>
      </c>
      <c r="B366" s="274" t="str">
        <f>+IFERROR(VLOOKUP(CATEGORIAS[[#This Row],[CATEGORIA2]],[1]HOMOLOGACION!$A$1:$C$571,3,FALSE),0)</f>
        <v>0D04</v>
      </c>
      <c r="C366" s="274" t="str">
        <f>+IFERROR(VLOOKUP(CATEGORIAS[[#This Row],[CATEGORIA2]],[1]HOMOLOGACION!$A$1:$D$571,4,FALSE),0)</f>
        <v xml:space="preserve">Andamios </v>
      </c>
      <c r="D366" s="144" t="s">
        <v>2084</v>
      </c>
      <c r="E366" s="273" t="s">
        <v>1077</v>
      </c>
      <c r="F366" s="275" t="s">
        <v>361</v>
      </c>
      <c r="G366" s="313">
        <v>0</v>
      </c>
      <c r="H366" s="313">
        <v>0</v>
      </c>
      <c r="I366" s="130">
        <v>0</v>
      </c>
      <c r="J366" s="130"/>
      <c r="K366" s="130"/>
      <c r="L366" s="143">
        <f>CATEGORIAS[[#This Row],[ADICIONALES]]+CATEGORIAS[[#This Row],[POM]]</f>
        <v>0</v>
      </c>
      <c r="M366" s="131">
        <v>0</v>
      </c>
      <c r="N366" s="227">
        <v>0</v>
      </c>
      <c r="O366" s="296">
        <f>CATEGORIAS[[#This Row],[PRODUCCION
PARTIDAS
ORIGINALES
ACTUAL]]+CATEGORIAS[[#This Row],[PRODUCCION
ADICIONALES
ACTUAL]]</f>
        <v>0</v>
      </c>
      <c r="P366" s="227">
        <v>0</v>
      </c>
      <c r="Q366" s="227">
        <v>0</v>
      </c>
      <c r="R366" s="297">
        <f>CATEGORIAS[[#This Row],[PRODUCCION
ANTERIOR]]+CATEGORIAS[[#This Row],[PRODUCCION
ADICIONALES
ANTERIOR]]</f>
        <v>0</v>
      </c>
      <c r="S366" s="133">
        <v>0</v>
      </c>
      <c r="T366" s="133"/>
      <c r="U366" s="133"/>
      <c r="V366" s="296">
        <f>SUM(CATEGORIAS[[#This Row],[COSTO
ACUMULADO  AX]:[PROVISIONES]])</f>
        <v>0</v>
      </c>
      <c r="W366" s="298">
        <v>0</v>
      </c>
      <c r="X366" s="227"/>
      <c r="Y366" s="227"/>
      <c r="Z366" s="297">
        <f>SUM(CATEGORIAS[[#This Row],[COSTO ACUMULADO
ANTERIOR]:[PROVISIONES
ANTERIOR]])</f>
        <v>0</v>
      </c>
      <c r="AA366" s="139">
        <f>CATEGORIAS[[#This Row],[PRESUPUESTO
FINAL
PROYECTADO]]-CATEGORIAS[[#This Row],[TOTAL PRODUCCION
ACTUAL]]</f>
        <v>0</v>
      </c>
      <c r="AB366" s="227"/>
      <c r="AC366" s="132"/>
      <c r="AD366" s="132"/>
      <c r="AE366" s="226">
        <f>SUM(CATEGORIAS[[#This Row],[INVENTARIO]:[PROYECCION
DE COSTO
DEL SALDO]])</f>
        <v>0</v>
      </c>
      <c r="AF366" s="132"/>
      <c r="AG366" s="132">
        <f>+CATEGORIAS[[#This Row],[PRESUPUESTO
FINAL
PROYECTADO]]-CATEGORIAS[[#This Row],[COSTO REAL]]-CATEGORIAS[[#This Row],[PROYECCION
TOTAL DE COSTO]]</f>
        <v>0</v>
      </c>
    </row>
    <row r="367" spans="1:33" x14ac:dyDescent="0.25">
      <c r="A367" s="274" t="str">
        <f>+IFERROR(VLOOKUP(CATEGORIAS[[#This Row],[CATEGORIA2]],[1]HOMOLOGACION!$A$1:$I$571,9,FALSE),0)</f>
        <v>0Q01</v>
      </c>
      <c r="B367" s="274" t="str">
        <f>+IFERROR(VLOOKUP(CATEGORIAS[[#This Row],[CATEGORIA2]],[1]HOMOLOGACION!$A$1:$C$571,3,FALSE),0)</f>
        <v>0D04</v>
      </c>
      <c r="C367" s="274" t="str">
        <f>+IFERROR(VLOOKUP(CATEGORIAS[[#This Row],[CATEGORIA2]],[1]HOMOLOGACION!$A$1:$D$571,4,FALSE),0)</f>
        <v xml:space="preserve">Andamios </v>
      </c>
      <c r="D367" s="144" t="s">
        <v>2085</v>
      </c>
      <c r="E367" s="273" t="s">
        <v>1079</v>
      </c>
      <c r="F367" s="275" t="s">
        <v>361</v>
      </c>
      <c r="G367" s="313">
        <v>0</v>
      </c>
      <c r="H367" s="313">
        <v>0</v>
      </c>
      <c r="I367" s="130">
        <v>0</v>
      </c>
      <c r="J367" s="130"/>
      <c r="K367" s="130"/>
      <c r="L367" s="143">
        <f>CATEGORIAS[[#This Row],[ADICIONALES]]+CATEGORIAS[[#This Row],[POM]]</f>
        <v>0</v>
      </c>
      <c r="M367" s="131">
        <v>0</v>
      </c>
      <c r="N367" s="227">
        <v>0</v>
      </c>
      <c r="O367" s="296">
        <f>CATEGORIAS[[#This Row],[PRODUCCION
PARTIDAS
ORIGINALES
ACTUAL]]+CATEGORIAS[[#This Row],[PRODUCCION
ADICIONALES
ACTUAL]]</f>
        <v>0</v>
      </c>
      <c r="P367" s="227">
        <v>0</v>
      </c>
      <c r="Q367" s="227">
        <v>0</v>
      </c>
      <c r="R367" s="297">
        <f>CATEGORIAS[[#This Row],[PRODUCCION
ANTERIOR]]+CATEGORIAS[[#This Row],[PRODUCCION
ADICIONALES
ANTERIOR]]</f>
        <v>0</v>
      </c>
      <c r="S367" s="133">
        <v>0</v>
      </c>
      <c r="T367" s="133"/>
      <c r="U367" s="133"/>
      <c r="V367" s="296">
        <f>SUM(CATEGORIAS[[#This Row],[COSTO
ACUMULADO  AX]:[PROVISIONES]])</f>
        <v>0</v>
      </c>
      <c r="W367" s="298">
        <v>0</v>
      </c>
      <c r="X367" s="227"/>
      <c r="Y367" s="227"/>
      <c r="Z367" s="297">
        <f>SUM(CATEGORIAS[[#This Row],[COSTO ACUMULADO
ANTERIOR]:[PROVISIONES
ANTERIOR]])</f>
        <v>0</v>
      </c>
      <c r="AA367" s="139">
        <f>CATEGORIAS[[#This Row],[PRESUPUESTO
FINAL
PROYECTADO]]-CATEGORIAS[[#This Row],[TOTAL PRODUCCION
ACTUAL]]</f>
        <v>0</v>
      </c>
      <c r="AB367" s="227">
        <v>0</v>
      </c>
      <c r="AC367" s="132"/>
      <c r="AD367" s="132"/>
      <c r="AE367" s="226">
        <f>SUM(CATEGORIAS[[#This Row],[INVENTARIO]:[PROYECCION
DE COSTO
DEL SALDO]])</f>
        <v>0</v>
      </c>
      <c r="AF367" s="132"/>
      <c r="AG367" s="132">
        <f>+CATEGORIAS[[#This Row],[PRESUPUESTO
FINAL
PROYECTADO]]-CATEGORIAS[[#This Row],[COSTO REAL]]-CATEGORIAS[[#This Row],[PROYECCION
TOTAL DE COSTO]]</f>
        <v>0</v>
      </c>
    </row>
    <row r="368" spans="1:33" x14ac:dyDescent="0.25">
      <c r="A368" s="274" t="str">
        <f>+IFERROR(VLOOKUP(CATEGORIAS[[#This Row],[CATEGORIA2]],[1]HOMOLOGACION!$A$1:$I$571,9,FALSE),0)</f>
        <v>0Q01</v>
      </c>
      <c r="B368" s="274" t="str">
        <f>+IFERROR(VLOOKUP(CATEGORIAS[[#This Row],[CATEGORIA2]],[1]HOMOLOGACION!$A$1:$C$571,3,FALSE),0)</f>
        <v>0D04</v>
      </c>
      <c r="C368" s="274" t="str">
        <f>+IFERROR(VLOOKUP(CATEGORIAS[[#This Row],[CATEGORIA2]],[1]HOMOLOGACION!$A$1:$D$571,4,FALSE),0)</f>
        <v xml:space="preserve">Andamios </v>
      </c>
      <c r="D368" s="144" t="s">
        <v>2086</v>
      </c>
      <c r="E368" s="273" t="s">
        <v>1081</v>
      </c>
      <c r="F368" s="275" t="s">
        <v>364</v>
      </c>
      <c r="G368" s="313">
        <v>51679693.519999996</v>
      </c>
      <c r="H368" s="313">
        <v>51679693.519999996</v>
      </c>
      <c r="I368" s="130">
        <v>903590.41463671089</v>
      </c>
      <c r="J368" s="130"/>
      <c r="K368" s="130"/>
      <c r="L368" s="143">
        <f>CATEGORIAS[[#This Row],[ADICIONALES]]+CATEGORIAS[[#This Row],[POM]]</f>
        <v>52583283.934636705</v>
      </c>
      <c r="M368" s="131">
        <v>20275518.119999997</v>
      </c>
      <c r="N368" s="227">
        <v>155555.11113213736</v>
      </c>
      <c r="O368" s="296">
        <f>CATEGORIAS[[#This Row],[PRODUCCION
PARTIDAS
ORIGINALES
ACTUAL]]+CATEGORIAS[[#This Row],[PRODUCCION
ADICIONALES
ACTUAL]]</f>
        <v>20431073.231132135</v>
      </c>
      <c r="P368" s="227">
        <v>12779440.959999999</v>
      </c>
      <c r="Q368" s="227">
        <v>72929.626932538304</v>
      </c>
      <c r="R368" s="297">
        <f>CATEGORIAS[[#This Row],[PRODUCCION
ANTERIOR]]+CATEGORIAS[[#This Row],[PRODUCCION
ADICIONALES
ANTERIOR]]</f>
        <v>12852370.586932538</v>
      </c>
      <c r="S368" s="133">
        <v>0</v>
      </c>
      <c r="T368" s="133"/>
      <c r="U368" s="133">
        <v>20000000</v>
      </c>
      <c r="V368" s="296">
        <f>SUM(CATEGORIAS[[#This Row],[COSTO
ACUMULADO  AX]:[PROVISIONES]])</f>
        <v>20000000</v>
      </c>
      <c r="W368" s="298">
        <v>0</v>
      </c>
      <c r="X368" s="227"/>
      <c r="Y368" s="227">
        <v>20000000</v>
      </c>
      <c r="Z368" s="297">
        <f>SUM(CATEGORIAS[[#This Row],[COSTO ACUMULADO
ANTERIOR]:[PROVISIONES
ANTERIOR]])</f>
        <v>20000000</v>
      </c>
      <c r="AA368" s="139">
        <f>CATEGORIAS[[#This Row],[PRESUPUESTO
FINAL
PROYECTADO]]-CATEGORIAS[[#This Row],[TOTAL PRODUCCION
ACTUAL]]</f>
        <v>32152210.70350457</v>
      </c>
      <c r="AB368" s="227">
        <v>0</v>
      </c>
      <c r="AC368" s="132"/>
      <c r="AD368" s="132">
        <v>32583283.934636705</v>
      </c>
      <c r="AE368" s="226">
        <f>SUM(CATEGORIAS[[#This Row],[INVENTARIO]:[PROYECCION
DE COSTO
DEL SALDO]])</f>
        <v>32583283.934636705</v>
      </c>
      <c r="AF368" s="132"/>
      <c r="AG368" s="132">
        <f>+CATEGORIAS[[#This Row],[PRESUPUESTO
FINAL
PROYECTADO]]-CATEGORIAS[[#This Row],[COSTO REAL]]-CATEGORIAS[[#This Row],[PROYECCION
TOTAL DE COSTO]]</f>
        <v>0</v>
      </c>
    </row>
    <row r="369" spans="1:33" x14ac:dyDescent="0.25">
      <c r="A369" s="274" t="str">
        <f>+IFERROR(VLOOKUP(CATEGORIAS[[#This Row],[CATEGORIA2]],[1]HOMOLOGACION!$A$1:$I$571,9,FALSE),0)</f>
        <v>0Q01</v>
      </c>
      <c r="B369" s="274" t="str">
        <f>+IFERROR(VLOOKUP(CATEGORIAS[[#This Row],[CATEGORIA2]],[1]HOMOLOGACION!$A$1:$C$571,3,FALSE),0)</f>
        <v>0D04</v>
      </c>
      <c r="C369" s="274" t="str">
        <f>+IFERROR(VLOOKUP(CATEGORIAS[[#This Row],[CATEGORIA2]],[1]HOMOLOGACION!$A$1:$D$571,4,FALSE),0)</f>
        <v xml:space="preserve">Andamios </v>
      </c>
      <c r="D369" s="144" t="s">
        <v>2087</v>
      </c>
      <c r="E369" s="273" t="s">
        <v>1083</v>
      </c>
      <c r="F369" s="275" t="s">
        <v>361</v>
      </c>
      <c r="G369" s="313">
        <v>0</v>
      </c>
      <c r="H369" s="313">
        <v>0</v>
      </c>
      <c r="I369" s="130">
        <v>0</v>
      </c>
      <c r="J369" s="130"/>
      <c r="K369" s="130"/>
      <c r="L369" s="143">
        <f>CATEGORIAS[[#This Row],[ADICIONALES]]+CATEGORIAS[[#This Row],[POM]]</f>
        <v>0</v>
      </c>
      <c r="M369" s="131">
        <v>0</v>
      </c>
      <c r="N369" s="227">
        <v>0</v>
      </c>
      <c r="O369" s="296">
        <f>CATEGORIAS[[#This Row],[PRODUCCION
PARTIDAS
ORIGINALES
ACTUAL]]+CATEGORIAS[[#This Row],[PRODUCCION
ADICIONALES
ACTUAL]]</f>
        <v>0</v>
      </c>
      <c r="P369" s="227">
        <v>0</v>
      </c>
      <c r="Q369" s="227">
        <v>0</v>
      </c>
      <c r="R369" s="297">
        <f>CATEGORIAS[[#This Row],[PRODUCCION
ANTERIOR]]+CATEGORIAS[[#This Row],[PRODUCCION
ADICIONALES
ANTERIOR]]</f>
        <v>0</v>
      </c>
      <c r="S369" s="133">
        <v>0</v>
      </c>
      <c r="T369" s="133"/>
      <c r="U369" s="133"/>
      <c r="V369" s="296">
        <f>SUM(CATEGORIAS[[#This Row],[COSTO
ACUMULADO  AX]:[PROVISIONES]])</f>
        <v>0</v>
      </c>
      <c r="W369" s="298">
        <v>0</v>
      </c>
      <c r="X369" s="227"/>
      <c r="Y369" s="227"/>
      <c r="Z369" s="297">
        <f>SUM(CATEGORIAS[[#This Row],[COSTO ACUMULADO
ANTERIOR]:[PROVISIONES
ANTERIOR]])</f>
        <v>0</v>
      </c>
      <c r="AA369" s="139">
        <f>CATEGORIAS[[#This Row],[PRESUPUESTO
FINAL
PROYECTADO]]-CATEGORIAS[[#This Row],[TOTAL PRODUCCION
ACTUAL]]</f>
        <v>0</v>
      </c>
      <c r="AB369" s="227">
        <v>0</v>
      </c>
      <c r="AC369" s="132"/>
      <c r="AD369" s="132"/>
      <c r="AE369" s="226">
        <f>SUM(CATEGORIAS[[#This Row],[INVENTARIO]:[PROYECCION
DE COSTO
DEL SALDO]])</f>
        <v>0</v>
      </c>
      <c r="AF369" s="132"/>
      <c r="AG369" s="132">
        <f>+CATEGORIAS[[#This Row],[PRESUPUESTO
FINAL
PROYECTADO]]-CATEGORIAS[[#This Row],[COSTO REAL]]-CATEGORIAS[[#This Row],[PROYECCION
TOTAL DE COSTO]]</f>
        <v>0</v>
      </c>
    </row>
    <row r="370" spans="1:33" x14ac:dyDescent="0.25">
      <c r="A370" s="274" t="str">
        <f>+IFERROR(VLOOKUP(CATEGORIAS[[#This Row],[CATEGORIA2]],[1]HOMOLOGACION!$A$1:$I$571,9,FALSE),0)</f>
        <v>0Q01</v>
      </c>
      <c r="B370" s="274" t="str">
        <f>+IFERROR(VLOOKUP(CATEGORIAS[[#This Row],[CATEGORIA2]],[1]HOMOLOGACION!$A$1:$C$571,3,FALSE),0)</f>
        <v>0D09</v>
      </c>
      <c r="C370" s="274" t="str">
        <f>+IFERROR(VLOOKUP(CATEGORIAS[[#This Row],[CATEGORIA2]],[1]HOMOLOGACION!$A$1:$D$571,4,FALSE),0)</f>
        <v>Equipos menores</v>
      </c>
      <c r="D370" s="144" t="s">
        <v>2088</v>
      </c>
      <c r="E370" s="273" t="s">
        <v>1085</v>
      </c>
      <c r="F370" s="275" t="s">
        <v>361</v>
      </c>
      <c r="G370" s="313">
        <v>0</v>
      </c>
      <c r="H370" s="313">
        <v>0</v>
      </c>
      <c r="I370" s="130">
        <v>0</v>
      </c>
      <c r="J370" s="130"/>
      <c r="K370" s="130"/>
      <c r="L370" s="143">
        <f>CATEGORIAS[[#This Row],[ADICIONALES]]+CATEGORIAS[[#This Row],[POM]]</f>
        <v>0</v>
      </c>
      <c r="M370" s="131">
        <v>0</v>
      </c>
      <c r="N370" s="227">
        <v>0</v>
      </c>
      <c r="O370" s="296">
        <f>CATEGORIAS[[#This Row],[PRODUCCION
PARTIDAS
ORIGINALES
ACTUAL]]+CATEGORIAS[[#This Row],[PRODUCCION
ADICIONALES
ACTUAL]]</f>
        <v>0</v>
      </c>
      <c r="P370" s="227">
        <v>0</v>
      </c>
      <c r="Q370" s="132">
        <v>0</v>
      </c>
      <c r="R370" s="297">
        <f>CATEGORIAS[[#This Row],[PRODUCCION
ANTERIOR]]+CATEGORIAS[[#This Row],[PRODUCCION
ADICIONALES
ANTERIOR]]</f>
        <v>0</v>
      </c>
      <c r="S370" s="133">
        <v>0</v>
      </c>
      <c r="T370" s="133"/>
      <c r="U370" s="133"/>
      <c r="V370" s="296">
        <f>SUM(CATEGORIAS[[#This Row],[COSTO
ACUMULADO  AX]:[PROVISIONES]])</f>
        <v>0</v>
      </c>
      <c r="W370" s="298">
        <v>0</v>
      </c>
      <c r="X370" s="227"/>
      <c r="Y370" s="227"/>
      <c r="Z370" s="297">
        <f>SUM(CATEGORIAS[[#This Row],[COSTO ACUMULADO
ANTERIOR]:[PROVISIONES
ANTERIOR]])</f>
        <v>0</v>
      </c>
      <c r="AA370" s="139">
        <f>CATEGORIAS[[#This Row],[PRESUPUESTO
FINAL
PROYECTADO]]-CATEGORIAS[[#This Row],[TOTAL PRODUCCION
ACTUAL]]</f>
        <v>0</v>
      </c>
      <c r="AB370" s="227">
        <v>0</v>
      </c>
      <c r="AC370" s="132"/>
      <c r="AD370" s="132"/>
      <c r="AE370" s="226">
        <f>SUM(CATEGORIAS[[#This Row],[INVENTARIO]:[PROYECCION
DE COSTO
DEL SALDO]])</f>
        <v>0</v>
      </c>
      <c r="AF370" s="132"/>
      <c r="AG370" s="132">
        <f>+CATEGORIAS[[#This Row],[PRESUPUESTO
FINAL
PROYECTADO]]-CATEGORIAS[[#This Row],[COSTO REAL]]-CATEGORIAS[[#This Row],[PROYECCION
TOTAL DE COSTO]]</f>
        <v>0</v>
      </c>
    </row>
    <row r="371" spans="1:33" x14ac:dyDescent="0.25">
      <c r="A371" s="274" t="str">
        <f>+IFERROR(VLOOKUP(CATEGORIAS[[#This Row],[CATEGORIA2]],[1]HOMOLOGACION!$A$1:$I$571,9,FALSE),0)</f>
        <v>0Q01</v>
      </c>
      <c r="B371" s="274" t="str">
        <f>+IFERROR(VLOOKUP(CATEGORIAS[[#This Row],[CATEGORIA2]],[1]HOMOLOGACION!$A$1:$C$571,3,FALSE),0)</f>
        <v>0D09</v>
      </c>
      <c r="C371" s="274" t="str">
        <f>+IFERROR(VLOOKUP(CATEGORIAS[[#This Row],[CATEGORIA2]],[1]HOMOLOGACION!$A$1:$D$571,4,FALSE),0)</f>
        <v>Equipos menores</v>
      </c>
      <c r="D371" s="144" t="s">
        <v>2089</v>
      </c>
      <c r="E371" s="273" t="s">
        <v>1087</v>
      </c>
      <c r="F371" s="275" t="s">
        <v>361</v>
      </c>
      <c r="G371" s="313">
        <v>0</v>
      </c>
      <c r="H371" s="313">
        <v>0</v>
      </c>
      <c r="I371" s="130">
        <v>0</v>
      </c>
      <c r="J371" s="130"/>
      <c r="K371" s="130"/>
      <c r="L371" s="143">
        <f>CATEGORIAS[[#This Row],[ADICIONALES]]+CATEGORIAS[[#This Row],[POM]]</f>
        <v>0</v>
      </c>
      <c r="M371" s="131">
        <v>0</v>
      </c>
      <c r="N371" s="227">
        <v>0</v>
      </c>
      <c r="O371" s="296">
        <f>CATEGORIAS[[#This Row],[PRODUCCION
PARTIDAS
ORIGINALES
ACTUAL]]+CATEGORIAS[[#This Row],[PRODUCCION
ADICIONALES
ACTUAL]]</f>
        <v>0</v>
      </c>
      <c r="P371" s="227">
        <v>0</v>
      </c>
      <c r="Q371" s="227">
        <v>0</v>
      </c>
      <c r="R371" s="297">
        <f>CATEGORIAS[[#This Row],[PRODUCCION
ANTERIOR]]+CATEGORIAS[[#This Row],[PRODUCCION
ADICIONALES
ANTERIOR]]</f>
        <v>0</v>
      </c>
      <c r="S371" s="133">
        <v>0</v>
      </c>
      <c r="T371" s="133"/>
      <c r="U371" s="133"/>
      <c r="V371" s="296">
        <f>SUM(CATEGORIAS[[#This Row],[COSTO
ACUMULADO  AX]:[PROVISIONES]])</f>
        <v>0</v>
      </c>
      <c r="W371" s="298">
        <v>0</v>
      </c>
      <c r="X371" s="227"/>
      <c r="Y371" s="227"/>
      <c r="Z371" s="297">
        <f>SUM(CATEGORIAS[[#This Row],[COSTO ACUMULADO
ANTERIOR]:[PROVISIONES
ANTERIOR]])</f>
        <v>0</v>
      </c>
      <c r="AA371" s="139">
        <f>CATEGORIAS[[#This Row],[PRESUPUESTO
FINAL
PROYECTADO]]-CATEGORIAS[[#This Row],[TOTAL PRODUCCION
ACTUAL]]</f>
        <v>0</v>
      </c>
      <c r="AB371" s="227">
        <v>0</v>
      </c>
      <c r="AC371" s="132"/>
      <c r="AD371" s="132"/>
      <c r="AE371" s="226">
        <f>SUM(CATEGORIAS[[#This Row],[INVENTARIO]:[PROYECCION
DE COSTO
DEL SALDO]])</f>
        <v>0</v>
      </c>
      <c r="AF371" s="132"/>
      <c r="AG371" s="132">
        <f>+CATEGORIAS[[#This Row],[PRESUPUESTO
FINAL
PROYECTADO]]-CATEGORIAS[[#This Row],[COSTO REAL]]-CATEGORIAS[[#This Row],[PROYECCION
TOTAL DE COSTO]]</f>
        <v>0</v>
      </c>
    </row>
    <row r="372" spans="1:33" x14ac:dyDescent="0.25">
      <c r="A372" s="274" t="str">
        <f>+IFERROR(VLOOKUP(CATEGORIAS[[#This Row],[CATEGORIA2]],[1]HOMOLOGACION!$A$1:$I$571,9,FALSE),0)</f>
        <v>0Q01</v>
      </c>
      <c r="B372" s="274" t="str">
        <f>+IFERROR(VLOOKUP(CATEGORIAS[[#This Row],[CATEGORIA2]],[1]HOMOLOGACION!$A$1:$C$571,3,FALSE),0)</f>
        <v>0D09</v>
      </c>
      <c r="C372" s="274" t="str">
        <f>+IFERROR(VLOOKUP(CATEGORIAS[[#This Row],[CATEGORIA2]],[1]HOMOLOGACION!$A$1:$D$571,4,FALSE),0)</f>
        <v>Equipos menores</v>
      </c>
      <c r="D372" s="144" t="s">
        <v>2090</v>
      </c>
      <c r="E372" s="273" t="s">
        <v>1089</v>
      </c>
      <c r="F372" s="275" t="s">
        <v>361</v>
      </c>
      <c r="G372" s="313">
        <v>0</v>
      </c>
      <c r="H372" s="313">
        <v>0</v>
      </c>
      <c r="I372" s="130">
        <v>0</v>
      </c>
      <c r="J372" s="130"/>
      <c r="K372" s="130"/>
      <c r="L372" s="143">
        <f>CATEGORIAS[[#This Row],[ADICIONALES]]+CATEGORIAS[[#This Row],[POM]]</f>
        <v>0</v>
      </c>
      <c r="M372" s="131">
        <v>0</v>
      </c>
      <c r="N372" s="227">
        <v>0</v>
      </c>
      <c r="O372" s="296">
        <f>CATEGORIAS[[#This Row],[PRODUCCION
PARTIDAS
ORIGINALES
ACTUAL]]+CATEGORIAS[[#This Row],[PRODUCCION
ADICIONALES
ACTUAL]]</f>
        <v>0</v>
      </c>
      <c r="P372" s="227">
        <v>0</v>
      </c>
      <c r="Q372" s="132">
        <v>0</v>
      </c>
      <c r="R372" s="297">
        <f>CATEGORIAS[[#This Row],[PRODUCCION
ANTERIOR]]+CATEGORIAS[[#This Row],[PRODUCCION
ADICIONALES
ANTERIOR]]</f>
        <v>0</v>
      </c>
      <c r="S372" s="133">
        <v>0</v>
      </c>
      <c r="T372" s="133"/>
      <c r="U372" s="133"/>
      <c r="V372" s="296">
        <f>SUM(CATEGORIAS[[#This Row],[COSTO
ACUMULADO  AX]:[PROVISIONES]])</f>
        <v>0</v>
      </c>
      <c r="W372" s="298">
        <v>0</v>
      </c>
      <c r="X372" s="227"/>
      <c r="Y372" s="227"/>
      <c r="Z372" s="297">
        <f>SUM(CATEGORIAS[[#This Row],[COSTO ACUMULADO
ANTERIOR]:[PROVISIONES
ANTERIOR]])</f>
        <v>0</v>
      </c>
      <c r="AA372" s="139">
        <f>CATEGORIAS[[#This Row],[PRESUPUESTO
FINAL
PROYECTADO]]-CATEGORIAS[[#This Row],[TOTAL PRODUCCION
ACTUAL]]</f>
        <v>0</v>
      </c>
      <c r="AB372" s="227">
        <v>0</v>
      </c>
      <c r="AC372" s="132"/>
      <c r="AD372" s="132"/>
      <c r="AE372" s="226">
        <f>SUM(CATEGORIAS[[#This Row],[INVENTARIO]:[PROYECCION
DE COSTO
DEL SALDO]])</f>
        <v>0</v>
      </c>
      <c r="AF372" s="132"/>
      <c r="AG372" s="132">
        <f>+CATEGORIAS[[#This Row],[PRESUPUESTO
FINAL
PROYECTADO]]-CATEGORIAS[[#This Row],[COSTO REAL]]-CATEGORIAS[[#This Row],[PROYECCION
TOTAL DE COSTO]]</f>
        <v>0</v>
      </c>
    </row>
    <row r="373" spans="1:33" x14ac:dyDescent="0.25">
      <c r="A373" s="274" t="str">
        <f>+IFERROR(VLOOKUP(CATEGORIAS[[#This Row],[CATEGORIA2]],[1]HOMOLOGACION!$A$1:$I$571,9,FALSE),0)</f>
        <v>0Q01</v>
      </c>
      <c r="B373" s="274" t="str">
        <f>+IFERROR(VLOOKUP(CATEGORIAS[[#This Row],[CATEGORIA2]],[1]HOMOLOGACION!$A$1:$C$571,3,FALSE),0)</f>
        <v>0D09</v>
      </c>
      <c r="C373" s="274" t="str">
        <f>+IFERROR(VLOOKUP(CATEGORIAS[[#This Row],[CATEGORIA2]],[1]HOMOLOGACION!$A$1:$D$571,4,FALSE),0)</f>
        <v>Equipos menores</v>
      </c>
      <c r="D373" s="144" t="s">
        <v>2091</v>
      </c>
      <c r="E373" s="273" t="s">
        <v>1091</v>
      </c>
      <c r="F373" s="275" t="s">
        <v>361</v>
      </c>
      <c r="G373" s="313">
        <v>0</v>
      </c>
      <c r="H373" s="313">
        <v>0</v>
      </c>
      <c r="I373" s="130">
        <v>0</v>
      </c>
      <c r="J373" s="130"/>
      <c r="K373" s="130"/>
      <c r="L373" s="143">
        <f>CATEGORIAS[[#This Row],[ADICIONALES]]+CATEGORIAS[[#This Row],[POM]]</f>
        <v>0</v>
      </c>
      <c r="M373" s="131">
        <v>0</v>
      </c>
      <c r="N373" s="227">
        <v>0</v>
      </c>
      <c r="O373" s="296">
        <f>CATEGORIAS[[#This Row],[PRODUCCION
PARTIDAS
ORIGINALES
ACTUAL]]+CATEGORIAS[[#This Row],[PRODUCCION
ADICIONALES
ACTUAL]]</f>
        <v>0</v>
      </c>
      <c r="P373" s="227">
        <v>0</v>
      </c>
      <c r="Q373" s="227">
        <v>0</v>
      </c>
      <c r="R373" s="297">
        <f>CATEGORIAS[[#This Row],[PRODUCCION
ANTERIOR]]+CATEGORIAS[[#This Row],[PRODUCCION
ADICIONALES
ANTERIOR]]</f>
        <v>0</v>
      </c>
      <c r="S373" s="133">
        <v>0</v>
      </c>
      <c r="T373" s="133"/>
      <c r="U373" s="133"/>
      <c r="V373" s="296">
        <f>SUM(CATEGORIAS[[#This Row],[COSTO
ACUMULADO  AX]:[PROVISIONES]])</f>
        <v>0</v>
      </c>
      <c r="W373" s="298">
        <v>0</v>
      </c>
      <c r="X373" s="227"/>
      <c r="Y373" s="227"/>
      <c r="Z373" s="297">
        <f>SUM(CATEGORIAS[[#This Row],[COSTO ACUMULADO
ANTERIOR]:[PROVISIONES
ANTERIOR]])</f>
        <v>0</v>
      </c>
      <c r="AA373" s="139">
        <f>CATEGORIAS[[#This Row],[PRESUPUESTO
FINAL
PROYECTADO]]-CATEGORIAS[[#This Row],[TOTAL PRODUCCION
ACTUAL]]</f>
        <v>0</v>
      </c>
      <c r="AB373" s="227">
        <v>0</v>
      </c>
      <c r="AC373" s="132"/>
      <c r="AD373" s="132"/>
      <c r="AE373" s="226">
        <f>SUM(CATEGORIAS[[#This Row],[INVENTARIO]:[PROYECCION
DE COSTO
DEL SALDO]])</f>
        <v>0</v>
      </c>
      <c r="AF373" s="132"/>
      <c r="AG373" s="132">
        <f>+CATEGORIAS[[#This Row],[PRESUPUESTO
FINAL
PROYECTADO]]-CATEGORIAS[[#This Row],[COSTO REAL]]-CATEGORIAS[[#This Row],[PROYECCION
TOTAL DE COSTO]]</f>
        <v>0</v>
      </c>
    </row>
    <row r="374" spans="1:33" x14ac:dyDescent="0.25">
      <c r="A374" s="274" t="str">
        <f>+IFERROR(VLOOKUP(CATEGORIAS[[#This Row],[CATEGORIA2]],[1]HOMOLOGACION!$A$1:$I$571,9,FALSE),0)</f>
        <v>0Q01</v>
      </c>
      <c r="B374" s="274" t="str">
        <f>+IFERROR(VLOOKUP(CATEGORIAS[[#This Row],[CATEGORIA2]],[1]HOMOLOGACION!$A$1:$C$571,3,FALSE),0)</f>
        <v>0D09</v>
      </c>
      <c r="C374" s="274" t="str">
        <f>+IFERROR(VLOOKUP(CATEGORIAS[[#This Row],[CATEGORIA2]],[1]HOMOLOGACION!$A$1:$D$571,4,FALSE),0)</f>
        <v>Equipos menores</v>
      </c>
      <c r="D374" s="144" t="s">
        <v>2092</v>
      </c>
      <c r="E374" s="273" t="s">
        <v>1093</v>
      </c>
      <c r="F374" s="275" t="s">
        <v>361</v>
      </c>
      <c r="G374" s="313">
        <v>0</v>
      </c>
      <c r="H374" s="313">
        <v>0</v>
      </c>
      <c r="I374" s="130">
        <v>0</v>
      </c>
      <c r="J374" s="130"/>
      <c r="K374" s="130"/>
      <c r="L374" s="143">
        <f>CATEGORIAS[[#This Row],[ADICIONALES]]+CATEGORIAS[[#This Row],[POM]]</f>
        <v>0</v>
      </c>
      <c r="M374" s="131">
        <v>0</v>
      </c>
      <c r="N374" s="227">
        <v>0</v>
      </c>
      <c r="O374" s="296">
        <f>CATEGORIAS[[#This Row],[PRODUCCION
PARTIDAS
ORIGINALES
ACTUAL]]+CATEGORIAS[[#This Row],[PRODUCCION
ADICIONALES
ACTUAL]]</f>
        <v>0</v>
      </c>
      <c r="P374" s="227">
        <v>0</v>
      </c>
      <c r="Q374" s="132">
        <v>0</v>
      </c>
      <c r="R374" s="297">
        <f>CATEGORIAS[[#This Row],[PRODUCCION
ANTERIOR]]+CATEGORIAS[[#This Row],[PRODUCCION
ADICIONALES
ANTERIOR]]</f>
        <v>0</v>
      </c>
      <c r="S374" s="133">
        <v>0</v>
      </c>
      <c r="T374" s="133"/>
      <c r="U374" s="133"/>
      <c r="V374" s="296">
        <f>SUM(CATEGORIAS[[#This Row],[COSTO
ACUMULADO  AX]:[PROVISIONES]])</f>
        <v>0</v>
      </c>
      <c r="W374" s="298">
        <v>0</v>
      </c>
      <c r="X374" s="227"/>
      <c r="Y374" s="227"/>
      <c r="Z374" s="297">
        <f>SUM(CATEGORIAS[[#This Row],[COSTO ACUMULADO
ANTERIOR]:[PROVISIONES
ANTERIOR]])</f>
        <v>0</v>
      </c>
      <c r="AA374" s="139">
        <f>CATEGORIAS[[#This Row],[PRESUPUESTO
FINAL
PROYECTADO]]-CATEGORIAS[[#This Row],[TOTAL PRODUCCION
ACTUAL]]</f>
        <v>0</v>
      </c>
      <c r="AB374" s="227">
        <v>0</v>
      </c>
      <c r="AC374" s="132"/>
      <c r="AD374" s="132"/>
      <c r="AE374" s="226">
        <f>SUM(CATEGORIAS[[#This Row],[INVENTARIO]:[PROYECCION
DE COSTO
DEL SALDO]])</f>
        <v>0</v>
      </c>
      <c r="AF374" s="132"/>
      <c r="AG374" s="132">
        <f>+CATEGORIAS[[#This Row],[PRESUPUESTO
FINAL
PROYECTADO]]-CATEGORIAS[[#This Row],[COSTO REAL]]-CATEGORIAS[[#This Row],[PROYECCION
TOTAL DE COSTO]]</f>
        <v>0</v>
      </c>
    </row>
    <row r="375" spans="1:33" x14ac:dyDescent="0.25">
      <c r="A375" s="274" t="str">
        <f>+IFERROR(VLOOKUP(CATEGORIAS[[#This Row],[CATEGORIA2]],[1]HOMOLOGACION!$A$1:$I$571,9,FALSE),0)</f>
        <v>0Q01</v>
      </c>
      <c r="B375" s="274" t="str">
        <f>+IFERROR(VLOOKUP(CATEGORIAS[[#This Row],[CATEGORIA2]],[1]HOMOLOGACION!$A$1:$C$571,3,FALSE),0)</f>
        <v>0D09</v>
      </c>
      <c r="C375" s="274" t="str">
        <f>+IFERROR(VLOOKUP(CATEGORIAS[[#This Row],[CATEGORIA2]],[1]HOMOLOGACION!$A$1:$D$571,4,FALSE),0)</f>
        <v>Equipos menores</v>
      </c>
      <c r="D375" s="144" t="s">
        <v>2093</v>
      </c>
      <c r="E375" s="273" t="s">
        <v>1095</v>
      </c>
      <c r="F375" s="275" t="s">
        <v>361</v>
      </c>
      <c r="G375" s="313">
        <v>0</v>
      </c>
      <c r="H375" s="313">
        <v>0</v>
      </c>
      <c r="I375" s="130">
        <v>0</v>
      </c>
      <c r="J375" s="130"/>
      <c r="K375" s="130"/>
      <c r="L375" s="143">
        <f>CATEGORIAS[[#This Row],[ADICIONALES]]+CATEGORIAS[[#This Row],[POM]]</f>
        <v>0</v>
      </c>
      <c r="M375" s="131">
        <v>0</v>
      </c>
      <c r="N375" s="227">
        <v>0</v>
      </c>
      <c r="O375" s="296">
        <f>CATEGORIAS[[#This Row],[PRODUCCION
PARTIDAS
ORIGINALES
ACTUAL]]+CATEGORIAS[[#This Row],[PRODUCCION
ADICIONALES
ACTUAL]]</f>
        <v>0</v>
      </c>
      <c r="P375" s="227">
        <v>0</v>
      </c>
      <c r="Q375" s="227">
        <v>0</v>
      </c>
      <c r="R375" s="297">
        <f>CATEGORIAS[[#This Row],[PRODUCCION
ANTERIOR]]+CATEGORIAS[[#This Row],[PRODUCCION
ADICIONALES
ANTERIOR]]</f>
        <v>0</v>
      </c>
      <c r="S375" s="133">
        <v>0</v>
      </c>
      <c r="T375" s="133"/>
      <c r="U375" s="133"/>
      <c r="V375" s="296">
        <f>SUM(CATEGORIAS[[#This Row],[COSTO
ACUMULADO  AX]:[PROVISIONES]])</f>
        <v>0</v>
      </c>
      <c r="W375" s="298">
        <v>0</v>
      </c>
      <c r="X375" s="227"/>
      <c r="Y375" s="227"/>
      <c r="Z375" s="297">
        <f>SUM(CATEGORIAS[[#This Row],[COSTO ACUMULADO
ANTERIOR]:[PROVISIONES
ANTERIOR]])</f>
        <v>0</v>
      </c>
      <c r="AA375" s="139">
        <f>CATEGORIAS[[#This Row],[PRESUPUESTO
FINAL
PROYECTADO]]-CATEGORIAS[[#This Row],[TOTAL PRODUCCION
ACTUAL]]</f>
        <v>0</v>
      </c>
      <c r="AB375" s="227">
        <v>0</v>
      </c>
      <c r="AC375" s="132"/>
      <c r="AD375" s="132"/>
      <c r="AE375" s="226">
        <f>SUM(CATEGORIAS[[#This Row],[INVENTARIO]:[PROYECCION
DE COSTO
DEL SALDO]])</f>
        <v>0</v>
      </c>
      <c r="AF375" s="132"/>
      <c r="AG375" s="132">
        <f>+CATEGORIAS[[#This Row],[PRESUPUESTO
FINAL
PROYECTADO]]-CATEGORIAS[[#This Row],[COSTO REAL]]-CATEGORIAS[[#This Row],[PROYECCION
TOTAL DE COSTO]]</f>
        <v>0</v>
      </c>
    </row>
    <row r="376" spans="1:33" x14ac:dyDescent="0.25">
      <c r="A376" s="274" t="str">
        <f>+IFERROR(VLOOKUP(CATEGORIAS[[#This Row],[CATEGORIA2]],[1]HOMOLOGACION!$A$1:$I$571,9,FALSE),0)</f>
        <v>0Q01</v>
      </c>
      <c r="B376" s="274" t="str">
        <f>+IFERROR(VLOOKUP(CATEGORIAS[[#This Row],[CATEGORIA2]],[1]HOMOLOGACION!$A$1:$C$571,3,FALSE),0)</f>
        <v>0D09</v>
      </c>
      <c r="C376" s="274" t="str">
        <f>+IFERROR(VLOOKUP(CATEGORIAS[[#This Row],[CATEGORIA2]],[1]HOMOLOGACION!$A$1:$D$571,4,FALSE),0)</f>
        <v>Equipos menores</v>
      </c>
      <c r="D376" s="144" t="s">
        <v>2094</v>
      </c>
      <c r="E376" s="273" t="s">
        <v>1097</v>
      </c>
      <c r="F376" s="275" t="s">
        <v>364</v>
      </c>
      <c r="G376" s="313">
        <v>24973480.478000004</v>
      </c>
      <c r="H376" s="313">
        <v>24973480.478000004</v>
      </c>
      <c r="I376" s="130">
        <v>33848641.090079926</v>
      </c>
      <c r="J376" s="130"/>
      <c r="K376" s="130"/>
      <c r="L376" s="143">
        <f>CATEGORIAS[[#This Row],[ADICIONALES]]+CATEGORIAS[[#This Row],[POM]]</f>
        <v>58822121.568079934</v>
      </c>
      <c r="M376" s="131">
        <v>3835142.1279999996</v>
      </c>
      <c r="N376" s="227">
        <v>1529068.3301342044</v>
      </c>
      <c r="O376" s="296">
        <f>CATEGORIAS[[#This Row],[PRODUCCION
PARTIDAS
ORIGINALES
ACTUAL]]+CATEGORIAS[[#This Row],[PRODUCCION
ADICIONALES
ACTUAL]]</f>
        <v>5364210.4581342041</v>
      </c>
      <c r="P376" s="227">
        <v>2689317.4219999998</v>
      </c>
      <c r="Q376" s="132">
        <v>1597451.7505224082</v>
      </c>
      <c r="R376" s="297">
        <f>CATEGORIAS[[#This Row],[PRODUCCION
ANTERIOR]]+CATEGORIAS[[#This Row],[PRODUCCION
ADICIONALES
ANTERIOR]]</f>
        <v>4286769.172522408</v>
      </c>
      <c r="S376" s="133">
        <v>18582794</v>
      </c>
      <c r="T376" s="133">
        <v>1359971</v>
      </c>
      <c r="U376" s="133">
        <v>517353</v>
      </c>
      <c r="V376" s="296">
        <f>SUM(CATEGORIAS[[#This Row],[COSTO
ACUMULADO  AX]:[PROVISIONES]])</f>
        <v>20460118</v>
      </c>
      <c r="W376" s="298">
        <v>7918444</v>
      </c>
      <c r="X376" s="227">
        <v>2155918</v>
      </c>
      <c r="Y376" s="227">
        <v>495353</v>
      </c>
      <c r="Z376" s="297">
        <f>SUM(CATEGORIAS[[#This Row],[COSTO ACUMULADO
ANTERIOR]:[PROVISIONES
ANTERIOR]])</f>
        <v>10569715</v>
      </c>
      <c r="AA376" s="139">
        <f>CATEGORIAS[[#This Row],[PRESUPUESTO
FINAL
PROYECTADO]]-CATEGORIAS[[#This Row],[TOTAL PRODUCCION
ACTUAL]]</f>
        <v>53457911.109945729</v>
      </c>
      <c r="AB376" s="227">
        <v>24614122</v>
      </c>
      <c r="AC376" s="132"/>
      <c r="AD376" s="132">
        <v>13747881.568079934</v>
      </c>
      <c r="AE376" s="226">
        <f>SUM(CATEGORIAS[[#This Row],[INVENTARIO]:[PROYECCION
DE COSTO
DEL SALDO]])</f>
        <v>38362003.568079934</v>
      </c>
      <c r="AF376" s="132"/>
      <c r="AG376" s="132">
        <f>+CATEGORIAS[[#This Row],[PRESUPUESTO
FINAL
PROYECTADO]]-CATEGORIAS[[#This Row],[COSTO REAL]]-CATEGORIAS[[#This Row],[PROYECCION
TOTAL DE COSTO]]</f>
        <v>0</v>
      </c>
    </row>
    <row r="377" spans="1:33" x14ac:dyDescent="0.25">
      <c r="A377" s="274" t="str">
        <f>+IFERROR(VLOOKUP(CATEGORIAS[[#This Row],[CATEGORIA2]],[1]HOMOLOGACION!$A$1:$I$571,9,FALSE),0)</f>
        <v>0Q01</v>
      </c>
      <c r="B377" s="274" t="str">
        <f>+IFERROR(VLOOKUP(CATEGORIAS[[#This Row],[CATEGORIA2]],[1]HOMOLOGACION!$A$1:$C$571,3,FALSE),0)</f>
        <v>0D09</v>
      </c>
      <c r="C377" s="274" t="str">
        <f>+IFERROR(VLOOKUP(CATEGORIAS[[#This Row],[CATEGORIA2]],[1]HOMOLOGACION!$A$1:$D$571,4,FALSE),0)</f>
        <v>Equipos menores</v>
      </c>
      <c r="D377" s="144" t="s">
        <v>2095</v>
      </c>
      <c r="E377" s="273" t="s">
        <v>1099</v>
      </c>
      <c r="F377" s="275" t="s">
        <v>361</v>
      </c>
      <c r="G377" s="313">
        <v>0</v>
      </c>
      <c r="H377" s="313">
        <v>0</v>
      </c>
      <c r="I377" s="130">
        <v>0</v>
      </c>
      <c r="J377" s="130"/>
      <c r="K377" s="130"/>
      <c r="L377" s="143">
        <f>CATEGORIAS[[#This Row],[ADICIONALES]]+CATEGORIAS[[#This Row],[POM]]</f>
        <v>0</v>
      </c>
      <c r="M377" s="131">
        <v>0</v>
      </c>
      <c r="N377" s="227">
        <v>0</v>
      </c>
      <c r="O377" s="296">
        <f>CATEGORIAS[[#This Row],[PRODUCCION
PARTIDAS
ORIGINALES
ACTUAL]]+CATEGORIAS[[#This Row],[PRODUCCION
ADICIONALES
ACTUAL]]</f>
        <v>0</v>
      </c>
      <c r="P377" s="227">
        <v>0</v>
      </c>
      <c r="Q377" s="227">
        <v>0</v>
      </c>
      <c r="R377" s="297">
        <f>CATEGORIAS[[#This Row],[PRODUCCION
ANTERIOR]]+CATEGORIAS[[#This Row],[PRODUCCION
ADICIONALES
ANTERIOR]]</f>
        <v>0</v>
      </c>
      <c r="S377" s="133">
        <v>2281811</v>
      </c>
      <c r="T377" s="133">
        <v>-2281811</v>
      </c>
      <c r="U377" s="133"/>
      <c r="V377" s="296">
        <f>SUM(CATEGORIAS[[#This Row],[COSTO
ACUMULADO  AX]:[PROVISIONES]])</f>
        <v>0</v>
      </c>
      <c r="W377" s="298">
        <v>1408458</v>
      </c>
      <c r="X377" s="227">
        <v>-1408458</v>
      </c>
      <c r="Y377" s="227"/>
      <c r="Z377" s="297">
        <f>SUM(CATEGORIAS[[#This Row],[COSTO ACUMULADO
ANTERIOR]:[PROVISIONES
ANTERIOR]])</f>
        <v>0</v>
      </c>
      <c r="AA377" s="139">
        <f>CATEGORIAS[[#This Row],[PRESUPUESTO
FINAL
PROYECTADO]]-CATEGORIAS[[#This Row],[TOTAL PRODUCCION
ACTUAL]]</f>
        <v>0</v>
      </c>
      <c r="AB377" s="227">
        <v>0</v>
      </c>
      <c r="AC377" s="132"/>
      <c r="AD377" s="132"/>
      <c r="AE377" s="226">
        <f>SUM(CATEGORIAS[[#This Row],[INVENTARIO]:[PROYECCION
DE COSTO
DEL SALDO]])</f>
        <v>0</v>
      </c>
      <c r="AF377" s="132"/>
      <c r="AG377" s="132">
        <f>+CATEGORIAS[[#This Row],[PRESUPUESTO
FINAL
PROYECTADO]]-CATEGORIAS[[#This Row],[COSTO REAL]]-CATEGORIAS[[#This Row],[PROYECCION
TOTAL DE COSTO]]</f>
        <v>0</v>
      </c>
    </row>
    <row r="378" spans="1:33" x14ac:dyDescent="0.25">
      <c r="A378" s="274" t="str">
        <f>+IFERROR(VLOOKUP(CATEGORIAS[[#This Row],[CATEGORIA2]],[1]HOMOLOGACION!$A$1:$I$571,9,FALSE),0)</f>
        <v>0Q01</v>
      </c>
      <c r="B378" s="274" t="str">
        <f>+IFERROR(VLOOKUP(CATEGORIAS[[#This Row],[CATEGORIA2]],[1]HOMOLOGACION!$A$1:$C$571,3,FALSE),0)</f>
        <v>0D05</v>
      </c>
      <c r="C378" s="274" t="str">
        <f>+IFERROR(VLOOKUP(CATEGORIAS[[#This Row],[CATEGORIA2]],[1]HOMOLOGACION!$A$1:$D$571,4,FALSE),0)</f>
        <v xml:space="preserve">Combustibles </v>
      </c>
      <c r="D378" s="144" t="s">
        <v>2096</v>
      </c>
      <c r="E378" s="273" t="s">
        <v>1101</v>
      </c>
      <c r="F378" s="275" t="s">
        <v>361</v>
      </c>
      <c r="G378" s="313">
        <v>0</v>
      </c>
      <c r="H378" s="313">
        <v>0</v>
      </c>
      <c r="I378" s="130">
        <v>0</v>
      </c>
      <c r="J378" s="130"/>
      <c r="K378" s="130"/>
      <c r="L378" s="143">
        <f>CATEGORIAS[[#This Row],[ADICIONALES]]+CATEGORIAS[[#This Row],[POM]]</f>
        <v>0</v>
      </c>
      <c r="M378" s="131">
        <v>0</v>
      </c>
      <c r="N378" s="227">
        <v>0</v>
      </c>
      <c r="O378" s="296">
        <f>CATEGORIAS[[#This Row],[PRODUCCION
PARTIDAS
ORIGINALES
ACTUAL]]+CATEGORIAS[[#This Row],[PRODUCCION
ADICIONALES
ACTUAL]]</f>
        <v>0</v>
      </c>
      <c r="P378" s="227">
        <v>0</v>
      </c>
      <c r="Q378" s="132">
        <v>0</v>
      </c>
      <c r="R378" s="297">
        <f>CATEGORIAS[[#This Row],[PRODUCCION
ANTERIOR]]+CATEGORIAS[[#This Row],[PRODUCCION
ADICIONALES
ANTERIOR]]</f>
        <v>0</v>
      </c>
      <c r="S378" s="133">
        <v>0</v>
      </c>
      <c r="T378" s="133"/>
      <c r="U378" s="133"/>
      <c r="V378" s="296">
        <f>SUM(CATEGORIAS[[#This Row],[COSTO
ACUMULADO  AX]:[PROVISIONES]])</f>
        <v>0</v>
      </c>
      <c r="W378" s="298">
        <v>0</v>
      </c>
      <c r="X378" s="227"/>
      <c r="Y378" s="227"/>
      <c r="Z378" s="297">
        <f>SUM(CATEGORIAS[[#This Row],[COSTO ACUMULADO
ANTERIOR]:[PROVISIONES
ANTERIOR]])</f>
        <v>0</v>
      </c>
      <c r="AA378" s="139">
        <f>CATEGORIAS[[#This Row],[PRESUPUESTO
FINAL
PROYECTADO]]-CATEGORIAS[[#This Row],[TOTAL PRODUCCION
ACTUAL]]</f>
        <v>0</v>
      </c>
      <c r="AB378" s="227">
        <v>0</v>
      </c>
      <c r="AC378" s="132"/>
      <c r="AD378" s="132"/>
      <c r="AE378" s="226">
        <f>SUM(CATEGORIAS[[#This Row],[INVENTARIO]:[PROYECCION
DE COSTO
DEL SALDO]])</f>
        <v>0</v>
      </c>
      <c r="AF378" s="132"/>
      <c r="AG378" s="132">
        <f>+CATEGORIAS[[#This Row],[PRESUPUESTO
FINAL
PROYECTADO]]-CATEGORIAS[[#This Row],[COSTO REAL]]-CATEGORIAS[[#This Row],[PROYECCION
TOTAL DE COSTO]]</f>
        <v>0</v>
      </c>
    </row>
    <row r="379" spans="1:33" x14ac:dyDescent="0.25">
      <c r="A379" s="274" t="str">
        <f>+IFERROR(VLOOKUP(CATEGORIAS[[#This Row],[CATEGORIA2]],[1]HOMOLOGACION!$A$1:$I$571,9,FALSE),0)</f>
        <v>0Q01</v>
      </c>
      <c r="B379" s="274" t="str">
        <f>+IFERROR(VLOOKUP(CATEGORIAS[[#This Row],[CATEGORIA2]],[1]HOMOLOGACION!$A$1:$C$571,3,FALSE),0)</f>
        <v>0D05</v>
      </c>
      <c r="C379" s="274" t="str">
        <f>+IFERROR(VLOOKUP(CATEGORIAS[[#This Row],[CATEGORIA2]],[1]HOMOLOGACION!$A$1:$D$571,4,FALSE),0)</f>
        <v xml:space="preserve">Combustibles </v>
      </c>
      <c r="D379" s="144" t="s">
        <v>2097</v>
      </c>
      <c r="E379" s="273" t="s">
        <v>1103</v>
      </c>
      <c r="F379" s="275" t="s">
        <v>361</v>
      </c>
      <c r="G379" s="313">
        <v>0</v>
      </c>
      <c r="H379" s="313">
        <v>0</v>
      </c>
      <c r="I379" s="130">
        <v>0</v>
      </c>
      <c r="J379" s="130"/>
      <c r="K379" s="130"/>
      <c r="L379" s="143">
        <f>CATEGORIAS[[#This Row],[ADICIONALES]]+CATEGORIAS[[#This Row],[POM]]</f>
        <v>0</v>
      </c>
      <c r="M379" s="131">
        <v>0</v>
      </c>
      <c r="N379" s="227">
        <v>0</v>
      </c>
      <c r="O379" s="296">
        <f>CATEGORIAS[[#This Row],[PRODUCCION
PARTIDAS
ORIGINALES
ACTUAL]]+CATEGORIAS[[#This Row],[PRODUCCION
ADICIONALES
ACTUAL]]</f>
        <v>0</v>
      </c>
      <c r="P379" s="227">
        <v>0</v>
      </c>
      <c r="Q379" s="227">
        <v>0</v>
      </c>
      <c r="R379" s="297">
        <f>CATEGORIAS[[#This Row],[PRODUCCION
ANTERIOR]]+CATEGORIAS[[#This Row],[PRODUCCION
ADICIONALES
ANTERIOR]]</f>
        <v>0</v>
      </c>
      <c r="S379" s="133">
        <v>0</v>
      </c>
      <c r="T379" s="133"/>
      <c r="U379" s="133"/>
      <c r="V379" s="296">
        <f>SUM(CATEGORIAS[[#This Row],[COSTO
ACUMULADO  AX]:[PROVISIONES]])</f>
        <v>0</v>
      </c>
      <c r="W379" s="298">
        <v>0</v>
      </c>
      <c r="X379" s="227"/>
      <c r="Y379" s="227"/>
      <c r="Z379" s="297">
        <f>SUM(CATEGORIAS[[#This Row],[COSTO ACUMULADO
ANTERIOR]:[PROVISIONES
ANTERIOR]])</f>
        <v>0</v>
      </c>
      <c r="AA379" s="139">
        <f>CATEGORIAS[[#This Row],[PRESUPUESTO
FINAL
PROYECTADO]]-CATEGORIAS[[#This Row],[TOTAL PRODUCCION
ACTUAL]]</f>
        <v>0</v>
      </c>
      <c r="AB379" s="227">
        <v>0</v>
      </c>
      <c r="AC379" s="132"/>
      <c r="AD379" s="132"/>
      <c r="AE379" s="226">
        <f>SUM(CATEGORIAS[[#This Row],[INVENTARIO]:[PROYECCION
DE COSTO
DEL SALDO]])</f>
        <v>0</v>
      </c>
      <c r="AF379" s="132"/>
      <c r="AG379" s="132">
        <f>+CATEGORIAS[[#This Row],[PRESUPUESTO
FINAL
PROYECTADO]]-CATEGORIAS[[#This Row],[COSTO REAL]]-CATEGORIAS[[#This Row],[PROYECCION
TOTAL DE COSTO]]</f>
        <v>0</v>
      </c>
    </row>
    <row r="380" spans="1:33" x14ac:dyDescent="0.25">
      <c r="A380" s="274" t="str">
        <f>+IFERROR(VLOOKUP(CATEGORIAS[[#This Row],[CATEGORIA2]],[1]HOMOLOGACION!$A$1:$I$571,9,FALSE),0)</f>
        <v>0Q01</v>
      </c>
      <c r="B380" s="274" t="str">
        <f>+IFERROR(VLOOKUP(CATEGORIAS[[#This Row],[CATEGORIA2]],[1]HOMOLOGACION!$A$1:$C$571,3,FALSE),0)</f>
        <v>0D05</v>
      </c>
      <c r="C380" s="274" t="str">
        <f>+IFERROR(VLOOKUP(CATEGORIAS[[#This Row],[CATEGORIA2]],[1]HOMOLOGACION!$A$1:$D$571,4,FALSE),0)</f>
        <v xml:space="preserve">Combustibles </v>
      </c>
      <c r="D380" s="144" t="s">
        <v>2098</v>
      </c>
      <c r="E380" s="273" t="s">
        <v>1105</v>
      </c>
      <c r="F380" s="275" t="s">
        <v>361</v>
      </c>
      <c r="G380" s="313">
        <v>0</v>
      </c>
      <c r="H380" s="313">
        <v>0</v>
      </c>
      <c r="I380" s="130">
        <v>0</v>
      </c>
      <c r="J380" s="130"/>
      <c r="K380" s="130"/>
      <c r="L380" s="143">
        <f>CATEGORIAS[[#This Row],[ADICIONALES]]+CATEGORIAS[[#This Row],[POM]]</f>
        <v>0</v>
      </c>
      <c r="M380" s="131">
        <v>0</v>
      </c>
      <c r="N380" s="227">
        <v>0</v>
      </c>
      <c r="O380" s="296">
        <f>CATEGORIAS[[#This Row],[PRODUCCION
PARTIDAS
ORIGINALES
ACTUAL]]+CATEGORIAS[[#This Row],[PRODUCCION
ADICIONALES
ACTUAL]]</f>
        <v>0</v>
      </c>
      <c r="P380" s="227">
        <v>0</v>
      </c>
      <c r="Q380" s="132">
        <v>0</v>
      </c>
      <c r="R380" s="297">
        <f>CATEGORIAS[[#This Row],[PRODUCCION
ANTERIOR]]+CATEGORIAS[[#This Row],[PRODUCCION
ADICIONALES
ANTERIOR]]</f>
        <v>0</v>
      </c>
      <c r="S380" s="133">
        <v>0</v>
      </c>
      <c r="T380" s="133"/>
      <c r="U380" s="133"/>
      <c r="V380" s="296">
        <f>SUM(CATEGORIAS[[#This Row],[COSTO
ACUMULADO  AX]:[PROVISIONES]])</f>
        <v>0</v>
      </c>
      <c r="W380" s="298">
        <v>0</v>
      </c>
      <c r="X380" s="227"/>
      <c r="Y380" s="227"/>
      <c r="Z380" s="297">
        <f>SUM(CATEGORIAS[[#This Row],[COSTO ACUMULADO
ANTERIOR]:[PROVISIONES
ANTERIOR]])</f>
        <v>0</v>
      </c>
      <c r="AA380" s="139">
        <f>CATEGORIAS[[#This Row],[PRESUPUESTO
FINAL
PROYECTADO]]-CATEGORIAS[[#This Row],[TOTAL PRODUCCION
ACTUAL]]</f>
        <v>0</v>
      </c>
      <c r="AB380" s="227">
        <v>0</v>
      </c>
      <c r="AC380" s="132"/>
      <c r="AD380" s="132"/>
      <c r="AE380" s="226">
        <f>SUM(CATEGORIAS[[#This Row],[INVENTARIO]:[PROYECCION
DE COSTO
DEL SALDO]])</f>
        <v>0</v>
      </c>
      <c r="AF380" s="132"/>
      <c r="AG380" s="132">
        <f>+CATEGORIAS[[#This Row],[PRESUPUESTO
FINAL
PROYECTADO]]-CATEGORIAS[[#This Row],[COSTO REAL]]-CATEGORIAS[[#This Row],[PROYECCION
TOTAL DE COSTO]]</f>
        <v>0</v>
      </c>
    </row>
    <row r="381" spans="1:33" x14ac:dyDescent="0.25">
      <c r="A381" s="274" t="str">
        <f>+IFERROR(VLOOKUP(CATEGORIAS[[#This Row],[CATEGORIA2]],[1]HOMOLOGACION!$A$1:$I$571,9,FALSE),0)</f>
        <v>0Q01</v>
      </c>
      <c r="B381" s="274" t="str">
        <f>+IFERROR(VLOOKUP(CATEGORIAS[[#This Row],[CATEGORIA2]],[1]HOMOLOGACION!$A$1:$C$571,3,FALSE),0)</f>
        <v>0D05</v>
      </c>
      <c r="C381" s="274" t="str">
        <f>+IFERROR(VLOOKUP(CATEGORIAS[[#This Row],[CATEGORIA2]],[1]HOMOLOGACION!$A$1:$D$571,4,FALSE),0)</f>
        <v xml:space="preserve">Combustibles </v>
      </c>
      <c r="D381" s="144" t="s">
        <v>2099</v>
      </c>
      <c r="E381" s="273" t="s">
        <v>1107</v>
      </c>
      <c r="F381" s="275" t="s">
        <v>364</v>
      </c>
      <c r="G381" s="313">
        <v>119610000</v>
      </c>
      <c r="H381" s="313">
        <v>119610000</v>
      </c>
      <c r="I381" s="130">
        <v>0</v>
      </c>
      <c r="J381" s="130"/>
      <c r="K381" s="130"/>
      <c r="L381" s="143">
        <f>CATEGORIAS[[#This Row],[ADICIONALES]]+CATEGORIAS[[#This Row],[POM]]</f>
        <v>119610000</v>
      </c>
      <c r="M381" s="131">
        <v>64826093.887091815</v>
      </c>
      <c r="N381" s="227">
        <v>0</v>
      </c>
      <c r="O381" s="296">
        <f>CATEGORIAS[[#This Row],[PRODUCCION
PARTIDAS
ORIGINALES
ACTUAL]]+CATEGORIAS[[#This Row],[PRODUCCION
ADICIONALES
ACTUAL]]</f>
        <v>64826093.887091815</v>
      </c>
      <c r="P381" s="227">
        <v>45633955.5853322</v>
      </c>
      <c r="Q381" s="132">
        <v>0</v>
      </c>
      <c r="R381" s="297">
        <f>CATEGORIAS[[#This Row],[PRODUCCION
ANTERIOR]]+CATEGORIAS[[#This Row],[PRODUCCION
ADICIONALES
ANTERIOR]]</f>
        <v>45633955.5853322</v>
      </c>
      <c r="S381" s="133">
        <v>14323271</v>
      </c>
      <c r="T381" s="133"/>
      <c r="U381" s="133"/>
      <c r="V381" s="296">
        <f>SUM(CATEGORIAS[[#This Row],[COSTO
ACUMULADO  AX]:[PROVISIONES]])</f>
        <v>14323271</v>
      </c>
      <c r="W381" s="298">
        <v>8542297</v>
      </c>
      <c r="X381" s="227"/>
      <c r="Y381" s="227"/>
      <c r="Z381" s="297">
        <f>SUM(CATEGORIAS[[#This Row],[COSTO ACUMULADO
ANTERIOR]:[PROVISIONES
ANTERIOR]])</f>
        <v>8542297</v>
      </c>
      <c r="AA381" s="139">
        <f>CATEGORIAS[[#This Row],[PRESUPUESTO
FINAL
PROYECTADO]]-CATEGORIAS[[#This Row],[TOTAL PRODUCCION
ACTUAL]]</f>
        <v>54783906.112908185</v>
      </c>
      <c r="AB381" s="227">
        <v>0</v>
      </c>
      <c r="AC381" s="132"/>
      <c r="AD381" s="132">
        <v>105286729</v>
      </c>
      <c r="AE381" s="226">
        <f>SUM(CATEGORIAS[[#This Row],[INVENTARIO]:[PROYECCION
DE COSTO
DEL SALDO]])</f>
        <v>105286729</v>
      </c>
      <c r="AF381" s="132"/>
      <c r="AG381" s="132">
        <f>+CATEGORIAS[[#This Row],[PRESUPUESTO
FINAL
PROYECTADO]]-CATEGORIAS[[#This Row],[COSTO REAL]]-CATEGORIAS[[#This Row],[PROYECCION
TOTAL DE COSTO]]</f>
        <v>0</v>
      </c>
    </row>
    <row r="382" spans="1:33" x14ac:dyDescent="0.25">
      <c r="A382" s="274" t="str">
        <f>+IFERROR(VLOOKUP(CATEGORIAS[[#This Row],[CATEGORIA2]],[1]HOMOLOGACION!$A$1:$I$571,9,FALSE),0)</f>
        <v>0Q01</v>
      </c>
      <c r="B382" s="274" t="str">
        <f>+IFERROR(VLOOKUP(CATEGORIAS[[#This Row],[CATEGORIA2]],[1]HOMOLOGACION!$A$1:$C$571,3,FALSE),0)</f>
        <v>0D05</v>
      </c>
      <c r="C382" s="274" t="str">
        <f>+IFERROR(VLOOKUP(CATEGORIAS[[#This Row],[CATEGORIA2]],[1]HOMOLOGACION!$A$1:$D$571,4,FALSE),0)</f>
        <v xml:space="preserve">Combustibles </v>
      </c>
      <c r="D382" s="144" t="s">
        <v>2100</v>
      </c>
      <c r="E382" s="273" t="s">
        <v>1109</v>
      </c>
      <c r="F382" s="275" t="s">
        <v>361</v>
      </c>
      <c r="G382" s="313">
        <v>0</v>
      </c>
      <c r="H382" s="313">
        <v>0</v>
      </c>
      <c r="I382" s="130">
        <v>0</v>
      </c>
      <c r="J382" s="130"/>
      <c r="K382" s="130"/>
      <c r="L382" s="143">
        <f>CATEGORIAS[[#This Row],[ADICIONALES]]+CATEGORIAS[[#This Row],[POM]]</f>
        <v>0</v>
      </c>
      <c r="M382" s="131">
        <v>0</v>
      </c>
      <c r="N382" s="227">
        <v>0</v>
      </c>
      <c r="O382" s="296">
        <f>CATEGORIAS[[#This Row],[PRODUCCION
PARTIDAS
ORIGINALES
ACTUAL]]+CATEGORIAS[[#This Row],[PRODUCCION
ADICIONALES
ACTUAL]]</f>
        <v>0</v>
      </c>
      <c r="P382" s="227">
        <v>0</v>
      </c>
      <c r="Q382" s="227">
        <v>0</v>
      </c>
      <c r="R382" s="297">
        <f>CATEGORIAS[[#This Row],[PRODUCCION
ANTERIOR]]+CATEGORIAS[[#This Row],[PRODUCCION
ADICIONALES
ANTERIOR]]</f>
        <v>0</v>
      </c>
      <c r="S382" s="133">
        <v>0</v>
      </c>
      <c r="T382" s="133"/>
      <c r="U382" s="133"/>
      <c r="V382" s="296">
        <f>SUM(CATEGORIAS[[#This Row],[COSTO
ACUMULADO  AX]:[PROVISIONES]])</f>
        <v>0</v>
      </c>
      <c r="W382" s="298">
        <v>0</v>
      </c>
      <c r="X382" s="227"/>
      <c r="Y382" s="227"/>
      <c r="Z382" s="297">
        <f>SUM(CATEGORIAS[[#This Row],[COSTO ACUMULADO
ANTERIOR]:[PROVISIONES
ANTERIOR]])</f>
        <v>0</v>
      </c>
      <c r="AA382" s="139">
        <f>CATEGORIAS[[#This Row],[PRESUPUESTO
FINAL
PROYECTADO]]-CATEGORIAS[[#This Row],[TOTAL PRODUCCION
ACTUAL]]</f>
        <v>0</v>
      </c>
      <c r="AB382" s="227">
        <v>0</v>
      </c>
      <c r="AC382" s="132"/>
      <c r="AD382" s="132"/>
      <c r="AE382" s="226">
        <f>SUM(CATEGORIAS[[#This Row],[INVENTARIO]:[PROYECCION
DE COSTO
DEL SALDO]])</f>
        <v>0</v>
      </c>
      <c r="AF382" s="132"/>
      <c r="AG382" s="132">
        <f>+CATEGORIAS[[#This Row],[PRESUPUESTO
FINAL
PROYECTADO]]-CATEGORIAS[[#This Row],[COSTO REAL]]-CATEGORIAS[[#This Row],[PROYECCION
TOTAL DE COSTO]]</f>
        <v>0</v>
      </c>
    </row>
    <row r="383" spans="1:33" x14ac:dyDescent="0.25">
      <c r="A383" s="274" t="str">
        <f>+IFERROR(VLOOKUP(CATEGORIAS[[#This Row],[CATEGORIA2]],[1]HOMOLOGACION!$A$1:$I$571,9,FALSE),0)</f>
        <v>0Q01</v>
      </c>
      <c r="B383" s="274" t="str">
        <f>+IFERROR(VLOOKUP(CATEGORIAS[[#This Row],[CATEGORIA2]],[1]HOMOLOGACION!$A$1:$C$571,3,FALSE),0)</f>
        <v>0D05</v>
      </c>
      <c r="C383" s="274" t="str">
        <f>+IFERROR(VLOOKUP(CATEGORIAS[[#This Row],[CATEGORIA2]],[1]HOMOLOGACION!$A$1:$D$571,4,FALSE),0)</f>
        <v xml:space="preserve">Combustibles </v>
      </c>
      <c r="D383" s="144" t="s">
        <v>2101</v>
      </c>
      <c r="E383" s="273" t="s">
        <v>1109</v>
      </c>
      <c r="F383" s="275" t="s">
        <v>361</v>
      </c>
      <c r="G383" s="313">
        <v>0</v>
      </c>
      <c r="H383" s="313">
        <v>0</v>
      </c>
      <c r="I383" s="130">
        <v>0</v>
      </c>
      <c r="J383" s="130"/>
      <c r="K383" s="130"/>
      <c r="L383" s="143">
        <f>CATEGORIAS[[#This Row],[ADICIONALES]]+CATEGORIAS[[#This Row],[POM]]</f>
        <v>0</v>
      </c>
      <c r="M383" s="131">
        <v>0</v>
      </c>
      <c r="N383" s="227">
        <v>0</v>
      </c>
      <c r="O383" s="296">
        <f>CATEGORIAS[[#This Row],[PRODUCCION
PARTIDAS
ORIGINALES
ACTUAL]]+CATEGORIAS[[#This Row],[PRODUCCION
ADICIONALES
ACTUAL]]</f>
        <v>0</v>
      </c>
      <c r="P383" s="227">
        <v>0</v>
      </c>
      <c r="Q383" s="132">
        <v>0</v>
      </c>
      <c r="R383" s="297">
        <f>CATEGORIAS[[#This Row],[PRODUCCION
ANTERIOR]]+CATEGORIAS[[#This Row],[PRODUCCION
ADICIONALES
ANTERIOR]]</f>
        <v>0</v>
      </c>
      <c r="S383" s="133">
        <v>0</v>
      </c>
      <c r="T383" s="133"/>
      <c r="U383" s="133"/>
      <c r="V383" s="296">
        <f>SUM(CATEGORIAS[[#This Row],[COSTO
ACUMULADO  AX]:[PROVISIONES]])</f>
        <v>0</v>
      </c>
      <c r="W383" s="298">
        <v>0</v>
      </c>
      <c r="X383" s="227"/>
      <c r="Y383" s="227"/>
      <c r="Z383" s="297">
        <f>SUM(CATEGORIAS[[#This Row],[COSTO ACUMULADO
ANTERIOR]:[PROVISIONES
ANTERIOR]])</f>
        <v>0</v>
      </c>
      <c r="AA383" s="139">
        <f>CATEGORIAS[[#This Row],[PRESUPUESTO
FINAL
PROYECTADO]]-CATEGORIAS[[#This Row],[TOTAL PRODUCCION
ACTUAL]]</f>
        <v>0</v>
      </c>
      <c r="AB383" s="227">
        <v>0</v>
      </c>
      <c r="AC383" s="132"/>
      <c r="AD383" s="132"/>
      <c r="AE383" s="226">
        <f>SUM(CATEGORIAS[[#This Row],[INVENTARIO]:[PROYECCION
DE COSTO
DEL SALDO]])</f>
        <v>0</v>
      </c>
      <c r="AF383" s="132"/>
      <c r="AG383" s="132">
        <f>+CATEGORIAS[[#This Row],[PRESUPUESTO
FINAL
PROYECTADO]]-CATEGORIAS[[#This Row],[COSTO REAL]]-CATEGORIAS[[#This Row],[PROYECCION
TOTAL DE COSTO]]</f>
        <v>0</v>
      </c>
    </row>
    <row r="384" spans="1:33" x14ac:dyDescent="0.25">
      <c r="A384" s="274" t="str">
        <f>+IFERROR(VLOOKUP(CATEGORIAS[[#This Row],[CATEGORIA2]],[1]HOMOLOGACION!$A$1:$I$571,9,FALSE),0)</f>
        <v>0Q01</v>
      </c>
      <c r="B384" s="274" t="str">
        <f>+IFERROR(VLOOKUP(CATEGORIAS[[#This Row],[CATEGORIA2]],[1]HOMOLOGACION!$A$1:$C$571,3,FALSE),0)</f>
        <v>0D06</v>
      </c>
      <c r="C384" s="274" t="str">
        <f>+IFERROR(VLOOKUP(CATEGORIAS[[#This Row],[CATEGORIA2]],[1]HOMOLOGACION!$A$1:$D$571,4,FALSE),0)</f>
        <v xml:space="preserve">Fletes </v>
      </c>
      <c r="D384" s="144" t="s">
        <v>2102</v>
      </c>
      <c r="E384" s="273" t="s">
        <v>1112</v>
      </c>
      <c r="F384" s="275" t="s">
        <v>361</v>
      </c>
      <c r="G384" s="313">
        <v>0</v>
      </c>
      <c r="H384" s="313">
        <v>0</v>
      </c>
      <c r="I384" s="130"/>
      <c r="J384" s="130"/>
      <c r="K384" s="130"/>
      <c r="L384" s="143">
        <f>CATEGORIAS[[#This Row],[ADICIONALES]]+CATEGORIAS[[#This Row],[POM]]</f>
        <v>0</v>
      </c>
      <c r="M384" s="131">
        <v>0</v>
      </c>
      <c r="N384" s="227">
        <v>0</v>
      </c>
      <c r="O384" s="296">
        <f>CATEGORIAS[[#This Row],[PRODUCCION
PARTIDAS
ORIGINALES
ACTUAL]]+CATEGORIAS[[#This Row],[PRODUCCION
ADICIONALES
ACTUAL]]</f>
        <v>0</v>
      </c>
      <c r="P384" s="227">
        <v>0</v>
      </c>
      <c r="Q384" s="227">
        <v>0</v>
      </c>
      <c r="R384" s="297">
        <f>CATEGORIAS[[#This Row],[PRODUCCION
ANTERIOR]]+CATEGORIAS[[#This Row],[PRODUCCION
ADICIONALES
ANTERIOR]]</f>
        <v>0</v>
      </c>
      <c r="S384" s="133">
        <v>0</v>
      </c>
      <c r="T384" s="133"/>
      <c r="U384" s="133"/>
      <c r="V384" s="296">
        <f>SUM(CATEGORIAS[[#This Row],[COSTO
ACUMULADO  AX]:[PROVISIONES]])</f>
        <v>0</v>
      </c>
      <c r="W384" s="298">
        <v>0</v>
      </c>
      <c r="X384" s="227"/>
      <c r="Y384" s="227"/>
      <c r="Z384" s="297">
        <f>SUM(CATEGORIAS[[#This Row],[COSTO ACUMULADO
ANTERIOR]:[PROVISIONES
ANTERIOR]])</f>
        <v>0</v>
      </c>
      <c r="AA384" s="139">
        <f>CATEGORIAS[[#This Row],[PRESUPUESTO
FINAL
PROYECTADO]]-CATEGORIAS[[#This Row],[TOTAL PRODUCCION
ACTUAL]]</f>
        <v>0</v>
      </c>
      <c r="AB384" s="227">
        <v>0</v>
      </c>
      <c r="AC384" s="132"/>
      <c r="AD384" s="132"/>
      <c r="AE384" s="226">
        <f>SUM(CATEGORIAS[[#This Row],[INVENTARIO]:[PROYECCION
DE COSTO
DEL SALDO]])</f>
        <v>0</v>
      </c>
      <c r="AF384" s="132"/>
      <c r="AG384" s="132">
        <f>+CATEGORIAS[[#This Row],[PRESUPUESTO
FINAL
PROYECTADO]]-CATEGORIAS[[#This Row],[COSTO REAL]]-CATEGORIAS[[#This Row],[PROYECCION
TOTAL DE COSTO]]</f>
        <v>0</v>
      </c>
    </row>
    <row r="385" spans="1:33" x14ac:dyDescent="0.25">
      <c r="A385" s="274" t="str">
        <f>+IFERROR(VLOOKUP(CATEGORIAS[[#This Row],[CATEGORIA2]],[1]HOMOLOGACION!$A$1:$I$571,9,FALSE),0)</f>
        <v>0Q01</v>
      </c>
      <c r="B385" s="274" t="str">
        <f>+IFERROR(VLOOKUP(CATEGORIAS[[#This Row],[CATEGORIA2]],[1]HOMOLOGACION!$A$1:$C$571,3,FALSE),0)</f>
        <v>0D06</v>
      </c>
      <c r="C385" s="274" t="str">
        <f>+IFERROR(VLOOKUP(CATEGORIAS[[#This Row],[CATEGORIA2]],[1]HOMOLOGACION!$A$1:$D$571,4,FALSE),0)</f>
        <v xml:space="preserve">Fletes </v>
      </c>
      <c r="D385" s="144" t="s">
        <v>2103</v>
      </c>
      <c r="E385" s="273" t="s">
        <v>1114</v>
      </c>
      <c r="F385" s="275" t="s">
        <v>364</v>
      </c>
      <c r="G385" s="313">
        <v>27900000</v>
      </c>
      <c r="H385" s="313">
        <v>27900000</v>
      </c>
      <c r="I385" s="130">
        <v>82433.399999999994</v>
      </c>
      <c r="J385" s="130"/>
      <c r="K385" s="130"/>
      <c r="L385" s="143">
        <f>CATEGORIAS[[#This Row],[ADICIONALES]]+CATEGORIAS[[#This Row],[POM]]</f>
        <v>27982433.399999999</v>
      </c>
      <c r="M385" s="131">
        <v>13030183.321390457</v>
      </c>
      <c r="N385" s="227">
        <v>0</v>
      </c>
      <c r="O385" s="296">
        <f>CATEGORIAS[[#This Row],[PRODUCCION
PARTIDAS
ORIGINALES
ACTUAL]]+CATEGORIAS[[#This Row],[PRODUCCION
ADICIONALES
ACTUAL]]</f>
        <v>13030183.321390457</v>
      </c>
      <c r="P385" s="227">
        <v>6940559.1175687993</v>
      </c>
      <c r="Q385" s="227">
        <v>0</v>
      </c>
      <c r="R385" s="297">
        <f>CATEGORIAS[[#This Row],[PRODUCCION
ANTERIOR]]+CATEGORIAS[[#This Row],[PRODUCCION
ADICIONALES
ANTERIOR]]</f>
        <v>6940559.1175687993</v>
      </c>
      <c r="S385" s="133">
        <v>1250000</v>
      </c>
      <c r="T385" s="133"/>
      <c r="U385" s="133">
        <v>2000000</v>
      </c>
      <c r="V385" s="296">
        <f>SUM(CATEGORIAS[[#This Row],[COSTO
ACUMULADO  AX]:[PROVISIONES]])</f>
        <v>3250000</v>
      </c>
      <c r="W385" s="298">
        <v>0</v>
      </c>
      <c r="X385" s="227">
        <v>3250000</v>
      </c>
      <c r="Y385" s="227"/>
      <c r="Z385" s="297">
        <f>SUM(CATEGORIAS[[#This Row],[COSTO ACUMULADO
ANTERIOR]:[PROVISIONES
ANTERIOR]])</f>
        <v>3250000</v>
      </c>
      <c r="AA385" s="139">
        <f>CATEGORIAS[[#This Row],[PRESUPUESTO
FINAL
PROYECTADO]]-CATEGORIAS[[#This Row],[TOTAL PRODUCCION
ACTUAL]]</f>
        <v>14952250.078609541</v>
      </c>
      <c r="AB385" s="227">
        <v>0</v>
      </c>
      <c r="AC385" s="132"/>
      <c r="AD385" s="132">
        <v>24732433.399999999</v>
      </c>
      <c r="AE385" s="226">
        <f>SUM(CATEGORIAS[[#This Row],[INVENTARIO]:[PROYECCION
DE COSTO
DEL SALDO]])</f>
        <v>24732433.399999999</v>
      </c>
      <c r="AF385" s="132"/>
      <c r="AG385" s="132">
        <f>+CATEGORIAS[[#This Row],[PRESUPUESTO
FINAL
PROYECTADO]]-CATEGORIAS[[#This Row],[COSTO REAL]]-CATEGORIAS[[#This Row],[PROYECCION
TOTAL DE COSTO]]</f>
        <v>0</v>
      </c>
    </row>
    <row r="386" spans="1:33" x14ac:dyDescent="0.25">
      <c r="A386" s="274" t="str">
        <f>+IFERROR(VLOOKUP(CATEGORIAS[[#This Row],[CATEGORIA2]],[1]HOMOLOGACION!$A$1:$I$571,9,FALSE),0)</f>
        <v>0Q01</v>
      </c>
      <c r="B386" s="274" t="str">
        <f>+IFERROR(VLOOKUP(CATEGORIAS[[#This Row],[CATEGORIA2]],[1]HOMOLOGACION!$A$1:$C$571,3,FALSE),0)</f>
        <v>0D10</v>
      </c>
      <c r="C386" s="274" t="str">
        <f>+IFERROR(VLOOKUP(CATEGORIAS[[#This Row],[CATEGORIA2]],[1]HOMOLOGACION!$A$1:$D$571,4,FALSE),0)</f>
        <v>Cert. De Equipo</v>
      </c>
      <c r="D386" s="144" t="s">
        <v>2104</v>
      </c>
      <c r="E386" s="273" t="s">
        <v>1116</v>
      </c>
      <c r="F386" s="275" t="s">
        <v>361</v>
      </c>
      <c r="G386" s="313">
        <v>0</v>
      </c>
      <c r="H386" s="313">
        <v>0</v>
      </c>
      <c r="I386" s="130">
        <v>0</v>
      </c>
      <c r="J386" s="130"/>
      <c r="K386" s="130"/>
      <c r="L386" s="143">
        <f>CATEGORIAS[[#This Row],[ADICIONALES]]+CATEGORIAS[[#This Row],[POM]]</f>
        <v>0</v>
      </c>
      <c r="M386" s="131">
        <v>0</v>
      </c>
      <c r="N386" s="227">
        <v>0</v>
      </c>
      <c r="O386" s="296">
        <f>CATEGORIAS[[#This Row],[PRODUCCION
PARTIDAS
ORIGINALES
ACTUAL]]+CATEGORIAS[[#This Row],[PRODUCCION
ADICIONALES
ACTUAL]]</f>
        <v>0</v>
      </c>
      <c r="P386" s="227">
        <v>0</v>
      </c>
      <c r="Q386" s="227">
        <v>0</v>
      </c>
      <c r="R386" s="297">
        <f>CATEGORIAS[[#This Row],[PRODUCCION
ANTERIOR]]+CATEGORIAS[[#This Row],[PRODUCCION
ADICIONALES
ANTERIOR]]</f>
        <v>0</v>
      </c>
      <c r="S386" s="133">
        <v>0</v>
      </c>
      <c r="T386" s="133"/>
      <c r="U386" s="133"/>
      <c r="V386" s="296">
        <f>SUM(CATEGORIAS[[#This Row],[COSTO
ACUMULADO  AX]:[PROVISIONES]])</f>
        <v>0</v>
      </c>
      <c r="W386" s="298">
        <v>0</v>
      </c>
      <c r="X386" s="227"/>
      <c r="Y386" s="227"/>
      <c r="Z386" s="297">
        <f>SUM(CATEGORIAS[[#This Row],[COSTO ACUMULADO
ANTERIOR]:[PROVISIONES
ANTERIOR]])</f>
        <v>0</v>
      </c>
      <c r="AA386" s="139">
        <f>CATEGORIAS[[#This Row],[PRESUPUESTO
FINAL
PROYECTADO]]-CATEGORIAS[[#This Row],[TOTAL PRODUCCION
ACTUAL]]</f>
        <v>0</v>
      </c>
      <c r="AB386" s="227">
        <v>0</v>
      </c>
      <c r="AC386" s="132"/>
      <c r="AD386" s="132"/>
      <c r="AE386" s="226">
        <f>SUM(CATEGORIAS[[#This Row],[INVENTARIO]:[PROYECCION
DE COSTO
DEL SALDO]])</f>
        <v>0</v>
      </c>
      <c r="AF386" s="132"/>
      <c r="AG386" s="132">
        <f>+CATEGORIAS[[#This Row],[PRESUPUESTO
FINAL
PROYECTADO]]-CATEGORIAS[[#This Row],[COSTO REAL]]-CATEGORIAS[[#This Row],[PROYECCION
TOTAL DE COSTO]]</f>
        <v>0</v>
      </c>
    </row>
    <row r="387" spans="1:33" x14ac:dyDescent="0.25">
      <c r="A387" s="274" t="str">
        <f>+IFERROR(VLOOKUP(CATEGORIAS[[#This Row],[CATEGORIA2]],[1]HOMOLOGACION!$A$1:$I$571,9,FALSE),0)</f>
        <v>0Q01</v>
      </c>
      <c r="B387" s="274" t="str">
        <f>+IFERROR(VLOOKUP(CATEGORIAS[[#This Row],[CATEGORIA2]],[1]HOMOLOGACION!$A$1:$C$571,3,FALSE),0)</f>
        <v>0D10</v>
      </c>
      <c r="C387" s="274" t="str">
        <f>+IFERROR(VLOOKUP(CATEGORIAS[[#This Row],[CATEGORIA2]],[1]HOMOLOGACION!$A$1:$D$571,4,FALSE),0)</f>
        <v>Cert. De Equipo</v>
      </c>
      <c r="D387" s="144" t="s">
        <v>2105</v>
      </c>
      <c r="E387" s="273" t="s">
        <v>1118</v>
      </c>
      <c r="F387" s="275" t="s">
        <v>361</v>
      </c>
      <c r="G387" s="313">
        <v>0</v>
      </c>
      <c r="H387" s="313">
        <v>0</v>
      </c>
      <c r="I387" s="130">
        <v>0</v>
      </c>
      <c r="J387" s="130"/>
      <c r="K387" s="130"/>
      <c r="L387" s="143">
        <f>CATEGORIAS[[#This Row],[ADICIONALES]]+CATEGORIAS[[#This Row],[POM]]</f>
        <v>0</v>
      </c>
      <c r="M387" s="131">
        <v>0</v>
      </c>
      <c r="N387" s="227">
        <v>0</v>
      </c>
      <c r="O387" s="296">
        <f>CATEGORIAS[[#This Row],[PRODUCCION
PARTIDAS
ORIGINALES
ACTUAL]]+CATEGORIAS[[#This Row],[PRODUCCION
ADICIONALES
ACTUAL]]</f>
        <v>0</v>
      </c>
      <c r="P387" s="227">
        <v>0</v>
      </c>
      <c r="Q387" s="227">
        <v>0</v>
      </c>
      <c r="R387" s="297">
        <f>CATEGORIAS[[#This Row],[PRODUCCION
ANTERIOR]]+CATEGORIAS[[#This Row],[PRODUCCION
ADICIONALES
ANTERIOR]]</f>
        <v>0</v>
      </c>
      <c r="S387" s="133">
        <v>0</v>
      </c>
      <c r="T387" s="133"/>
      <c r="U387" s="133"/>
      <c r="V387" s="296">
        <f>SUM(CATEGORIAS[[#This Row],[COSTO
ACUMULADO  AX]:[PROVISIONES]])</f>
        <v>0</v>
      </c>
      <c r="W387" s="298">
        <v>0</v>
      </c>
      <c r="X387" s="227"/>
      <c r="Y387" s="227"/>
      <c r="Z387" s="297">
        <f>SUM(CATEGORIAS[[#This Row],[COSTO ACUMULADO
ANTERIOR]:[PROVISIONES
ANTERIOR]])</f>
        <v>0</v>
      </c>
      <c r="AA387" s="139">
        <f>CATEGORIAS[[#This Row],[PRESUPUESTO
FINAL
PROYECTADO]]-CATEGORIAS[[#This Row],[TOTAL PRODUCCION
ACTUAL]]</f>
        <v>0</v>
      </c>
      <c r="AB387" s="227">
        <v>0</v>
      </c>
      <c r="AC387" s="132"/>
      <c r="AD387" s="132"/>
      <c r="AE387" s="226">
        <f>SUM(CATEGORIAS[[#This Row],[INVENTARIO]:[PROYECCION
DE COSTO
DEL SALDO]])</f>
        <v>0</v>
      </c>
      <c r="AF387" s="132"/>
      <c r="AG387" s="132">
        <f>+CATEGORIAS[[#This Row],[PRESUPUESTO
FINAL
PROYECTADO]]-CATEGORIAS[[#This Row],[COSTO REAL]]-CATEGORIAS[[#This Row],[PROYECCION
TOTAL DE COSTO]]</f>
        <v>0</v>
      </c>
    </row>
    <row r="388" spans="1:33" x14ac:dyDescent="0.25">
      <c r="A388" s="274" t="str">
        <f>+IFERROR(VLOOKUP(CATEGORIAS[[#This Row],[CATEGORIA2]],[1]HOMOLOGACION!$A$1:$I$571,9,FALSE),0)</f>
        <v>0Q01</v>
      </c>
      <c r="B388" s="274" t="str">
        <f>+IFERROR(VLOOKUP(CATEGORIAS[[#This Row],[CATEGORIA2]],[1]HOMOLOGACION!$A$1:$C$571,3,FALSE),0)</f>
        <v>0D01</v>
      </c>
      <c r="C388" s="274" t="str">
        <f>+IFERROR(VLOOKUP(CATEGORIAS[[#This Row],[CATEGORIA2]],[1]HOMOLOGACION!$A$1:$D$571,4,FALSE),0)</f>
        <v>Equipos Mayores</v>
      </c>
      <c r="D388" s="144" t="s">
        <v>2285</v>
      </c>
      <c r="E388" s="273" t="s">
        <v>2286</v>
      </c>
      <c r="F388" s="275" t="s">
        <v>361</v>
      </c>
      <c r="G388" s="313">
        <v>0</v>
      </c>
      <c r="H388" s="313">
        <v>0</v>
      </c>
      <c r="I388" s="130">
        <v>0</v>
      </c>
      <c r="J388" s="130"/>
      <c r="K388" s="130"/>
      <c r="L388" s="143">
        <f>CATEGORIAS[[#This Row],[ADICIONALES]]+CATEGORIAS[[#This Row],[POM]]</f>
        <v>0</v>
      </c>
      <c r="M388" s="131">
        <v>0</v>
      </c>
      <c r="N388" s="227">
        <v>0</v>
      </c>
      <c r="O388" s="296">
        <f>CATEGORIAS[[#This Row],[PRODUCCION
PARTIDAS
ORIGINALES
ACTUAL]]+CATEGORIAS[[#This Row],[PRODUCCION
ADICIONALES
ACTUAL]]</f>
        <v>0</v>
      </c>
      <c r="P388" s="227">
        <v>0</v>
      </c>
      <c r="Q388" s="132">
        <v>0</v>
      </c>
      <c r="R388" s="297">
        <f>CATEGORIAS[[#This Row],[PRODUCCION
ANTERIOR]]+CATEGORIAS[[#This Row],[PRODUCCION
ADICIONALES
ANTERIOR]]</f>
        <v>0</v>
      </c>
      <c r="S388" s="133">
        <v>0</v>
      </c>
      <c r="T388" s="133"/>
      <c r="U388" s="133"/>
      <c r="V388" s="296">
        <f>SUM(CATEGORIAS[[#This Row],[COSTO
ACUMULADO  AX]:[PROVISIONES]])</f>
        <v>0</v>
      </c>
      <c r="W388" s="298">
        <v>0</v>
      </c>
      <c r="X388" s="227"/>
      <c r="Y388" s="227"/>
      <c r="Z388" s="297">
        <f>SUM(CATEGORIAS[[#This Row],[COSTO ACUMULADO
ANTERIOR]:[PROVISIONES
ANTERIOR]])</f>
        <v>0</v>
      </c>
      <c r="AA388" s="139">
        <f>CATEGORIAS[[#This Row],[PRESUPUESTO
FINAL
PROYECTADO]]-CATEGORIAS[[#This Row],[TOTAL PRODUCCION
ACTUAL]]</f>
        <v>0</v>
      </c>
      <c r="AB388" s="227">
        <v>0</v>
      </c>
      <c r="AC388" s="132"/>
      <c r="AD388" s="132"/>
      <c r="AE388" s="226">
        <f>SUM(CATEGORIAS[[#This Row],[INVENTARIO]:[PROYECCION
DE COSTO
DEL SALDO]])</f>
        <v>0</v>
      </c>
      <c r="AF388" s="132"/>
      <c r="AG388" s="132">
        <f>+CATEGORIAS[[#This Row],[PRESUPUESTO
FINAL
PROYECTADO]]-CATEGORIAS[[#This Row],[COSTO REAL]]-CATEGORIAS[[#This Row],[PROYECCION
TOTAL DE COSTO]]</f>
        <v>0</v>
      </c>
    </row>
    <row r="389" spans="1:33" x14ac:dyDescent="0.25">
      <c r="A389" s="274" t="str">
        <f>+IFERROR(VLOOKUP(CATEGORIAS[[#This Row],[CATEGORIA2]],[1]HOMOLOGACION!$A$1:$I$571,9,FALSE),0)</f>
        <v>0Q01</v>
      </c>
      <c r="B389" s="274" t="str">
        <f>+IFERROR(VLOOKUP(CATEGORIAS[[#This Row],[CATEGORIA2]],[1]HOMOLOGACION!$A$1:$C$571,3,FALSE),0)</f>
        <v>0D01</v>
      </c>
      <c r="C389" s="274" t="str">
        <f>+IFERROR(VLOOKUP(CATEGORIAS[[#This Row],[CATEGORIA2]],[1]HOMOLOGACION!$A$1:$D$571,4,FALSE),0)</f>
        <v>Equipos Mayores</v>
      </c>
      <c r="D389" s="144" t="s">
        <v>2287</v>
      </c>
      <c r="E389" s="273" t="s">
        <v>2288</v>
      </c>
      <c r="F389" s="275" t="s">
        <v>361</v>
      </c>
      <c r="G389" s="313">
        <v>0</v>
      </c>
      <c r="H389" s="313">
        <v>0</v>
      </c>
      <c r="I389" s="130">
        <v>0</v>
      </c>
      <c r="J389" s="130"/>
      <c r="K389" s="130"/>
      <c r="L389" s="143">
        <f>CATEGORIAS[[#This Row],[ADICIONALES]]+CATEGORIAS[[#This Row],[POM]]</f>
        <v>0</v>
      </c>
      <c r="M389" s="131">
        <v>0</v>
      </c>
      <c r="N389" s="227">
        <v>0</v>
      </c>
      <c r="O389" s="296">
        <f>CATEGORIAS[[#This Row],[PRODUCCION
PARTIDAS
ORIGINALES
ACTUAL]]+CATEGORIAS[[#This Row],[PRODUCCION
ADICIONALES
ACTUAL]]</f>
        <v>0</v>
      </c>
      <c r="P389" s="227">
        <v>0</v>
      </c>
      <c r="Q389" s="227">
        <v>0</v>
      </c>
      <c r="R389" s="297">
        <f>CATEGORIAS[[#This Row],[PRODUCCION
ANTERIOR]]+CATEGORIAS[[#This Row],[PRODUCCION
ADICIONALES
ANTERIOR]]</f>
        <v>0</v>
      </c>
      <c r="S389" s="133">
        <v>0</v>
      </c>
      <c r="T389" s="133"/>
      <c r="U389" s="133"/>
      <c r="V389" s="296">
        <f>SUM(CATEGORIAS[[#This Row],[COSTO
ACUMULADO  AX]:[PROVISIONES]])</f>
        <v>0</v>
      </c>
      <c r="W389" s="298">
        <v>0</v>
      </c>
      <c r="X389" s="227"/>
      <c r="Y389" s="227"/>
      <c r="Z389" s="297">
        <f>SUM(CATEGORIAS[[#This Row],[COSTO ACUMULADO
ANTERIOR]:[PROVISIONES
ANTERIOR]])</f>
        <v>0</v>
      </c>
      <c r="AA389" s="139">
        <f>CATEGORIAS[[#This Row],[PRESUPUESTO
FINAL
PROYECTADO]]-CATEGORIAS[[#This Row],[TOTAL PRODUCCION
ACTUAL]]</f>
        <v>0</v>
      </c>
      <c r="AB389" s="227">
        <v>0</v>
      </c>
      <c r="AC389" s="132"/>
      <c r="AD389" s="132"/>
      <c r="AE389" s="226">
        <f>SUM(CATEGORIAS[[#This Row],[INVENTARIO]:[PROYECCION
DE COSTO
DEL SALDO]])</f>
        <v>0</v>
      </c>
      <c r="AF389" s="132"/>
      <c r="AG389" s="132">
        <f>+CATEGORIAS[[#This Row],[PRESUPUESTO
FINAL
PROYECTADO]]-CATEGORIAS[[#This Row],[COSTO REAL]]-CATEGORIAS[[#This Row],[PROYECCION
TOTAL DE COSTO]]</f>
        <v>0</v>
      </c>
    </row>
    <row r="390" spans="1:33" x14ac:dyDescent="0.25">
      <c r="A390" s="274" t="str">
        <f>+IFERROR(VLOOKUP(CATEGORIAS[[#This Row],[CATEGORIA2]],[1]HOMOLOGACION!$A$1:$I$571,9,FALSE),0)</f>
        <v>1Z01</v>
      </c>
      <c r="B390" s="274" t="str">
        <f>+IFERROR(VLOOKUP(CATEGORIAS[[#This Row],[CATEGORIA2]],[1]HOMOLOGACION!$A$1:$C$571,3,FALSE),0)</f>
        <v>1G03</v>
      </c>
      <c r="C390" s="274" t="str">
        <f>+IFERROR(VLOOKUP(CATEGORIAS[[#This Row],[CATEGORIA2]],[1]HOMOLOGACION!$A$1:$D$571,4,FALSE),0)</f>
        <v xml:space="preserve">Equipo topográfico </v>
      </c>
      <c r="D390" s="144" t="s">
        <v>2106</v>
      </c>
      <c r="E390" s="273" t="s">
        <v>1120</v>
      </c>
      <c r="F390" s="275" t="s">
        <v>361</v>
      </c>
      <c r="G390" s="313">
        <v>0</v>
      </c>
      <c r="H390" s="313">
        <v>0</v>
      </c>
      <c r="I390" s="130">
        <v>0</v>
      </c>
      <c r="J390" s="130"/>
      <c r="K390" s="130"/>
      <c r="L390" s="143">
        <f>CATEGORIAS[[#This Row],[ADICIONALES]]+CATEGORIAS[[#This Row],[POM]]</f>
        <v>0</v>
      </c>
      <c r="M390" s="131">
        <v>0</v>
      </c>
      <c r="N390" s="227">
        <v>0</v>
      </c>
      <c r="O390" s="296">
        <f>CATEGORIAS[[#This Row],[PRODUCCION
PARTIDAS
ORIGINALES
ACTUAL]]+CATEGORIAS[[#This Row],[PRODUCCION
ADICIONALES
ACTUAL]]</f>
        <v>0</v>
      </c>
      <c r="P390" s="227">
        <v>0</v>
      </c>
      <c r="Q390" s="227">
        <v>0</v>
      </c>
      <c r="R390" s="297">
        <f>CATEGORIAS[[#This Row],[PRODUCCION
ANTERIOR]]+CATEGORIAS[[#This Row],[PRODUCCION
ADICIONALES
ANTERIOR]]</f>
        <v>0</v>
      </c>
      <c r="S390" s="133">
        <v>0</v>
      </c>
      <c r="T390" s="133"/>
      <c r="U390" s="133"/>
      <c r="V390" s="296">
        <f>SUM(CATEGORIAS[[#This Row],[COSTO
ACUMULADO  AX]:[PROVISIONES]])</f>
        <v>0</v>
      </c>
      <c r="W390" s="298">
        <v>0</v>
      </c>
      <c r="X390" s="227"/>
      <c r="Y390" s="227"/>
      <c r="Z390" s="297">
        <f>SUM(CATEGORIAS[[#This Row],[COSTO ACUMULADO
ANTERIOR]:[PROVISIONES
ANTERIOR]])</f>
        <v>0</v>
      </c>
      <c r="AA390" s="139">
        <f>CATEGORIAS[[#This Row],[PRESUPUESTO
FINAL
PROYECTADO]]-CATEGORIAS[[#This Row],[TOTAL PRODUCCION
ACTUAL]]</f>
        <v>0</v>
      </c>
      <c r="AB390" s="227">
        <v>0</v>
      </c>
      <c r="AC390" s="132"/>
      <c r="AD390" s="132"/>
      <c r="AE390" s="226">
        <f>SUM(CATEGORIAS[[#This Row],[INVENTARIO]:[PROYECCION
DE COSTO
DEL SALDO]])</f>
        <v>0</v>
      </c>
      <c r="AF390" s="132"/>
      <c r="AG390" s="132">
        <f>+CATEGORIAS[[#This Row],[PRESUPUESTO
FINAL
PROYECTADO]]-CATEGORIAS[[#This Row],[COSTO REAL]]-CATEGORIAS[[#This Row],[PROYECCION
TOTAL DE COSTO]]</f>
        <v>0</v>
      </c>
    </row>
    <row r="391" spans="1:33" x14ac:dyDescent="0.25">
      <c r="A391" s="274" t="str">
        <f>+IFERROR(VLOOKUP(CATEGORIAS[[#This Row],[CATEGORIA2]],[1]HOMOLOGACION!$A$1:$I$571,9,FALSE),0)</f>
        <v>1Z01</v>
      </c>
      <c r="B391" s="274" t="str">
        <f>+IFERROR(VLOOKUP(CATEGORIAS[[#This Row],[CATEGORIA2]],[1]HOMOLOGACION!$A$1:$C$571,3,FALSE),0)</f>
        <v>1G03</v>
      </c>
      <c r="C391" s="274" t="str">
        <f>+IFERROR(VLOOKUP(CATEGORIAS[[#This Row],[CATEGORIA2]],[1]HOMOLOGACION!$A$1:$D$571,4,FALSE),0)</f>
        <v xml:space="preserve">Equipo topográfico </v>
      </c>
      <c r="D391" s="144" t="s">
        <v>2107</v>
      </c>
      <c r="E391" s="273" t="s">
        <v>1122</v>
      </c>
      <c r="F391" s="275" t="s">
        <v>361</v>
      </c>
      <c r="G391" s="313">
        <v>0</v>
      </c>
      <c r="H391" s="313">
        <v>0</v>
      </c>
      <c r="I391" s="130">
        <v>0</v>
      </c>
      <c r="J391" s="130"/>
      <c r="K391" s="130"/>
      <c r="L391" s="143">
        <f>CATEGORIAS[[#This Row],[ADICIONALES]]+CATEGORIAS[[#This Row],[POM]]</f>
        <v>0</v>
      </c>
      <c r="M391" s="131">
        <v>0</v>
      </c>
      <c r="N391" s="227">
        <v>0</v>
      </c>
      <c r="O391" s="296">
        <f>CATEGORIAS[[#This Row],[PRODUCCION
PARTIDAS
ORIGINALES
ACTUAL]]+CATEGORIAS[[#This Row],[PRODUCCION
ADICIONALES
ACTUAL]]</f>
        <v>0</v>
      </c>
      <c r="P391" s="227">
        <v>0</v>
      </c>
      <c r="Q391" s="132">
        <v>0</v>
      </c>
      <c r="R391" s="297">
        <f>CATEGORIAS[[#This Row],[PRODUCCION
ANTERIOR]]+CATEGORIAS[[#This Row],[PRODUCCION
ADICIONALES
ANTERIOR]]</f>
        <v>0</v>
      </c>
      <c r="S391" s="133">
        <v>0</v>
      </c>
      <c r="T391" s="133"/>
      <c r="U391" s="133"/>
      <c r="V391" s="296">
        <f>SUM(CATEGORIAS[[#This Row],[COSTO
ACUMULADO  AX]:[PROVISIONES]])</f>
        <v>0</v>
      </c>
      <c r="W391" s="298">
        <v>0</v>
      </c>
      <c r="X391" s="227"/>
      <c r="Y391" s="227"/>
      <c r="Z391" s="297">
        <f>SUM(CATEGORIAS[[#This Row],[COSTO ACUMULADO
ANTERIOR]:[PROVISIONES
ANTERIOR]])</f>
        <v>0</v>
      </c>
      <c r="AA391" s="139">
        <f>CATEGORIAS[[#This Row],[PRESUPUESTO
FINAL
PROYECTADO]]-CATEGORIAS[[#This Row],[TOTAL PRODUCCION
ACTUAL]]</f>
        <v>0</v>
      </c>
      <c r="AB391" s="227">
        <v>0</v>
      </c>
      <c r="AC391" s="132"/>
      <c r="AD391" s="132"/>
      <c r="AE391" s="226">
        <f>SUM(CATEGORIAS[[#This Row],[INVENTARIO]:[PROYECCION
DE COSTO
DEL SALDO]])</f>
        <v>0</v>
      </c>
      <c r="AF391" s="132"/>
      <c r="AG391" s="132">
        <f>+CATEGORIAS[[#This Row],[PRESUPUESTO
FINAL
PROYECTADO]]-CATEGORIAS[[#This Row],[COSTO REAL]]-CATEGORIAS[[#This Row],[PROYECCION
TOTAL DE COSTO]]</f>
        <v>0</v>
      </c>
    </row>
    <row r="392" spans="1:33" x14ac:dyDescent="0.25">
      <c r="A392" s="274" t="str">
        <f>+IFERROR(VLOOKUP(CATEGORIAS[[#This Row],[CATEGORIA2]],[1]HOMOLOGACION!$A$1:$I$571,9,FALSE),0)</f>
        <v>1Z01</v>
      </c>
      <c r="B392" s="274" t="str">
        <f>+IFERROR(VLOOKUP(CATEGORIAS[[#This Row],[CATEGORIA2]],[1]HOMOLOGACION!$A$1:$C$571,3,FALSE),0)</f>
        <v>1G03</v>
      </c>
      <c r="C392" s="274" t="str">
        <f>+IFERROR(VLOOKUP(CATEGORIAS[[#This Row],[CATEGORIA2]],[1]HOMOLOGACION!$A$1:$D$571,4,FALSE),0)</f>
        <v xml:space="preserve">Equipo topográfico </v>
      </c>
      <c r="D392" s="144" t="s">
        <v>2108</v>
      </c>
      <c r="E392" s="273" t="s">
        <v>1124</v>
      </c>
      <c r="F392" s="275" t="s">
        <v>364</v>
      </c>
      <c r="G392" s="313">
        <v>2807354.88</v>
      </c>
      <c r="H392" s="313">
        <v>2807354.88</v>
      </c>
      <c r="I392" s="130">
        <v>0</v>
      </c>
      <c r="J392" s="130"/>
      <c r="K392" s="130"/>
      <c r="L392" s="143">
        <f>CATEGORIAS[[#This Row],[ADICIONALES]]+CATEGORIAS[[#This Row],[POM]]</f>
        <v>2807354.88</v>
      </c>
      <c r="M392" s="131">
        <v>1311123.6105591436</v>
      </c>
      <c r="N392" s="227">
        <v>0</v>
      </c>
      <c r="O392" s="296">
        <f>CATEGORIAS[[#This Row],[PRODUCCION
PARTIDAS
ORIGINALES
ACTUAL]]+CATEGORIAS[[#This Row],[PRODUCCION
ADICIONALES
ACTUAL]]</f>
        <v>1311123.6105591436</v>
      </c>
      <c r="P392" s="227">
        <v>698373.20819481206</v>
      </c>
      <c r="Q392" s="227">
        <v>0</v>
      </c>
      <c r="R392" s="297">
        <f>CATEGORIAS[[#This Row],[PRODUCCION
ANTERIOR]]+CATEGORIAS[[#This Row],[PRODUCCION
ADICIONALES
ANTERIOR]]</f>
        <v>698373.20819481206</v>
      </c>
      <c r="S392" s="133">
        <v>0</v>
      </c>
      <c r="T392" s="133"/>
      <c r="U392" s="133"/>
      <c r="V392" s="296">
        <f>SUM(CATEGORIAS[[#This Row],[COSTO
ACUMULADO  AX]:[PROVISIONES]])</f>
        <v>0</v>
      </c>
      <c r="W392" s="298">
        <v>0</v>
      </c>
      <c r="X392" s="227"/>
      <c r="Y392" s="227"/>
      <c r="Z392" s="297">
        <f>SUM(CATEGORIAS[[#This Row],[COSTO ACUMULADO
ANTERIOR]:[PROVISIONES
ANTERIOR]])</f>
        <v>0</v>
      </c>
      <c r="AA392" s="139">
        <f>CATEGORIAS[[#This Row],[PRESUPUESTO
FINAL
PROYECTADO]]-CATEGORIAS[[#This Row],[TOTAL PRODUCCION
ACTUAL]]</f>
        <v>1496231.2694408563</v>
      </c>
      <c r="AB392" s="227">
        <v>0</v>
      </c>
      <c r="AC392" s="132"/>
      <c r="AD392" s="132">
        <v>2807354.88</v>
      </c>
      <c r="AE392" s="226">
        <f>SUM(CATEGORIAS[[#This Row],[INVENTARIO]:[PROYECCION
DE COSTO
DEL SALDO]])</f>
        <v>2807354.88</v>
      </c>
      <c r="AF392" s="132"/>
      <c r="AG392" s="132">
        <f>+CATEGORIAS[[#This Row],[PRESUPUESTO
FINAL
PROYECTADO]]-CATEGORIAS[[#This Row],[COSTO REAL]]-CATEGORIAS[[#This Row],[PROYECCION
TOTAL DE COSTO]]</f>
        <v>0</v>
      </c>
    </row>
    <row r="393" spans="1:33" x14ac:dyDescent="0.25">
      <c r="A393" s="274" t="str">
        <f>+IFERROR(VLOOKUP(CATEGORIAS[[#This Row],[CATEGORIA2]],[1]HOMOLOGACION!$A$1:$I$571,9,FALSE),0)</f>
        <v>1Z01</v>
      </c>
      <c r="B393" s="274" t="str">
        <f>+IFERROR(VLOOKUP(CATEGORIAS[[#This Row],[CATEGORIA2]],[1]HOMOLOGACION!$A$1:$C$571,3,FALSE),0)</f>
        <v>1G03</v>
      </c>
      <c r="C393" s="274" t="str">
        <f>+IFERROR(VLOOKUP(CATEGORIAS[[#This Row],[CATEGORIA2]],[1]HOMOLOGACION!$A$1:$D$571,4,FALSE),0)</f>
        <v xml:space="preserve">Equipo topográfico </v>
      </c>
      <c r="D393" s="144" t="s">
        <v>2109</v>
      </c>
      <c r="E393" s="273" t="s">
        <v>1126</v>
      </c>
      <c r="F393" s="275" t="s">
        <v>361</v>
      </c>
      <c r="G393" s="313">
        <v>0</v>
      </c>
      <c r="H393" s="313">
        <v>0</v>
      </c>
      <c r="I393" s="130">
        <v>0</v>
      </c>
      <c r="J393" s="130"/>
      <c r="K393" s="130"/>
      <c r="L393" s="143">
        <f>CATEGORIAS[[#This Row],[ADICIONALES]]+CATEGORIAS[[#This Row],[POM]]</f>
        <v>0</v>
      </c>
      <c r="M393" s="131">
        <v>0</v>
      </c>
      <c r="N393" s="227">
        <v>0</v>
      </c>
      <c r="O393" s="296">
        <f>CATEGORIAS[[#This Row],[PRODUCCION
PARTIDAS
ORIGINALES
ACTUAL]]+CATEGORIAS[[#This Row],[PRODUCCION
ADICIONALES
ACTUAL]]</f>
        <v>0</v>
      </c>
      <c r="P393" s="227">
        <v>0</v>
      </c>
      <c r="Q393" s="227">
        <v>0</v>
      </c>
      <c r="R393" s="297">
        <f>CATEGORIAS[[#This Row],[PRODUCCION
ANTERIOR]]+CATEGORIAS[[#This Row],[PRODUCCION
ADICIONALES
ANTERIOR]]</f>
        <v>0</v>
      </c>
      <c r="S393" s="133">
        <v>0</v>
      </c>
      <c r="T393" s="133"/>
      <c r="U393" s="133"/>
      <c r="V393" s="296">
        <f>SUM(CATEGORIAS[[#This Row],[COSTO
ACUMULADO  AX]:[PROVISIONES]])</f>
        <v>0</v>
      </c>
      <c r="W393" s="298">
        <v>0</v>
      </c>
      <c r="X393" s="227"/>
      <c r="Y393" s="227"/>
      <c r="Z393" s="297">
        <f>SUM(CATEGORIAS[[#This Row],[COSTO ACUMULADO
ANTERIOR]:[PROVISIONES
ANTERIOR]])</f>
        <v>0</v>
      </c>
      <c r="AA393" s="139">
        <f>CATEGORIAS[[#This Row],[PRESUPUESTO
FINAL
PROYECTADO]]-CATEGORIAS[[#This Row],[TOTAL PRODUCCION
ACTUAL]]</f>
        <v>0</v>
      </c>
      <c r="AB393" s="227">
        <v>0</v>
      </c>
      <c r="AC393" s="132"/>
      <c r="AD393" s="132"/>
      <c r="AE393" s="226">
        <f>SUM(CATEGORIAS[[#This Row],[INVENTARIO]:[PROYECCION
DE COSTO
DEL SALDO]])</f>
        <v>0</v>
      </c>
      <c r="AF393" s="132"/>
      <c r="AG393" s="132">
        <f>+CATEGORIAS[[#This Row],[PRESUPUESTO
FINAL
PROYECTADO]]-CATEGORIAS[[#This Row],[COSTO REAL]]-CATEGORIAS[[#This Row],[PROYECCION
TOTAL DE COSTO]]</f>
        <v>0</v>
      </c>
    </row>
    <row r="394" spans="1:33" x14ac:dyDescent="0.25">
      <c r="A394" s="274" t="str">
        <f>+IFERROR(VLOOKUP(CATEGORIAS[[#This Row],[CATEGORIA2]],[1]HOMOLOGACION!$A$1:$I$571,9,FALSE),0)</f>
        <v>1Z01</v>
      </c>
      <c r="B394" s="274" t="str">
        <f>+IFERROR(VLOOKUP(CATEGORIAS[[#This Row],[CATEGORIA2]],[1]HOMOLOGACION!$A$1:$C$571,3,FALSE),0)</f>
        <v>1G01</v>
      </c>
      <c r="C394" s="274" t="str">
        <f>+IFERROR(VLOOKUP(CATEGORIAS[[#This Row],[CATEGORIA2]],[1]HOMOLOGACION!$A$1:$D$571,4,FALSE),0)</f>
        <v>Camionetas</v>
      </c>
      <c r="D394" s="144" t="s">
        <v>2110</v>
      </c>
      <c r="E394" s="273" t="s">
        <v>1128</v>
      </c>
      <c r="F394" s="275" t="s">
        <v>361</v>
      </c>
      <c r="G394" s="313">
        <v>0</v>
      </c>
      <c r="H394" s="313">
        <v>0</v>
      </c>
      <c r="I394" s="130">
        <v>0</v>
      </c>
      <c r="J394" s="130"/>
      <c r="K394" s="130"/>
      <c r="L394" s="143">
        <f>CATEGORIAS[[#This Row],[ADICIONALES]]+CATEGORIAS[[#This Row],[POM]]</f>
        <v>0</v>
      </c>
      <c r="M394" s="131">
        <v>0</v>
      </c>
      <c r="N394" s="227">
        <v>0</v>
      </c>
      <c r="O394" s="296">
        <f>CATEGORIAS[[#This Row],[PRODUCCION
PARTIDAS
ORIGINALES
ACTUAL]]+CATEGORIAS[[#This Row],[PRODUCCION
ADICIONALES
ACTUAL]]</f>
        <v>0</v>
      </c>
      <c r="P394" s="227">
        <v>0</v>
      </c>
      <c r="Q394" s="227">
        <v>0</v>
      </c>
      <c r="R394" s="297">
        <f>CATEGORIAS[[#This Row],[PRODUCCION
ANTERIOR]]+CATEGORIAS[[#This Row],[PRODUCCION
ADICIONALES
ANTERIOR]]</f>
        <v>0</v>
      </c>
      <c r="S394" s="133">
        <v>0</v>
      </c>
      <c r="T394" s="133"/>
      <c r="U394" s="133"/>
      <c r="V394" s="296">
        <f>SUM(CATEGORIAS[[#This Row],[COSTO
ACUMULADO  AX]:[PROVISIONES]])</f>
        <v>0</v>
      </c>
      <c r="W394" s="298">
        <v>0</v>
      </c>
      <c r="X394" s="227"/>
      <c r="Y394" s="227"/>
      <c r="Z394" s="297">
        <f>SUM(CATEGORIAS[[#This Row],[COSTO ACUMULADO
ANTERIOR]:[PROVISIONES
ANTERIOR]])</f>
        <v>0</v>
      </c>
      <c r="AA394" s="139">
        <f>CATEGORIAS[[#This Row],[PRESUPUESTO
FINAL
PROYECTADO]]-CATEGORIAS[[#This Row],[TOTAL PRODUCCION
ACTUAL]]</f>
        <v>0</v>
      </c>
      <c r="AB394" s="227">
        <v>0</v>
      </c>
      <c r="AC394" s="132"/>
      <c r="AD394" s="132"/>
      <c r="AE394" s="226">
        <f>SUM(CATEGORIAS[[#This Row],[INVENTARIO]:[PROYECCION
DE COSTO
DEL SALDO]])</f>
        <v>0</v>
      </c>
      <c r="AF394" s="132"/>
      <c r="AG394" s="132">
        <f>+CATEGORIAS[[#This Row],[PRESUPUESTO
FINAL
PROYECTADO]]-CATEGORIAS[[#This Row],[COSTO REAL]]-CATEGORIAS[[#This Row],[PROYECCION
TOTAL DE COSTO]]</f>
        <v>0</v>
      </c>
    </row>
    <row r="395" spans="1:33" x14ac:dyDescent="0.25">
      <c r="A395" s="274" t="str">
        <f>+IFERROR(VLOOKUP(CATEGORIAS[[#This Row],[CATEGORIA2]],[1]HOMOLOGACION!$A$1:$I$571,9,FALSE),0)</f>
        <v>1Z01</v>
      </c>
      <c r="B395" s="274" t="str">
        <f>+IFERROR(VLOOKUP(CATEGORIAS[[#This Row],[CATEGORIA2]],[1]HOMOLOGACION!$A$1:$C$571,3,FALSE),0)</f>
        <v>1G01</v>
      </c>
      <c r="C395" s="274" t="str">
        <f>+IFERROR(VLOOKUP(CATEGORIAS[[#This Row],[CATEGORIA2]],[1]HOMOLOGACION!$A$1:$D$571,4,FALSE),0)</f>
        <v>Camionetas</v>
      </c>
      <c r="D395" s="144" t="s">
        <v>2111</v>
      </c>
      <c r="E395" s="273" t="s">
        <v>1130</v>
      </c>
      <c r="F395" s="275" t="s">
        <v>361</v>
      </c>
      <c r="G395" s="313">
        <v>0</v>
      </c>
      <c r="H395" s="313">
        <v>0</v>
      </c>
      <c r="I395" s="130">
        <v>0</v>
      </c>
      <c r="J395" s="130"/>
      <c r="K395" s="130"/>
      <c r="L395" s="143">
        <f>CATEGORIAS[[#This Row],[ADICIONALES]]+CATEGORIAS[[#This Row],[POM]]</f>
        <v>0</v>
      </c>
      <c r="M395" s="131">
        <v>0</v>
      </c>
      <c r="N395" s="227">
        <v>0</v>
      </c>
      <c r="O395" s="296">
        <f>CATEGORIAS[[#This Row],[PRODUCCION
PARTIDAS
ORIGINALES
ACTUAL]]+CATEGORIAS[[#This Row],[PRODUCCION
ADICIONALES
ACTUAL]]</f>
        <v>0</v>
      </c>
      <c r="P395" s="227">
        <v>0</v>
      </c>
      <c r="Q395" s="132">
        <v>0</v>
      </c>
      <c r="R395" s="297">
        <f>CATEGORIAS[[#This Row],[PRODUCCION
ANTERIOR]]+CATEGORIAS[[#This Row],[PRODUCCION
ADICIONALES
ANTERIOR]]</f>
        <v>0</v>
      </c>
      <c r="S395" s="133">
        <v>0</v>
      </c>
      <c r="T395" s="133"/>
      <c r="U395" s="133"/>
      <c r="V395" s="296">
        <f>SUM(CATEGORIAS[[#This Row],[COSTO
ACUMULADO  AX]:[PROVISIONES]])</f>
        <v>0</v>
      </c>
      <c r="W395" s="298">
        <v>0</v>
      </c>
      <c r="X395" s="227"/>
      <c r="Y395" s="227"/>
      <c r="Z395" s="297">
        <f>SUM(CATEGORIAS[[#This Row],[COSTO ACUMULADO
ANTERIOR]:[PROVISIONES
ANTERIOR]])</f>
        <v>0</v>
      </c>
      <c r="AA395" s="139">
        <f>CATEGORIAS[[#This Row],[PRESUPUESTO
FINAL
PROYECTADO]]-CATEGORIAS[[#This Row],[TOTAL PRODUCCION
ACTUAL]]</f>
        <v>0</v>
      </c>
      <c r="AB395" s="227">
        <v>0</v>
      </c>
      <c r="AC395" s="132"/>
      <c r="AD395" s="132"/>
      <c r="AE395" s="226">
        <f>SUM(CATEGORIAS[[#This Row],[INVENTARIO]:[PROYECCION
DE COSTO
DEL SALDO]])</f>
        <v>0</v>
      </c>
      <c r="AF395" s="132"/>
      <c r="AG395" s="132">
        <f>+CATEGORIAS[[#This Row],[PRESUPUESTO
FINAL
PROYECTADO]]-CATEGORIAS[[#This Row],[COSTO REAL]]-CATEGORIAS[[#This Row],[PROYECCION
TOTAL DE COSTO]]</f>
        <v>0</v>
      </c>
    </row>
    <row r="396" spans="1:33" x14ac:dyDescent="0.25">
      <c r="A396" s="274" t="str">
        <f>+IFERROR(VLOOKUP(CATEGORIAS[[#This Row],[CATEGORIA2]],[1]HOMOLOGACION!$A$1:$I$571,9,FALSE),0)</f>
        <v>1Z01</v>
      </c>
      <c r="B396" s="274" t="str">
        <f>+IFERROR(VLOOKUP(CATEGORIAS[[#This Row],[CATEGORIA2]],[1]HOMOLOGACION!$A$1:$C$571,3,FALSE),0)</f>
        <v>1G01</v>
      </c>
      <c r="C396" s="274" t="str">
        <f>+IFERROR(VLOOKUP(CATEGORIAS[[#This Row],[CATEGORIA2]],[1]HOMOLOGACION!$A$1:$D$571,4,FALSE),0)</f>
        <v>Camionetas</v>
      </c>
      <c r="D396" s="144" t="s">
        <v>2112</v>
      </c>
      <c r="E396" s="273" t="s">
        <v>1132</v>
      </c>
      <c r="F396" s="275" t="s">
        <v>361</v>
      </c>
      <c r="G396" s="313">
        <v>0</v>
      </c>
      <c r="H396" s="313">
        <v>0</v>
      </c>
      <c r="I396" s="130">
        <v>0</v>
      </c>
      <c r="J396" s="130"/>
      <c r="K396" s="130"/>
      <c r="L396" s="143">
        <f>CATEGORIAS[[#This Row],[ADICIONALES]]+CATEGORIAS[[#This Row],[POM]]</f>
        <v>0</v>
      </c>
      <c r="M396" s="131">
        <v>0</v>
      </c>
      <c r="N396" s="227">
        <v>0</v>
      </c>
      <c r="O396" s="296">
        <f>CATEGORIAS[[#This Row],[PRODUCCION
PARTIDAS
ORIGINALES
ACTUAL]]+CATEGORIAS[[#This Row],[PRODUCCION
ADICIONALES
ACTUAL]]</f>
        <v>0</v>
      </c>
      <c r="P396" s="227">
        <v>0</v>
      </c>
      <c r="Q396" s="227">
        <v>0</v>
      </c>
      <c r="R396" s="297">
        <f>CATEGORIAS[[#This Row],[PRODUCCION
ANTERIOR]]+CATEGORIAS[[#This Row],[PRODUCCION
ADICIONALES
ANTERIOR]]</f>
        <v>0</v>
      </c>
      <c r="S396" s="133">
        <v>0</v>
      </c>
      <c r="T396" s="133"/>
      <c r="U396" s="133"/>
      <c r="V396" s="296">
        <f>SUM(CATEGORIAS[[#This Row],[COSTO
ACUMULADO  AX]:[PROVISIONES]])</f>
        <v>0</v>
      </c>
      <c r="W396" s="298">
        <v>0</v>
      </c>
      <c r="X396" s="227"/>
      <c r="Y396" s="227"/>
      <c r="Z396" s="297">
        <f>SUM(CATEGORIAS[[#This Row],[COSTO ACUMULADO
ANTERIOR]:[PROVISIONES
ANTERIOR]])</f>
        <v>0</v>
      </c>
      <c r="AA396" s="139">
        <f>CATEGORIAS[[#This Row],[PRESUPUESTO
FINAL
PROYECTADO]]-CATEGORIAS[[#This Row],[TOTAL PRODUCCION
ACTUAL]]</f>
        <v>0</v>
      </c>
      <c r="AB396" s="227">
        <v>0</v>
      </c>
      <c r="AC396" s="132"/>
      <c r="AD396" s="132"/>
      <c r="AE396" s="226">
        <f>SUM(CATEGORIAS[[#This Row],[INVENTARIO]:[PROYECCION
DE COSTO
DEL SALDO]])</f>
        <v>0</v>
      </c>
      <c r="AF396" s="132"/>
      <c r="AG396" s="132">
        <f>+CATEGORIAS[[#This Row],[PRESUPUESTO
FINAL
PROYECTADO]]-CATEGORIAS[[#This Row],[COSTO REAL]]-CATEGORIAS[[#This Row],[PROYECCION
TOTAL DE COSTO]]</f>
        <v>0</v>
      </c>
    </row>
    <row r="397" spans="1:33" x14ac:dyDescent="0.25">
      <c r="A397" s="274" t="str">
        <f>+IFERROR(VLOOKUP(CATEGORIAS[[#This Row],[CATEGORIA2]],[1]HOMOLOGACION!$A$1:$I$571,9,FALSE),0)</f>
        <v>1Z01</v>
      </c>
      <c r="B397" s="274" t="str">
        <f>+IFERROR(VLOOKUP(CATEGORIAS[[#This Row],[CATEGORIA2]],[1]HOMOLOGACION!$A$1:$C$571,3,FALSE),0)</f>
        <v>1G01</v>
      </c>
      <c r="C397" s="274" t="str">
        <f>+IFERROR(VLOOKUP(CATEGORIAS[[#This Row],[CATEGORIA2]],[1]HOMOLOGACION!$A$1:$D$571,4,FALSE),0)</f>
        <v>Camionetas</v>
      </c>
      <c r="D397" s="144" t="s">
        <v>2113</v>
      </c>
      <c r="E397" s="273" t="s">
        <v>1134</v>
      </c>
      <c r="F397" s="275" t="s">
        <v>364</v>
      </c>
      <c r="G397" s="313">
        <v>87729840.00000003</v>
      </c>
      <c r="H397" s="313">
        <v>87729840.00000003</v>
      </c>
      <c r="I397" s="130">
        <v>0</v>
      </c>
      <c r="J397" s="130"/>
      <c r="K397" s="130"/>
      <c r="L397" s="143">
        <f>CATEGORIAS[[#This Row],[ADICIONALES]]+CATEGORIAS[[#This Row],[POM]]</f>
        <v>87729840.00000003</v>
      </c>
      <c r="M397" s="131">
        <v>40972612.829973251</v>
      </c>
      <c r="N397" s="227">
        <v>0</v>
      </c>
      <c r="O397" s="296">
        <f>CATEGORIAS[[#This Row],[PRODUCCION
PARTIDAS
ORIGINALES
ACTUAL]]+CATEGORIAS[[#This Row],[PRODUCCION
ADICIONALES
ACTUAL]]</f>
        <v>40972612.829973251</v>
      </c>
      <c r="P397" s="227">
        <v>21824162.756087884</v>
      </c>
      <c r="Q397" s="132">
        <v>0</v>
      </c>
      <c r="R397" s="297">
        <f>CATEGORIAS[[#This Row],[PRODUCCION
ANTERIOR]]+CATEGORIAS[[#This Row],[PRODUCCION
ADICIONALES
ANTERIOR]]</f>
        <v>21824162.756087884</v>
      </c>
      <c r="S397" s="133">
        <v>9090334</v>
      </c>
      <c r="T397" s="133">
        <f>4270313+6270000</f>
        <v>10540313</v>
      </c>
      <c r="U397" s="133">
        <v>2500000</v>
      </c>
      <c r="V397" s="296">
        <f>SUM(CATEGORIAS[[#This Row],[COSTO
ACUMULADO  AX]:[PROVISIONES]])</f>
        <v>22130647</v>
      </c>
      <c r="W397" s="298">
        <v>5460900</v>
      </c>
      <c r="X397" s="227">
        <v>8040314</v>
      </c>
      <c r="Y397" s="227">
        <v>5354338</v>
      </c>
      <c r="Z397" s="297">
        <f>SUM(CATEGORIAS[[#This Row],[COSTO ACUMULADO
ANTERIOR]:[PROVISIONES
ANTERIOR]])</f>
        <v>18855552</v>
      </c>
      <c r="AA397" s="139">
        <f>CATEGORIAS[[#This Row],[PRESUPUESTO
FINAL
PROYECTADO]]-CATEGORIAS[[#This Row],[TOTAL PRODUCCION
ACTUAL]]</f>
        <v>46757227.170026779</v>
      </c>
      <c r="AB397" s="227">
        <v>0</v>
      </c>
      <c r="AC397" s="132"/>
      <c r="AD397" s="132">
        <v>65599193.00000003</v>
      </c>
      <c r="AE397" s="226">
        <f>SUM(CATEGORIAS[[#This Row],[INVENTARIO]:[PROYECCION
DE COSTO
DEL SALDO]])</f>
        <v>65599193.00000003</v>
      </c>
      <c r="AF397" s="132"/>
      <c r="AG397" s="132">
        <f>+CATEGORIAS[[#This Row],[PRESUPUESTO
FINAL
PROYECTADO]]-CATEGORIAS[[#This Row],[COSTO REAL]]-CATEGORIAS[[#This Row],[PROYECCION
TOTAL DE COSTO]]</f>
        <v>0</v>
      </c>
    </row>
    <row r="398" spans="1:33" x14ac:dyDescent="0.25">
      <c r="A398" s="274" t="str">
        <f>+IFERROR(VLOOKUP(CATEGORIAS[[#This Row],[CATEGORIA2]],[1]HOMOLOGACION!$A$1:$I$571,9,FALSE),0)</f>
        <v>1Z01</v>
      </c>
      <c r="B398" s="274" t="str">
        <f>+IFERROR(VLOOKUP(CATEGORIAS[[#This Row],[CATEGORIA2]],[1]HOMOLOGACION!$A$1:$C$571,3,FALSE),0)</f>
        <v>1G01</v>
      </c>
      <c r="C398" s="274" t="str">
        <f>+IFERROR(VLOOKUP(CATEGORIAS[[#This Row],[CATEGORIA2]],[1]HOMOLOGACION!$A$1:$D$571,4,FALSE),0)</f>
        <v>Camionetas</v>
      </c>
      <c r="D398" s="144" t="s">
        <v>2114</v>
      </c>
      <c r="E398" s="273" t="s">
        <v>1136</v>
      </c>
      <c r="F398" s="275" t="s">
        <v>361</v>
      </c>
      <c r="G398" s="313">
        <v>0</v>
      </c>
      <c r="H398" s="313">
        <v>0</v>
      </c>
      <c r="I398" s="130">
        <v>0</v>
      </c>
      <c r="J398" s="130"/>
      <c r="K398" s="130"/>
      <c r="L398" s="143">
        <f>CATEGORIAS[[#This Row],[ADICIONALES]]+CATEGORIAS[[#This Row],[POM]]</f>
        <v>0</v>
      </c>
      <c r="M398" s="131">
        <v>0</v>
      </c>
      <c r="N398" s="227">
        <v>0</v>
      </c>
      <c r="O398" s="296">
        <f>CATEGORIAS[[#This Row],[PRODUCCION
PARTIDAS
ORIGINALES
ACTUAL]]+CATEGORIAS[[#This Row],[PRODUCCION
ADICIONALES
ACTUAL]]</f>
        <v>0</v>
      </c>
      <c r="P398" s="227">
        <v>0</v>
      </c>
      <c r="Q398" s="227">
        <v>0</v>
      </c>
      <c r="R398" s="297">
        <f>CATEGORIAS[[#This Row],[PRODUCCION
ANTERIOR]]+CATEGORIAS[[#This Row],[PRODUCCION
ADICIONALES
ANTERIOR]]</f>
        <v>0</v>
      </c>
      <c r="S398" s="133">
        <v>17410000</v>
      </c>
      <c r="T398" s="133">
        <v>-17410000</v>
      </c>
      <c r="U398" s="133"/>
      <c r="V398" s="296">
        <f>SUM(CATEGORIAS[[#This Row],[COSTO
ACUMULADO  AX]:[PROVISIONES]])</f>
        <v>0</v>
      </c>
      <c r="W398" s="298">
        <v>12650000</v>
      </c>
      <c r="X398" s="227">
        <v>-12650000</v>
      </c>
      <c r="Y398" s="227"/>
      <c r="Z398" s="297">
        <f>SUM(CATEGORIAS[[#This Row],[COSTO ACUMULADO
ANTERIOR]:[PROVISIONES
ANTERIOR]])</f>
        <v>0</v>
      </c>
      <c r="AA398" s="139">
        <f>CATEGORIAS[[#This Row],[PRESUPUESTO
FINAL
PROYECTADO]]-CATEGORIAS[[#This Row],[TOTAL PRODUCCION
ACTUAL]]</f>
        <v>0</v>
      </c>
      <c r="AB398" s="227">
        <v>0</v>
      </c>
      <c r="AC398" s="132"/>
      <c r="AD398" s="132"/>
      <c r="AE398" s="226">
        <f>SUM(CATEGORIAS[[#This Row],[INVENTARIO]:[PROYECCION
DE COSTO
DEL SALDO]])</f>
        <v>0</v>
      </c>
      <c r="AF398" s="132"/>
      <c r="AG398" s="132">
        <f>+CATEGORIAS[[#This Row],[PRESUPUESTO
FINAL
PROYECTADO]]-CATEGORIAS[[#This Row],[COSTO REAL]]-CATEGORIAS[[#This Row],[PROYECCION
TOTAL DE COSTO]]</f>
        <v>0</v>
      </c>
    </row>
    <row r="399" spans="1:33" x14ac:dyDescent="0.25">
      <c r="A399" s="274" t="str">
        <f>+IFERROR(VLOOKUP(CATEGORIAS[[#This Row],[CATEGORIA2]],[1]HOMOLOGACION!$A$1:$I$571,9,FALSE),0)</f>
        <v>1Z01</v>
      </c>
      <c r="B399" s="274" t="str">
        <f>+IFERROR(VLOOKUP(CATEGORIAS[[#This Row],[CATEGORIA2]],[1]HOMOLOGACION!$A$1:$C$571,3,FALSE),0)</f>
        <v>1G02</v>
      </c>
      <c r="C399" s="274" t="str">
        <f>+IFERROR(VLOOKUP(CATEGORIAS[[#This Row],[CATEGORIA2]],[1]HOMOLOGACION!$A$1:$D$571,4,FALSE),0)</f>
        <v>Buses, Mini buses, Van y Sprinter</v>
      </c>
      <c r="D399" s="144" t="s">
        <v>2115</v>
      </c>
      <c r="E399" s="273" t="s">
        <v>1138</v>
      </c>
      <c r="F399" s="275" t="s">
        <v>361</v>
      </c>
      <c r="G399" s="313">
        <v>0</v>
      </c>
      <c r="H399" s="313">
        <v>0</v>
      </c>
      <c r="I399" s="130">
        <v>0</v>
      </c>
      <c r="J399" s="130"/>
      <c r="K399" s="130"/>
      <c r="L399" s="143">
        <f>CATEGORIAS[[#This Row],[ADICIONALES]]+CATEGORIAS[[#This Row],[POM]]</f>
        <v>0</v>
      </c>
      <c r="M399" s="131">
        <v>0</v>
      </c>
      <c r="N399" s="227">
        <v>0</v>
      </c>
      <c r="O399" s="296">
        <f>CATEGORIAS[[#This Row],[PRODUCCION
PARTIDAS
ORIGINALES
ACTUAL]]+CATEGORIAS[[#This Row],[PRODUCCION
ADICIONALES
ACTUAL]]</f>
        <v>0</v>
      </c>
      <c r="P399" s="227">
        <v>0</v>
      </c>
      <c r="Q399" s="227">
        <v>0</v>
      </c>
      <c r="R399" s="297">
        <f>CATEGORIAS[[#This Row],[PRODUCCION
ANTERIOR]]+CATEGORIAS[[#This Row],[PRODUCCION
ADICIONALES
ANTERIOR]]</f>
        <v>0</v>
      </c>
      <c r="S399" s="133">
        <v>0</v>
      </c>
      <c r="T399" s="133"/>
      <c r="U399" s="133"/>
      <c r="V399" s="296">
        <f>SUM(CATEGORIAS[[#This Row],[COSTO
ACUMULADO  AX]:[PROVISIONES]])</f>
        <v>0</v>
      </c>
      <c r="W399" s="298">
        <v>0</v>
      </c>
      <c r="X399" s="227"/>
      <c r="Y399" s="227"/>
      <c r="Z399" s="297">
        <f>SUM(CATEGORIAS[[#This Row],[COSTO ACUMULADO
ANTERIOR]:[PROVISIONES
ANTERIOR]])</f>
        <v>0</v>
      </c>
      <c r="AA399" s="139">
        <f>CATEGORIAS[[#This Row],[PRESUPUESTO
FINAL
PROYECTADO]]-CATEGORIAS[[#This Row],[TOTAL PRODUCCION
ACTUAL]]</f>
        <v>0</v>
      </c>
      <c r="AB399" s="227">
        <v>0</v>
      </c>
      <c r="AC399" s="132"/>
      <c r="AD399" s="132"/>
      <c r="AE399" s="226">
        <f>SUM(CATEGORIAS[[#This Row],[INVENTARIO]:[PROYECCION
DE COSTO
DEL SALDO]])</f>
        <v>0</v>
      </c>
      <c r="AF399" s="132"/>
      <c r="AG399" s="132">
        <f>+CATEGORIAS[[#This Row],[PRESUPUESTO
FINAL
PROYECTADO]]-CATEGORIAS[[#This Row],[COSTO REAL]]-CATEGORIAS[[#This Row],[PROYECCION
TOTAL DE COSTO]]</f>
        <v>0</v>
      </c>
    </row>
    <row r="400" spans="1:33" x14ac:dyDescent="0.25">
      <c r="A400" s="274" t="str">
        <f>+IFERROR(VLOOKUP(CATEGORIAS[[#This Row],[CATEGORIA2]],[1]HOMOLOGACION!$A$1:$I$571,9,FALSE),0)</f>
        <v>1Z01</v>
      </c>
      <c r="B400" s="274" t="str">
        <f>+IFERROR(VLOOKUP(CATEGORIAS[[#This Row],[CATEGORIA2]],[1]HOMOLOGACION!$A$1:$C$571,3,FALSE),0)</f>
        <v>1G02</v>
      </c>
      <c r="C400" s="274" t="str">
        <f>+IFERROR(VLOOKUP(CATEGORIAS[[#This Row],[CATEGORIA2]],[1]HOMOLOGACION!$A$1:$D$571,4,FALSE),0)</f>
        <v>Buses, Mini buses, Van y Sprinter</v>
      </c>
      <c r="D400" s="144" t="s">
        <v>2116</v>
      </c>
      <c r="E400" s="273" t="s">
        <v>1140</v>
      </c>
      <c r="F400" s="275" t="s">
        <v>361</v>
      </c>
      <c r="G400" s="313">
        <v>0</v>
      </c>
      <c r="H400" s="313">
        <v>0</v>
      </c>
      <c r="I400" s="130">
        <v>0</v>
      </c>
      <c r="J400" s="130"/>
      <c r="K400" s="130"/>
      <c r="L400" s="143">
        <f>CATEGORIAS[[#This Row],[ADICIONALES]]+CATEGORIAS[[#This Row],[POM]]</f>
        <v>0</v>
      </c>
      <c r="M400" s="131">
        <v>0</v>
      </c>
      <c r="N400" s="227">
        <v>0</v>
      </c>
      <c r="O400" s="296">
        <f>CATEGORIAS[[#This Row],[PRODUCCION
PARTIDAS
ORIGINALES
ACTUAL]]+CATEGORIAS[[#This Row],[PRODUCCION
ADICIONALES
ACTUAL]]</f>
        <v>0</v>
      </c>
      <c r="P400" s="227">
        <v>0</v>
      </c>
      <c r="Q400" s="227">
        <v>0</v>
      </c>
      <c r="R400" s="297">
        <f>CATEGORIAS[[#This Row],[PRODUCCION
ANTERIOR]]+CATEGORIAS[[#This Row],[PRODUCCION
ADICIONALES
ANTERIOR]]</f>
        <v>0</v>
      </c>
      <c r="S400" s="133">
        <v>0</v>
      </c>
      <c r="T400" s="133"/>
      <c r="U400" s="133"/>
      <c r="V400" s="296">
        <f>SUM(CATEGORIAS[[#This Row],[COSTO
ACUMULADO  AX]:[PROVISIONES]])</f>
        <v>0</v>
      </c>
      <c r="W400" s="298">
        <v>0</v>
      </c>
      <c r="X400" s="227"/>
      <c r="Y400" s="227"/>
      <c r="Z400" s="297">
        <f>SUM(CATEGORIAS[[#This Row],[COSTO ACUMULADO
ANTERIOR]:[PROVISIONES
ANTERIOR]])</f>
        <v>0</v>
      </c>
      <c r="AA400" s="139">
        <f>CATEGORIAS[[#This Row],[PRESUPUESTO
FINAL
PROYECTADO]]-CATEGORIAS[[#This Row],[TOTAL PRODUCCION
ACTUAL]]</f>
        <v>0</v>
      </c>
      <c r="AB400" s="227">
        <v>0</v>
      </c>
      <c r="AC400" s="132"/>
      <c r="AD400" s="132"/>
      <c r="AE400" s="226">
        <f>SUM(CATEGORIAS[[#This Row],[INVENTARIO]:[PROYECCION
DE COSTO
DEL SALDO]])</f>
        <v>0</v>
      </c>
      <c r="AF400" s="132"/>
      <c r="AG400" s="132">
        <f>+CATEGORIAS[[#This Row],[PRESUPUESTO
FINAL
PROYECTADO]]-CATEGORIAS[[#This Row],[COSTO REAL]]-CATEGORIAS[[#This Row],[PROYECCION
TOTAL DE COSTO]]</f>
        <v>0</v>
      </c>
    </row>
    <row r="401" spans="1:33" x14ac:dyDescent="0.25">
      <c r="A401" s="274" t="str">
        <f>+IFERROR(VLOOKUP(CATEGORIAS[[#This Row],[CATEGORIA2]],[1]HOMOLOGACION!$A$1:$I$571,9,FALSE),0)</f>
        <v>1Z01</v>
      </c>
      <c r="B401" s="274" t="str">
        <f>+IFERROR(VLOOKUP(CATEGORIAS[[#This Row],[CATEGORIA2]],[1]HOMOLOGACION!$A$1:$C$571,3,FALSE),0)</f>
        <v>1G02</v>
      </c>
      <c r="C401" s="274" t="str">
        <f>+IFERROR(VLOOKUP(CATEGORIAS[[#This Row],[CATEGORIA2]],[1]HOMOLOGACION!$A$1:$D$571,4,FALSE),0)</f>
        <v>Buses, Mini buses, Van y Sprinter</v>
      </c>
      <c r="D401" s="144" t="s">
        <v>2117</v>
      </c>
      <c r="E401" s="273" t="s">
        <v>1141</v>
      </c>
      <c r="F401" s="275" t="s">
        <v>361</v>
      </c>
      <c r="G401" s="313">
        <v>0</v>
      </c>
      <c r="H401" s="313">
        <v>0</v>
      </c>
      <c r="I401" s="130">
        <v>0</v>
      </c>
      <c r="J401" s="130"/>
      <c r="K401" s="130"/>
      <c r="L401" s="143">
        <f>CATEGORIAS[[#This Row],[ADICIONALES]]+CATEGORIAS[[#This Row],[POM]]</f>
        <v>0</v>
      </c>
      <c r="M401" s="131">
        <v>0</v>
      </c>
      <c r="N401" s="227">
        <v>0</v>
      </c>
      <c r="O401" s="296">
        <f>CATEGORIAS[[#This Row],[PRODUCCION
PARTIDAS
ORIGINALES
ACTUAL]]+CATEGORIAS[[#This Row],[PRODUCCION
ADICIONALES
ACTUAL]]</f>
        <v>0</v>
      </c>
      <c r="P401" s="227">
        <v>0</v>
      </c>
      <c r="Q401" s="227">
        <v>0</v>
      </c>
      <c r="R401" s="297">
        <f>CATEGORIAS[[#This Row],[PRODUCCION
ANTERIOR]]+CATEGORIAS[[#This Row],[PRODUCCION
ADICIONALES
ANTERIOR]]</f>
        <v>0</v>
      </c>
      <c r="S401" s="133">
        <v>0</v>
      </c>
      <c r="T401" s="133"/>
      <c r="U401" s="133"/>
      <c r="V401" s="296">
        <f>SUM(CATEGORIAS[[#This Row],[COSTO
ACUMULADO  AX]:[PROVISIONES]])</f>
        <v>0</v>
      </c>
      <c r="W401" s="298">
        <v>0</v>
      </c>
      <c r="X401" s="227"/>
      <c r="Y401" s="227"/>
      <c r="Z401" s="297">
        <f>SUM(CATEGORIAS[[#This Row],[COSTO ACUMULADO
ANTERIOR]:[PROVISIONES
ANTERIOR]])</f>
        <v>0</v>
      </c>
      <c r="AA401" s="139">
        <f>CATEGORIAS[[#This Row],[PRESUPUESTO
FINAL
PROYECTADO]]-CATEGORIAS[[#This Row],[TOTAL PRODUCCION
ACTUAL]]</f>
        <v>0</v>
      </c>
      <c r="AB401" s="227">
        <v>0</v>
      </c>
      <c r="AC401" s="132"/>
      <c r="AD401" s="132"/>
      <c r="AE401" s="226">
        <f>SUM(CATEGORIAS[[#This Row],[INVENTARIO]:[PROYECCION
DE COSTO
DEL SALDO]])</f>
        <v>0</v>
      </c>
      <c r="AF401" s="132"/>
      <c r="AG401" s="132">
        <f>+CATEGORIAS[[#This Row],[PRESUPUESTO
FINAL
PROYECTADO]]-CATEGORIAS[[#This Row],[COSTO REAL]]-CATEGORIAS[[#This Row],[PROYECCION
TOTAL DE COSTO]]</f>
        <v>0</v>
      </c>
    </row>
    <row r="402" spans="1:33" x14ac:dyDescent="0.25">
      <c r="A402" s="274" t="str">
        <f>+IFERROR(VLOOKUP(CATEGORIAS[[#This Row],[CATEGORIA2]],[1]HOMOLOGACION!$A$1:$I$571,9,FALSE),0)</f>
        <v>1Z01</v>
      </c>
      <c r="B402" s="274" t="str">
        <f>+IFERROR(VLOOKUP(CATEGORIAS[[#This Row],[CATEGORIA2]],[1]HOMOLOGACION!$A$1:$C$571,3,FALSE),0)</f>
        <v>1G02</v>
      </c>
      <c r="C402" s="274" t="str">
        <f>+IFERROR(VLOOKUP(CATEGORIAS[[#This Row],[CATEGORIA2]],[1]HOMOLOGACION!$A$1:$D$571,4,FALSE),0)</f>
        <v>Buses, Mini buses, Van y Sprinter</v>
      </c>
      <c r="D402" s="144" t="s">
        <v>2118</v>
      </c>
      <c r="E402" s="273" t="s">
        <v>1142</v>
      </c>
      <c r="F402" s="275" t="s">
        <v>361</v>
      </c>
      <c r="G402" s="313">
        <v>0</v>
      </c>
      <c r="H402" s="313">
        <v>0</v>
      </c>
      <c r="I402" s="130">
        <v>0</v>
      </c>
      <c r="J402" s="130"/>
      <c r="K402" s="130"/>
      <c r="L402" s="143">
        <f>CATEGORIAS[[#This Row],[ADICIONALES]]+CATEGORIAS[[#This Row],[POM]]</f>
        <v>0</v>
      </c>
      <c r="M402" s="131">
        <v>0</v>
      </c>
      <c r="N402" s="227">
        <v>0</v>
      </c>
      <c r="O402" s="296">
        <f>CATEGORIAS[[#This Row],[PRODUCCION
PARTIDAS
ORIGINALES
ACTUAL]]+CATEGORIAS[[#This Row],[PRODUCCION
ADICIONALES
ACTUAL]]</f>
        <v>0</v>
      </c>
      <c r="P402" s="227">
        <v>0</v>
      </c>
      <c r="Q402" s="227">
        <v>0</v>
      </c>
      <c r="R402" s="297">
        <f>CATEGORIAS[[#This Row],[PRODUCCION
ANTERIOR]]+CATEGORIAS[[#This Row],[PRODUCCION
ADICIONALES
ANTERIOR]]</f>
        <v>0</v>
      </c>
      <c r="S402" s="133">
        <v>0</v>
      </c>
      <c r="T402" s="133"/>
      <c r="U402" s="133"/>
      <c r="V402" s="296">
        <f>SUM(CATEGORIAS[[#This Row],[COSTO
ACUMULADO  AX]:[PROVISIONES]])</f>
        <v>0</v>
      </c>
      <c r="W402" s="298">
        <v>0</v>
      </c>
      <c r="X402" s="227"/>
      <c r="Y402" s="227"/>
      <c r="Z402" s="297">
        <f>SUM(CATEGORIAS[[#This Row],[COSTO ACUMULADO
ANTERIOR]:[PROVISIONES
ANTERIOR]])</f>
        <v>0</v>
      </c>
      <c r="AA402" s="139">
        <f>CATEGORIAS[[#This Row],[PRESUPUESTO
FINAL
PROYECTADO]]-CATEGORIAS[[#This Row],[TOTAL PRODUCCION
ACTUAL]]</f>
        <v>0</v>
      </c>
      <c r="AB402" s="227">
        <v>0</v>
      </c>
      <c r="AC402" s="132"/>
      <c r="AD402" s="132"/>
      <c r="AE402" s="226">
        <f>SUM(CATEGORIAS[[#This Row],[INVENTARIO]:[PROYECCION
DE COSTO
DEL SALDO]])</f>
        <v>0</v>
      </c>
      <c r="AF402" s="132"/>
      <c r="AG402" s="132">
        <f>+CATEGORIAS[[#This Row],[PRESUPUESTO
FINAL
PROYECTADO]]-CATEGORIAS[[#This Row],[COSTO REAL]]-CATEGORIAS[[#This Row],[PROYECCION
TOTAL DE COSTO]]</f>
        <v>0</v>
      </c>
    </row>
    <row r="403" spans="1:33" x14ac:dyDescent="0.25">
      <c r="A403" s="274" t="str">
        <f>+IFERROR(VLOOKUP(CATEGORIAS[[#This Row],[CATEGORIA2]],[1]HOMOLOGACION!$A$1:$I$571,9,FALSE),0)</f>
        <v>1Z01</v>
      </c>
      <c r="B403" s="274" t="str">
        <f>+IFERROR(VLOOKUP(CATEGORIAS[[#This Row],[CATEGORIA2]],[1]HOMOLOGACION!$A$1:$C$571,3,FALSE),0)</f>
        <v>1G02</v>
      </c>
      <c r="C403" s="274" t="str">
        <f>+IFERROR(VLOOKUP(CATEGORIAS[[#This Row],[CATEGORIA2]],[1]HOMOLOGACION!$A$1:$D$571,4,FALSE),0)</f>
        <v>Buses, Mini buses, Van y Sprinter</v>
      </c>
      <c r="D403" s="144" t="s">
        <v>2119</v>
      </c>
      <c r="E403" s="273" t="s">
        <v>1144</v>
      </c>
      <c r="F403" s="275" t="s">
        <v>361</v>
      </c>
      <c r="G403" s="313">
        <v>0</v>
      </c>
      <c r="H403" s="313">
        <v>0</v>
      </c>
      <c r="I403" s="130">
        <v>0</v>
      </c>
      <c r="J403" s="130"/>
      <c r="K403" s="130"/>
      <c r="L403" s="143">
        <f>CATEGORIAS[[#This Row],[ADICIONALES]]+CATEGORIAS[[#This Row],[POM]]</f>
        <v>0</v>
      </c>
      <c r="M403" s="131">
        <v>0</v>
      </c>
      <c r="N403" s="227">
        <v>0</v>
      </c>
      <c r="O403" s="296">
        <f>CATEGORIAS[[#This Row],[PRODUCCION
PARTIDAS
ORIGINALES
ACTUAL]]+CATEGORIAS[[#This Row],[PRODUCCION
ADICIONALES
ACTUAL]]</f>
        <v>0</v>
      </c>
      <c r="P403" s="227">
        <v>0</v>
      </c>
      <c r="Q403" s="227">
        <v>0</v>
      </c>
      <c r="R403" s="297">
        <f>CATEGORIAS[[#This Row],[PRODUCCION
ANTERIOR]]+CATEGORIAS[[#This Row],[PRODUCCION
ADICIONALES
ANTERIOR]]</f>
        <v>0</v>
      </c>
      <c r="S403" s="133">
        <v>0</v>
      </c>
      <c r="T403" s="133"/>
      <c r="U403" s="133"/>
      <c r="V403" s="296">
        <f>SUM(CATEGORIAS[[#This Row],[COSTO
ACUMULADO  AX]:[PROVISIONES]])</f>
        <v>0</v>
      </c>
      <c r="W403" s="298">
        <v>0</v>
      </c>
      <c r="X403" s="227"/>
      <c r="Y403" s="227"/>
      <c r="Z403" s="297">
        <f>SUM(CATEGORIAS[[#This Row],[COSTO ACUMULADO
ANTERIOR]:[PROVISIONES
ANTERIOR]])</f>
        <v>0</v>
      </c>
      <c r="AA403" s="139">
        <f>CATEGORIAS[[#This Row],[PRESUPUESTO
FINAL
PROYECTADO]]-CATEGORIAS[[#This Row],[TOTAL PRODUCCION
ACTUAL]]</f>
        <v>0</v>
      </c>
      <c r="AB403" s="227">
        <v>0</v>
      </c>
      <c r="AC403" s="132"/>
      <c r="AD403" s="132"/>
      <c r="AE403" s="226">
        <f>SUM(CATEGORIAS[[#This Row],[INVENTARIO]:[PROYECCION
DE COSTO
DEL SALDO]])</f>
        <v>0</v>
      </c>
      <c r="AF403" s="132"/>
      <c r="AG403" s="132">
        <f>+CATEGORIAS[[#This Row],[PRESUPUESTO
FINAL
PROYECTADO]]-CATEGORIAS[[#This Row],[COSTO REAL]]-CATEGORIAS[[#This Row],[PROYECCION
TOTAL DE COSTO]]</f>
        <v>0</v>
      </c>
    </row>
    <row r="404" spans="1:33" x14ac:dyDescent="0.25">
      <c r="A404" s="274" t="str">
        <f>+IFERROR(VLOOKUP(CATEGORIAS[[#This Row],[CATEGORIA2]],[1]HOMOLOGACION!$A$1:$I$571,9,FALSE),0)</f>
        <v>1Z01</v>
      </c>
      <c r="B404" s="274" t="str">
        <f>+IFERROR(VLOOKUP(CATEGORIAS[[#This Row],[CATEGORIA2]],[1]HOMOLOGACION!$A$1:$C$571,3,FALSE),0)</f>
        <v>1G02</v>
      </c>
      <c r="C404" s="274" t="str">
        <f>+IFERROR(VLOOKUP(CATEGORIAS[[#This Row],[CATEGORIA2]],[1]HOMOLOGACION!$A$1:$D$571,4,FALSE),0)</f>
        <v>Buses, Mini buses, Van y Sprinter</v>
      </c>
      <c r="D404" s="144" t="s">
        <v>2120</v>
      </c>
      <c r="E404" s="273" t="s">
        <v>1146</v>
      </c>
      <c r="F404" s="275" t="s">
        <v>361</v>
      </c>
      <c r="G404" s="313">
        <v>0</v>
      </c>
      <c r="H404" s="313">
        <v>0</v>
      </c>
      <c r="I404" s="130">
        <v>0</v>
      </c>
      <c r="J404" s="130"/>
      <c r="K404" s="130"/>
      <c r="L404" s="143">
        <f>CATEGORIAS[[#This Row],[ADICIONALES]]+CATEGORIAS[[#This Row],[POM]]</f>
        <v>0</v>
      </c>
      <c r="M404" s="131">
        <v>0</v>
      </c>
      <c r="N404" s="227">
        <v>0</v>
      </c>
      <c r="O404" s="296">
        <f>CATEGORIAS[[#This Row],[PRODUCCION
PARTIDAS
ORIGINALES
ACTUAL]]+CATEGORIAS[[#This Row],[PRODUCCION
ADICIONALES
ACTUAL]]</f>
        <v>0</v>
      </c>
      <c r="P404" s="227">
        <v>0</v>
      </c>
      <c r="Q404" s="132">
        <v>0</v>
      </c>
      <c r="R404" s="297">
        <f>CATEGORIAS[[#This Row],[PRODUCCION
ANTERIOR]]+CATEGORIAS[[#This Row],[PRODUCCION
ADICIONALES
ANTERIOR]]</f>
        <v>0</v>
      </c>
      <c r="S404" s="133">
        <v>0</v>
      </c>
      <c r="T404" s="133"/>
      <c r="U404" s="133"/>
      <c r="V404" s="296">
        <f>SUM(CATEGORIAS[[#This Row],[COSTO
ACUMULADO  AX]:[PROVISIONES]])</f>
        <v>0</v>
      </c>
      <c r="W404" s="298">
        <v>0</v>
      </c>
      <c r="X404" s="227"/>
      <c r="Y404" s="227"/>
      <c r="Z404" s="297">
        <f>SUM(CATEGORIAS[[#This Row],[COSTO ACUMULADO
ANTERIOR]:[PROVISIONES
ANTERIOR]])</f>
        <v>0</v>
      </c>
      <c r="AA404" s="139">
        <f>CATEGORIAS[[#This Row],[PRESUPUESTO
FINAL
PROYECTADO]]-CATEGORIAS[[#This Row],[TOTAL PRODUCCION
ACTUAL]]</f>
        <v>0</v>
      </c>
      <c r="AB404" s="227">
        <v>0</v>
      </c>
      <c r="AC404" s="132"/>
      <c r="AD404" s="132"/>
      <c r="AE404" s="226">
        <f>SUM(CATEGORIAS[[#This Row],[INVENTARIO]:[PROYECCION
DE COSTO
DEL SALDO]])</f>
        <v>0</v>
      </c>
      <c r="AF404" s="132"/>
      <c r="AG404" s="132">
        <f>+CATEGORIAS[[#This Row],[PRESUPUESTO
FINAL
PROYECTADO]]-CATEGORIAS[[#This Row],[COSTO REAL]]-CATEGORIAS[[#This Row],[PROYECCION
TOTAL DE COSTO]]</f>
        <v>0</v>
      </c>
    </row>
    <row r="405" spans="1:33" x14ac:dyDescent="0.25">
      <c r="A405" s="274" t="str">
        <f>+IFERROR(VLOOKUP(CATEGORIAS[[#This Row],[CATEGORIA2]],[1]HOMOLOGACION!$A$1:$I$571,9,FALSE),0)</f>
        <v>1Z01</v>
      </c>
      <c r="B405" s="274" t="str">
        <f>+IFERROR(VLOOKUP(CATEGORIAS[[#This Row],[CATEGORIA2]],[1]HOMOLOGACION!$A$1:$C$571,3,FALSE),0)</f>
        <v>1G05</v>
      </c>
      <c r="C405" s="274" t="str">
        <f>+IFERROR(VLOOKUP(CATEGORIAS[[#This Row],[CATEGORIA2]],[1]HOMOLOGACION!$A$1:$D$571,4,FALSE),0)</f>
        <v xml:space="preserve">Otros Equipos </v>
      </c>
      <c r="D405" s="144" t="s">
        <v>2121</v>
      </c>
      <c r="E405" s="273" t="s">
        <v>1148</v>
      </c>
      <c r="F405" s="275" t="s">
        <v>361</v>
      </c>
      <c r="G405" s="313">
        <v>0</v>
      </c>
      <c r="H405" s="313">
        <v>0</v>
      </c>
      <c r="I405" s="130">
        <v>0</v>
      </c>
      <c r="J405" s="130"/>
      <c r="K405" s="130"/>
      <c r="L405" s="143">
        <f>CATEGORIAS[[#This Row],[ADICIONALES]]+CATEGORIAS[[#This Row],[POM]]</f>
        <v>0</v>
      </c>
      <c r="M405" s="131">
        <v>0</v>
      </c>
      <c r="N405" s="227">
        <v>0</v>
      </c>
      <c r="O405" s="296">
        <f>CATEGORIAS[[#This Row],[PRODUCCION
PARTIDAS
ORIGINALES
ACTUAL]]+CATEGORIAS[[#This Row],[PRODUCCION
ADICIONALES
ACTUAL]]</f>
        <v>0</v>
      </c>
      <c r="P405" s="227">
        <v>0</v>
      </c>
      <c r="Q405" s="227">
        <v>0</v>
      </c>
      <c r="R405" s="297">
        <f>CATEGORIAS[[#This Row],[PRODUCCION
ANTERIOR]]+CATEGORIAS[[#This Row],[PRODUCCION
ADICIONALES
ANTERIOR]]</f>
        <v>0</v>
      </c>
      <c r="S405" s="133">
        <v>0</v>
      </c>
      <c r="T405" s="133"/>
      <c r="U405" s="133"/>
      <c r="V405" s="296">
        <f>SUM(CATEGORIAS[[#This Row],[COSTO
ACUMULADO  AX]:[PROVISIONES]])</f>
        <v>0</v>
      </c>
      <c r="W405" s="298">
        <v>0</v>
      </c>
      <c r="X405" s="227"/>
      <c r="Y405" s="227"/>
      <c r="Z405" s="297">
        <f>SUM(CATEGORIAS[[#This Row],[COSTO ACUMULADO
ANTERIOR]:[PROVISIONES
ANTERIOR]])</f>
        <v>0</v>
      </c>
      <c r="AA405" s="139">
        <f>CATEGORIAS[[#This Row],[PRESUPUESTO
FINAL
PROYECTADO]]-CATEGORIAS[[#This Row],[TOTAL PRODUCCION
ACTUAL]]</f>
        <v>0</v>
      </c>
      <c r="AB405" s="227">
        <v>0</v>
      </c>
      <c r="AC405" s="132"/>
      <c r="AD405" s="132"/>
      <c r="AE405" s="226">
        <f>SUM(CATEGORIAS[[#This Row],[INVENTARIO]:[PROYECCION
DE COSTO
DEL SALDO]])</f>
        <v>0</v>
      </c>
      <c r="AF405" s="132"/>
      <c r="AG405" s="132">
        <f>+CATEGORIAS[[#This Row],[PRESUPUESTO
FINAL
PROYECTADO]]-CATEGORIAS[[#This Row],[COSTO REAL]]-CATEGORIAS[[#This Row],[PROYECCION
TOTAL DE COSTO]]</f>
        <v>0</v>
      </c>
    </row>
    <row r="406" spans="1:33" x14ac:dyDescent="0.25">
      <c r="A406" s="274" t="str">
        <f>+IFERROR(VLOOKUP(CATEGORIAS[[#This Row],[CATEGORIA2]],[1]HOMOLOGACION!$A$1:$I$571,9,FALSE),0)</f>
        <v>1Z01</v>
      </c>
      <c r="B406" s="274" t="str">
        <f>+IFERROR(VLOOKUP(CATEGORIAS[[#This Row],[CATEGORIA2]],[1]HOMOLOGACION!$A$1:$C$571,3,FALSE),0)</f>
        <v>1G05</v>
      </c>
      <c r="C406" s="274" t="str">
        <f>+IFERROR(VLOOKUP(CATEGORIAS[[#This Row],[CATEGORIA2]],[1]HOMOLOGACION!$A$1:$D$571,4,FALSE),0)</f>
        <v xml:space="preserve">Otros Equipos </v>
      </c>
      <c r="D406" s="144" t="s">
        <v>2122</v>
      </c>
      <c r="E406" s="273" t="s">
        <v>1150</v>
      </c>
      <c r="F406" s="275" t="s">
        <v>361</v>
      </c>
      <c r="G406" s="313">
        <v>0</v>
      </c>
      <c r="H406" s="313">
        <v>0</v>
      </c>
      <c r="I406" s="130">
        <v>0</v>
      </c>
      <c r="J406" s="130"/>
      <c r="K406" s="130"/>
      <c r="L406" s="143">
        <f>CATEGORIAS[[#This Row],[ADICIONALES]]+CATEGORIAS[[#This Row],[POM]]</f>
        <v>0</v>
      </c>
      <c r="M406" s="131">
        <v>0</v>
      </c>
      <c r="N406" s="227">
        <v>0</v>
      </c>
      <c r="O406" s="296">
        <f>CATEGORIAS[[#This Row],[PRODUCCION
PARTIDAS
ORIGINALES
ACTUAL]]+CATEGORIAS[[#This Row],[PRODUCCION
ADICIONALES
ACTUAL]]</f>
        <v>0</v>
      </c>
      <c r="P406" s="227">
        <v>0</v>
      </c>
      <c r="Q406" s="132">
        <v>0</v>
      </c>
      <c r="R406" s="297">
        <f>CATEGORIAS[[#This Row],[PRODUCCION
ANTERIOR]]+CATEGORIAS[[#This Row],[PRODUCCION
ADICIONALES
ANTERIOR]]</f>
        <v>0</v>
      </c>
      <c r="S406" s="133">
        <v>0</v>
      </c>
      <c r="T406" s="133"/>
      <c r="U406" s="133"/>
      <c r="V406" s="296">
        <f>SUM(CATEGORIAS[[#This Row],[COSTO
ACUMULADO  AX]:[PROVISIONES]])</f>
        <v>0</v>
      </c>
      <c r="W406" s="298">
        <v>0</v>
      </c>
      <c r="X406" s="227"/>
      <c r="Y406" s="227"/>
      <c r="Z406" s="297">
        <f>SUM(CATEGORIAS[[#This Row],[COSTO ACUMULADO
ANTERIOR]:[PROVISIONES
ANTERIOR]])</f>
        <v>0</v>
      </c>
      <c r="AA406" s="139">
        <f>CATEGORIAS[[#This Row],[PRESUPUESTO
FINAL
PROYECTADO]]-CATEGORIAS[[#This Row],[TOTAL PRODUCCION
ACTUAL]]</f>
        <v>0</v>
      </c>
      <c r="AB406" s="227">
        <v>0</v>
      </c>
      <c r="AC406" s="132"/>
      <c r="AD406" s="132"/>
      <c r="AE406" s="226">
        <f>SUM(CATEGORIAS[[#This Row],[INVENTARIO]:[PROYECCION
DE COSTO
DEL SALDO]])</f>
        <v>0</v>
      </c>
      <c r="AF406" s="132"/>
      <c r="AG406" s="132">
        <f>+CATEGORIAS[[#This Row],[PRESUPUESTO
FINAL
PROYECTADO]]-CATEGORIAS[[#This Row],[COSTO REAL]]-CATEGORIAS[[#This Row],[PROYECCION
TOTAL DE COSTO]]</f>
        <v>0</v>
      </c>
    </row>
    <row r="407" spans="1:33" x14ac:dyDescent="0.25">
      <c r="A407" s="274" t="str">
        <f>+IFERROR(VLOOKUP(CATEGORIAS[[#This Row],[CATEGORIA2]],[1]HOMOLOGACION!$A$1:$I$571,9,FALSE),0)</f>
        <v>1Z01</v>
      </c>
      <c r="B407" s="274" t="str">
        <f>+IFERROR(VLOOKUP(CATEGORIAS[[#This Row],[CATEGORIA2]],[1]HOMOLOGACION!$A$1:$C$571,3,FALSE),0)</f>
        <v>1G05</v>
      </c>
      <c r="C407" s="274" t="str">
        <f>+IFERROR(VLOOKUP(CATEGORIAS[[#This Row],[CATEGORIA2]],[1]HOMOLOGACION!$A$1:$D$571,4,FALSE),0)</f>
        <v xml:space="preserve">Otros Equipos </v>
      </c>
      <c r="D407" s="144" t="s">
        <v>2123</v>
      </c>
      <c r="E407" s="273" t="s">
        <v>1152</v>
      </c>
      <c r="F407" s="275" t="s">
        <v>361</v>
      </c>
      <c r="G407" s="313">
        <v>0</v>
      </c>
      <c r="H407" s="313">
        <v>0</v>
      </c>
      <c r="I407" s="130">
        <v>0</v>
      </c>
      <c r="J407" s="130"/>
      <c r="K407" s="130"/>
      <c r="L407" s="143">
        <f>CATEGORIAS[[#This Row],[ADICIONALES]]+CATEGORIAS[[#This Row],[POM]]</f>
        <v>0</v>
      </c>
      <c r="M407" s="131">
        <v>0</v>
      </c>
      <c r="N407" s="227">
        <v>0</v>
      </c>
      <c r="O407" s="296">
        <f>CATEGORIAS[[#This Row],[PRODUCCION
PARTIDAS
ORIGINALES
ACTUAL]]+CATEGORIAS[[#This Row],[PRODUCCION
ADICIONALES
ACTUAL]]</f>
        <v>0</v>
      </c>
      <c r="P407" s="227">
        <v>0</v>
      </c>
      <c r="Q407" s="132">
        <v>0</v>
      </c>
      <c r="R407" s="297">
        <f>CATEGORIAS[[#This Row],[PRODUCCION
ANTERIOR]]+CATEGORIAS[[#This Row],[PRODUCCION
ADICIONALES
ANTERIOR]]</f>
        <v>0</v>
      </c>
      <c r="S407" s="133">
        <v>0</v>
      </c>
      <c r="T407" s="133"/>
      <c r="U407" s="133"/>
      <c r="V407" s="296">
        <f>SUM(CATEGORIAS[[#This Row],[COSTO
ACUMULADO  AX]:[PROVISIONES]])</f>
        <v>0</v>
      </c>
      <c r="W407" s="298">
        <v>0</v>
      </c>
      <c r="X407" s="227"/>
      <c r="Y407" s="227"/>
      <c r="Z407" s="297">
        <f>SUM(CATEGORIAS[[#This Row],[COSTO ACUMULADO
ANTERIOR]:[PROVISIONES
ANTERIOR]])</f>
        <v>0</v>
      </c>
      <c r="AA407" s="139">
        <f>CATEGORIAS[[#This Row],[PRESUPUESTO
FINAL
PROYECTADO]]-CATEGORIAS[[#This Row],[TOTAL PRODUCCION
ACTUAL]]</f>
        <v>0</v>
      </c>
      <c r="AB407" s="227">
        <v>0</v>
      </c>
      <c r="AC407" s="132"/>
      <c r="AD407" s="132"/>
      <c r="AE407" s="226">
        <f>SUM(CATEGORIAS[[#This Row],[INVENTARIO]:[PROYECCION
DE COSTO
DEL SALDO]])</f>
        <v>0</v>
      </c>
      <c r="AF407" s="132"/>
      <c r="AG407" s="132">
        <f>+CATEGORIAS[[#This Row],[PRESUPUESTO
FINAL
PROYECTADO]]-CATEGORIAS[[#This Row],[COSTO REAL]]-CATEGORIAS[[#This Row],[PROYECCION
TOTAL DE COSTO]]</f>
        <v>0</v>
      </c>
    </row>
    <row r="408" spans="1:33" x14ac:dyDescent="0.25">
      <c r="A408" s="274" t="str">
        <f>+IFERROR(VLOOKUP(CATEGORIAS[[#This Row],[CATEGORIA2]],[1]HOMOLOGACION!$A$1:$I$571,9,FALSE),0)</f>
        <v>1Z01</v>
      </c>
      <c r="B408" s="274" t="str">
        <f>+IFERROR(VLOOKUP(CATEGORIAS[[#This Row],[CATEGORIA2]],[1]HOMOLOGACION!$A$1:$C$571,3,FALSE),0)</f>
        <v>1G05</v>
      </c>
      <c r="C408" s="274" t="str">
        <f>+IFERROR(VLOOKUP(CATEGORIAS[[#This Row],[CATEGORIA2]],[1]HOMOLOGACION!$A$1:$D$571,4,FALSE),0)</f>
        <v xml:space="preserve">Otros Equipos </v>
      </c>
      <c r="D408" s="144" t="s">
        <v>2124</v>
      </c>
      <c r="E408" s="273" t="s">
        <v>1154</v>
      </c>
      <c r="F408" s="275" t="s">
        <v>361</v>
      </c>
      <c r="G408" s="313">
        <v>0</v>
      </c>
      <c r="H408" s="313">
        <v>0</v>
      </c>
      <c r="I408" s="130">
        <v>0</v>
      </c>
      <c r="J408" s="130"/>
      <c r="K408" s="130"/>
      <c r="L408" s="143">
        <f>CATEGORIAS[[#This Row],[ADICIONALES]]+CATEGORIAS[[#This Row],[POM]]</f>
        <v>0</v>
      </c>
      <c r="M408" s="131">
        <v>0</v>
      </c>
      <c r="N408" s="227">
        <v>0</v>
      </c>
      <c r="O408" s="296">
        <f>CATEGORIAS[[#This Row],[PRODUCCION
PARTIDAS
ORIGINALES
ACTUAL]]+CATEGORIAS[[#This Row],[PRODUCCION
ADICIONALES
ACTUAL]]</f>
        <v>0</v>
      </c>
      <c r="P408" s="227">
        <v>0</v>
      </c>
      <c r="Q408" s="227">
        <v>0</v>
      </c>
      <c r="R408" s="297">
        <f>CATEGORIAS[[#This Row],[PRODUCCION
ANTERIOR]]+CATEGORIAS[[#This Row],[PRODUCCION
ADICIONALES
ANTERIOR]]</f>
        <v>0</v>
      </c>
      <c r="S408" s="133">
        <v>0</v>
      </c>
      <c r="T408" s="298"/>
      <c r="U408" s="133"/>
      <c r="V408" s="296">
        <f>SUM(CATEGORIAS[[#This Row],[COSTO
ACUMULADO  AX]:[PROVISIONES]])</f>
        <v>0</v>
      </c>
      <c r="W408" s="298">
        <v>0</v>
      </c>
      <c r="X408" s="227"/>
      <c r="Y408" s="227"/>
      <c r="Z408" s="297">
        <f>SUM(CATEGORIAS[[#This Row],[COSTO ACUMULADO
ANTERIOR]:[PROVISIONES
ANTERIOR]])</f>
        <v>0</v>
      </c>
      <c r="AA408" s="299">
        <f>CATEGORIAS[[#This Row],[PRESUPUESTO
FINAL
PROYECTADO]]-CATEGORIAS[[#This Row],[TOTAL PRODUCCION
ACTUAL]]</f>
        <v>0</v>
      </c>
      <c r="AB408" s="227">
        <v>0</v>
      </c>
      <c r="AC408" s="132"/>
      <c r="AD408" s="132"/>
      <c r="AE408" s="226">
        <f>SUM(CATEGORIAS[[#This Row],[INVENTARIO]:[PROYECCION
DE COSTO
DEL SALDO]])</f>
        <v>0</v>
      </c>
      <c r="AF408" s="132"/>
      <c r="AG408" s="132">
        <f>+CATEGORIAS[[#This Row],[PRESUPUESTO
FINAL
PROYECTADO]]-CATEGORIAS[[#This Row],[COSTO REAL]]-CATEGORIAS[[#This Row],[PROYECCION
TOTAL DE COSTO]]</f>
        <v>0</v>
      </c>
    </row>
    <row r="409" spans="1:33" x14ac:dyDescent="0.25">
      <c r="A409" s="274" t="str">
        <f>+IFERROR(VLOOKUP(CATEGORIAS[[#This Row],[CATEGORIA2]],[1]HOMOLOGACION!$A$1:$I$571,9,FALSE),0)</f>
        <v>1Z01</v>
      </c>
      <c r="B409" s="274" t="str">
        <f>+IFERROR(VLOOKUP(CATEGORIAS[[#This Row],[CATEGORIA2]],[1]HOMOLOGACION!$A$1:$C$571,3,FALSE),0)</f>
        <v>1G05</v>
      </c>
      <c r="C409" s="274" t="str">
        <f>+IFERROR(VLOOKUP(CATEGORIAS[[#This Row],[CATEGORIA2]],[1]HOMOLOGACION!$A$1:$D$571,4,FALSE),0)</f>
        <v xml:space="preserve">Otros Equipos </v>
      </c>
      <c r="D409" s="144" t="s">
        <v>2125</v>
      </c>
      <c r="E409" s="273" t="s">
        <v>1156</v>
      </c>
      <c r="F409" s="275" t="s">
        <v>361</v>
      </c>
      <c r="G409" s="313">
        <v>0</v>
      </c>
      <c r="H409" s="313">
        <v>0</v>
      </c>
      <c r="I409" s="130">
        <v>0</v>
      </c>
      <c r="J409" s="130"/>
      <c r="K409" s="130"/>
      <c r="L409" s="143">
        <f>CATEGORIAS[[#This Row],[ADICIONALES]]+CATEGORIAS[[#This Row],[POM]]</f>
        <v>0</v>
      </c>
      <c r="M409" s="131">
        <v>0</v>
      </c>
      <c r="N409" s="227">
        <v>0</v>
      </c>
      <c r="O409" s="296">
        <f>CATEGORIAS[[#This Row],[PRODUCCION
PARTIDAS
ORIGINALES
ACTUAL]]+CATEGORIAS[[#This Row],[PRODUCCION
ADICIONALES
ACTUAL]]</f>
        <v>0</v>
      </c>
      <c r="P409" s="227">
        <v>0</v>
      </c>
      <c r="Q409" s="227">
        <v>0</v>
      </c>
      <c r="R409" s="297">
        <f>CATEGORIAS[[#This Row],[PRODUCCION
ANTERIOR]]+CATEGORIAS[[#This Row],[PRODUCCION
ADICIONALES
ANTERIOR]]</f>
        <v>0</v>
      </c>
      <c r="S409" s="133">
        <v>0</v>
      </c>
      <c r="T409" s="298"/>
      <c r="U409" s="133"/>
      <c r="V409" s="296">
        <f>SUM(CATEGORIAS[[#This Row],[COSTO
ACUMULADO  AX]:[PROVISIONES]])</f>
        <v>0</v>
      </c>
      <c r="W409" s="298">
        <v>0</v>
      </c>
      <c r="X409" s="227"/>
      <c r="Y409" s="227"/>
      <c r="Z409" s="297">
        <f>SUM(CATEGORIAS[[#This Row],[COSTO ACUMULADO
ANTERIOR]:[PROVISIONES
ANTERIOR]])</f>
        <v>0</v>
      </c>
      <c r="AA409" s="299">
        <f>CATEGORIAS[[#This Row],[PRESUPUESTO
FINAL
PROYECTADO]]-CATEGORIAS[[#This Row],[TOTAL PRODUCCION
ACTUAL]]</f>
        <v>0</v>
      </c>
      <c r="AB409" s="227">
        <v>0</v>
      </c>
      <c r="AC409" s="132"/>
      <c r="AD409" s="132"/>
      <c r="AE409" s="226">
        <f>SUM(CATEGORIAS[[#This Row],[INVENTARIO]:[PROYECCION
DE COSTO
DEL SALDO]])</f>
        <v>0</v>
      </c>
      <c r="AF409" s="132"/>
      <c r="AG409" s="132">
        <f>+CATEGORIAS[[#This Row],[PRESUPUESTO
FINAL
PROYECTADO]]-CATEGORIAS[[#This Row],[COSTO REAL]]-CATEGORIAS[[#This Row],[PROYECCION
TOTAL DE COSTO]]</f>
        <v>0</v>
      </c>
    </row>
    <row r="410" spans="1:33" x14ac:dyDescent="0.25">
      <c r="A410" s="274" t="str">
        <f>+IFERROR(VLOOKUP(CATEGORIAS[[#This Row],[CATEGORIA2]],[1]HOMOLOGACION!$A$1:$I$571,9,FALSE),0)</f>
        <v>1Z01</v>
      </c>
      <c r="B410" s="274" t="str">
        <f>+IFERROR(VLOOKUP(CATEGORIAS[[#This Row],[CATEGORIA2]],[1]HOMOLOGACION!$A$1:$C$571,3,FALSE),0)</f>
        <v>1G05</v>
      </c>
      <c r="C410" s="274" t="str">
        <f>+IFERROR(VLOOKUP(CATEGORIAS[[#This Row],[CATEGORIA2]],[1]HOMOLOGACION!$A$1:$D$571,4,FALSE),0)</f>
        <v xml:space="preserve">Otros Equipos </v>
      </c>
      <c r="D410" s="144" t="s">
        <v>2126</v>
      </c>
      <c r="E410" s="273" t="s">
        <v>1158</v>
      </c>
      <c r="F410" s="275" t="s">
        <v>361</v>
      </c>
      <c r="G410" s="313">
        <v>0</v>
      </c>
      <c r="H410" s="313">
        <v>0</v>
      </c>
      <c r="I410" s="130">
        <v>0</v>
      </c>
      <c r="J410" s="130"/>
      <c r="K410" s="130"/>
      <c r="L410" s="143">
        <f>CATEGORIAS[[#This Row],[ADICIONALES]]+CATEGORIAS[[#This Row],[POM]]</f>
        <v>0</v>
      </c>
      <c r="M410" s="131">
        <v>0</v>
      </c>
      <c r="N410" s="227">
        <v>0</v>
      </c>
      <c r="O410" s="296">
        <f>CATEGORIAS[[#This Row],[PRODUCCION
PARTIDAS
ORIGINALES
ACTUAL]]+CATEGORIAS[[#This Row],[PRODUCCION
ADICIONALES
ACTUAL]]</f>
        <v>0</v>
      </c>
      <c r="P410" s="227">
        <v>0</v>
      </c>
      <c r="Q410" s="227">
        <v>0</v>
      </c>
      <c r="R410" s="297">
        <f>CATEGORIAS[[#This Row],[PRODUCCION
ANTERIOR]]+CATEGORIAS[[#This Row],[PRODUCCION
ADICIONALES
ANTERIOR]]</f>
        <v>0</v>
      </c>
      <c r="S410" s="133">
        <v>0</v>
      </c>
      <c r="T410" s="133"/>
      <c r="U410" s="133"/>
      <c r="V410" s="296">
        <f>SUM(CATEGORIAS[[#This Row],[COSTO
ACUMULADO  AX]:[PROVISIONES]])</f>
        <v>0</v>
      </c>
      <c r="W410" s="298">
        <v>0</v>
      </c>
      <c r="X410" s="227"/>
      <c r="Y410" s="227"/>
      <c r="Z410" s="297">
        <f>SUM(CATEGORIAS[[#This Row],[COSTO ACUMULADO
ANTERIOR]:[PROVISIONES
ANTERIOR]])</f>
        <v>0</v>
      </c>
      <c r="AA410" s="139">
        <f>CATEGORIAS[[#This Row],[PRESUPUESTO
FINAL
PROYECTADO]]-CATEGORIAS[[#This Row],[TOTAL PRODUCCION
ACTUAL]]</f>
        <v>0</v>
      </c>
      <c r="AB410" s="227">
        <v>0</v>
      </c>
      <c r="AC410" s="132"/>
      <c r="AD410" s="132"/>
      <c r="AE410" s="226">
        <f>SUM(CATEGORIAS[[#This Row],[INVENTARIO]:[PROYECCION
DE COSTO
DEL SALDO]])</f>
        <v>0</v>
      </c>
      <c r="AF410" s="132"/>
      <c r="AG410" s="132">
        <f>+CATEGORIAS[[#This Row],[PRESUPUESTO
FINAL
PROYECTADO]]-CATEGORIAS[[#This Row],[COSTO REAL]]-CATEGORIAS[[#This Row],[PROYECCION
TOTAL DE COSTO]]</f>
        <v>0</v>
      </c>
    </row>
    <row r="411" spans="1:33" x14ac:dyDescent="0.25">
      <c r="A411" s="274" t="str">
        <f>+IFERROR(VLOOKUP(CATEGORIAS[[#This Row],[CATEGORIA2]],[1]HOMOLOGACION!$A$1:$I$571,9,FALSE),0)</f>
        <v>1Z01</v>
      </c>
      <c r="B411" s="274" t="str">
        <f>+IFERROR(VLOOKUP(CATEGORIAS[[#This Row],[CATEGORIA2]],[1]HOMOLOGACION!$A$1:$C$571,3,FALSE),0)</f>
        <v>1G05</v>
      </c>
      <c r="C411" s="274" t="str">
        <f>+IFERROR(VLOOKUP(CATEGORIAS[[#This Row],[CATEGORIA2]],[1]HOMOLOGACION!$A$1:$D$571,4,FALSE),0)</f>
        <v xml:space="preserve">Otros Equipos </v>
      </c>
      <c r="D411" s="144" t="s">
        <v>2127</v>
      </c>
      <c r="E411" s="273" t="s">
        <v>1160</v>
      </c>
      <c r="F411" s="275" t="s">
        <v>361</v>
      </c>
      <c r="G411" s="313">
        <v>0</v>
      </c>
      <c r="H411" s="313">
        <v>0</v>
      </c>
      <c r="I411" s="130">
        <v>0</v>
      </c>
      <c r="J411" s="130"/>
      <c r="K411" s="130"/>
      <c r="L411" s="143">
        <f>CATEGORIAS[[#This Row],[ADICIONALES]]+CATEGORIAS[[#This Row],[POM]]</f>
        <v>0</v>
      </c>
      <c r="M411" s="131">
        <v>0</v>
      </c>
      <c r="N411" s="227">
        <v>0</v>
      </c>
      <c r="O411" s="296">
        <f>CATEGORIAS[[#This Row],[PRODUCCION
PARTIDAS
ORIGINALES
ACTUAL]]+CATEGORIAS[[#This Row],[PRODUCCION
ADICIONALES
ACTUAL]]</f>
        <v>0</v>
      </c>
      <c r="P411" s="227">
        <v>0</v>
      </c>
      <c r="Q411" s="227">
        <v>0</v>
      </c>
      <c r="R411" s="297">
        <f>CATEGORIAS[[#This Row],[PRODUCCION
ANTERIOR]]+CATEGORIAS[[#This Row],[PRODUCCION
ADICIONALES
ANTERIOR]]</f>
        <v>0</v>
      </c>
      <c r="S411" s="133">
        <v>0</v>
      </c>
      <c r="T411" s="133"/>
      <c r="U411" s="133"/>
      <c r="V411" s="296">
        <f>SUM(CATEGORIAS[[#This Row],[COSTO
ACUMULADO  AX]:[PROVISIONES]])</f>
        <v>0</v>
      </c>
      <c r="W411" s="298">
        <v>0</v>
      </c>
      <c r="X411" s="227"/>
      <c r="Y411" s="227"/>
      <c r="Z411" s="297">
        <f>SUM(CATEGORIAS[[#This Row],[COSTO ACUMULADO
ANTERIOR]:[PROVISIONES
ANTERIOR]])</f>
        <v>0</v>
      </c>
      <c r="AA411" s="139">
        <f>CATEGORIAS[[#This Row],[PRESUPUESTO
FINAL
PROYECTADO]]-CATEGORIAS[[#This Row],[TOTAL PRODUCCION
ACTUAL]]</f>
        <v>0</v>
      </c>
      <c r="AB411" s="227">
        <v>0</v>
      </c>
      <c r="AC411" s="132"/>
      <c r="AD411" s="132"/>
      <c r="AE411" s="226">
        <f>SUM(CATEGORIAS[[#This Row],[INVENTARIO]:[PROYECCION
DE COSTO
DEL SALDO]])</f>
        <v>0</v>
      </c>
      <c r="AF411" s="132"/>
      <c r="AG411" s="132">
        <f>+CATEGORIAS[[#This Row],[PRESUPUESTO
FINAL
PROYECTADO]]-CATEGORIAS[[#This Row],[COSTO REAL]]-CATEGORIAS[[#This Row],[PROYECCION
TOTAL DE COSTO]]</f>
        <v>0</v>
      </c>
    </row>
    <row r="412" spans="1:33" x14ac:dyDescent="0.25">
      <c r="A412" s="274" t="str">
        <f>+IFERROR(VLOOKUP(CATEGORIAS[[#This Row],[CATEGORIA2]],[1]HOMOLOGACION!$A$1:$I$571,9,FALSE),0)</f>
        <v>1Z01</v>
      </c>
      <c r="B412" s="274" t="str">
        <f>+IFERROR(VLOOKUP(CATEGORIAS[[#This Row],[CATEGORIA2]],[1]HOMOLOGACION!$A$1:$C$571,3,FALSE),0)</f>
        <v>1G05</v>
      </c>
      <c r="C412" s="274" t="str">
        <f>+IFERROR(VLOOKUP(CATEGORIAS[[#This Row],[CATEGORIA2]],[1]HOMOLOGACION!$A$1:$D$571,4,FALSE),0)</f>
        <v xml:space="preserve">Otros Equipos </v>
      </c>
      <c r="D412" s="144" t="s">
        <v>2128</v>
      </c>
      <c r="E412" s="273" t="s">
        <v>1162</v>
      </c>
      <c r="F412" s="275" t="s">
        <v>361</v>
      </c>
      <c r="G412" s="313">
        <v>0</v>
      </c>
      <c r="H412" s="313">
        <v>0</v>
      </c>
      <c r="I412" s="130">
        <v>0</v>
      </c>
      <c r="J412" s="130"/>
      <c r="K412" s="130"/>
      <c r="L412" s="143">
        <f>CATEGORIAS[[#This Row],[ADICIONALES]]+CATEGORIAS[[#This Row],[POM]]</f>
        <v>0</v>
      </c>
      <c r="M412" s="131">
        <v>0</v>
      </c>
      <c r="N412" s="227">
        <v>0</v>
      </c>
      <c r="O412" s="296">
        <f>CATEGORIAS[[#This Row],[PRODUCCION
PARTIDAS
ORIGINALES
ACTUAL]]+CATEGORIAS[[#This Row],[PRODUCCION
ADICIONALES
ACTUAL]]</f>
        <v>0</v>
      </c>
      <c r="P412" s="227">
        <v>0</v>
      </c>
      <c r="Q412" s="132">
        <v>0</v>
      </c>
      <c r="R412" s="297">
        <f>CATEGORIAS[[#This Row],[PRODUCCION
ANTERIOR]]+CATEGORIAS[[#This Row],[PRODUCCION
ADICIONALES
ANTERIOR]]</f>
        <v>0</v>
      </c>
      <c r="S412" s="133">
        <v>0</v>
      </c>
      <c r="T412" s="133"/>
      <c r="U412" s="133"/>
      <c r="V412" s="296">
        <f>SUM(CATEGORIAS[[#This Row],[COSTO
ACUMULADO  AX]:[PROVISIONES]])</f>
        <v>0</v>
      </c>
      <c r="W412" s="298">
        <v>0</v>
      </c>
      <c r="X412" s="227"/>
      <c r="Y412" s="227"/>
      <c r="Z412" s="297">
        <f>SUM(CATEGORIAS[[#This Row],[COSTO ACUMULADO
ANTERIOR]:[PROVISIONES
ANTERIOR]])</f>
        <v>0</v>
      </c>
      <c r="AA412" s="139">
        <f>CATEGORIAS[[#This Row],[PRESUPUESTO
FINAL
PROYECTADO]]-CATEGORIAS[[#This Row],[TOTAL PRODUCCION
ACTUAL]]</f>
        <v>0</v>
      </c>
      <c r="AB412" s="227">
        <v>0</v>
      </c>
      <c r="AC412" s="132"/>
      <c r="AD412" s="132"/>
      <c r="AE412" s="226">
        <f>SUM(CATEGORIAS[[#This Row],[INVENTARIO]:[PROYECCION
DE COSTO
DEL SALDO]])</f>
        <v>0</v>
      </c>
      <c r="AF412" s="132"/>
      <c r="AG412" s="132">
        <f>+CATEGORIAS[[#This Row],[PRESUPUESTO
FINAL
PROYECTADO]]-CATEGORIAS[[#This Row],[COSTO REAL]]-CATEGORIAS[[#This Row],[PROYECCION
TOTAL DE COSTO]]</f>
        <v>0</v>
      </c>
    </row>
    <row r="413" spans="1:33" x14ac:dyDescent="0.25">
      <c r="A413" s="274" t="str">
        <f>+IFERROR(VLOOKUP(CATEGORIAS[[#This Row],[CATEGORIA2]],[1]HOMOLOGACION!$A$1:$I$571,9,FALSE),0)</f>
        <v>1Z01</v>
      </c>
      <c r="B413" s="274" t="str">
        <f>+IFERROR(VLOOKUP(CATEGORIAS[[#This Row],[CATEGORIA2]],[1]HOMOLOGACION!$A$1:$C$571,3,FALSE),0)</f>
        <v>1G05</v>
      </c>
      <c r="C413" s="274" t="str">
        <f>+IFERROR(VLOOKUP(CATEGORIAS[[#This Row],[CATEGORIA2]],[1]HOMOLOGACION!$A$1:$D$571,4,FALSE),0)</f>
        <v xml:space="preserve">Otros Equipos </v>
      </c>
      <c r="D413" s="144" t="s">
        <v>2129</v>
      </c>
      <c r="E413" s="273" t="s">
        <v>1164</v>
      </c>
      <c r="F413" s="275" t="s">
        <v>361</v>
      </c>
      <c r="G413" s="313">
        <v>0</v>
      </c>
      <c r="H413" s="313">
        <v>0</v>
      </c>
      <c r="I413" s="130">
        <v>0</v>
      </c>
      <c r="J413" s="130"/>
      <c r="K413" s="130"/>
      <c r="L413" s="143">
        <f>CATEGORIAS[[#This Row],[ADICIONALES]]+CATEGORIAS[[#This Row],[POM]]</f>
        <v>0</v>
      </c>
      <c r="M413" s="131">
        <v>0</v>
      </c>
      <c r="N413" s="227">
        <v>0</v>
      </c>
      <c r="O413" s="296">
        <f>CATEGORIAS[[#This Row],[PRODUCCION
PARTIDAS
ORIGINALES
ACTUAL]]+CATEGORIAS[[#This Row],[PRODUCCION
ADICIONALES
ACTUAL]]</f>
        <v>0</v>
      </c>
      <c r="P413" s="227">
        <v>0</v>
      </c>
      <c r="Q413" s="227">
        <v>0</v>
      </c>
      <c r="R413" s="297">
        <f>CATEGORIAS[[#This Row],[PRODUCCION
ANTERIOR]]+CATEGORIAS[[#This Row],[PRODUCCION
ADICIONALES
ANTERIOR]]</f>
        <v>0</v>
      </c>
      <c r="S413" s="133">
        <v>0</v>
      </c>
      <c r="T413" s="133"/>
      <c r="U413" s="133"/>
      <c r="V413" s="296">
        <f>SUM(CATEGORIAS[[#This Row],[COSTO
ACUMULADO  AX]:[PROVISIONES]])</f>
        <v>0</v>
      </c>
      <c r="W413" s="298">
        <v>0</v>
      </c>
      <c r="X413" s="227"/>
      <c r="Y413" s="227"/>
      <c r="Z413" s="297">
        <f>SUM(CATEGORIAS[[#This Row],[COSTO ACUMULADO
ANTERIOR]:[PROVISIONES
ANTERIOR]])</f>
        <v>0</v>
      </c>
      <c r="AA413" s="139">
        <f>CATEGORIAS[[#This Row],[PRESUPUESTO
FINAL
PROYECTADO]]-CATEGORIAS[[#This Row],[TOTAL PRODUCCION
ACTUAL]]</f>
        <v>0</v>
      </c>
      <c r="AB413" s="227">
        <v>0</v>
      </c>
      <c r="AC413" s="132"/>
      <c r="AD413" s="132"/>
      <c r="AE413" s="226">
        <f>SUM(CATEGORIAS[[#This Row],[INVENTARIO]:[PROYECCION
DE COSTO
DEL SALDO]])</f>
        <v>0</v>
      </c>
      <c r="AF413" s="132"/>
      <c r="AG413" s="132">
        <f>+CATEGORIAS[[#This Row],[PRESUPUESTO
FINAL
PROYECTADO]]-CATEGORIAS[[#This Row],[COSTO REAL]]-CATEGORIAS[[#This Row],[PROYECCION
TOTAL DE COSTO]]</f>
        <v>0</v>
      </c>
    </row>
    <row r="414" spans="1:33" x14ac:dyDescent="0.25">
      <c r="A414" s="274" t="str">
        <f>+IFERROR(VLOOKUP(CATEGORIAS[[#This Row],[CATEGORIA2]],[1]HOMOLOGACION!$A$1:$I$571,9,FALSE),0)</f>
        <v>1Z01</v>
      </c>
      <c r="B414" s="274" t="str">
        <f>+IFERROR(VLOOKUP(CATEGORIAS[[#This Row],[CATEGORIA2]],[1]HOMOLOGACION!$A$1:$C$571,3,FALSE),0)</f>
        <v>1G05</v>
      </c>
      <c r="C414" s="274" t="str">
        <f>+IFERROR(VLOOKUP(CATEGORIAS[[#This Row],[CATEGORIA2]],[1]HOMOLOGACION!$A$1:$D$571,4,FALSE),0)</f>
        <v xml:space="preserve">Otros Equipos </v>
      </c>
      <c r="D414" s="144" t="s">
        <v>2130</v>
      </c>
      <c r="E414" s="273" t="s">
        <v>1164</v>
      </c>
      <c r="F414" s="275" t="s">
        <v>361</v>
      </c>
      <c r="G414" s="313">
        <v>0</v>
      </c>
      <c r="H414" s="313">
        <v>0</v>
      </c>
      <c r="I414" s="130">
        <v>0</v>
      </c>
      <c r="J414" s="130"/>
      <c r="K414" s="130"/>
      <c r="L414" s="143">
        <f>CATEGORIAS[[#This Row],[ADICIONALES]]+CATEGORIAS[[#This Row],[POM]]</f>
        <v>0</v>
      </c>
      <c r="M414" s="131">
        <v>0</v>
      </c>
      <c r="N414" s="227">
        <v>0</v>
      </c>
      <c r="O414" s="296">
        <f>CATEGORIAS[[#This Row],[PRODUCCION
PARTIDAS
ORIGINALES
ACTUAL]]+CATEGORIAS[[#This Row],[PRODUCCION
ADICIONALES
ACTUAL]]</f>
        <v>0</v>
      </c>
      <c r="P414" s="227">
        <v>0</v>
      </c>
      <c r="Q414" s="132">
        <v>0</v>
      </c>
      <c r="R414" s="297">
        <f>CATEGORIAS[[#This Row],[PRODUCCION
ANTERIOR]]+CATEGORIAS[[#This Row],[PRODUCCION
ADICIONALES
ANTERIOR]]</f>
        <v>0</v>
      </c>
      <c r="S414" s="133">
        <v>0</v>
      </c>
      <c r="T414" s="133"/>
      <c r="U414" s="133"/>
      <c r="V414" s="296">
        <f>SUM(CATEGORIAS[[#This Row],[COSTO
ACUMULADO  AX]:[PROVISIONES]])</f>
        <v>0</v>
      </c>
      <c r="W414" s="298">
        <v>0</v>
      </c>
      <c r="X414" s="227"/>
      <c r="Y414" s="227"/>
      <c r="Z414" s="297">
        <f>SUM(CATEGORIAS[[#This Row],[COSTO ACUMULADO
ANTERIOR]:[PROVISIONES
ANTERIOR]])</f>
        <v>0</v>
      </c>
      <c r="AA414" s="139">
        <f>CATEGORIAS[[#This Row],[PRESUPUESTO
FINAL
PROYECTADO]]-CATEGORIAS[[#This Row],[TOTAL PRODUCCION
ACTUAL]]</f>
        <v>0</v>
      </c>
      <c r="AB414" s="227">
        <v>0</v>
      </c>
      <c r="AC414" s="132"/>
      <c r="AD414" s="132"/>
      <c r="AE414" s="226">
        <f>SUM(CATEGORIAS[[#This Row],[INVENTARIO]:[PROYECCION
DE COSTO
DEL SALDO]])</f>
        <v>0</v>
      </c>
      <c r="AF414" s="132"/>
      <c r="AG414" s="132">
        <f>+CATEGORIAS[[#This Row],[PRESUPUESTO
FINAL
PROYECTADO]]-CATEGORIAS[[#This Row],[COSTO REAL]]-CATEGORIAS[[#This Row],[PROYECCION
TOTAL DE COSTO]]</f>
        <v>0</v>
      </c>
    </row>
    <row r="415" spans="1:33" x14ac:dyDescent="0.25">
      <c r="A415" s="274" t="str">
        <f>+IFERROR(VLOOKUP(CATEGORIAS[[#This Row],[CATEGORIA2]],[1]HOMOLOGACION!$A$1:$I$571,9,FALSE),0)</f>
        <v>1Z01</v>
      </c>
      <c r="B415" s="274" t="str">
        <f>+IFERROR(VLOOKUP(CATEGORIAS[[#This Row],[CATEGORIA2]],[1]HOMOLOGACION!$A$1:$C$571,3,FALSE),0)</f>
        <v>1G04</v>
      </c>
      <c r="C415" s="274" t="str">
        <f>+IFERROR(VLOOKUP(CATEGORIAS[[#This Row],[CATEGORIA2]],[1]HOMOLOGACION!$A$1:$D$571,4,FALSE),0)</f>
        <v xml:space="preserve">Combustibles </v>
      </c>
      <c r="D415" s="144" t="s">
        <v>2131</v>
      </c>
      <c r="E415" s="273" t="s">
        <v>1167</v>
      </c>
      <c r="F415" s="275" t="s">
        <v>361</v>
      </c>
      <c r="G415" s="313">
        <v>0</v>
      </c>
      <c r="H415" s="313">
        <v>0</v>
      </c>
      <c r="I415" s="130">
        <v>0</v>
      </c>
      <c r="J415" s="130"/>
      <c r="K415" s="130"/>
      <c r="L415" s="143">
        <f>CATEGORIAS[[#This Row],[ADICIONALES]]+CATEGORIAS[[#This Row],[POM]]</f>
        <v>0</v>
      </c>
      <c r="M415" s="131">
        <v>0</v>
      </c>
      <c r="N415" s="227">
        <v>0</v>
      </c>
      <c r="O415" s="296">
        <f>CATEGORIAS[[#This Row],[PRODUCCION
PARTIDAS
ORIGINALES
ACTUAL]]+CATEGORIAS[[#This Row],[PRODUCCION
ADICIONALES
ACTUAL]]</f>
        <v>0</v>
      </c>
      <c r="P415" s="227">
        <v>0</v>
      </c>
      <c r="Q415" s="227">
        <v>0</v>
      </c>
      <c r="R415" s="297">
        <f>CATEGORIAS[[#This Row],[PRODUCCION
ANTERIOR]]+CATEGORIAS[[#This Row],[PRODUCCION
ADICIONALES
ANTERIOR]]</f>
        <v>0</v>
      </c>
      <c r="S415" s="133">
        <v>0</v>
      </c>
      <c r="T415" s="133"/>
      <c r="U415" s="133"/>
      <c r="V415" s="296">
        <f>SUM(CATEGORIAS[[#This Row],[COSTO
ACUMULADO  AX]:[PROVISIONES]])</f>
        <v>0</v>
      </c>
      <c r="W415" s="298">
        <v>0</v>
      </c>
      <c r="X415" s="227"/>
      <c r="Y415" s="227"/>
      <c r="Z415" s="297">
        <f>SUM(CATEGORIAS[[#This Row],[COSTO ACUMULADO
ANTERIOR]:[PROVISIONES
ANTERIOR]])</f>
        <v>0</v>
      </c>
      <c r="AA415" s="139">
        <f>CATEGORIAS[[#This Row],[PRESUPUESTO
FINAL
PROYECTADO]]-CATEGORIAS[[#This Row],[TOTAL PRODUCCION
ACTUAL]]</f>
        <v>0</v>
      </c>
      <c r="AB415" s="227">
        <v>0</v>
      </c>
      <c r="AC415" s="132"/>
      <c r="AD415" s="132"/>
      <c r="AE415" s="226">
        <f>SUM(CATEGORIAS[[#This Row],[INVENTARIO]:[PROYECCION
DE COSTO
DEL SALDO]])</f>
        <v>0</v>
      </c>
      <c r="AF415" s="132"/>
      <c r="AG415" s="132">
        <f>+CATEGORIAS[[#This Row],[PRESUPUESTO
FINAL
PROYECTADO]]-CATEGORIAS[[#This Row],[COSTO REAL]]-CATEGORIAS[[#This Row],[PROYECCION
TOTAL DE COSTO]]</f>
        <v>0</v>
      </c>
    </row>
    <row r="416" spans="1:33" x14ac:dyDescent="0.25">
      <c r="A416" s="274" t="str">
        <f>+IFERROR(VLOOKUP(CATEGORIAS[[#This Row],[CATEGORIA2]],[1]HOMOLOGACION!$A$1:$I$571,9,FALSE),0)</f>
        <v>1Z01</v>
      </c>
      <c r="B416" s="274" t="str">
        <f>+IFERROR(VLOOKUP(CATEGORIAS[[#This Row],[CATEGORIA2]],[1]HOMOLOGACION!$A$1:$C$571,3,FALSE),0)</f>
        <v>1G04</v>
      </c>
      <c r="C416" s="274" t="str">
        <f>+IFERROR(VLOOKUP(CATEGORIAS[[#This Row],[CATEGORIA2]],[1]HOMOLOGACION!$A$1:$D$571,4,FALSE),0)</f>
        <v xml:space="preserve">Combustibles </v>
      </c>
      <c r="D416" s="144" t="s">
        <v>2132</v>
      </c>
      <c r="E416" s="273" t="s">
        <v>1169</v>
      </c>
      <c r="F416" s="275" t="s">
        <v>361</v>
      </c>
      <c r="G416" s="313">
        <v>0</v>
      </c>
      <c r="H416" s="313">
        <v>0</v>
      </c>
      <c r="I416" s="130">
        <v>0</v>
      </c>
      <c r="J416" s="130"/>
      <c r="K416" s="130"/>
      <c r="L416" s="143">
        <f>CATEGORIAS[[#This Row],[ADICIONALES]]+CATEGORIAS[[#This Row],[POM]]</f>
        <v>0</v>
      </c>
      <c r="M416" s="131">
        <v>0</v>
      </c>
      <c r="N416" s="227">
        <v>0</v>
      </c>
      <c r="O416" s="296">
        <f>CATEGORIAS[[#This Row],[PRODUCCION
PARTIDAS
ORIGINALES
ACTUAL]]+CATEGORIAS[[#This Row],[PRODUCCION
ADICIONALES
ACTUAL]]</f>
        <v>0</v>
      </c>
      <c r="P416" s="227">
        <v>0</v>
      </c>
      <c r="Q416" s="227">
        <v>0</v>
      </c>
      <c r="R416" s="297">
        <f>CATEGORIAS[[#This Row],[PRODUCCION
ANTERIOR]]+CATEGORIAS[[#This Row],[PRODUCCION
ADICIONALES
ANTERIOR]]</f>
        <v>0</v>
      </c>
      <c r="S416" s="133">
        <v>0</v>
      </c>
      <c r="T416" s="133"/>
      <c r="U416" s="133"/>
      <c r="V416" s="296">
        <f>SUM(CATEGORIAS[[#This Row],[COSTO
ACUMULADO  AX]:[PROVISIONES]])</f>
        <v>0</v>
      </c>
      <c r="W416" s="298">
        <v>0</v>
      </c>
      <c r="X416" s="227"/>
      <c r="Y416" s="227"/>
      <c r="Z416" s="297">
        <f>SUM(CATEGORIAS[[#This Row],[COSTO ACUMULADO
ANTERIOR]:[PROVISIONES
ANTERIOR]])</f>
        <v>0</v>
      </c>
      <c r="AA416" s="139">
        <f>CATEGORIAS[[#This Row],[PRESUPUESTO
FINAL
PROYECTADO]]-CATEGORIAS[[#This Row],[TOTAL PRODUCCION
ACTUAL]]</f>
        <v>0</v>
      </c>
      <c r="AB416" s="227">
        <v>0</v>
      </c>
      <c r="AC416" s="132"/>
      <c r="AD416" s="132"/>
      <c r="AE416" s="226">
        <f>SUM(CATEGORIAS[[#This Row],[INVENTARIO]:[PROYECCION
DE COSTO
DEL SALDO]])</f>
        <v>0</v>
      </c>
      <c r="AF416" s="132"/>
      <c r="AG416" s="132">
        <f>+CATEGORIAS[[#This Row],[PRESUPUESTO
FINAL
PROYECTADO]]-CATEGORIAS[[#This Row],[COSTO REAL]]-CATEGORIAS[[#This Row],[PROYECCION
TOTAL DE COSTO]]</f>
        <v>0</v>
      </c>
    </row>
    <row r="417" spans="1:33" x14ac:dyDescent="0.25">
      <c r="A417" s="274" t="str">
        <f>+IFERROR(VLOOKUP(CATEGORIAS[[#This Row],[CATEGORIA2]],[1]HOMOLOGACION!$A$1:$I$571,9,FALSE),0)</f>
        <v>1Z01</v>
      </c>
      <c r="B417" s="274" t="str">
        <f>+IFERROR(VLOOKUP(CATEGORIAS[[#This Row],[CATEGORIA2]],[1]HOMOLOGACION!$A$1:$C$571,3,FALSE),0)</f>
        <v>1G04</v>
      </c>
      <c r="C417" s="274" t="str">
        <f>+IFERROR(VLOOKUP(CATEGORIAS[[#This Row],[CATEGORIA2]],[1]HOMOLOGACION!$A$1:$D$571,4,FALSE),0)</f>
        <v xml:space="preserve">Combustibles </v>
      </c>
      <c r="D417" s="144" t="s">
        <v>2133</v>
      </c>
      <c r="E417" s="273" t="s">
        <v>1171</v>
      </c>
      <c r="F417" s="275" t="s">
        <v>361</v>
      </c>
      <c r="G417" s="313">
        <v>0</v>
      </c>
      <c r="H417" s="313">
        <v>0</v>
      </c>
      <c r="I417" s="130">
        <v>0</v>
      </c>
      <c r="J417" s="130"/>
      <c r="K417" s="130"/>
      <c r="L417" s="143">
        <f>CATEGORIAS[[#This Row],[ADICIONALES]]+CATEGORIAS[[#This Row],[POM]]</f>
        <v>0</v>
      </c>
      <c r="M417" s="131">
        <v>0</v>
      </c>
      <c r="N417" s="227">
        <v>0</v>
      </c>
      <c r="O417" s="296">
        <f>CATEGORIAS[[#This Row],[PRODUCCION
PARTIDAS
ORIGINALES
ACTUAL]]+CATEGORIAS[[#This Row],[PRODUCCION
ADICIONALES
ACTUAL]]</f>
        <v>0</v>
      </c>
      <c r="P417" s="227">
        <v>0</v>
      </c>
      <c r="Q417" s="227">
        <v>0</v>
      </c>
      <c r="R417" s="297">
        <f>CATEGORIAS[[#This Row],[PRODUCCION
ANTERIOR]]+CATEGORIAS[[#This Row],[PRODUCCION
ADICIONALES
ANTERIOR]]</f>
        <v>0</v>
      </c>
      <c r="S417" s="133">
        <v>0</v>
      </c>
      <c r="T417" s="133"/>
      <c r="U417" s="133"/>
      <c r="V417" s="296">
        <f>SUM(CATEGORIAS[[#This Row],[COSTO
ACUMULADO  AX]:[PROVISIONES]])</f>
        <v>0</v>
      </c>
      <c r="W417" s="298">
        <v>0</v>
      </c>
      <c r="X417" s="227"/>
      <c r="Y417" s="227"/>
      <c r="Z417" s="297">
        <f>SUM(CATEGORIAS[[#This Row],[COSTO ACUMULADO
ANTERIOR]:[PROVISIONES
ANTERIOR]])</f>
        <v>0</v>
      </c>
      <c r="AA417" s="139">
        <f>CATEGORIAS[[#This Row],[PRESUPUESTO
FINAL
PROYECTADO]]-CATEGORIAS[[#This Row],[TOTAL PRODUCCION
ACTUAL]]</f>
        <v>0</v>
      </c>
      <c r="AB417" s="227">
        <v>0</v>
      </c>
      <c r="AC417" s="132"/>
      <c r="AD417" s="132"/>
      <c r="AE417" s="226">
        <f>SUM(CATEGORIAS[[#This Row],[INVENTARIO]:[PROYECCION
DE COSTO
DEL SALDO]])</f>
        <v>0</v>
      </c>
      <c r="AF417" s="132"/>
      <c r="AG417" s="132">
        <f>+CATEGORIAS[[#This Row],[PRESUPUESTO
FINAL
PROYECTADO]]-CATEGORIAS[[#This Row],[COSTO REAL]]-CATEGORIAS[[#This Row],[PROYECCION
TOTAL DE COSTO]]</f>
        <v>0</v>
      </c>
    </row>
    <row r="418" spans="1:33" x14ac:dyDescent="0.25">
      <c r="A418" s="274" t="str">
        <f>+IFERROR(VLOOKUP(CATEGORIAS[[#This Row],[CATEGORIA2]],[1]HOMOLOGACION!$A$1:$I$571,9,FALSE),0)</f>
        <v>1Z01</v>
      </c>
      <c r="B418" s="274" t="str">
        <f>+IFERROR(VLOOKUP(CATEGORIAS[[#This Row],[CATEGORIA2]],[1]HOMOLOGACION!$A$1:$C$571,3,FALSE),0)</f>
        <v>1G04</v>
      </c>
      <c r="C418" s="274" t="str">
        <f>+IFERROR(VLOOKUP(CATEGORIAS[[#This Row],[CATEGORIA2]],[1]HOMOLOGACION!$A$1:$D$571,4,FALSE),0)</f>
        <v xml:space="preserve">Combustibles </v>
      </c>
      <c r="D418" s="144" t="s">
        <v>2134</v>
      </c>
      <c r="E418" s="273" t="s">
        <v>1173</v>
      </c>
      <c r="F418" s="275" t="s">
        <v>361</v>
      </c>
      <c r="G418" s="313">
        <v>0</v>
      </c>
      <c r="H418" s="313">
        <v>0</v>
      </c>
      <c r="I418" s="130">
        <v>0</v>
      </c>
      <c r="J418" s="130"/>
      <c r="K418" s="130"/>
      <c r="L418" s="143">
        <f>CATEGORIAS[[#This Row],[ADICIONALES]]+CATEGORIAS[[#This Row],[POM]]</f>
        <v>0</v>
      </c>
      <c r="M418" s="131">
        <v>0</v>
      </c>
      <c r="N418" s="227">
        <v>0</v>
      </c>
      <c r="O418" s="296">
        <f>CATEGORIAS[[#This Row],[PRODUCCION
PARTIDAS
ORIGINALES
ACTUAL]]+CATEGORIAS[[#This Row],[PRODUCCION
ADICIONALES
ACTUAL]]</f>
        <v>0</v>
      </c>
      <c r="P418" s="227">
        <v>0</v>
      </c>
      <c r="Q418" s="227">
        <v>0</v>
      </c>
      <c r="R418" s="297">
        <f>CATEGORIAS[[#This Row],[PRODUCCION
ANTERIOR]]+CATEGORIAS[[#This Row],[PRODUCCION
ADICIONALES
ANTERIOR]]</f>
        <v>0</v>
      </c>
      <c r="S418" s="133">
        <v>0</v>
      </c>
      <c r="T418" s="133"/>
      <c r="U418" s="133"/>
      <c r="V418" s="296">
        <f>SUM(CATEGORIAS[[#This Row],[COSTO
ACUMULADO  AX]:[PROVISIONES]])</f>
        <v>0</v>
      </c>
      <c r="W418" s="298">
        <v>0</v>
      </c>
      <c r="X418" s="227"/>
      <c r="Y418" s="227"/>
      <c r="Z418" s="297">
        <f>SUM(CATEGORIAS[[#This Row],[COSTO ACUMULADO
ANTERIOR]:[PROVISIONES
ANTERIOR]])</f>
        <v>0</v>
      </c>
      <c r="AA418" s="139">
        <f>CATEGORIAS[[#This Row],[PRESUPUESTO
FINAL
PROYECTADO]]-CATEGORIAS[[#This Row],[TOTAL PRODUCCION
ACTUAL]]</f>
        <v>0</v>
      </c>
      <c r="AB418" s="227">
        <v>0</v>
      </c>
      <c r="AC418" s="132"/>
      <c r="AD418" s="132"/>
      <c r="AE418" s="226">
        <f>SUM(CATEGORIAS[[#This Row],[INVENTARIO]:[PROYECCION
DE COSTO
DEL SALDO]])</f>
        <v>0</v>
      </c>
      <c r="AF418" s="132"/>
      <c r="AG418" s="132">
        <f>+CATEGORIAS[[#This Row],[PRESUPUESTO
FINAL
PROYECTADO]]-CATEGORIAS[[#This Row],[COSTO REAL]]-CATEGORIAS[[#This Row],[PROYECCION
TOTAL DE COSTO]]</f>
        <v>0</v>
      </c>
    </row>
    <row r="419" spans="1:33" x14ac:dyDescent="0.25">
      <c r="A419" s="274" t="str">
        <f>+IFERROR(VLOOKUP(CATEGORIAS[[#This Row],[CATEGORIA2]],[1]HOMOLOGACION!$A$1:$I$571,9,FALSE),0)</f>
        <v>1Z01</v>
      </c>
      <c r="B419" s="274" t="str">
        <f>+IFERROR(VLOOKUP(CATEGORIAS[[#This Row],[CATEGORIA2]],[1]HOMOLOGACION!$A$1:$C$571,3,FALSE),0)</f>
        <v>1G04</v>
      </c>
      <c r="C419" s="274" t="str">
        <f>+IFERROR(VLOOKUP(CATEGORIAS[[#This Row],[CATEGORIA2]],[1]HOMOLOGACION!$A$1:$D$571,4,FALSE),0)</f>
        <v xml:space="preserve">Combustibles </v>
      </c>
      <c r="D419" s="144" t="s">
        <v>2135</v>
      </c>
      <c r="E419" s="273" t="s">
        <v>1175</v>
      </c>
      <c r="F419" s="275" t="s">
        <v>361</v>
      </c>
      <c r="G419" s="313">
        <v>0</v>
      </c>
      <c r="H419" s="313">
        <v>0</v>
      </c>
      <c r="I419" s="130">
        <v>0</v>
      </c>
      <c r="J419" s="130"/>
      <c r="K419" s="130"/>
      <c r="L419" s="143">
        <f>CATEGORIAS[[#This Row],[ADICIONALES]]+CATEGORIAS[[#This Row],[POM]]</f>
        <v>0</v>
      </c>
      <c r="M419" s="131">
        <v>0</v>
      </c>
      <c r="N419" s="227">
        <v>0</v>
      </c>
      <c r="O419" s="296">
        <f>CATEGORIAS[[#This Row],[PRODUCCION
PARTIDAS
ORIGINALES
ACTUAL]]+CATEGORIAS[[#This Row],[PRODUCCION
ADICIONALES
ACTUAL]]</f>
        <v>0</v>
      </c>
      <c r="P419" s="227">
        <v>0</v>
      </c>
      <c r="Q419" s="227">
        <v>0</v>
      </c>
      <c r="R419" s="297">
        <f>CATEGORIAS[[#This Row],[PRODUCCION
ANTERIOR]]+CATEGORIAS[[#This Row],[PRODUCCION
ADICIONALES
ANTERIOR]]</f>
        <v>0</v>
      </c>
      <c r="S419" s="133">
        <v>0</v>
      </c>
      <c r="T419" s="133"/>
      <c r="U419" s="133"/>
      <c r="V419" s="296">
        <f>SUM(CATEGORIAS[[#This Row],[COSTO
ACUMULADO  AX]:[PROVISIONES]])</f>
        <v>0</v>
      </c>
      <c r="W419" s="298">
        <v>0</v>
      </c>
      <c r="X419" s="227"/>
      <c r="Y419" s="227"/>
      <c r="Z419" s="297">
        <f>SUM(CATEGORIAS[[#This Row],[COSTO ACUMULADO
ANTERIOR]:[PROVISIONES
ANTERIOR]])</f>
        <v>0</v>
      </c>
      <c r="AA419" s="139">
        <f>CATEGORIAS[[#This Row],[PRESUPUESTO
FINAL
PROYECTADO]]-CATEGORIAS[[#This Row],[TOTAL PRODUCCION
ACTUAL]]</f>
        <v>0</v>
      </c>
      <c r="AB419" s="227">
        <v>0</v>
      </c>
      <c r="AC419" s="132"/>
      <c r="AD419" s="132"/>
      <c r="AE419" s="226">
        <f>SUM(CATEGORIAS[[#This Row],[INVENTARIO]:[PROYECCION
DE COSTO
DEL SALDO]])</f>
        <v>0</v>
      </c>
      <c r="AF419" s="132"/>
      <c r="AG419" s="132">
        <f>+CATEGORIAS[[#This Row],[PRESUPUESTO
FINAL
PROYECTADO]]-CATEGORIAS[[#This Row],[COSTO REAL]]-CATEGORIAS[[#This Row],[PROYECCION
TOTAL DE COSTO]]</f>
        <v>0</v>
      </c>
    </row>
    <row r="420" spans="1:33" x14ac:dyDescent="0.25">
      <c r="A420" s="274" t="str">
        <f>+IFERROR(VLOOKUP(CATEGORIAS[[#This Row],[CATEGORIA2]],[1]HOMOLOGACION!$A$1:$I$571,9,FALSE),0)</f>
        <v>1Z01</v>
      </c>
      <c r="B420" s="274" t="str">
        <f>+IFERROR(VLOOKUP(CATEGORIAS[[#This Row],[CATEGORIA2]],[1]HOMOLOGACION!$A$1:$C$571,3,FALSE),0)</f>
        <v>1G04</v>
      </c>
      <c r="C420" s="274" t="str">
        <f>+IFERROR(VLOOKUP(CATEGORIAS[[#This Row],[CATEGORIA2]],[1]HOMOLOGACION!$A$1:$D$571,4,FALSE),0)</f>
        <v xml:space="preserve">Combustibles </v>
      </c>
      <c r="D420" s="144" t="s">
        <v>2136</v>
      </c>
      <c r="E420" s="273" t="s">
        <v>1175</v>
      </c>
      <c r="F420" s="275" t="s">
        <v>361</v>
      </c>
      <c r="G420" s="313">
        <v>0</v>
      </c>
      <c r="H420" s="313">
        <v>0</v>
      </c>
      <c r="I420" s="130">
        <v>0</v>
      </c>
      <c r="J420" s="130"/>
      <c r="K420" s="130"/>
      <c r="L420" s="143">
        <f>CATEGORIAS[[#This Row],[ADICIONALES]]+CATEGORIAS[[#This Row],[POM]]</f>
        <v>0</v>
      </c>
      <c r="M420" s="131">
        <v>0</v>
      </c>
      <c r="N420" s="227">
        <v>0</v>
      </c>
      <c r="O420" s="296">
        <f>CATEGORIAS[[#This Row],[PRODUCCION
PARTIDAS
ORIGINALES
ACTUAL]]+CATEGORIAS[[#This Row],[PRODUCCION
ADICIONALES
ACTUAL]]</f>
        <v>0</v>
      </c>
      <c r="P420" s="227">
        <v>0</v>
      </c>
      <c r="Q420" s="132">
        <v>0</v>
      </c>
      <c r="R420" s="297">
        <f>CATEGORIAS[[#This Row],[PRODUCCION
ANTERIOR]]+CATEGORIAS[[#This Row],[PRODUCCION
ADICIONALES
ANTERIOR]]</f>
        <v>0</v>
      </c>
      <c r="S420" s="133">
        <v>0</v>
      </c>
      <c r="T420" s="133"/>
      <c r="U420" s="133"/>
      <c r="V420" s="296">
        <f>SUM(CATEGORIAS[[#This Row],[COSTO
ACUMULADO  AX]:[PROVISIONES]])</f>
        <v>0</v>
      </c>
      <c r="W420" s="298">
        <v>0</v>
      </c>
      <c r="X420" s="227"/>
      <c r="Y420" s="227"/>
      <c r="Z420" s="297">
        <f>SUM(CATEGORIAS[[#This Row],[COSTO ACUMULADO
ANTERIOR]:[PROVISIONES
ANTERIOR]])</f>
        <v>0</v>
      </c>
      <c r="AA420" s="139">
        <f>CATEGORIAS[[#This Row],[PRESUPUESTO
FINAL
PROYECTADO]]-CATEGORIAS[[#This Row],[TOTAL PRODUCCION
ACTUAL]]</f>
        <v>0</v>
      </c>
      <c r="AB420" s="227">
        <v>0</v>
      </c>
      <c r="AC420" s="132"/>
      <c r="AD420" s="132"/>
      <c r="AE420" s="226">
        <f>SUM(CATEGORIAS[[#This Row],[INVENTARIO]:[PROYECCION
DE COSTO
DEL SALDO]])</f>
        <v>0</v>
      </c>
      <c r="AF420" s="132"/>
      <c r="AG420" s="132">
        <f>+CATEGORIAS[[#This Row],[PRESUPUESTO
FINAL
PROYECTADO]]-CATEGORIAS[[#This Row],[COSTO REAL]]-CATEGORIAS[[#This Row],[PROYECCION
TOTAL DE COSTO]]</f>
        <v>0</v>
      </c>
    </row>
    <row r="421" spans="1:33" x14ac:dyDescent="0.25">
      <c r="A421" s="274" t="str">
        <f>+IFERROR(VLOOKUP(CATEGORIAS[[#This Row],[CATEGORIA2]],[1]HOMOLOGACION!$A$1:$I$571,9,FALSE),0)</f>
        <v>1Z01</v>
      </c>
      <c r="B421" s="274" t="str">
        <f>+IFERROR(VLOOKUP(CATEGORIAS[[#This Row],[CATEGORIA2]],[1]HOMOLOGACION!$A$1:$C$571,3,FALSE),0)</f>
        <v>1G04</v>
      </c>
      <c r="C421" s="274" t="str">
        <f>+IFERROR(VLOOKUP(CATEGORIAS[[#This Row],[CATEGORIA2]],[1]HOMOLOGACION!$A$1:$D$571,4,FALSE),0)</f>
        <v xml:space="preserve">Combustibles </v>
      </c>
      <c r="D421" s="144" t="s">
        <v>2137</v>
      </c>
      <c r="E421" s="273" t="s">
        <v>1178</v>
      </c>
      <c r="F421" s="275" t="s">
        <v>361</v>
      </c>
      <c r="G421" s="313">
        <v>0</v>
      </c>
      <c r="H421" s="313">
        <v>0</v>
      </c>
      <c r="I421" s="130">
        <v>0</v>
      </c>
      <c r="J421" s="130"/>
      <c r="K421" s="130"/>
      <c r="L421" s="143">
        <f>CATEGORIAS[[#This Row],[ADICIONALES]]+CATEGORIAS[[#This Row],[POM]]</f>
        <v>0</v>
      </c>
      <c r="M421" s="131">
        <v>0</v>
      </c>
      <c r="N421" s="227">
        <v>0</v>
      </c>
      <c r="O421" s="296">
        <f>CATEGORIAS[[#This Row],[PRODUCCION
PARTIDAS
ORIGINALES
ACTUAL]]+CATEGORIAS[[#This Row],[PRODUCCION
ADICIONALES
ACTUAL]]</f>
        <v>0</v>
      </c>
      <c r="P421" s="227">
        <v>0</v>
      </c>
      <c r="Q421" s="227">
        <v>0</v>
      </c>
      <c r="R421" s="297">
        <f>CATEGORIAS[[#This Row],[PRODUCCION
ANTERIOR]]+CATEGORIAS[[#This Row],[PRODUCCION
ADICIONALES
ANTERIOR]]</f>
        <v>0</v>
      </c>
      <c r="S421" s="133">
        <v>0</v>
      </c>
      <c r="T421" s="133"/>
      <c r="U421" s="133"/>
      <c r="V421" s="296">
        <f>SUM(CATEGORIAS[[#This Row],[COSTO
ACUMULADO  AX]:[PROVISIONES]])</f>
        <v>0</v>
      </c>
      <c r="W421" s="298">
        <v>0</v>
      </c>
      <c r="X421" s="227"/>
      <c r="Y421" s="227"/>
      <c r="Z421" s="297">
        <f>SUM(CATEGORIAS[[#This Row],[COSTO ACUMULADO
ANTERIOR]:[PROVISIONES
ANTERIOR]])</f>
        <v>0</v>
      </c>
      <c r="AA421" s="139">
        <f>CATEGORIAS[[#This Row],[PRESUPUESTO
FINAL
PROYECTADO]]-CATEGORIAS[[#This Row],[TOTAL PRODUCCION
ACTUAL]]</f>
        <v>0</v>
      </c>
      <c r="AB421" s="227">
        <v>0</v>
      </c>
      <c r="AC421" s="132"/>
      <c r="AD421" s="132"/>
      <c r="AE421" s="226">
        <f>SUM(CATEGORIAS[[#This Row],[INVENTARIO]:[PROYECCION
DE COSTO
DEL SALDO]])</f>
        <v>0</v>
      </c>
      <c r="AF421" s="132"/>
      <c r="AG421" s="132">
        <f>+CATEGORIAS[[#This Row],[PRESUPUESTO
FINAL
PROYECTADO]]-CATEGORIAS[[#This Row],[COSTO REAL]]-CATEGORIAS[[#This Row],[PROYECCION
TOTAL DE COSTO]]</f>
        <v>0</v>
      </c>
    </row>
    <row r="422" spans="1:33" x14ac:dyDescent="0.25">
      <c r="A422" s="274" t="str">
        <f>+IFERROR(VLOOKUP(CATEGORIAS[[#This Row],[CATEGORIA2]],[1]HOMOLOGACION!$A$1:$I$571,9,FALSE),0)</f>
        <v>1Z01</v>
      </c>
      <c r="B422" s="274" t="str">
        <f>+IFERROR(VLOOKUP(CATEGORIAS[[#This Row],[CATEGORIA2]],[1]HOMOLOGACION!$A$1:$C$571,3,FALSE),0)</f>
        <v>1G04</v>
      </c>
      <c r="C422" s="274" t="str">
        <f>+IFERROR(VLOOKUP(CATEGORIAS[[#This Row],[CATEGORIA2]],[1]HOMOLOGACION!$A$1:$D$571,4,FALSE),0)</f>
        <v xml:space="preserve">Combustibles </v>
      </c>
      <c r="D422" s="144" t="s">
        <v>2138</v>
      </c>
      <c r="E422" s="273" t="s">
        <v>1180</v>
      </c>
      <c r="F422" s="275" t="s">
        <v>361</v>
      </c>
      <c r="G422" s="313">
        <v>0</v>
      </c>
      <c r="H422" s="313">
        <v>0</v>
      </c>
      <c r="I422" s="130">
        <v>0</v>
      </c>
      <c r="J422" s="130"/>
      <c r="K422" s="130"/>
      <c r="L422" s="143">
        <f>CATEGORIAS[[#This Row],[ADICIONALES]]+CATEGORIAS[[#This Row],[POM]]</f>
        <v>0</v>
      </c>
      <c r="M422" s="131">
        <v>0</v>
      </c>
      <c r="N422" s="227">
        <v>0</v>
      </c>
      <c r="O422" s="296">
        <f>CATEGORIAS[[#This Row],[PRODUCCION
PARTIDAS
ORIGINALES
ACTUAL]]+CATEGORIAS[[#This Row],[PRODUCCION
ADICIONALES
ACTUAL]]</f>
        <v>0</v>
      </c>
      <c r="P422" s="227">
        <v>0</v>
      </c>
      <c r="Q422" s="132">
        <v>0</v>
      </c>
      <c r="R422" s="297">
        <f>CATEGORIAS[[#This Row],[PRODUCCION
ANTERIOR]]+CATEGORIAS[[#This Row],[PRODUCCION
ADICIONALES
ANTERIOR]]</f>
        <v>0</v>
      </c>
      <c r="S422" s="133">
        <v>0</v>
      </c>
      <c r="T422" s="133"/>
      <c r="U422" s="133"/>
      <c r="V422" s="296">
        <f>SUM(CATEGORIAS[[#This Row],[COSTO
ACUMULADO  AX]:[PROVISIONES]])</f>
        <v>0</v>
      </c>
      <c r="W422" s="298">
        <v>0</v>
      </c>
      <c r="X422" s="227"/>
      <c r="Y422" s="227"/>
      <c r="Z422" s="297">
        <f>SUM(CATEGORIAS[[#This Row],[COSTO ACUMULADO
ANTERIOR]:[PROVISIONES
ANTERIOR]])</f>
        <v>0</v>
      </c>
      <c r="AA422" s="139">
        <f>CATEGORIAS[[#This Row],[PRESUPUESTO
FINAL
PROYECTADO]]-CATEGORIAS[[#This Row],[TOTAL PRODUCCION
ACTUAL]]</f>
        <v>0</v>
      </c>
      <c r="AB422" s="227">
        <v>0</v>
      </c>
      <c r="AC422" s="132"/>
      <c r="AD422" s="132"/>
      <c r="AE422" s="226">
        <f>SUM(CATEGORIAS[[#This Row],[INVENTARIO]:[PROYECCION
DE COSTO
DEL SALDO]])</f>
        <v>0</v>
      </c>
      <c r="AF422" s="132"/>
      <c r="AG422" s="132">
        <f>+CATEGORIAS[[#This Row],[PRESUPUESTO
FINAL
PROYECTADO]]-CATEGORIAS[[#This Row],[COSTO REAL]]-CATEGORIAS[[#This Row],[PROYECCION
TOTAL DE COSTO]]</f>
        <v>0</v>
      </c>
    </row>
    <row r="423" spans="1:33" x14ac:dyDescent="0.25">
      <c r="A423" s="274">
        <f>+IFERROR(VLOOKUP(CATEGORIAS[[#This Row],[CATEGORIA2]],[1]HOMOLOGACION!$A$1:$I$571,9,FALSE),0)</f>
        <v>0</v>
      </c>
      <c r="B423" s="274">
        <f>+IFERROR(VLOOKUP(CATEGORIAS[[#This Row],[CATEGORIA2]],[1]HOMOLOGACION!$A$1:$C$571,3,FALSE),0)</f>
        <v>0</v>
      </c>
      <c r="C423" s="274">
        <f>+IFERROR(VLOOKUP(CATEGORIAS[[#This Row],[CATEGORIA2]],[1]HOMOLOGACION!$A$1:$D$571,4,FALSE),0)</f>
        <v>0</v>
      </c>
      <c r="D423" s="144" t="s">
        <v>2332</v>
      </c>
      <c r="E423" s="273" t="s">
        <v>2333</v>
      </c>
      <c r="F423" s="275" t="s">
        <v>361</v>
      </c>
      <c r="G423" s="313">
        <v>0</v>
      </c>
      <c r="H423" s="313">
        <v>0</v>
      </c>
      <c r="I423" s="130">
        <v>0</v>
      </c>
      <c r="J423" s="130"/>
      <c r="K423" s="130"/>
      <c r="L423" s="143">
        <f>CATEGORIAS[[#This Row],[ADICIONALES]]+CATEGORIAS[[#This Row],[POM]]</f>
        <v>0</v>
      </c>
      <c r="M423" s="131">
        <v>0</v>
      </c>
      <c r="N423" s="227">
        <v>0</v>
      </c>
      <c r="O423" s="296">
        <f>CATEGORIAS[[#This Row],[PRODUCCION
PARTIDAS
ORIGINALES
ACTUAL]]+CATEGORIAS[[#This Row],[PRODUCCION
ADICIONALES
ACTUAL]]</f>
        <v>0</v>
      </c>
      <c r="P423" s="227">
        <v>0</v>
      </c>
      <c r="Q423" s="227">
        <v>0</v>
      </c>
      <c r="R423" s="297">
        <f>CATEGORIAS[[#This Row],[PRODUCCION
ANTERIOR]]+CATEGORIAS[[#This Row],[PRODUCCION
ADICIONALES
ANTERIOR]]</f>
        <v>0</v>
      </c>
      <c r="S423" s="133">
        <v>0</v>
      </c>
      <c r="T423" s="133"/>
      <c r="U423" s="133"/>
      <c r="V423" s="296">
        <f>SUM(CATEGORIAS[[#This Row],[COSTO
ACUMULADO  AX]:[PROVISIONES]])</f>
        <v>0</v>
      </c>
      <c r="W423" s="298">
        <v>0</v>
      </c>
      <c r="X423" s="227"/>
      <c r="Y423" s="227"/>
      <c r="Z423" s="297">
        <f>SUM(CATEGORIAS[[#This Row],[COSTO ACUMULADO
ANTERIOR]:[PROVISIONES
ANTERIOR]])</f>
        <v>0</v>
      </c>
      <c r="AA423" s="139">
        <f>CATEGORIAS[[#This Row],[PRESUPUESTO
FINAL
PROYECTADO]]-CATEGORIAS[[#This Row],[TOTAL PRODUCCION
ACTUAL]]</f>
        <v>0</v>
      </c>
      <c r="AB423" s="227">
        <v>0</v>
      </c>
      <c r="AC423" s="132"/>
      <c r="AD423" s="132"/>
      <c r="AE423" s="226">
        <f>SUM(CATEGORIAS[[#This Row],[INVENTARIO]:[PROYECCION
DE COSTO
DEL SALDO]])</f>
        <v>0</v>
      </c>
      <c r="AF423" s="132"/>
      <c r="AG423" s="132">
        <f>+CATEGORIAS[[#This Row],[PRESUPUESTO
FINAL
PROYECTADO]]-CATEGORIAS[[#This Row],[COSTO REAL]]-CATEGORIAS[[#This Row],[PROYECCION
TOTAL DE COSTO]]</f>
        <v>0</v>
      </c>
    </row>
    <row r="424" spans="1:33" x14ac:dyDescent="0.25">
      <c r="A424" s="274">
        <f>+IFERROR(VLOOKUP(CATEGORIAS[[#This Row],[CATEGORIA2]],[1]HOMOLOGACION!$A$1:$I$571,9,FALSE),0)</f>
        <v>0</v>
      </c>
      <c r="B424" s="274">
        <f>+IFERROR(VLOOKUP(CATEGORIAS[[#This Row],[CATEGORIA2]],[1]HOMOLOGACION!$A$1:$C$571,3,FALSE),0)</f>
        <v>0</v>
      </c>
      <c r="C424" s="274">
        <f>+IFERROR(VLOOKUP(CATEGORIAS[[#This Row],[CATEGORIA2]],[1]HOMOLOGACION!$A$1:$D$571,4,FALSE),0)</f>
        <v>0</v>
      </c>
      <c r="D424" s="144" t="s">
        <v>2334</v>
      </c>
      <c r="E424" s="273" t="s">
        <v>2335</v>
      </c>
      <c r="F424" s="275" t="s">
        <v>361</v>
      </c>
      <c r="G424" s="313">
        <v>0</v>
      </c>
      <c r="H424" s="313">
        <v>0</v>
      </c>
      <c r="I424" s="130">
        <v>0</v>
      </c>
      <c r="J424" s="130"/>
      <c r="K424" s="130"/>
      <c r="L424" s="143">
        <f>CATEGORIAS[[#This Row],[ADICIONALES]]+CATEGORIAS[[#This Row],[POM]]</f>
        <v>0</v>
      </c>
      <c r="M424" s="131">
        <v>0</v>
      </c>
      <c r="N424" s="227">
        <v>0</v>
      </c>
      <c r="O424" s="296">
        <f>CATEGORIAS[[#This Row],[PRODUCCION
PARTIDAS
ORIGINALES
ACTUAL]]+CATEGORIAS[[#This Row],[PRODUCCION
ADICIONALES
ACTUAL]]</f>
        <v>0</v>
      </c>
      <c r="P424" s="227">
        <v>0</v>
      </c>
      <c r="Q424" s="132">
        <v>0</v>
      </c>
      <c r="R424" s="297">
        <f>CATEGORIAS[[#This Row],[PRODUCCION
ANTERIOR]]+CATEGORIAS[[#This Row],[PRODUCCION
ADICIONALES
ANTERIOR]]</f>
        <v>0</v>
      </c>
      <c r="S424" s="133">
        <v>0</v>
      </c>
      <c r="T424" s="133"/>
      <c r="U424" s="133"/>
      <c r="V424" s="296">
        <f>SUM(CATEGORIAS[[#This Row],[COSTO
ACUMULADO  AX]:[PROVISIONES]])</f>
        <v>0</v>
      </c>
      <c r="W424" s="298">
        <v>0</v>
      </c>
      <c r="X424" s="227"/>
      <c r="Y424" s="227"/>
      <c r="Z424" s="297">
        <f>SUM(CATEGORIAS[[#This Row],[COSTO ACUMULADO
ANTERIOR]:[PROVISIONES
ANTERIOR]])</f>
        <v>0</v>
      </c>
      <c r="AA424" s="139">
        <f>CATEGORIAS[[#This Row],[PRESUPUESTO
FINAL
PROYECTADO]]-CATEGORIAS[[#This Row],[TOTAL PRODUCCION
ACTUAL]]</f>
        <v>0</v>
      </c>
      <c r="AB424" s="227">
        <v>0</v>
      </c>
      <c r="AC424" s="132"/>
      <c r="AD424" s="132"/>
      <c r="AE424" s="226">
        <f>SUM(CATEGORIAS[[#This Row],[INVENTARIO]:[PROYECCION
DE COSTO
DEL SALDO]])</f>
        <v>0</v>
      </c>
      <c r="AF424" s="132"/>
      <c r="AG424" s="132">
        <f>+CATEGORIAS[[#This Row],[PRESUPUESTO
FINAL
PROYECTADO]]-CATEGORIAS[[#This Row],[COSTO REAL]]-CATEGORIAS[[#This Row],[PROYECCION
TOTAL DE COSTO]]</f>
        <v>0</v>
      </c>
    </row>
    <row r="425" spans="1:33" x14ac:dyDescent="0.25">
      <c r="A425" s="274">
        <f>+IFERROR(VLOOKUP(CATEGORIAS[[#This Row],[CATEGORIA2]],[1]HOMOLOGACION!$A$1:$I$571,9,FALSE),0)</f>
        <v>0</v>
      </c>
      <c r="B425" s="274">
        <f>+IFERROR(VLOOKUP(CATEGORIAS[[#This Row],[CATEGORIA2]],[1]HOMOLOGACION!$A$1:$C$571,3,FALSE),0)</f>
        <v>0</v>
      </c>
      <c r="C425" s="274">
        <f>+IFERROR(VLOOKUP(CATEGORIAS[[#This Row],[CATEGORIA2]],[1]HOMOLOGACION!$A$1:$D$571,4,FALSE),0)</f>
        <v>0</v>
      </c>
      <c r="D425" s="144" t="s">
        <v>2336</v>
      </c>
      <c r="E425" s="273" t="s">
        <v>2337</v>
      </c>
      <c r="F425" s="275" t="s">
        <v>361</v>
      </c>
      <c r="G425" s="313">
        <v>0</v>
      </c>
      <c r="H425" s="313">
        <v>0</v>
      </c>
      <c r="I425" s="130">
        <v>0</v>
      </c>
      <c r="J425" s="130"/>
      <c r="K425" s="130"/>
      <c r="L425" s="143">
        <f>CATEGORIAS[[#This Row],[ADICIONALES]]+CATEGORIAS[[#This Row],[POM]]</f>
        <v>0</v>
      </c>
      <c r="M425" s="131">
        <v>0</v>
      </c>
      <c r="N425" s="227">
        <v>0</v>
      </c>
      <c r="O425" s="296">
        <f>CATEGORIAS[[#This Row],[PRODUCCION
PARTIDAS
ORIGINALES
ACTUAL]]+CATEGORIAS[[#This Row],[PRODUCCION
ADICIONALES
ACTUAL]]</f>
        <v>0</v>
      </c>
      <c r="P425" s="227">
        <v>0</v>
      </c>
      <c r="Q425" s="227">
        <v>0</v>
      </c>
      <c r="R425" s="297">
        <f>CATEGORIAS[[#This Row],[PRODUCCION
ANTERIOR]]+CATEGORIAS[[#This Row],[PRODUCCION
ADICIONALES
ANTERIOR]]</f>
        <v>0</v>
      </c>
      <c r="S425" s="133">
        <v>0</v>
      </c>
      <c r="T425" s="133"/>
      <c r="U425" s="133"/>
      <c r="V425" s="296">
        <f>SUM(CATEGORIAS[[#This Row],[COSTO
ACUMULADO  AX]:[PROVISIONES]])</f>
        <v>0</v>
      </c>
      <c r="W425" s="298">
        <v>0</v>
      </c>
      <c r="X425" s="227"/>
      <c r="Y425" s="227"/>
      <c r="Z425" s="297">
        <f>SUM(CATEGORIAS[[#This Row],[COSTO ACUMULADO
ANTERIOR]:[PROVISIONES
ANTERIOR]])</f>
        <v>0</v>
      </c>
      <c r="AA425" s="139">
        <f>CATEGORIAS[[#This Row],[PRESUPUESTO
FINAL
PROYECTADO]]-CATEGORIAS[[#This Row],[TOTAL PRODUCCION
ACTUAL]]</f>
        <v>0</v>
      </c>
      <c r="AB425" s="227">
        <v>0</v>
      </c>
      <c r="AC425" s="132"/>
      <c r="AD425" s="132"/>
      <c r="AE425" s="226">
        <f>SUM(CATEGORIAS[[#This Row],[INVENTARIO]:[PROYECCION
DE COSTO
DEL SALDO]])</f>
        <v>0</v>
      </c>
      <c r="AF425" s="132"/>
      <c r="AG425" s="132">
        <f>+CATEGORIAS[[#This Row],[PRESUPUESTO
FINAL
PROYECTADO]]-CATEGORIAS[[#This Row],[COSTO REAL]]-CATEGORIAS[[#This Row],[PROYECCION
TOTAL DE COSTO]]</f>
        <v>0</v>
      </c>
    </row>
    <row r="426" spans="1:33" x14ac:dyDescent="0.25">
      <c r="A426" s="274" t="str">
        <f>+IFERROR(VLOOKUP(CATEGORIAS[[#This Row],[CATEGORIA2]],[1]HOMOLOGACION!$A$1:$I$571,9,FALSE),0)</f>
        <v>0P04</v>
      </c>
      <c r="B426" s="274" t="str">
        <f>+IFERROR(VLOOKUP(CATEGORIAS[[#This Row],[CATEGORIA2]],[1]HOMOLOGACION!$A$1:$C$571,3,FALSE),0)</f>
        <v>0C01</v>
      </c>
      <c r="C426" s="274" t="str">
        <f>+IFERROR(VLOOKUP(CATEGORIAS[[#This Row],[CATEGORIA2]],[1]HOMOLOGACION!$A$1:$D$571,4,FALSE),0)</f>
        <v xml:space="preserve">Seguridad </v>
      </c>
      <c r="D426" s="144" t="s">
        <v>2139</v>
      </c>
      <c r="E426" s="273" t="s">
        <v>1183</v>
      </c>
      <c r="F426" s="275" t="s">
        <v>364</v>
      </c>
      <c r="G426" s="313">
        <v>59671798.125000007</v>
      </c>
      <c r="H426" s="313">
        <v>59671798.125000007</v>
      </c>
      <c r="I426" s="130">
        <v>3952523.3598498274</v>
      </c>
      <c r="J426" s="130"/>
      <c r="K426" s="130"/>
      <c r="L426" s="143">
        <f>CATEGORIAS[[#This Row],[ADICIONALES]]+CATEGORIAS[[#This Row],[POM]]</f>
        <v>63624321.484849833</v>
      </c>
      <c r="M426" s="131">
        <v>22520077.546589352</v>
      </c>
      <c r="N426" s="227">
        <v>183592.05945579385</v>
      </c>
      <c r="O426" s="296">
        <f>CATEGORIAS[[#This Row],[PRODUCCION
PARTIDAS
ORIGINALES
ACTUAL]]+CATEGORIAS[[#This Row],[PRODUCCION
ADICIONALES
ACTUAL]]</f>
        <v>22703669.606045146</v>
      </c>
      <c r="P426" s="227">
        <v>15176087.248616947</v>
      </c>
      <c r="Q426" s="132">
        <v>216636.97365579387</v>
      </c>
      <c r="R426" s="297">
        <f>CATEGORIAS[[#This Row],[PRODUCCION
ANTERIOR]]+CATEGORIAS[[#This Row],[PRODUCCION
ADICIONALES
ANTERIOR]]</f>
        <v>15392724.222272741</v>
      </c>
      <c r="S426" s="133">
        <v>35331776</v>
      </c>
      <c r="T426" s="339"/>
      <c r="U426" s="133"/>
      <c r="V426" s="296">
        <f>SUM(CATEGORIAS[[#This Row],[COSTO
ACUMULADO  AX]:[PROVISIONES]])</f>
        <v>35331776</v>
      </c>
      <c r="W426" s="298">
        <v>30613856</v>
      </c>
      <c r="X426" s="227">
        <v>-4368957</v>
      </c>
      <c r="Y426" s="227"/>
      <c r="Z426" s="297">
        <f>SUM(CATEGORIAS[[#This Row],[COSTO ACUMULADO
ANTERIOR]:[PROVISIONES
ANTERIOR]])</f>
        <v>26244899</v>
      </c>
      <c r="AA426" s="139">
        <f>CATEGORIAS[[#This Row],[PRESUPUESTO
FINAL
PROYECTADO]]-CATEGORIAS[[#This Row],[TOTAL PRODUCCION
ACTUAL]]</f>
        <v>40920651.878804684</v>
      </c>
      <c r="AB426" s="227">
        <v>32979483</v>
      </c>
      <c r="AC426" s="132"/>
      <c r="AD426" s="132">
        <v>-4686937.515150167</v>
      </c>
      <c r="AE426" s="226">
        <f>SUM(CATEGORIAS[[#This Row],[INVENTARIO]:[PROYECCION
DE COSTO
DEL SALDO]])</f>
        <v>28292545.484849833</v>
      </c>
      <c r="AF426" s="132"/>
      <c r="AG426" s="132">
        <f>+CATEGORIAS[[#This Row],[PRESUPUESTO
FINAL
PROYECTADO]]-CATEGORIAS[[#This Row],[COSTO REAL]]-CATEGORIAS[[#This Row],[PROYECCION
TOTAL DE COSTO]]</f>
        <v>0</v>
      </c>
    </row>
    <row r="427" spans="1:33" x14ac:dyDescent="0.25">
      <c r="A427" s="274" t="str">
        <f>+IFERROR(VLOOKUP(CATEGORIAS[[#This Row],[CATEGORIA2]],[1]HOMOLOGACION!$A$1:$I$571,9,FALSE),0)</f>
        <v>0P04</v>
      </c>
      <c r="B427" s="274" t="str">
        <f>+IFERROR(VLOOKUP(CATEGORIAS[[#This Row],[CATEGORIA2]],[1]HOMOLOGACION!$A$1:$C$571,3,FALSE),0)</f>
        <v>0C01</v>
      </c>
      <c r="C427" s="274" t="str">
        <f>+IFERROR(VLOOKUP(CATEGORIAS[[#This Row],[CATEGORIA2]],[1]HOMOLOGACION!$A$1:$D$571,4,FALSE),0)</f>
        <v xml:space="preserve">Seguridad </v>
      </c>
      <c r="D427" s="144" t="s">
        <v>2140</v>
      </c>
      <c r="E427" s="273" t="s">
        <v>1185</v>
      </c>
      <c r="F427" s="275" t="s">
        <v>361</v>
      </c>
      <c r="G427" s="313">
        <v>0</v>
      </c>
      <c r="H427" s="313">
        <v>0</v>
      </c>
      <c r="I427" s="130">
        <v>0</v>
      </c>
      <c r="J427" s="130"/>
      <c r="K427" s="130"/>
      <c r="L427" s="143">
        <f>CATEGORIAS[[#This Row],[ADICIONALES]]+CATEGORIAS[[#This Row],[POM]]</f>
        <v>0</v>
      </c>
      <c r="M427" s="131">
        <v>0</v>
      </c>
      <c r="N427" s="227">
        <v>0</v>
      </c>
      <c r="O427" s="296">
        <f>CATEGORIAS[[#This Row],[PRODUCCION
PARTIDAS
ORIGINALES
ACTUAL]]+CATEGORIAS[[#This Row],[PRODUCCION
ADICIONALES
ACTUAL]]</f>
        <v>0</v>
      </c>
      <c r="P427" s="227">
        <v>0</v>
      </c>
      <c r="Q427" s="132">
        <v>0</v>
      </c>
      <c r="R427" s="297">
        <f>CATEGORIAS[[#This Row],[PRODUCCION
ANTERIOR]]+CATEGORIAS[[#This Row],[PRODUCCION
ADICIONALES
ANTERIOR]]</f>
        <v>0</v>
      </c>
      <c r="S427" s="133">
        <v>0</v>
      </c>
      <c r="T427" s="133"/>
      <c r="U427" s="133"/>
      <c r="V427" s="296">
        <f>SUM(CATEGORIAS[[#This Row],[COSTO
ACUMULADO  AX]:[PROVISIONES]])</f>
        <v>0</v>
      </c>
      <c r="W427" s="298">
        <v>0</v>
      </c>
      <c r="X427" s="227"/>
      <c r="Y427" s="227"/>
      <c r="Z427" s="297">
        <f>SUM(CATEGORIAS[[#This Row],[COSTO ACUMULADO
ANTERIOR]:[PROVISIONES
ANTERIOR]])</f>
        <v>0</v>
      </c>
      <c r="AA427" s="139">
        <f>CATEGORIAS[[#This Row],[PRESUPUESTO
FINAL
PROYECTADO]]-CATEGORIAS[[#This Row],[TOTAL PRODUCCION
ACTUAL]]</f>
        <v>0</v>
      </c>
      <c r="AB427" s="227">
        <v>0</v>
      </c>
      <c r="AC427" s="132"/>
      <c r="AD427" s="132"/>
      <c r="AE427" s="226">
        <f>SUM(CATEGORIAS[[#This Row],[INVENTARIO]:[PROYECCION
DE COSTO
DEL SALDO]])</f>
        <v>0</v>
      </c>
      <c r="AF427" s="132"/>
      <c r="AG427" s="132">
        <f>+CATEGORIAS[[#This Row],[PRESUPUESTO
FINAL
PROYECTADO]]-CATEGORIAS[[#This Row],[COSTO REAL]]-CATEGORIAS[[#This Row],[PROYECCION
TOTAL DE COSTO]]</f>
        <v>0</v>
      </c>
    </row>
    <row r="428" spans="1:33" x14ac:dyDescent="0.25">
      <c r="A428" s="274" t="str">
        <f>+IFERROR(VLOOKUP(CATEGORIAS[[#This Row],[CATEGORIA2]],[1]HOMOLOGACION!$A$1:$I$571,9,FALSE),0)</f>
        <v>0P04</v>
      </c>
      <c r="B428" s="274" t="str">
        <f>+IFERROR(VLOOKUP(CATEGORIAS[[#This Row],[CATEGORIA2]],[1]HOMOLOGACION!$A$1:$C$571,3,FALSE),0)</f>
        <v>0C01</v>
      </c>
      <c r="C428" s="274" t="str">
        <f>+IFERROR(VLOOKUP(CATEGORIAS[[#This Row],[CATEGORIA2]],[1]HOMOLOGACION!$A$1:$D$571,4,FALSE),0)</f>
        <v xml:space="preserve">Seguridad </v>
      </c>
      <c r="D428" s="144" t="s">
        <v>2141</v>
      </c>
      <c r="E428" s="273" t="s">
        <v>1187</v>
      </c>
      <c r="F428" s="275" t="s">
        <v>361</v>
      </c>
      <c r="G428" s="313">
        <v>0</v>
      </c>
      <c r="H428" s="313">
        <v>0</v>
      </c>
      <c r="I428" s="130">
        <v>0</v>
      </c>
      <c r="J428" s="130"/>
      <c r="K428" s="130"/>
      <c r="L428" s="143">
        <f>CATEGORIAS[[#This Row],[ADICIONALES]]+CATEGORIAS[[#This Row],[POM]]</f>
        <v>0</v>
      </c>
      <c r="M428" s="131">
        <v>0</v>
      </c>
      <c r="N428" s="227">
        <v>0</v>
      </c>
      <c r="O428" s="296">
        <f>CATEGORIAS[[#This Row],[PRODUCCION
PARTIDAS
ORIGINALES
ACTUAL]]+CATEGORIAS[[#This Row],[PRODUCCION
ADICIONALES
ACTUAL]]</f>
        <v>0</v>
      </c>
      <c r="P428" s="227">
        <v>0</v>
      </c>
      <c r="Q428" s="227">
        <v>0</v>
      </c>
      <c r="R428" s="297">
        <f>CATEGORIAS[[#This Row],[PRODUCCION
ANTERIOR]]+CATEGORIAS[[#This Row],[PRODUCCION
ADICIONALES
ANTERIOR]]</f>
        <v>0</v>
      </c>
      <c r="S428" s="133">
        <v>0</v>
      </c>
      <c r="T428" s="133"/>
      <c r="U428" s="133"/>
      <c r="V428" s="296">
        <f>SUM(CATEGORIAS[[#This Row],[COSTO
ACUMULADO  AX]:[PROVISIONES]])</f>
        <v>0</v>
      </c>
      <c r="W428" s="298">
        <v>0</v>
      </c>
      <c r="X428" s="227"/>
      <c r="Y428" s="227"/>
      <c r="Z428" s="297">
        <f>SUM(CATEGORIAS[[#This Row],[COSTO ACUMULADO
ANTERIOR]:[PROVISIONES
ANTERIOR]])</f>
        <v>0</v>
      </c>
      <c r="AA428" s="139">
        <f>CATEGORIAS[[#This Row],[PRESUPUESTO
FINAL
PROYECTADO]]-CATEGORIAS[[#This Row],[TOTAL PRODUCCION
ACTUAL]]</f>
        <v>0</v>
      </c>
      <c r="AB428" s="227">
        <v>0</v>
      </c>
      <c r="AC428" s="132"/>
      <c r="AD428" s="132"/>
      <c r="AE428" s="226">
        <f>SUM(CATEGORIAS[[#This Row],[INVENTARIO]:[PROYECCION
DE COSTO
DEL SALDO]])</f>
        <v>0</v>
      </c>
      <c r="AF428" s="132"/>
      <c r="AG428" s="132">
        <f>+CATEGORIAS[[#This Row],[PRESUPUESTO
FINAL
PROYECTADO]]-CATEGORIAS[[#This Row],[COSTO REAL]]-CATEGORIAS[[#This Row],[PROYECCION
TOTAL DE COSTO]]</f>
        <v>0</v>
      </c>
    </row>
    <row r="429" spans="1:33" x14ac:dyDescent="0.25">
      <c r="A429" s="274" t="str">
        <f>+IFERROR(VLOOKUP(CATEGORIAS[[#This Row],[CATEGORIA2]],[1]HOMOLOGACION!$A$1:$I$571,9,FALSE),0)</f>
        <v>0P04</v>
      </c>
      <c r="B429" s="274" t="str">
        <f>+IFERROR(VLOOKUP(CATEGORIAS[[#This Row],[CATEGORIA2]],[1]HOMOLOGACION!$A$1:$C$571,3,FALSE),0)</f>
        <v>0C01</v>
      </c>
      <c r="C429" s="274" t="str">
        <f>+IFERROR(VLOOKUP(CATEGORIAS[[#This Row],[CATEGORIA2]],[1]HOMOLOGACION!$A$1:$D$571,4,FALSE),0)</f>
        <v xml:space="preserve">Seguridad </v>
      </c>
      <c r="D429" s="144" t="s">
        <v>2142</v>
      </c>
      <c r="E429" s="273" t="s">
        <v>1187</v>
      </c>
      <c r="F429" s="275" t="s">
        <v>361</v>
      </c>
      <c r="G429" s="313">
        <v>0</v>
      </c>
      <c r="H429" s="313">
        <v>0</v>
      </c>
      <c r="I429" s="130">
        <v>0</v>
      </c>
      <c r="J429" s="130"/>
      <c r="K429" s="130"/>
      <c r="L429" s="143">
        <f>CATEGORIAS[[#This Row],[ADICIONALES]]+CATEGORIAS[[#This Row],[POM]]</f>
        <v>0</v>
      </c>
      <c r="M429" s="131">
        <v>0</v>
      </c>
      <c r="N429" s="227">
        <v>0</v>
      </c>
      <c r="O429" s="296">
        <f>CATEGORIAS[[#This Row],[PRODUCCION
PARTIDAS
ORIGINALES
ACTUAL]]+CATEGORIAS[[#This Row],[PRODUCCION
ADICIONALES
ACTUAL]]</f>
        <v>0</v>
      </c>
      <c r="P429" s="227">
        <v>0</v>
      </c>
      <c r="Q429" s="227">
        <v>0</v>
      </c>
      <c r="R429" s="297">
        <f>CATEGORIAS[[#This Row],[PRODUCCION
ANTERIOR]]+CATEGORIAS[[#This Row],[PRODUCCION
ADICIONALES
ANTERIOR]]</f>
        <v>0</v>
      </c>
      <c r="S429" s="133">
        <v>0</v>
      </c>
      <c r="T429" s="133"/>
      <c r="U429" s="133"/>
      <c r="V429" s="296">
        <f>SUM(CATEGORIAS[[#This Row],[COSTO
ACUMULADO  AX]:[PROVISIONES]])</f>
        <v>0</v>
      </c>
      <c r="W429" s="298">
        <v>0</v>
      </c>
      <c r="X429" s="227"/>
      <c r="Y429" s="227"/>
      <c r="Z429" s="297">
        <f>SUM(CATEGORIAS[[#This Row],[COSTO ACUMULADO
ANTERIOR]:[PROVISIONES
ANTERIOR]])</f>
        <v>0</v>
      </c>
      <c r="AA429" s="139">
        <f>CATEGORIAS[[#This Row],[PRESUPUESTO
FINAL
PROYECTADO]]-CATEGORIAS[[#This Row],[TOTAL PRODUCCION
ACTUAL]]</f>
        <v>0</v>
      </c>
      <c r="AB429" s="227">
        <v>0</v>
      </c>
      <c r="AC429" s="132"/>
      <c r="AD429" s="132"/>
      <c r="AE429" s="226">
        <f>SUM(CATEGORIAS[[#This Row],[INVENTARIO]:[PROYECCION
DE COSTO
DEL SALDO]])</f>
        <v>0</v>
      </c>
      <c r="AF429" s="132"/>
      <c r="AG429" s="132">
        <f>+CATEGORIAS[[#This Row],[PRESUPUESTO
FINAL
PROYECTADO]]-CATEGORIAS[[#This Row],[COSTO REAL]]-CATEGORIAS[[#This Row],[PROYECCION
TOTAL DE COSTO]]</f>
        <v>0</v>
      </c>
    </row>
    <row r="430" spans="1:33" x14ac:dyDescent="0.25">
      <c r="A430" s="274" t="str">
        <f>+IFERROR(VLOOKUP(CATEGORIAS[[#This Row],[CATEGORIA2]],[1]HOMOLOGACION!$A$1:$I$571,9,FALSE),0)</f>
        <v>0P05</v>
      </c>
      <c r="B430" s="274" t="str">
        <f>+IFERROR(VLOOKUP(CATEGORIAS[[#This Row],[CATEGORIA2]],[1]HOMOLOGACION!$A$1:$C$571,3,FALSE),0)</f>
        <v>0C02</v>
      </c>
      <c r="C430" s="274" t="str">
        <f>+IFERROR(VLOOKUP(CATEGORIAS[[#This Row],[CATEGORIA2]],[1]HOMOLOGACION!$A$1:$D$571,4,FALSE),0)</f>
        <v xml:space="preserve">Materiales de Consumo </v>
      </c>
      <c r="D430" s="144" t="s">
        <v>2143</v>
      </c>
      <c r="E430" s="273" t="s">
        <v>1190</v>
      </c>
      <c r="F430" s="275" t="s">
        <v>364</v>
      </c>
      <c r="G430" s="313">
        <v>14063139.450000001</v>
      </c>
      <c r="H430" s="313">
        <v>14063139.450000001</v>
      </c>
      <c r="I430" s="130">
        <v>454313.02986779634</v>
      </c>
      <c r="J430" s="130"/>
      <c r="K430" s="130"/>
      <c r="L430" s="143">
        <f>CATEGORIAS[[#This Row],[ADICIONALES]]+CATEGORIAS[[#This Row],[POM]]</f>
        <v>14517452.479867797</v>
      </c>
      <c r="M430" s="131">
        <v>4937970.2250000015</v>
      </c>
      <c r="N430" s="227">
        <v>21102.53556963148</v>
      </c>
      <c r="O430" s="296">
        <f>CATEGORIAS[[#This Row],[PRODUCCION
PARTIDAS
ORIGINALES
ACTUAL]]+CATEGORIAS[[#This Row],[PRODUCCION
ADICIONALES
ACTUAL]]</f>
        <v>4959072.760569633</v>
      </c>
      <c r="P430" s="227">
        <v>3324364.56</v>
      </c>
      <c r="Q430" s="132">
        <v>24900.801569631476</v>
      </c>
      <c r="R430" s="297">
        <f>CATEGORIAS[[#This Row],[PRODUCCION
ANTERIOR]]+CATEGORIAS[[#This Row],[PRODUCCION
ADICIONALES
ANTERIOR]]</f>
        <v>3349265.3615696314</v>
      </c>
      <c r="S430" s="133">
        <v>14022512</v>
      </c>
      <c r="T430" s="133"/>
      <c r="U430" s="133"/>
      <c r="V430" s="296">
        <f>SUM(CATEGORIAS[[#This Row],[COSTO
ACUMULADO  AX]:[PROVISIONES]])</f>
        <v>14022512</v>
      </c>
      <c r="W430" s="298">
        <v>8388670</v>
      </c>
      <c r="X430" s="227"/>
      <c r="Y430" s="227"/>
      <c r="Z430" s="297">
        <f>SUM(CATEGORIAS[[#This Row],[COSTO ACUMULADO
ANTERIOR]:[PROVISIONES
ANTERIOR]])</f>
        <v>8388670</v>
      </c>
      <c r="AA430" s="139">
        <f>CATEGORIAS[[#This Row],[PRESUPUESTO
FINAL
PROYECTADO]]-CATEGORIAS[[#This Row],[TOTAL PRODUCCION
ACTUAL]]</f>
        <v>9558379.7192981653</v>
      </c>
      <c r="AB430" s="227">
        <v>13191613</v>
      </c>
      <c r="AC430" s="132"/>
      <c r="AD430" s="132">
        <v>-12696672.520132203</v>
      </c>
      <c r="AE430" s="226">
        <f>SUM(CATEGORIAS[[#This Row],[INVENTARIO]:[PROYECCION
DE COSTO
DEL SALDO]])</f>
        <v>494940.47986779734</v>
      </c>
      <c r="AF430" s="132"/>
      <c r="AG430" s="132">
        <f>+CATEGORIAS[[#This Row],[PRESUPUESTO
FINAL
PROYECTADO]]-CATEGORIAS[[#This Row],[COSTO REAL]]-CATEGORIAS[[#This Row],[PROYECCION
TOTAL DE COSTO]]</f>
        <v>0</v>
      </c>
    </row>
    <row r="431" spans="1:33" x14ac:dyDescent="0.25">
      <c r="A431" s="274" t="str">
        <f>+IFERROR(VLOOKUP(CATEGORIAS[[#This Row],[CATEGORIA2]],[1]HOMOLOGACION!$A$1:$I$571,9,FALSE),0)</f>
        <v>0P05</v>
      </c>
      <c r="B431" s="274" t="str">
        <f>+IFERROR(VLOOKUP(CATEGORIAS[[#This Row],[CATEGORIA2]],[1]HOMOLOGACION!$A$1:$C$571,3,FALSE),0)</f>
        <v>0C02</v>
      </c>
      <c r="C431" s="274" t="str">
        <f>+IFERROR(VLOOKUP(CATEGORIAS[[#This Row],[CATEGORIA2]],[1]HOMOLOGACION!$A$1:$D$571,4,FALSE),0)</f>
        <v xml:space="preserve">Materiales de Consumo </v>
      </c>
      <c r="D431" s="144" t="s">
        <v>2144</v>
      </c>
      <c r="E431" s="273" t="s">
        <v>1192</v>
      </c>
      <c r="F431" s="275" t="s">
        <v>361</v>
      </c>
      <c r="G431" s="313">
        <v>0</v>
      </c>
      <c r="H431" s="313">
        <v>0</v>
      </c>
      <c r="I431" s="130">
        <v>0</v>
      </c>
      <c r="J431" s="130"/>
      <c r="K431" s="130"/>
      <c r="L431" s="143">
        <f>CATEGORIAS[[#This Row],[ADICIONALES]]+CATEGORIAS[[#This Row],[POM]]</f>
        <v>0</v>
      </c>
      <c r="M431" s="131">
        <v>0</v>
      </c>
      <c r="N431" s="227">
        <v>0</v>
      </c>
      <c r="O431" s="296">
        <f>CATEGORIAS[[#This Row],[PRODUCCION
PARTIDAS
ORIGINALES
ACTUAL]]+CATEGORIAS[[#This Row],[PRODUCCION
ADICIONALES
ACTUAL]]</f>
        <v>0</v>
      </c>
      <c r="P431" s="227">
        <v>0</v>
      </c>
      <c r="Q431" s="227">
        <v>0</v>
      </c>
      <c r="R431" s="297">
        <f>CATEGORIAS[[#This Row],[PRODUCCION
ANTERIOR]]+CATEGORIAS[[#This Row],[PRODUCCION
ADICIONALES
ANTERIOR]]</f>
        <v>0</v>
      </c>
      <c r="S431" s="133">
        <v>0</v>
      </c>
      <c r="T431" s="133"/>
      <c r="U431" s="133"/>
      <c r="V431" s="296">
        <f>SUM(CATEGORIAS[[#This Row],[COSTO
ACUMULADO  AX]:[PROVISIONES]])</f>
        <v>0</v>
      </c>
      <c r="W431" s="298">
        <v>0</v>
      </c>
      <c r="X431" s="227"/>
      <c r="Y431" s="227"/>
      <c r="Z431" s="297">
        <f>SUM(CATEGORIAS[[#This Row],[COSTO ACUMULADO
ANTERIOR]:[PROVISIONES
ANTERIOR]])</f>
        <v>0</v>
      </c>
      <c r="AA431" s="139">
        <f>CATEGORIAS[[#This Row],[PRESUPUESTO
FINAL
PROYECTADO]]-CATEGORIAS[[#This Row],[TOTAL PRODUCCION
ACTUAL]]</f>
        <v>0</v>
      </c>
      <c r="AB431" s="227">
        <v>0</v>
      </c>
      <c r="AC431" s="132"/>
      <c r="AD431" s="132"/>
      <c r="AE431" s="226">
        <f>SUM(CATEGORIAS[[#This Row],[INVENTARIO]:[PROYECCION
DE COSTO
DEL SALDO]])</f>
        <v>0</v>
      </c>
      <c r="AF431" s="132"/>
      <c r="AG431" s="132">
        <f>+CATEGORIAS[[#This Row],[PRESUPUESTO
FINAL
PROYECTADO]]-CATEGORIAS[[#This Row],[COSTO REAL]]-CATEGORIAS[[#This Row],[PROYECCION
TOTAL DE COSTO]]</f>
        <v>0</v>
      </c>
    </row>
    <row r="432" spans="1:33" x14ac:dyDescent="0.25">
      <c r="A432" s="274" t="str">
        <f>+IFERROR(VLOOKUP(CATEGORIAS[[#This Row],[CATEGORIA2]],[1]HOMOLOGACION!$A$1:$I$571,9,FALSE),0)</f>
        <v>0P05</v>
      </c>
      <c r="B432" s="274" t="str">
        <f>+IFERROR(VLOOKUP(CATEGORIAS[[#This Row],[CATEGORIA2]],[1]HOMOLOGACION!$A$1:$C$571,3,FALSE),0)</f>
        <v>0C02</v>
      </c>
      <c r="C432" s="274" t="str">
        <f>+IFERROR(VLOOKUP(CATEGORIAS[[#This Row],[CATEGORIA2]],[1]HOMOLOGACION!$A$1:$D$571,4,FALSE),0)</f>
        <v xml:space="preserve">Materiales de Consumo </v>
      </c>
      <c r="D432" s="144" t="s">
        <v>2145</v>
      </c>
      <c r="E432" s="273" t="s">
        <v>1194</v>
      </c>
      <c r="F432" s="275" t="s">
        <v>361</v>
      </c>
      <c r="G432" s="313">
        <v>0</v>
      </c>
      <c r="H432" s="313">
        <v>0</v>
      </c>
      <c r="I432" s="130">
        <v>0</v>
      </c>
      <c r="J432" s="130"/>
      <c r="K432" s="130"/>
      <c r="L432" s="143">
        <f>CATEGORIAS[[#This Row],[ADICIONALES]]+CATEGORIAS[[#This Row],[POM]]</f>
        <v>0</v>
      </c>
      <c r="M432" s="131">
        <v>0</v>
      </c>
      <c r="N432" s="227">
        <v>0</v>
      </c>
      <c r="O432" s="296">
        <f>CATEGORIAS[[#This Row],[PRODUCCION
PARTIDAS
ORIGINALES
ACTUAL]]+CATEGORIAS[[#This Row],[PRODUCCION
ADICIONALES
ACTUAL]]</f>
        <v>0</v>
      </c>
      <c r="P432" s="227">
        <v>0</v>
      </c>
      <c r="Q432" s="227">
        <v>0</v>
      </c>
      <c r="R432" s="297">
        <f>CATEGORIAS[[#This Row],[PRODUCCION
ANTERIOR]]+CATEGORIAS[[#This Row],[PRODUCCION
ADICIONALES
ANTERIOR]]</f>
        <v>0</v>
      </c>
      <c r="S432" s="133">
        <v>0</v>
      </c>
      <c r="T432" s="133"/>
      <c r="U432" s="133"/>
      <c r="V432" s="296">
        <f>SUM(CATEGORIAS[[#This Row],[COSTO
ACUMULADO  AX]:[PROVISIONES]])</f>
        <v>0</v>
      </c>
      <c r="W432" s="298">
        <v>0</v>
      </c>
      <c r="X432" s="227"/>
      <c r="Y432" s="227"/>
      <c r="Z432" s="297">
        <f>SUM(CATEGORIAS[[#This Row],[COSTO ACUMULADO
ANTERIOR]:[PROVISIONES
ANTERIOR]])</f>
        <v>0</v>
      </c>
      <c r="AA432" s="139">
        <f>CATEGORIAS[[#This Row],[PRESUPUESTO
FINAL
PROYECTADO]]-CATEGORIAS[[#This Row],[TOTAL PRODUCCION
ACTUAL]]</f>
        <v>0</v>
      </c>
      <c r="AB432" s="227">
        <v>0</v>
      </c>
      <c r="AC432" s="132"/>
      <c r="AD432" s="132"/>
      <c r="AE432" s="226">
        <f>SUM(CATEGORIAS[[#This Row],[INVENTARIO]:[PROYECCION
DE COSTO
DEL SALDO]])</f>
        <v>0</v>
      </c>
      <c r="AF432" s="132"/>
      <c r="AG432" s="132">
        <f>+CATEGORIAS[[#This Row],[PRESUPUESTO
FINAL
PROYECTADO]]-CATEGORIAS[[#This Row],[COSTO REAL]]-CATEGORIAS[[#This Row],[PROYECCION
TOTAL DE COSTO]]</f>
        <v>0</v>
      </c>
    </row>
    <row r="433" spans="1:33" x14ac:dyDescent="0.25">
      <c r="A433" s="274" t="str">
        <f>+IFERROR(VLOOKUP(CATEGORIAS[[#This Row],[CATEGORIA2]],[1]HOMOLOGACION!$A$1:$I$571,9,FALSE),0)</f>
        <v>0P05</v>
      </c>
      <c r="B433" s="274" t="str">
        <f>+IFERROR(VLOOKUP(CATEGORIAS[[#This Row],[CATEGORIA2]],[1]HOMOLOGACION!$A$1:$C$571,3,FALSE),0)</f>
        <v>0C02</v>
      </c>
      <c r="C433" s="274" t="str">
        <f>+IFERROR(VLOOKUP(CATEGORIAS[[#This Row],[CATEGORIA2]],[1]HOMOLOGACION!$A$1:$D$571,4,FALSE),0)</f>
        <v xml:space="preserve">Materiales de Consumo </v>
      </c>
      <c r="D433" s="144" t="s">
        <v>2146</v>
      </c>
      <c r="E433" s="273" t="s">
        <v>1194</v>
      </c>
      <c r="F433" s="275" t="s">
        <v>361</v>
      </c>
      <c r="G433" s="313">
        <v>0</v>
      </c>
      <c r="H433" s="313">
        <v>0</v>
      </c>
      <c r="I433" s="130">
        <v>0</v>
      </c>
      <c r="J433" s="130"/>
      <c r="K433" s="130"/>
      <c r="L433" s="143">
        <f>CATEGORIAS[[#This Row],[ADICIONALES]]+CATEGORIAS[[#This Row],[POM]]</f>
        <v>0</v>
      </c>
      <c r="M433" s="131">
        <v>0</v>
      </c>
      <c r="N433" s="227">
        <v>0</v>
      </c>
      <c r="O433" s="296">
        <f>CATEGORIAS[[#This Row],[PRODUCCION
PARTIDAS
ORIGINALES
ACTUAL]]+CATEGORIAS[[#This Row],[PRODUCCION
ADICIONALES
ACTUAL]]</f>
        <v>0</v>
      </c>
      <c r="P433" s="227">
        <v>0</v>
      </c>
      <c r="Q433" s="227">
        <v>0</v>
      </c>
      <c r="R433" s="297">
        <f>CATEGORIAS[[#This Row],[PRODUCCION
ANTERIOR]]+CATEGORIAS[[#This Row],[PRODUCCION
ADICIONALES
ANTERIOR]]</f>
        <v>0</v>
      </c>
      <c r="S433" s="133">
        <v>0</v>
      </c>
      <c r="T433" s="133"/>
      <c r="U433" s="133"/>
      <c r="V433" s="296">
        <f>SUM(CATEGORIAS[[#This Row],[COSTO
ACUMULADO  AX]:[PROVISIONES]])</f>
        <v>0</v>
      </c>
      <c r="W433" s="298">
        <v>0</v>
      </c>
      <c r="X433" s="227"/>
      <c r="Y433" s="227"/>
      <c r="Z433" s="297">
        <f>SUM(CATEGORIAS[[#This Row],[COSTO ACUMULADO
ANTERIOR]:[PROVISIONES
ANTERIOR]])</f>
        <v>0</v>
      </c>
      <c r="AA433" s="139">
        <f>CATEGORIAS[[#This Row],[PRESUPUESTO
FINAL
PROYECTADO]]-CATEGORIAS[[#This Row],[TOTAL PRODUCCION
ACTUAL]]</f>
        <v>0</v>
      </c>
      <c r="AB433" s="227">
        <v>0</v>
      </c>
      <c r="AC433" s="132"/>
      <c r="AD433" s="132"/>
      <c r="AE433" s="226">
        <f>SUM(CATEGORIAS[[#This Row],[INVENTARIO]:[PROYECCION
DE COSTO
DEL SALDO]])</f>
        <v>0</v>
      </c>
      <c r="AF433" s="132"/>
      <c r="AG433" s="132">
        <f>+CATEGORIAS[[#This Row],[PRESUPUESTO
FINAL
PROYECTADO]]-CATEGORIAS[[#This Row],[COSTO REAL]]-CATEGORIAS[[#This Row],[PROYECCION
TOTAL DE COSTO]]</f>
        <v>0</v>
      </c>
    </row>
    <row r="434" spans="1:33" x14ac:dyDescent="0.25">
      <c r="A434" s="274" t="str">
        <f>+IFERROR(VLOOKUP(CATEGORIAS[[#This Row],[CATEGORIA2]],[1]HOMOLOGACION!$A$1:$I$571,9,FALSE),0)</f>
        <v>0P06</v>
      </c>
      <c r="B434" s="274" t="str">
        <f>+IFERROR(VLOOKUP(CATEGORIAS[[#This Row],[CATEGORIA2]],[1]HOMOLOGACION!$A$1:$C$571,3,FALSE),0)</f>
        <v>0C03</v>
      </c>
      <c r="C434" s="274" t="str">
        <f>+IFERROR(VLOOKUP(CATEGORIAS[[#This Row],[CATEGORIA2]],[1]HOMOLOGACION!$A$1:$D$571,4,FALSE),0)</f>
        <v>Herramientas Menores</v>
      </c>
      <c r="D434" s="144" t="s">
        <v>2147</v>
      </c>
      <c r="E434" s="273" t="s">
        <v>1197</v>
      </c>
      <c r="F434" s="275" t="s">
        <v>364</v>
      </c>
      <c r="G434" s="313">
        <v>11480361.030000003</v>
      </c>
      <c r="H434" s="313">
        <v>11480361.030000003</v>
      </c>
      <c r="I434" s="130">
        <v>454313.02986779634</v>
      </c>
      <c r="J434" s="130"/>
      <c r="K434" s="130"/>
      <c r="L434" s="143">
        <f>CATEGORIAS[[#This Row],[ADICIONALES]]+CATEGORIAS[[#This Row],[POM]]</f>
        <v>11934674.059867799</v>
      </c>
      <c r="M434" s="131">
        <v>4126230.3720000009</v>
      </c>
      <c r="N434" s="227">
        <v>21102.53556963148</v>
      </c>
      <c r="O434" s="296">
        <f>CATEGORIAS[[#This Row],[PRODUCCION
PARTIDAS
ORIGINALES
ACTUAL]]+CATEGORIAS[[#This Row],[PRODUCCION
ADICIONALES
ACTUAL]]</f>
        <v>4147332.9075696324</v>
      </c>
      <c r="P434" s="227">
        <v>2822490.6119999997</v>
      </c>
      <c r="Q434" s="132">
        <v>24900.801569631476</v>
      </c>
      <c r="R434" s="297">
        <f>CATEGORIAS[[#This Row],[PRODUCCION
ANTERIOR]]+CATEGORIAS[[#This Row],[PRODUCCION
ADICIONALES
ANTERIOR]]</f>
        <v>2847391.4135696311</v>
      </c>
      <c r="S434" s="133">
        <v>347266</v>
      </c>
      <c r="T434" s="132"/>
      <c r="U434" s="133"/>
      <c r="V434" s="296">
        <f>SUM(CATEGORIAS[[#This Row],[COSTO
ACUMULADO  AX]:[PROVISIONES]])</f>
        <v>347266</v>
      </c>
      <c r="W434" s="298">
        <v>284171</v>
      </c>
      <c r="X434" s="227">
        <v>-30100</v>
      </c>
      <c r="Y434" s="227"/>
      <c r="Z434" s="297">
        <f>SUM(CATEGORIAS[[#This Row],[COSTO ACUMULADO
ANTERIOR]:[PROVISIONES
ANTERIOR]])</f>
        <v>254071</v>
      </c>
      <c r="AA434" s="139">
        <f>CATEGORIAS[[#This Row],[PRESUPUESTO
FINAL
PROYECTADO]]-CATEGORIAS[[#This Row],[TOTAL PRODUCCION
ACTUAL]]</f>
        <v>7787341.1522981673</v>
      </c>
      <c r="AB434" s="227">
        <v>74815910</v>
      </c>
      <c r="AC434" s="132"/>
      <c r="AD434" s="132">
        <v>-63228501.940132201</v>
      </c>
      <c r="AE434" s="226">
        <f>SUM(CATEGORIAS[[#This Row],[INVENTARIO]:[PROYECCION
DE COSTO
DEL SALDO]])</f>
        <v>11587408.059867799</v>
      </c>
      <c r="AF434" s="132"/>
      <c r="AG434" s="132">
        <f>+CATEGORIAS[[#This Row],[PRESUPUESTO
FINAL
PROYECTADO]]-CATEGORIAS[[#This Row],[COSTO REAL]]-CATEGORIAS[[#This Row],[PROYECCION
TOTAL DE COSTO]]</f>
        <v>0</v>
      </c>
    </row>
    <row r="435" spans="1:33" x14ac:dyDescent="0.25">
      <c r="A435" s="274" t="str">
        <f>+IFERROR(VLOOKUP(CATEGORIAS[[#This Row],[CATEGORIA2]],[1]HOMOLOGACION!$A$1:$I$571,9,FALSE),0)</f>
        <v>0P06</v>
      </c>
      <c r="B435" s="274" t="str">
        <f>+IFERROR(VLOOKUP(CATEGORIAS[[#This Row],[CATEGORIA2]],[1]HOMOLOGACION!$A$1:$C$571,3,FALSE),0)</f>
        <v>0C03</v>
      </c>
      <c r="C435" s="274" t="str">
        <f>+IFERROR(VLOOKUP(CATEGORIAS[[#This Row],[CATEGORIA2]],[1]HOMOLOGACION!$A$1:$D$571,4,FALSE),0)</f>
        <v>Herramientas Menores</v>
      </c>
      <c r="D435" s="144" t="s">
        <v>2148</v>
      </c>
      <c r="E435" s="273" t="s">
        <v>1199</v>
      </c>
      <c r="F435" s="275" t="s">
        <v>361</v>
      </c>
      <c r="G435" s="313">
        <v>0</v>
      </c>
      <c r="H435" s="313">
        <v>0</v>
      </c>
      <c r="I435" s="130">
        <v>0</v>
      </c>
      <c r="J435" s="130"/>
      <c r="K435" s="130"/>
      <c r="L435" s="143">
        <f>CATEGORIAS[[#This Row],[ADICIONALES]]+CATEGORIAS[[#This Row],[POM]]</f>
        <v>0</v>
      </c>
      <c r="M435" s="131">
        <v>0</v>
      </c>
      <c r="N435" s="227">
        <v>0</v>
      </c>
      <c r="O435" s="296">
        <f>CATEGORIAS[[#This Row],[PRODUCCION
PARTIDAS
ORIGINALES
ACTUAL]]+CATEGORIAS[[#This Row],[PRODUCCION
ADICIONALES
ACTUAL]]</f>
        <v>0</v>
      </c>
      <c r="P435" s="227">
        <v>0</v>
      </c>
      <c r="Q435" s="227">
        <v>0</v>
      </c>
      <c r="R435" s="297">
        <f>CATEGORIAS[[#This Row],[PRODUCCION
ANTERIOR]]+CATEGORIAS[[#This Row],[PRODUCCION
ADICIONALES
ANTERIOR]]</f>
        <v>0</v>
      </c>
      <c r="S435" s="133">
        <v>0</v>
      </c>
      <c r="T435" s="133"/>
      <c r="U435" s="133"/>
      <c r="V435" s="296">
        <f>SUM(CATEGORIAS[[#This Row],[COSTO
ACUMULADO  AX]:[PROVISIONES]])</f>
        <v>0</v>
      </c>
      <c r="W435" s="298">
        <v>0</v>
      </c>
      <c r="X435" s="227"/>
      <c r="Y435" s="227"/>
      <c r="Z435" s="297">
        <f>SUM(CATEGORIAS[[#This Row],[COSTO ACUMULADO
ANTERIOR]:[PROVISIONES
ANTERIOR]])</f>
        <v>0</v>
      </c>
      <c r="AA435" s="139">
        <f>CATEGORIAS[[#This Row],[PRESUPUESTO
FINAL
PROYECTADO]]-CATEGORIAS[[#This Row],[TOTAL PRODUCCION
ACTUAL]]</f>
        <v>0</v>
      </c>
      <c r="AB435" s="227">
        <v>0</v>
      </c>
      <c r="AC435" s="132"/>
      <c r="AD435" s="132"/>
      <c r="AE435" s="226">
        <f>SUM(CATEGORIAS[[#This Row],[INVENTARIO]:[PROYECCION
DE COSTO
DEL SALDO]])</f>
        <v>0</v>
      </c>
      <c r="AF435" s="132"/>
      <c r="AG435" s="132">
        <f>+CATEGORIAS[[#This Row],[PRESUPUESTO
FINAL
PROYECTADO]]-CATEGORIAS[[#This Row],[COSTO REAL]]-CATEGORIAS[[#This Row],[PROYECCION
TOTAL DE COSTO]]</f>
        <v>0</v>
      </c>
    </row>
    <row r="436" spans="1:33" x14ac:dyDescent="0.25">
      <c r="A436" s="274" t="str">
        <f>+IFERROR(VLOOKUP(CATEGORIAS[[#This Row],[CATEGORIA2]],[1]HOMOLOGACION!$A$1:$I$571,9,FALSE),0)</f>
        <v>0P06</v>
      </c>
      <c r="B436" s="274" t="str">
        <f>+IFERROR(VLOOKUP(CATEGORIAS[[#This Row],[CATEGORIA2]],[1]HOMOLOGACION!$A$1:$C$571,3,FALSE),0)</f>
        <v>0C03</v>
      </c>
      <c r="C436" s="274" t="str">
        <f>+IFERROR(VLOOKUP(CATEGORIAS[[#This Row],[CATEGORIA2]],[1]HOMOLOGACION!$A$1:$D$571,4,FALSE),0)</f>
        <v>Herramientas Menores</v>
      </c>
      <c r="D436" s="144" t="s">
        <v>2149</v>
      </c>
      <c r="E436" s="273" t="s">
        <v>1201</v>
      </c>
      <c r="F436" s="275" t="s">
        <v>361</v>
      </c>
      <c r="G436" s="313">
        <v>0</v>
      </c>
      <c r="H436" s="313">
        <v>0</v>
      </c>
      <c r="I436" s="130">
        <v>0</v>
      </c>
      <c r="J436" s="130"/>
      <c r="K436" s="130"/>
      <c r="L436" s="143">
        <f>CATEGORIAS[[#This Row],[ADICIONALES]]+CATEGORIAS[[#This Row],[POM]]</f>
        <v>0</v>
      </c>
      <c r="M436" s="131">
        <v>0</v>
      </c>
      <c r="N436" s="227">
        <v>0</v>
      </c>
      <c r="O436" s="296">
        <f>CATEGORIAS[[#This Row],[PRODUCCION
PARTIDAS
ORIGINALES
ACTUAL]]+CATEGORIAS[[#This Row],[PRODUCCION
ADICIONALES
ACTUAL]]</f>
        <v>0</v>
      </c>
      <c r="P436" s="227">
        <v>0</v>
      </c>
      <c r="Q436" s="132">
        <v>0</v>
      </c>
      <c r="R436" s="297">
        <f>CATEGORIAS[[#This Row],[PRODUCCION
ANTERIOR]]+CATEGORIAS[[#This Row],[PRODUCCION
ADICIONALES
ANTERIOR]]</f>
        <v>0</v>
      </c>
      <c r="S436" s="133">
        <v>0</v>
      </c>
      <c r="T436" s="133"/>
      <c r="U436" s="133"/>
      <c r="V436" s="296">
        <f>SUM(CATEGORIAS[[#This Row],[COSTO
ACUMULADO  AX]:[PROVISIONES]])</f>
        <v>0</v>
      </c>
      <c r="W436" s="298">
        <v>0</v>
      </c>
      <c r="X436" s="227"/>
      <c r="Y436" s="227"/>
      <c r="Z436" s="297">
        <f>SUM(CATEGORIAS[[#This Row],[COSTO ACUMULADO
ANTERIOR]:[PROVISIONES
ANTERIOR]])</f>
        <v>0</v>
      </c>
      <c r="AA436" s="139">
        <f>CATEGORIAS[[#This Row],[PRESUPUESTO
FINAL
PROYECTADO]]-CATEGORIAS[[#This Row],[TOTAL PRODUCCION
ACTUAL]]</f>
        <v>0</v>
      </c>
      <c r="AB436" s="227">
        <v>0</v>
      </c>
      <c r="AC436" s="132"/>
      <c r="AD436" s="132"/>
      <c r="AE436" s="226">
        <f>SUM(CATEGORIAS[[#This Row],[INVENTARIO]:[PROYECCION
DE COSTO
DEL SALDO]])</f>
        <v>0</v>
      </c>
      <c r="AF436" s="132"/>
      <c r="AG436" s="132">
        <f>+CATEGORIAS[[#This Row],[PRESUPUESTO
FINAL
PROYECTADO]]-CATEGORIAS[[#This Row],[COSTO REAL]]-CATEGORIAS[[#This Row],[PROYECCION
TOTAL DE COSTO]]</f>
        <v>0</v>
      </c>
    </row>
    <row r="437" spans="1:33" x14ac:dyDescent="0.25">
      <c r="A437" s="274" t="str">
        <f>+IFERROR(VLOOKUP(CATEGORIAS[[#This Row],[CATEGORIA2]],[1]HOMOLOGACION!$A$1:$I$571,9,FALSE),0)</f>
        <v>0P06</v>
      </c>
      <c r="B437" s="274" t="str">
        <f>+IFERROR(VLOOKUP(CATEGORIAS[[#This Row],[CATEGORIA2]],[1]HOMOLOGACION!$A$1:$C$571,3,FALSE),0)</f>
        <v>0C03</v>
      </c>
      <c r="C437" s="274" t="str">
        <f>+IFERROR(VLOOKUP(CATEGORIAS[[#This Row],[CATEGORIA2]],[1]HOMOLOGACION!$A$1:$D$571,4,FALSE),0)</f>
        <v>Herramientas Menores</v>
      </c>
      <c r="D437" s="144" t="s">
        <v>2150</v>
      </c>
      <c r="E437" s="273" t="s">
        <v>1201</v>
      </c>
      <c r="F437" s="275" t="s">
        <v>361</v>
      </c>
      <c r="G437" s="313">
        <v>0</v>
      </c>
      <c r="H437" s="313">
        <v>0</v>
      </c>
      <c r="I437" s="130">
        <v>0</v>
      </c>
      <c r="J437" s="130"/>
      <c r="K437" s="130"/>
      <c r="L437" s="143">
        <f>CATEGORIAS[[#This Row],[ADICIONALES]]+CATEGORIAS[[#This Row],[POM]]</f>
        <v>0</v>
      </c>
      <c r="M437" s="131">
        <v>0</v>
      </c>
      <c r="N437" s="227">
        <v>0</v>
      </c>
      <c r="O437" s="296">
        <f>CATEGORIAS[[#This Row],[PRODUCCION
PARTIDAS
ORIGINALES
ACTUAL]]+CATEGORIAS[[#This Row],[PRODUCCION
ADICIONALES
ACTUAL]]</f>
        <v>0</v>
      </c>
      <c r="P437" s="227">
        <v>0</v>
      </c>
      <c r="Q437" s="227">
        <v>0</v>
      </c>
      <c r="R437" s="297">
        <f>CATEGORIAS[[#This Row],[PRODUCCION
ANTERIOR]]+CATEGORIAS[[#This Row],[PRODUCCION
ADICIONALES
ANTERIOR]]</f>
        <v>0</v>
      </c>
      <c r="S437" s="133">
        <v>0</v>
      </c>
      <c r="T437" s="133"/>
      <c r="U437" s="133"/>
      <c r="V437" s="296">
        <f>SUM(CATEGORIAS[[#This Row],[COSTO
ACUMULADO  AX]:[PROVISIONES]])</f>
        <v>0</v>
      </c>
      <c r="W437" s="298">
        <v>0</v>
      </c>
      <c r="X437" s="227"/>
      <c r="Y437" s="227"/>
      <c r="Z437" s="297">
        <f>SUM(CATEGORIAS[[#This Row],[COSTO ACUMULADO
ANTERIOR]:[PROVISIONES
ANTERIOR]])</f>
        <v>0</v>
      </c>
      <c r="AA437" s="139">
        <f>CATEGORIAS[[#This Row],[PRESUPUESTO
FINAL
PROYECTADO]]-CATEGORIAS[[#This Row],[TOTAL PRODUCCION
ACTUAL]]</f>
        <v>0</v>
      </c>
      <c r="AB437" s="227">
        <v>0</v>
      </c>
      <c r="AC437" s="132"/>
      <c r="AD437" s="132"/>
      <c r="AE437" s="226">
        <f>SUM(CATEGORIAS[[#This Row],[INVENTARIO]:[PROYECCION
DE COSTO
DEL SALDO]])</f>
        <v>0</v>
      </c>
      <c r="AF437" s="132"/>
      <c r="AG437" s="132">
        <f>+CATEGORIAS[[#This Row],[PRESUPUESTO
FINAL
PROYECTADO]]-CATEGORIAS[[#This Row],[COSTO REAL]]-CATEGORIAS[[#This Row],[PROYECCION
TOTAL DE COSTO]]</f>
        <v>0</v>
      </c>
    </row>
    <row r="438" spans="1:33" x14ac:dyDescent="0.25">
      <c r="A438" s="274" t="str">
        <f>+IFERROR(VLOOKUP(CATEGORIAS[[#This Row],[CATEGORIA2]],[1]HOMOLOGACION!$A$1:$I$571,9,FALSE),0)</f>
        <v>0P06</v>
      </c>
      <c r="B438" s="274" t="str">
        <f>+IFERROR(VLOOKUP(CATEGORIAS[[#This Row],[CATEGORIA2]],[1]HOMOLOGACION!$A$1:$C$571,3,FALSE),0)</f>
        <v>0C03</v>
      </c>
      <c r="C438" s="274" t="str">
        <f>+IFERROR(VLOOKUP(CATEGORIAS[[#This Row],[CATEGORIA2]],[1]HOMOLOGACION!$A$1:$D$571,4,FALSE),0)</f>
        <v>Herramientas Menores</v>
      </c>
      <c r="D438" s="144" t="s">
        <v>2151</v>
      </c>
      <c r="E438" s="273" t="s">
        <v>2152</v>
      </c>
      <c r="F438" s="275" t="s">
        <v>361</v>
      </c>
      <c r="G438" s="313">
        <v>0</v>
      </c>
      <c r="H438" s="313">
        <v>0</v>
      </c>
      <c r="I438" s="130">
        <v>0</v>
      </c>
      <c r="J438" s="130"/>
      <c r="K438" s="130"/>
      <c r="L438" s="143">
        <f>CATEGORIAS[[#This Row],[ADICIONALES]]+CATEGORIAS[[#This Row],[POM]]</f>
        <v>0</v>
      </c>
      <c r="M438" s="131">
        <v>0</v>
      </c>
      <c r="N438" s="227">
        <v>0</v>
      </c>
      <c r="O438" s="296">
        <f>CATEGORIAS[[#This Row],[PRODUCCION
PARTIDAS
ORIGINALES
ACTUAL]]+CATEGORIAS[[#This Row],[PRODUCCION
ADICIONALES
ACTUAL]]</f>
        <v>0</v>
      </c>
      <c r="P438" s="227">
        <v>0</v>
      </c>
      <c r="Q438" s="227">
        <v>0</v>
      </c>
      <c r="R438" s="297">
        <f>CATEGORIAS[[#This Row],[PRODUCCION
ANTERIOR]]+CATEGORIAS[[#This Row],[PRODUCCION
ADICIONALES
ANTERIOR]]</f>
        <v>0</v>
      </c>
      <c r="S438" s="133">
        <v>0</v>
      </c>
      <c r="T438" s="133"/>
      <c r="U438" s="133"/>
      <c r="V438" s="296">
        <f>SUM(CATEGORIAS[[#This Row],[COSTO
ACUMULADO  AX]:[PROVISIONES]])</f>
        <v>0</v>
      </c>
      <c r="W438" s="298">
        <v>0</v>
      </c>
      <c r="X438" s="227"/>
      <c r="Y438" s="227"/>
      <c r="Z438" s="297">
        <f>SUM(CATEGORIAS[[#This Row],[COSTO ACUMULADO
ANTERIOR]:[PROVISIONES
ANTERIOR]])</f>
        <v>0</v>
      </c>
      <c r="AA438" s="139">
        <f>CATEGORIAS[[#This Row],[PRESUPUESTO
FINAL
PROYECTADO]]-CATEGORIAS[[#This Row],[TOTAL PRODUCCION
ACTUAL]]</f>
        <v>0</v>
      </c>
      <c r="AB438" s="227">
        <v>0</v>
      </c>
      <c r="AC438" s="132"/>
      <c r="AD438" s="132"/>
      <c r="AE438" s="226">
        <f>SUM(CATEGORIAS[[#This Row],[INVENTARIO]:[PROYECCION
DE COSTO
DEL SALDO]])</f>
        <v>0</v>
      </c>
      <c r="AF438" s="132"/>
      <c r="AG438" s="132">
        <f>+CATEGORIAS[[#This Row],[PRESUPUESTO
FINAL
PROYECTADO]]-CATEGORIAS[[#This Row],[COSTO REAL]]-CATEGORIAS[[#This Row],[PROYECCION
TOTAL DE COSTO]]</f>
        <v>0</v>
      </c>
    </row>
    <row r="439" spans="1:33" x14ac:dyDescent="0.25">
      <c r="A439" s="274" t="str">
        <f>+IFERROR(VLOOKUP(CATEGORIAS[[#This Row],[CATEGORIA2]],[1]HOMOLOGACION!$A$1:$I$571,9,FALSE),0)</f>
        <v>0P01</v>
      </c>
      <c r="B439" s="274" t="str">
        <f>+IFERROR(VLOOKUP(CATEGORIAS[[#This Row],[CATEGORIA2]],[1]HOMOLOGACION!$A$1:$C$571,3,FALSE),0)</f>
        <v>0C04</v>
      </c>
      <c r="C439" s="274" t="str">
        <f>+IFERROR(VLOOKUP(CATEGORIAS[[#This Row],[CATEGORIA2]],[1]HOMOLOGACION!$A$1:$D$571,4,FALSE),0)</f>
        <v xml:space="preserve">Movilización </v>
      </c>
      <c r="D439" s="144" t="s">
        <v>2153</v>
      </c>
      <c r="E439" s="273" t="s">
        <v>1203</v>
      </c>
      <c r="F439" s="275" t="s">
        <v>364</v>
      </c>
      <c r="G439" s="313">
        <v>91680058.290985167</v>
      </c>
      <c r="H439" s="313">
        <v>91680058.290985167</v>
      </c>
      <c r="I439" s="130">
        <v>5566467.9571636803</v>
      </c>
      <c r="J439" s="130"/>
      <c r="K439" s="130"/>
      <c r="L439" s="143">
        <f>CATEGORIAS[[#This Row],[ADICIONALES]]+CATEGORIAS[[#This Row],[POM]]</f>
        <v>97246526.248148844</v>
      </c>
      <c r="M439" s="131">
        <v>33681321.407524452</v>
      </c>
      <c r="N439" s="227">
        <v>258558.70367055689</v>
      </c>
      <c r="O439" s="296">
        <f>CATEGORIAS[[#This Row],[PRODUCCION
PARTIDAS
ORIGINALES
ACTUAL]]+CATEGORIAS[[#This Row],[PRODUCCION
ADICIONALES
ACTUAL]]</f>
        <v>33939880.111195005</v>
      </c>
      <c r="P439" s="227">
        <v>23373607.020540632</v>
      </c>
      <c r="Q439" s="227">
        <v>305096.93742523657</v>
      </c>
      <c r="R439" s="297">
        <f>CATEGORIAS[[#This Row],[PRODUCCION
ANTERIOR]]+CATEGORIAS[[#This Row],[PRODUCCION
ADICIONALES
ANTERIOR]]</f>
        <v>23678703.957965869</v>
      </c>
      <c r="S439" s="133">
        <v>0</v>
      </c>
      <c r="T439" s="227">
        <v>8647363.8000000007</v>
      </c>
      <c r="U439" s="133">
        <v>5946000</v>
      </c>
      <c r="V439" s="296">
        <f>SUM(CATEGORIAS[[#This Row],[COSTO
ACUMULADO  AX]:[PROVISIONES]])</f>
        <v>14593363.800000001</v>
      </c>
      <c r="W439" s="298">
        <v>0</v>
      </c>
      <c r="X439" s="227">
        <v>8647363.8000000007</v>
      </c>
      <c r="Y439" s="227">
        <v>5946000</v>
      </c>
      <c r="Z439" s="297">
        <f>SUM(CATEGORIAS[[#This Row],[COSTO ACUMULADO
ANTERIOR]:[PROVISIONES
ANTERIOR]])</f>
        <v>14593363.800000001</v>
      </c>
      <c r="AA439" s="139">
        <f>CATEGORIAS[[#This Row],[PRESUPUESTO
FINAL
PROYECTADO]]-CATEGORIAS[[#This Row],[TOTAL PRODUCCION
ACTUAL]]</f>
        <v>63306646.136953838</v>
      </c>
      <c r="AB439" s="227">
        <v>0</v>
      </c>
      <c r="AC439" s="132"/>
      <c r="AD439" s="132">
        <v>82653162.448148847</v>
      </c>
      <c r="AE439" s="226">
        <f>SUM(CATEGORIAS[[#This Row],[INVENTARIO]:[PROYECCION
DE COSTO
DEL SALDO]])</f>
        <v>82653162.448148847</v>
      </c>
      <c r="AF439" s="132"/>
      <c r="AG439" s="132">
        <f>+CATEGORIAS[[#This Row],[PRESUPUESTO
FINAL
PROYECTADO]]-CATEGORIAS[[#This Row],[COSTO REAL]]-CATEGORIAS[[#This Row],[PROYECCION
TOTAL DE COSTO]]</f>
        <v>0</v>
      </c>
    </row>
    <row r="440" spans="1:33" x14ac:dyDescent="0.25">
      <c r="A440" s="274" t="str">
        <f>+IFERROR(VLOOKUP(CATEGORIAS[[#This Row],[CATEGORIA2]],[1]HOMOLOGACION!$A$1:$I$571,9,FALSE),0)</f>
        <v>0P01</v>
      </c>
      <c r="B440" s="274" t="str">
        <f>+IFERROR(VLOOKUP(CATEGORIAS[[#This Row],[CATEGORIA2]],[1]HOMOLOGACION!$A$1:$C$571,3,FALSE),0)</f>
        <v>0C04</v>
      </c>
      <c r="C440" s="274" t="str">
        <f>+IFERROR(VLOOKUP(CATEGORIAS[[#This Row],[CATEGORIA2]],[1]HOMOLOGACION!$A$1:$D$571,4,FALSE),0)</f>
        <v xml:space="preserve">Movilización </v>
      </c>
      <c r="D440" s="144" t="s">
        <v>2154</v>
      </c>
      <c r="E440" s="273" t="s">
        <v>1205</v>
      </c>
      <c r="F440" s="275" t="s">
        <v>361</v>
      </c>
      <c r="G440" s="313">
        <v>0</v>
      </c>
      <c r="H440" s="313">
        <v>0</v>
      </c>
      <c r="I440" s="130">
        <v>0</v>
      </c>
      <c r="J440" s="130"/>
      <c r="K440" s="130"/>
      <c r="L440" s="143">
        <f>CATEGORIAS[[#This Row],[ADICIONALES]]+CATEGORIAS[[#This Row],[POM]]</f>
        <v>0</v>
      </c>
      <c r="M440" s="131">
        <v>0</v>
      </c>
      <c r="N440" s="227">
        <v>0</v>
      </c>
      <c r="O440" s="296">
        <f>CATEGORIAS[[#This Row],[PRODUCCION
PARTIDAS
ORIGINALES
ACTUAL]]+CATEGORIAS[[#This Row],[PRODUCCION
ADICIONALES
ACTUAL]]</f>
        <v>0</v>
      </c>
      <c r="P440" s="227">
        <v>0</v>
      </c>
      <c r="Q440" s="227">
        <v>0</v>
      </c>
      <c r="R440" s="297">
        <f>CATEGORIAS[[#This Row],[PRODUCCION
ANTERIOR]]+CATEGORIAS[[#This Row],[PRODUCCION
ADICIONALES
ANTERIOR]]</f>
        <v>0</v>
      </c>
      <c r="S440" s="133">
        <v>14412273</v>
      </c>
      <c r="T440" s="133">
        <v>-14412273</v>
      </c>
      <c r="U440" s="133"/>
      <c r="V440" s="296">
        <f>SUM(CATEGORIAS[[#This Row],[COSTO
ACUMULADO  AX]:[PROVISIONES]])</f>
        <v>0</v>
      </c>
      <c r="W440" s="298">
        <v>14412273</v>
      </c>
      <c r="X440" s="227">
        <v>-14412273</v>
      </c>
      <c r="Y440" s="227"/>
      <c r="Z440" s="297">
        <f>SUM(CATEGORIAS[[#This Row],[COSTO ACUMULADO
ANTERIOR]:[PROVISIONES
ANTERIOR]])</f>
        <v>0</v>
      </c>
      <c r="AA440" s="139">
        <f>CATEGORIAS[[#This Row],[PRESUPUESTO
FINAL
PROYECTADO]]-CATEGORIAS[[#This Row],[TOTAL PRODUCCION
ACTUAL]]</f>
        <v>0</v>
      </c>
      <c r="AB440" s="227">
        <v>0</v>
      </c>
      <c r="AC440" s="132"/>
      <c r="AD440" s="132"/>
      <c r="AE440" s="226">
        <f>SUM(CATEGORIAS[[#This Row],[INVENTARIO]:[PROYECCION
DE COSTO
DEL SALDO]])</f>
        <v>0</v>
      </c>
      <c r="AF440" s="132"/>
      <c r="AG440" s="132">
        <f>+CATEGORIAS[[#This Row],[PRESUPUESTO
FINAL
PROYECTADO]]-CATEGORIAS[[#This Row],[COSTO REAL]]-CATEGORIAS[[#This Row],[PROYECCION
TOTAL DE COSTO]]</f>
        <v>0</v>
      </c>
    </row>
    <row r="441" spans="1:33" x14ac:dyDescent="0.25">
      <c r="A441" s="274" t="str">
        <f>+IFERROR(VLOOKUP(CATEGORIAS[[#This Row],[CATEGORIA2]],[1]HOMOLOGACION!$A$1:$I$571,9,FALSE),0)</f>
        <v>0P01</v>
      </c>
      <c r="B441" s="274" t="str">
        <f>+IFERROR(VLOOKUP(CATEGORIAS[[#This Row],[CATEGORIA2]],[1]HOMOLOGACION!$A$1:$C$571,3,FALSE),0)</f>
        <v>0C04</v>
      </c>
      <c r="C441" s="274" t="str">
        <f>+IFERROR(VLOOKUP(CATEGORIAS[[#This Row],[CATEGORIA2]],[1]HOMOLOGACION!$A$1:$D$571,4,FALSE),0)</f>
        <v xml:space="preserve">Movilización </v>
      </c>
      <c r="D441" s="144" t="s">
        <v>2155</v>
      </c>
      <c r="E441" s="273" t="s">
        <v>1207</v>
      </c>
      <c r="F441" s="275" t="s">
        <v>361</v>
      </c>
      <c r="G441" s="313">
        <v>0</v>
      </c>
      <c r="H441" s="313">
        <v>0</v>
      </c>
      <c r="I441" s="130">
        <v>0</v>
      </c>
      <c r="J441" s="130"/>
      <c r="K441" s="130"/>
      <c r="L441" s="143">
        <f>CATEGORIAS[[#This Row],[ADICIONALES]]+CATEGORIAS[[#This Row],[POM]]</f>
        <v>0</v>
      </c>
      <c r="M441" s="131">
        <v>0</v>
      </c>
      <c r="N441" s="227">
        <v>0</v>
      </c>
      <c r="O441" s="296">
        <f>CATEGORIAS[[#This Row],[PRODUCCION
PARTIDAS
ORIGINALES
ACTUAL]]+CATEGORIAS[[#This Row],[PRODUCCION
ADICIONALES
ACTUAL]]</f>
        <v>0</v>
      </c>
      <c r="P441" s="227">
        <v>0</v>
      </c>
      <c r="Q441" s="132">
        <v>0</v>
      </c>
      <c r="R441" s="297">
        <f>CATEGORIAS[[#This Row],[PRODUCCION
ANTERIOR]]+CATEGORIAS[[#This Row],[PRODUCCION
ADICIONALES
ANTERIOR]]</f>
        <v>0</v>
      </c>
      <c r="S441" s="133">
        <v>0</v>
      </c>
      <c r="T441" s="133"/>
      <c r="U441" s="133"/>
      <c r="V441" s="296">
        <f>SUM(CATEGORIAS[[#This Row],[COSTO
ACUMULADO  AX]:[PROVISIONES]])</f>
        <v>0</v>
      </c>
      <c r="W441" s="298">
        <v>0</v>
      </c>
      <c r="X441" s="227"/>
      <c r="Y441" s="227"/>
      <c r="Z441" s="297">
        <f>SUM(CATEGORIAS[[#This Row],[COSTO ACUMULADO
ANTERIOR]:[PROVISIONES
ANTERIOR]])</f>
        <v>0</v>
      </c>
      <c r="AA441" s="139">
        <f>CATEGORIAS[[#This Row],[PRESUPUESTO
FINAL
PROYECTADO]]-CATEGORIAS[[#This Row],[TOTAL PRODUCCION
ACTUAL]]</f>
        <v>0</v>
      </c>
      <c r="AB441" s="227">
        <v>0</v>
      </c>
      <c r="AC441" s="132"/>
      <c r="AD441" s="132"/>
      <c r="AE441" s="226">
        <f>SUM(CATEGORIAS[[#This Row],[INVENTARIO]:[PROYECCION
DE COSTO
DEL SALDO]])</f>
        <v>0</v>
      </c>
      <c r="AF441" s="132"/>
      <c r="AG441" s="132">
        <f>+CATEGORIAS[[#This Row],[PRESUPUESTO
FINAL
PROYECTADO]]-CATEGORIAS[[#This Row],[COSTO REAL]]-CATEGORIAS[[#This Row],[PROYECCION
TOTAL DE COSTO]]</f>
        <v>0</v>
      </c>
    </row>
    <row r="442" spans="1:33" x14ac:dyDescent="0.25">
      <c r="A442" s="274" t="str">
        <f>+IFERROR(VLOOKUP(CATEGORIAS[[#This Row],[CATEGORIA2]],[1]HOMOLOGACION!$A$1:$I$571,9,FALSE),0)</f>
        <v>0P01</v>
      </c>
      <c r="B442" s="274" t="str">
        <f>+IFERROR(VLOOKUP(CATEGORIAS[[#This Row],[CATEGORIA2]],[1]HOMOLOGACION!$A$1:$C$571,3,FALSE),0)</f>
        <v>0C04</v>
      </c>
      <c r="C442" s="274" t="str">
        <f>+IFERROR(VLOOKUP(CATEGORIAS[[#This Row],[CATEGORIA2]],[1]HOMOLOGACION!$A$1:$D$571,4,FALSE),0)</f>
        <v xml:space="preserve">Movilización </v>
      </c>
      <c r="D442" s="144" t="s">
        <v>2156</v>
      </c>
      <c r="E442" s="273" t="s">
        <v>1207</v>
      </c>
      <c r="F442" s="275" t="s">
        <v>361</v>
      </c>
      <c r="G442" s="313">
        <v>0</v>
      </c>
      <c r="H442" s="313">
        <v>0</v>
      </c>
      <c r="I442" s="130">
        <v>0</v>
      </c>
      <c r="J442" s="130"/>
      <c r="K442" s="130"/>
      <c r="L442" s="143">
        <f>CATEGORIAS[[#This Row],[ADICIONALES]]+CATEGORIAS[[#This Row],[POM]]</f>
        <v>0</v>
      </c>
      <c r="M442" s="131">
        <v>0</v>
      </c>
      <c r="N442" s="227">
        <v>0</v>
      </c>
      <c r="O442" s="296">
        <f>CATEGORIAS[[#This Row],[PRODUCCION
PARTIDAS
ORIGINALES
ACTUAL]]+CATEGORIAS[[#This Row],[PRODUCCION
ADICIONALES
ACTUAL]]</f>
        <v>0</v>
      </c>
      <c r="P442" s="227">
        <v>0</v>
      </c>
      <c r="Q442" s="227">
        <v>0</v>
      </c>
      <c r="R442" s="297">
        <f>CATEGORIAS[[#This Row],[PRODUCCION
ANTERIOR]]+CATEGORIAS[[#This Row],[PRODUCCION
ADICIONALES
ANTERIOR]]</f>
        <v>0</v>
      </c>
      <c r="S442" s="133">
        <v>0</v>
      </c>
      <c r="T442" s="133"/>
      <c r="U442" s="133"/>
      <c r="V442" s="296">
        <f>SUM(CATEGORIAS[[#This Row],[COSTO
ACUMULADO  AX]:[PROVISIONES]])</f>
        <v>0</v>
      </c>
      <c r="W442" s="298">
        <v>0</v>
      </c>
      <c r="X442" s="227"/>
      <c r="Y442" s="227"/>
      <c r="Z442" s="297">
        <f>SUM(CATEGORIAS[[#This Row],[COSTO ACUMULADO
ANTERIOR]:[PROVISIONES
ANTERIOR]])</f>
        <v>0</v>
      </c>
      <c r="AA442" s="139">
        <f>CATEGORIAS[[#This Row],[PRESUPUESTO
FINAL
PROYECTADO]]-CATEGORIAS[[#This Row],[TOTAL PRODUCCION
ACTUAL]]</f>
        <v>0</v>
      </c>
      <c r="AB442" s="227">
        <v>0</v>
      </c>
      <c r="AC442" s="132"/>
      <c r="AD442" s="132"/>
      <c r="AE442" s="226">
        <f>SUM(CATEGORIAS[[#This Row],[INVENTARIO]:[PROYECCION
DE COSTO
DEL SALDO]])</f>
        <v>0</v>
      </c>
      <c r="AF442" s="132"/>
      <c r="AG442" s="132">
        <f>+CATEGORIAS[[#This Row],[PRESUPUESTO
FINAL
PROYECTADO]]-CATEGORIAS[[#This Row],[COSTO REAL]]-CATEGORIAS[[#This Row],[PROYECCION
TOTAL DE COSTO]]</f>
        <v>0</v>
      </c>
    </row>
    <row r="443" spans="1:33" x14ac:dyDescent="0.25">
      <c r="A443" s="274" t="str">
        <f>+IFERROR(VLOOKUP(CATEGORIAS[[#This Row],[CATEGORIA2]],[1]HOMOLOGACION!$A$1:$I$571,9,FALSE),0)</f>
        <v>0P08</v>
      </c>
      <c r="B443" s="274" t="str">
        <f>+IFERROR(VLOOKUP(CATEGORIAS[[#This Row],[CATEGORIA2]],[1]HOMOLOGACION!$A$1:$C$571,3,FALSE),0)</f>
        <v>0C07</v>
      </c>
      <c r="C443" s="274" t="str">
        <f>+IFERROR(VLOOKUP(CATEGORIAS[[#This Row],[CATEGORIA2]],[1]HOMOLOGACION!$A$1:$D$571,4,FALSE),0)</f>
        <v xml:space="preserve">Movilización Interna </v>
      </c>
      <c r="D443" s="144" t="s">
        <v>2157</v>
      </c>
      <c r="E443" s="273" t="s">
        <v>1210</v>
      </c>
      <c r="F443" s="275" t="s">
        <v>361</v>
      </c>
      <c r="G443" s="313">
        <v>0</v>
      </c>
      <c r="H443" s="313">
        <v>0</v>
      </c>
      <c r="I443" s="130">
        <v>0</v>
      </c>
      <c r="J443" s="130"/>
      <c r="K443" s="130"/>
      <c r="L443" s="143">
        <f>CATEGORIAS[[#This Row],[ADICIONALES]]+CATEGORIAS[[#This Row],[POM]]</f>
        <v>0</v>
      </c>
      <c r="M443" s="131">
        <v>0</v>
      </c>
      <c r="N443" s="227">
        <v>0</v>
      </c>
      <c r="O443" s="296">
        <f>CATEGORIAS[[#This Row],[PRODUCCION
PARTIDAS
ORIGINALES
ACTUAL]]+CATEGORIAS[[#This Row],[PRODUCCION
ADICIONALES
ACTUAL]]</f>
        <v>0</v>
      </c>
      <c r="P443" s="227">
        <v>0</v>
      </c>
      <c r="Q443" s="227">
        <v>0</v>
      </c>
      <c r="R443" s="297">
        <f>CATEGORIAS[[#This Row],[PRODUCCION
ANTERIOR]]+CATEGORIAS[[#This Row],[PRODUCCION
ADICIONALES
ANTERIOR]]</f>
        <v>0</v>
      </c>
      <c r="S443" s="133">
        <v>0</v>
      </c>
      <c r="T443" s="133"/>
      <c r="U443" s="133"/>
      <c r="V443" s="296">
        <f>SUM(CATEGORIAS[[#This Row],[COSTO
ACUMULADO  AX]:[PROVISIONES]])</f>
        <v>0</v>
      </c>
      <c r="W443" s="298">
        <v>0</v>
      </c>
      <c r="X443" s="227"/>
      <c r="Y443" s="227"/>
      <c r="Z443" s="297">
        <f>SUM(CATEGORIAS[[#This Row],[COSTO ACUMULADO
ANTERIOR]:[PROVISIONES
ANTERIOR]])</f>
        <v>0</v>
      </c>
      <c r="AA443" s="139">
        <f>CATEGORIAS[[#This Row],[PRESUPUESTO
FINAL
PROYECTADO]]-CATEGORIAS[[#This Row],[TOTAL PRODUCCION
ACTUAL]]</f>
        <v>0</v>
      </c>
      <c r="AB443" s="227">
        <v>0</v>
      </c>
      <c r="AC443" s="132"/>
      <c r="AD443" s="132"/>
      <c r="AE443" s="226">
        <f>SUM(CATEGORIAS[[#This Row],[INVENTARIO]:[PROYECCION
DE COSTO
DEL SALDO]])</f>
        <v>0</v>
      </c>
      <c r="AF443" s="132"/>
      <c r="AG443" s="132">
        <f>+CATEGORIAS[[#This Row],[PRESUPUESTO
FINAL
PROYECTADO]]-CATEGORIAS[[#This Row],[COSTO REAL]]-CATEGORIAS[[#This Row],[PROYECCION
TOTAL DE COSTO]]</f>
        <v>0</v>
      </c>
    </row>
    <row r="444" spans="1:33" x14ac:dyDescent="0.25">
      <c r="A444" s="274" t="str">
        <f>+IFERROR(VLOOKUP(CATEGORIAS[[#This Row],[CATEGORIA2]],[1]HOMOLOGACION!$A$1:$I$571,9,FALSE),0)</f>
        <v>0P08</v>
      </c>
      <c r="B444" s="274" t="str">
        <f>+IFERROR(VLOOKUP(CATEGORIAS[[#This Row],[CATEGORIA2]],[1]HOMOLOGACION!$A$1:$C$571,3,FALSE),0)</f>
        <v>0C07</v>
      </c>
      <c r="C444" s="274" t="str">
        <f>+IFERROR(VLOOKUP(CATEGORIAS[[#This Row],[CATEGORIA2]],[1]HOMOLOGACION!$A$1:$D$571,4,FALSE),0)</f>
        <v xml:space="preserve">Movilización Interna </v>
      </c>
      <c r="D444" s="144" t="s">
        <v>2158</v>
      </c>
      <c r="E444" s="273" t="s">
        <v>1212</v>
      </c>
      <c r="F444" s="275" t="s">
        <v>361</v>
      </c>
      <c r="G444" s="313">
        <v>0</v>
      </c>
      <c r="H444" s="313">
        <v>0</v>
      </c>
      <c r="I444" s="130">
        <v>0</v>
      </c>
      <c r="J444" s="130"/>
      <c r="K444" s="130"/>
      <c r="L444" s="143">
        <f>CATEGORIAS[[#This Row],[ADICIONALES]]+CATEGORIAS[[#This Row],[POM]]</f>
        <v>0</v>
      </c>
      <c r="M444" s="131">
        <v>0</v>
      </c>
      <c r="N444" s="227">
        <v>0</v>
      </c>
      <c r="O444" s="296">
        <f>CATEGORIAS[[#This Row],[PRODUCCION
PARTIDAS
ORIGINALES
ACTUAL]]+CATEGORIAS[[#This Row],[PRODUCCION
ADICIONALES
ACTUAL]]</f>
        <v>0</v>
      </c>
      <c r="P444" s="227">
        <v>0</v>
      </c>
      <c r="Q444" s="132">
        <v>0</v>
      </c>
      <c r="R444" s="297">
        <f>CATEGORIAS[[#This Row],[PRODUCCION
ANTERIOR]]+CATEGORIAS[[#This Row],[PRODUCCION
ADICIONALES
ANTERIOR]]</f>
        <v>0</v>
      </c>
      <c r="S444" s="133">
        <v>0</v>
      </c>
      <c r="T444" s="133"/>
      <c r="U444" s="133"/>
      <c r="V444" s="296">
        <f>SUM(CATEGORIAS[[#This Row],[COSTO
ACUMULADO  AX]:[PROVISIONES]])</f>
        <v>0</v>
      </c>
      <c r="W444" s="298">
        <v>0</v>
      </c>
      <c r="X444" s="227"/>
      <c r="Y444" s="227"/>
      <c r="Z444" s="297">
        <f>SUM(CATEGORIAS[[#This Row],[COSTO ACUMULADO
ANTERIOR]:[PROVISIONES
ANTERIOR]])</f>
        <v>0</v>
      </c>
      <c r="AA444" s="139">
        <f>CATEGORIAS[[#This Row],[PRESUPUESTO
FINAL
PROYECTADO]]-CATEGORIAS[[#This Row],[TOTAL PRODUCCION
ACTUAL]]</f>
        <v>0</v>
      </c>
      <c r="AB444" s="227">
        <v>0</v>
      </c>
      <c r="AC444" s="132"/>
      <c r="AD444" s="132"/>
      <c r="AE444" s="226">
        <f>SUM(CATEGORIAS[[#This Row],[INVENTARIO]:[PROYECCION
DE COSTO
DEL SALDO]])</f>
        <v>0</v>
      </c>
      <c r="AF444" s="132"/>
      <c r="AG444" s="132">
        <f>+CATEGORIAS[[#This Row],[PRESUPUESTO
FINAL
PROYECTADO]]-CATEGORIAS[[#This Row],[COSTO REAL]]-CATEGORIAS[[#This Row],[PROYECCION
TOTAL DE COSTO]]</f>
        <v>0</v>
      </c>
    </row>
    <row r="445" spans="1:33" x14ac:dyDescent="0.25">
      <c r="A445" s="274" t="str">
        <f>+IFERROR(VLOOKUP(CATEGORIAS[[#This Row],[CATEGORIA2]],[1]HOMOLOGACION!$A$1:$I$571,9,FALSE),0)</f>
        <v>0P02</v>
      </c>
      <c r="B445" s="274" t="str">
        <f>+IFERROR(VLOOKUP(CATEGORIAS[[#This Row],[CATEGORIA2]],[1]HOMOLOGACION!$A$1:$C$571,3,FALSE),0)</f>
        <v>0C05</v>
      </c>
      <c r="C445" s="274" t="str">
        <f>+IFERROR(VLOOKUP(CATEGORIAS[[#This Row],[CATEGORIA2]],[1]HOMOLOGACION!$A$1:$D$571,4,FALSE),0)</f>
        <v>Alimentación</v>
      </c>
      <c r="D445" s="144" t="s">
        <v>2159</v>
      </c>
      <c r="E445" s="273" t="s">
        <v>301</v>
      </c>
      <c r="F445" s="275" t="s">
        <v>364</v>
      </c>
      <c r="G445" s="313">
        <v>97917948.620726913</v>
      </c>
      <c r="H445" s="313">
        <v>97917948.620726913</v>
      </c>
      <c r="I445" s="130">
        <v>14065112.925309347</v>
      </c>
      <c r="J445" s="130"/>
      <c r="K445" s="130"/>
      <c r="L445" s="143">
        <f>CATEGORIAS[[#This Row],[ADICIONALES]]+CATEGORIAS[[#This Row],[POM]]</f>
        <v>111983061.54603626</v>
      </c>
      <c r="M445" s="131">
        <v>35972990.861246645</v>
      </c>
      <c r="N445" s="227">
        <v>653315.06314840796</v>
      </c>
      <c r="O445" s="296">
        <f>CATEGORIAS[[#This Row],[PRODUCCION
PARTIDAS
ORIGINALES
ACTUAL]]+CATEGORIAS[[#This Row],[PRODUCCION
ADICIONALES
ACTUAL]]</f>
        <v>36626305.924395055</v>
      </c>
      <c r="P445" s="227">
        <v>24963941.930034801</v>
      </c>
      <c r="Q445" s="227">
        <v>770905.87982806365</v>
      </c>
      <c r="R445" s="297">
        <f>CATEGORIAS[[#This Row],[PRODUCCION
ANTERIOR]]+CATEGORIAS[[#This Row],[PRODUCCION
ADICIONALES
ANTERIOR]]</f>
        <v>25734847.809862863</v>
      </c>
      <c r="S445" s="133">
        <v>6949044</v>
      </c>
      <c r="T445" s="133">
        <f>-2779617.6+17137440</f>
        <v>14357822.4</v>
      </c>
      <c r="U445" s="133">
        <v>5993040</v>
      </c>
      <c r="V445" s="296">
        <f>SUM(CATEGORIAS[[#This Row],[COSTO
ACUMULADO  AX]:[PROVISIONES]])</f>
        <v>27299906.399999999</v>
      </c>
      <c r="W445" s="298">
        <v>3482736</v>
      </c>
      <c r="X445" s="227">
        <v>10302886</v>
      </c>
      <c r="Y445" s="227">
        <v>5441460</v>
      </c>
      <c r="Z445" s="297">
        <f>SUM(CATEGORIAS[[#This Row],[COSTO ACUMULADO
ANTERIOR]:[PROVISIONES
ANTERIOR]])</f>
        <v>19227082</v>
      </c>
      <c r="AA445" s="139">
        <f>CATEGORIAS[[#This Row],[PRESUPUESTO
FINAL
PROYECTADO]]-CATEGORIAS[[#This Row],[TOTAL PRODUCCION
ACTUAL]]</f>
        <v>75356755.621641204</v>
      </c>
      <c r="AB445" s="132">
        <v>0</v>
      </c>
      <c r="AC445" s="132"/>
      <c r="AD445" s="132">
        <v>84683155.146036267</v>
      </c>
      <c r="AE445" s="226">
        <f>SUM(CATEGORIAS[[#This Row],[INVENTARIO]:[PROYECCION
DE COSTO
DEL SALDO]])</f>
        <v>84683155.146036267</v>
      </c>
      <c r="AF445" s="132"/>
      <c r="AG445" s="132">
        <f>+CATEGORIAS[[#This Row],[PRESUPUESTO
FINAL
PROYECTADO]]-CATEGORIAS[[#This Row],[COSTO REAL]]-CATEGORIAS[[#This Row],[PROYECCION
TOTAL DE COSTO]]</f>
        <v>0</v>
      </c>
    </row>
    <row r="446" spans="1:33" x14ac:dyDescent="0.25">
      <c r="A446" s="274" t="str">
        <f>+IFERROR(VLOOKUP(CATEGORIAS[[#This Row],[CATEGORIA2]],[1]HOMOLOGACION!$A$1:$I$571,9,FALSE),0)</f>
        <v>0P02</v>
      </c>
      <c r="B446" s="274" t="str">
        <f>+IFERROR(VLOOKUP(CATEGORIAS[[#This Row],[CATEGORIA2]],[1]HOMOLOGACION!$A$1:$C$571,3,FALSE),0)</f>
        <v>0C05</v>
      </c>
      <c r="C446" s="274" t="str">
        <f>+IFERROR(VLOOKUP(CATEGORIAS[[#This Row],[CATEGORIA2]],[1]HOMOLOGACION!$A$1:$D$571,4,FALSE),0)</f>
        <v>Alimentación</v>
      </c>
      <c r="D446" s="144" t="s">
        <v>2160</v>
      </c>
      <c r="E446" s="273" t="s">
        <v>1214</v>
      </c>
      <c r="F446" s="275" t="s">
        <v>361</v>
      </c>
      <c r="G446" s="313">
        <v>0</v>
      </c>
      <c r="H446" s="313">
        <v>0</v>
      </c>
      <c r="I446" s="130">
        <v>0</v>
      </c>
      <c r="J446" s="130"/>
      <c r="K446" s="130"/>
      <c r="L446" s="143">
        <f>CATEGORIAS[[#This Row],[ADICIONALES]]+CATEGORIAS[[#This Row],[POM]]</f>
        <v>0</v>
      </c>
      <c r="M446" s="131">
        <v>0</v>
      </c>
      <c r="N446" s="227">
        <v>0</v>
      </c>
      <c r="O446" s="296">
        <f>CATEGORIAS[[#This Row],[PRODUCCION
PARTIDAS
ORIGINALES
ACTUAL]]+CATEGORIAS[[#This Row],[PRODUCCION
ADICIONALES
ACTUAL]]</f>
        <v>0</v>
      </c>
      <c r="P446" s="227">
        <v>0</v>
      </c>
      <c r="Q446" s="132">
        <v>0</v>
      </c>
      <c r="R446" s="297">
        <f>CATEGORIAS[[#This Row],[PRODUCCION
ANTERIOR]]+CATEGORIAS[[#This Row],[PRODUCCION
ADICIONALES
ANTERIOR]]</f>
        <v>0</v>
      </c>
      <c r="S446" s="133">
        <v>0</v>
      </c>
      <c r="T446" s="133"/>
      <c r="U446" s="133"/>
      <c r="V446" s="296">
        <f>SUM(CATEGORIAS[[#This Row],[COSTO
ACUMULADO  AX]:[PROVISIONES]])</f>
        <v>0</v>
      </c>
      <c r="W446" s="298">
        <v>0</v>
      </c>
      <c r="X446" s="227"/>
      <c r="Y446" s="227"/>
      <c r="Z446" s="297">
        <f>SUM(CATEGORIAS[[#This Row],[COSTO ACUMULADO
ANTERIOR]:[PROVISIONES
ANTERIOR]])</f>
        <v>0</v>
      </c>
      <c r="AA446" s="139">
        <f>CATEGORIAS[[#This Row],[PRESUPUESTO
FINAL
PROYECTADO]]-CATEGORIAS[[#This Row],[TOTAL PRODUCCION
ACTUAL]]</f>
        <v>0</v>
      </c>
      <c r="AB446" s="227">
        <v>0</v>
      </c>
      <c r="AC446" s="132"/>
      <c r="AD446" s="132"/>
      <c r="AE446" s="226">
        <f>SUM(CATEGORIAS[[#This Row],[INVENTARIO]:[PROYECCION
DE COSTO
DEL SALDO]])</f>
        <v>0</v>
      </c>
      <c r="AF446" s="132"/>
      <c r="AG446" s="132">
        <f>+CATEGORIAS[[#This Row],[PRESUPUESTO
FINAL
PROYECTADO]]-CATEGORIAS[[#This Row],[COSTO REAL]]-CATEGORIAS[[#This Row],[PROYECCION
TOTAL DE COSTO]]</f>
        <v>0</v>
      </c>
    </row>
    <row r="447" spans="1:33" x14ac:dyDescent="0.25">
      <c r="A447" s="274" t="str">
        <f>+IFERROR(VLOOKUP(CATEGORIAS[[#This Row],[CATEGORIA2]],[1]HOMOLOGACION!$A$1:$I$571,9,FALSE),0)</f>
        <v>0P02</v>
      </c>
      <c r="B447" s="274" t="str">
        <f>+IFERROR(VLOOKUP(CATEGORIAS[[#This Row],[CATEGORIA2]],[1]HOMOLOGACION!$A$1:$C$571,3,FALSE),0)</f>
        <v>0C05</v>
      </c>
      <c r="C447" s="274" t="str">
        <f>+IFERROR(VLOOKUP(CATEGORIAS[[#This Row],[CATEGORIA2]],[1]HOMOLOGACION!$A$1:$D$571,4,FALSE),0)</f>
        <v>Alimentación</v>
      </c>
      <c r="D447" s="144" t="s">
        <v>2161</v>
      </c>
      <c r="E447" s="273" t="s">
        <v>1216</v>
      </c>
      <c r="F447" s="275" t="s">
        <v>361</v>
      </c>
      <c r="G447" s="313">
        <v>0</v>
      </c>
      <c r="H447" s="313">
        <v>0</v>
      </c>
      <c r="I447" s="130">
        <v>0</v>
      </c>
      <c r="J447" s="130"/>
      <c r="K447" s="130"/>
      <c r="L447" s="143">
        <f>CATEGORIAS[[#This Row],[ADICIONALES]]+CATEGORIAS[[#This Row],[POM]]</f>
        <v>0</v>
      </c>
      <c r="M447" s="131">
        <v>0</v>
      </c>
      <c r="N447" s="227">
        <v>0</v>
      </c>
      <c r="O447" s="296">
        <f>CATEGORIAS[[#This Row],[PRODUCCION
PARTIDAS
ORIGINALES
ACTUAL]]+CATEGORIAS[[#This Row],[PRODUCCION
ADICIONALES
ACTUAL]]</f>
        <v>0</v>
      </c>
      <c r="P447" s="227">
        <v>0</v>
      </c>
      <c r="Q447" s="227">
        <v>0</v>
      </c>
      <c r="R447" s="297">
        <f>CATEGORIAS[[#This Row],[PRODUCCION
ANTERIOR]]+CATEGORIAS[[#This Row],[PRODUCCION
ADICIONALES
ANTERIOR]]</f>
        <v>0</v>
      </c>
      <c r="S447" s="133">
        <v>0</v>
      </c>
      <c r="T447" s="133"/>
      <c r="U447" s="133"/>
      <c r="V447" s="296">
        <f>SUM(CATEGORIAS[[#This Row],[COSTO
ACUMULADO  AX]:[PROVISIONES]])</f>
        <v>0</v>
      </c>
      <c r="W447" s="298">
        <v>0</v>
      </c>
      <c r="X447" s="227"/>
      <c r="Y447" s="227"/>
      <c r="Z447" s="297">
        <f>SUM(CATEGORIAS[[#This Row],[COSTO ACUMULADO
ANTERIOR]:[PROVISIONES
ANTERIOR]])</f>
        <v>0</v>
      </c>
      <c r="AA447" s="139">
        <f>CATEGORIAS[[#This Row],[PRESUPUESTO
FINAL
PROYECTADO]]-CATEGORIAS[[#This Row],[TOTAL PRODUCCION
ACTUAL]]</f>
        <v>0</v>
      </c>
      <c r="AB447" s="227">
        <v>0</v>
      </c>
      <c r="AC447" s="132"/>
      <c r="AD447" s="132"/>
      <c r="AE447" s="226">
        <f>SUM(CATEGORIAS[[#This Row],[INVENTARIO]:[PROYECCION
DE COSTO
DEL SALDO]])</f>
        <v>0</v>
      </c>
      <c r="AF447" s="132"/>
      <c r="AG447" s="132">
        <f>+CATEGORIAS[[#This Row],[PRESUPUESTO
FINAL
PROYECTADO]]-CATEGORIAS[[#This Row],[COSTO REAL]]-CATEGORIAS[[#This Row],[PROYECCION
TOTAL DE COSTO]]</f>
        <v>0</v>
      </c>
    </row>
    <row r="448" spans="1:33" x14ac:dyDescent="0.25">
      <c r="A448" s="274" t="str">
        <f>+IFERROR(VLOOKUP(CATEGORIAS[[#This Row],[CATEGORIA2]],[1]HOMOLOGACION!$A$1:$I$571,9,FALSE),0)</f>
        <v>0P02</v>
      </c>
      <c r="B448" s="274" t="str">
        <f>+IFERROR(VLOOKUP(CATEGORIAS[[#This Row],[CATEGORIA2]],[1]HOMOLOGACION!$A$1:$C$571,3,FALSE),0)</f>
        <v>0C05</v>
      </c>
      <c r="C448" s="274" t="str">
        <f>+IFERROR(VLOOKUP(CATEGORIAS[[#This Row],[CATEGORIA2]],[1]HOMOLOGACION!$A$1:$D$571,4,FALSE),0)</f>
        <v>Alimentación</v>
      </c>
      <c r="D448" s="144" t="s">
        <v>2162</v>
      </c>
      <c r="E448" s="273" t="s">
        <v>1216</v>
      </c>
      <c r="F448" s="275" t="s">
        <v>361</v>
      </c>
      <c r="G448" s="313">
        <v>0</v>
      </c>
      <c r="H448" s="313">
        <v>0</v>
      </c>
      <c r="I448" s="130">
        <v>0</v>
      </c>
      <c r="J448" s="130"/>
      <c r="K448" s="130"/>
      <c r="L448" s="143">
        <f>CATEGORIAS[[#This Row],[ADICIONALES]]+CATEGORIAS[[#This Row],[POM]]</f>
        <v>0</v>
      </c>
      <c r="M448" s="131">
        <v>0</v>
      </c>
      <c r="N448" s="227">
        <v>0</v>
      </c>
      <c r="O448" s="296">
        <f>CATEGORIAS[[#This Row],[PRODUCCION
PARTIDAS
ORIGINALES
ACTUAL]]+CATEGORIAS[[#This Row],[PRODUCCION
ADICIONALES
ACTUAL]]</f>
        <v>0</v>
      </c>
      <c r="P448" s="227">
        <v>0</v>
      </c>
      <c r="Q448" s="132">
        <v>0</v>
      </c>
      <c r="R448" s="297">
        <f>CATEGORIAS[[#This Row],[PRODUCCION
ANTERIOR]]+CATEGORIAS[[#This Row],[PRODUCCION
ADICIONALES
ANTERIOR]]</f>
        <v>0</v>
      </c>
      <c r="S448" s="133">
        <v>0</v>
      </c>
      <c r="T448" s="133"/>
      <c r="U448" s="133"/>
      <c r="V448" s="296">
        <f>SUM(CATEGORIAS[[#This Row],[COSTO
ACUMULADO  AX]:[PROVISIONES]])</f>
        <v>0</v>
      </c>
      <c r="W448" s="298">
        <v>0</v>
      </c>
      <c r="X448" s="227"/>
      <c r="Y448" s="227"/>
      <c r="Z448" s="297">
        <f>SUM(CATEGORIAS[[#This Row],[COSTO ACUMULADO
ANTERIOR]:[PROVISIONES
ANTERIOR]])</f>
        <v>0</v>
      </c>
      <c r="AA448" s="139">
        <f>CATEGORIAS[[#This Row],[PRESUPUESTO
FINAL
PROYECTADO]]-CATEGORIAS[[#This Row],[TOTAL PRODUCCION
ACTUAL]]</f>
        <v>0</v>
      </c>
      <c r="AB448" s="227">
        <v>0</v>
      </c>
      <c r="AC448" s="132"/>
      <c r="AD448" s="132"/>
      <c r="AE448" s="226">
        <f>SUM(CATEGORIAS[[#This Row],[INVENTARIO]:[PROYECCION
DE COSTO
DEL SALDO]])</f>
        <v>0</v>
      </c>
      <c r="AF448" s="132"/>
      <c r="AG448" s="132">
        <f>+CATEGORIAS[[#This Row],[PRESUPUESTO
FINAL
PROYECTADO]]-CATEGORIAS[[#This Row],[COSTO REAL]]-CATEGORIAS[[#This Row],[PROYECCION
TOTAL DE COSTO]]</f>
        <v>0</v>
      </c>
    </row>
    <row r="449" spans="1:33" x14ac:dyDescent="0.25">
      <c r="A449" s="274" t="str">
        <f>+IFERROR(VLOOKUP(CATEGORIAS[[#This Row],[CATEGORIA2]],[1]HOMOLOGACION!$A$1:$I$571,9,FALSE),0)</f>
        <v>0P07</v>
      </c>
      <c r="B449" s="274" t="str">
        <f>+IFERROR(VLOOKUP(CATEGORIAS[[#This Row],[CATEGORIA2]],[1]HOMOLOGACION!$A$1:$C$571,3,FALSE),0)</f>
        <v>0C02</v>
      </c>
      <c r="C449" s="274" t="str">
        <f>+IFERROR(VLOOKUP(CATEGORIAS[[#This Row],[CATEGORIA2]],[1]HOMOLOGACION!$A$1:$D$571,4,FALSE),0)</f>
        <v xml:space="preserve">Materiales de Consumo </v>
      </c>
      <c r="D449" s="144" t="s">
        <v>2163</v>
      </c>
      <c r="E449" s="273" t="s">
        <v>1219</v>
      </c>
      <c r="F449" s="275" t="s">
        <v>361</v>
      </c>
      <c r="G449" s="313">
        <v>0</v>
      </c>
      <c r="H449" s="313">
        <v>0</v>
      </c>
      <c r="I449" s="130">
        <v>0</v>
      </c>
      <c r="J449" s="130"/>
      <c r="K449" s="130"/>
      <c r="L449" s="143">
        <f>CATEGORIAS[[#This Row],[ADICIONALES]]+CATEGORIAS[[#This Row],[POM]]</f>
        <v>0</v>
      </c>
      <c r="M449" s="131">
        <v>0</v>
      </c>
      <c r="N449" s="227">
        <v>0</v>
      </c>
      <c r="O449" s="296">
        <f>CATEGORIAS[[#This Row],[PRODUCCION
PARTIDAS
ORIGINALES
ACTUAL]]+CATEGORIAS[[#This Row],[PRODUCCION
ADICIONALES
ACTUAL]]</f>
        <v>0</v>
      </c>
      <c r="P449" s="227">
        <v>0</v>
      </c>
      <c r="Q449" s="227">
        <v>0</v>
      </c>
      <c r="R449" s="297">
        <f>CATEGORIAS[[#This Row],[PRODUCCION
ANTERIOR]]+CATEGORIAS[[#This Row],[PRODUCCION
ADICIONALES
ANTERIOR]]</f>
        <v>0</v>
      </c>
      <c r="S449" s="133">
        <v>0</v>
      </c>
      <c r="T449" s="133"/>
      <c r="U449" s="133"/>
      <c r="V449" s="296">
        <f>SUM(CATEGORIAS[[#This Row],[COSTO
ACUMULADO  AX]:[PROVISIONES]])</f>
        <v>0</v>
      </c>
      <c r="W449" s="298">
        <v>0</v>
      </c>
      <c r="X449" s="227"/>
      <c r="Y449" s="227"/>
      <c r="Z449" s="297">
        <f>SUM(CATEGORIAS[[#This Row],[COSTO ACUMULADO
ANTERIOR]:[PROVISIONES
ANTERIOR]])</f>
        <v>0</v>
      </c>
      <c r="AA449" s="139">
        <f>CATEGORIAS[[#This Row],[PRESUPUESTO
FINAL
PROYECTADO]]-CATEGORIAS[[#This Row],[TOTAL PRODUCCION
ACTUAL]]</f>
        <v>0</v>
      </c>
      <c r="AB449" s="227">
        <v>0</v>
      </c>
      <c r="AC449" s="132"/>
      <c r="AD449" s="132"/>
      <c r="AE449" s="226">
        <f>SUM(CATEGORIAS[[#This Row],[INVENTARIO]:[PROYECCION
DE COSTO
DEL SALDO]])</f>
        <v>0</v>
      </c>
      <c r="AF449" s="132"/>
      <c r="AG449" s="132">
        <f>+CATEGORIAS[[#This Row],[PRESUPUESTO
FINAL
PROYECTADO]]-CATEGORIAS[[#This Row],[COSTO REAL]]-CATEGORIAS[[#This Row],[PROYECCION
TOTAL DE COSTO]]</f>
        <v>0</v>
      </c>
    </row>
    <row r="450" spans="1:33" x14ac:dyDescent="0.25">
      <c r="A450" s="274" t="str">
        <f>+IFERROR(VLOOKUP(CATEGORIAS[[#This Row],[CATEGORIA2]],[1]HOMOLOGACION!$A$1:$I$571,9,FALSE),0)</f>
        <v>0P07</v>
      </c>
      <c r="B450" s="274" t="str">
        <f>+IFERROR(VLOOKUP(CATEGORIAS[[#This Row],[CATEGORIA2]],[1]HOMOLOGACION!$A$1:$C$571,3,FALSE),0)</f>
        <v>0C02</v>
      </c>
      <c r="C450" s="274" t="str">
        <f>+IFERROR(VLOOKUP(CATEGORIAS[[#This Row],[CATEGORIA2]],[1]HOMOLOGACION!$A$1:$D$571,4,FALSE),0)</f>
        <v xml:space="preserve">Materiales de Consumo </v>
      </c>
      <c r="D450" s="144" t="s">
        <v>2164</v>
      </c>
      <c r="E450" s="273" t="s">
        <v>1221</v>
      </c>
      <c r="F450" s="275" t="s">
        <v>361</v>
      </c>
      <c r="G450" s="313">
        <v>0</v>
      </c>
      <c r="H450" s="313">
        <v>0</v>
      </c>
      <c r="I450" s="130">
        <v>0</v>
      </c>
      <c r="J450" s="130"/>
      <c r="K450" s="130"/>
      <c r="L450" s="143">
        <f>CATEGORIAS[[#This Row],[ADICIONALES]]+CATEGORIAS[[#This Row],[POM]]</f>
        <v>0</v>
      </c>
      <c r="M450" s="131">
        <v>0</v>
      </c>
      <c r="N450" s="227">
        <v>0</v>
      </c>
      <c r="O450" s="296">
        <f>CATEGORIAS[[#This Row],[PRODUCCION
PARTIDAS
ORIGINALES
ACTUAL]]+CATEGORIAS[[#This Row],[PRODUCCION
ADICIONALES
ACTUAL]]</f>
        <v>0</v>
      </c>
      <c r="P450" s="227">
        <v>0</v>
      </c>
      <c r="Q450" s="132">
        <v>0</v>
      </c>
      <c r="R450" s="297">
        <f>CATEGORIAS[[#This Row],[PRODUCCION
ANTERIOR]]+CATEGORIAS[[#This Row],[PRODUCCION
ADICIONALES
ANTERIOR]]</f>
        <v>0</v>
      </c>
      <c r="S450" s="133">
        <v>0</v>
      </c>
      <c r="T450" s="133"/>
      <c r="U450" s="133"/>
      <c r="V450" s="296">
        <f>SUM(CATEGORIAS[[#This Row],[COSTO
ACUMULADO  AX]:[PROVISIONES]])</f>
        <v>0</v>
      </c>
      <c r="W450" s="298">
        <v>0</v>
      </c>
      <c r="X450" s="227"/>
      <c r="Y450" s="227"/>
      <c r="Z450" s="297">
        <f>SUM(CATEGORIAS[[#This Row],[COSTO ACUMULADO
ANTERIOR]:[PROVISIONES
ANTERIOR]])</f>
        <v>0</v>
      </c>
      <c r="AA450" s="139">
        <f>CATEGORIAS[[#This Row],[PRESUPUESTO
FINAL
PROYECTADO]]-CATEGORIAS[[#This Row],[TOTAL PRODUCCION
ACTUAL]]</f>
        <v>0</v>
      </c>
      <c r="AB450" s="227">
        <v>0</v>
      </c>
      <c r="AC450" s="132"/>
      <c r="AD450" s="132"/>
      <c r="AE450" s="226">
        <f>SUM(CATEGORIAS[[#This Row],[INVENTARIO]:[PROYECCION
DE COSTO
DEL SALDO]])</f>
        <v>0</v>
      </c>
      <c r="AF450" s="132"/>
      <c r="AG450" s="132">
        <f>+CATEGORIAS[[#This Row],[PRESUPUESTO
FINAL
PROYECTADO]]-CATEGORIAS[[#This Row],[COSTO REAL]]-CATEGORIAS[[#This Row],[PROYECCION
TOTAL DE COSTO]]</f>
        <v>0</v>
      </c>
    </row>
    <row r="451" spans="1:33" x14ac:dyDescent="0.25">
      <c r="A451" s="274" t="str">
        <f>+IFERROR(VLOOKUP(CATEGORIAS[[#This Row],[CATEGORIA2]],[1]HOMOLOGACION!$A$1:$I$571,9,FALSE),0)</f>
        <v>0P07</v>
      </c>
      <c r="B451" s="274" t="str">
        <f>+IFERROR(VLOOKUP(CATEGORIAS[[#This Row],[CATEGORIA2]],[1]HOMOLOGACION!$A$1:$C$571,3,FALSE),0)</f>
        <v>0C02</v>
      </c>
      <c r="C451" s="274" t="str">
        <f>+IFERROR(VLOOKUP(CATEGORIAS[[#This Row],[CATEGORIA2]],[1]HOMOLOGACION!$A$1:$D$571,4,FALSE),0)</f>
        <v xml:space="preserve">Materiales de Consumo </v>
      </c>
      <c r="D451" s="144" t="s">
        <v>2165</v>
      </c>
      <c r="E451" s="273" t="s">
        <v>1223</v>
      </c>
      <c r="F451" s="275" t="s">
        <v>361</v>
      </c>
      <c r="G451" s="313">
        <v>0</v>
      </c>
      <c r="H451" s="313">
        <v>0</v>
      </c>
      <c r="I451" s="130">
        <v>0</v>
      </c>
      <c r="J451" s="130"/>
      <c r="K451" s="130"/>
      <c r="L451" s="143">
        <f>CATEGORIAS[[#This Row],[ADICIONALES]]+CATEGORIAS[[#This Row],[POM]]</f>
        <v>0</v>
      </c>
      <c r="M451" s="131">
        <v>0</v>
      </c>
      <c r="N451" s="227">
        <v>0</v>
      </c>
      <c r="O451" s="296">
        <f>CATEGORIAS[[#This Row],[PRODUCCION
PARTIDAS
ORIGINALES
ACTUAL]]+CATEGORIAS[[#This Row],[PRODUCCION
ADICIONALES
ACTUAL]]</f>
        <v>0</v>
      </c>
      <c r="P451" s="227">
        <v>0</v>
      </c>
      <c r="Q451" s="227">
        <v>0</v>
      </c>
      <c r="R451" s="297">
        <f>CATEGORIAS[[#This Row],[PRODUCCION
ANTERIOR]]+CATEGORIAS[[#This Row],[PRODUCCION
ADICIONALES
ANTERIOR]]</f>
        <v>0</v>
      </c>
      <c r="S451" s="133">
        <v>0</v>
      </c>
      <c r="T451" s="133"/>
      <c r="U451" s="133"/>
      <c r="V451" s="296">
        <f>SUM(CATEGORIAS[[#This Row],[COSTO
ACUMULADO  AX]:[PROVISIONES]])</f>
        <v>0</v>
      </c>
      <c r="W451" s="298">
        <v>0</v>
      </c>
      <c r="X451" s="227"/>
      <c r="Y451" s="227"/>
      <c r="Z451" s="297">
        <f>SUM(CATEGORIAS[[#This Row],[COSTO ACUMULADO
ANTERIOR]:[PROVISIONES
ANTERIOR]])</f>
        <v>0</v>
      </c>
      <c r="AA451" s="139">
        <f>CATEGORIAS[[#This Row],[PRESUPUESTO
FINAL
PROYECTADO]]-CATEGORIAS[[#This Row],[TOTAL PRODUCCION
ACTUAL]]</f>
        <v>0</v>
      </c>
      <c r="AB451" s="227">
        <v>0</v>
      </c>
      <c r="AC451" s="132"/>
      <c r="AD451" s="132"/>
      <c r="AE451" s="226">
        <f>SUM(CATEGORIAS[[#This Row],[INVENTARIO]:[PROYECCION
DE COSTO
DEL SALDO]])</f>
        <v>0</v>
      </c>
      <c r="AF451" s="132"/>
      <c r="AG451" s="132">
        <f>+CATEGORIAS[[#This Row],[PRESUPUESTO
FINAL
PROYECTADO]]-CATEGORIAS[[#This Row],[COSTO REAL]]-CATEGORIAS[[#This Row],[PROYECCION
TOTAL DE COSTO]]</f>
        <v>0</v>
      </c>
    </row>
    <row r="452" spans="1:33" x14ac:dyDescent="0.25">
      <c r="A452" s="274" t="str">
        <f>+IFERROR(VLOOKUP(CATEGORIAS[[#This Row],[CATEGORIA2]],[1]HOMOLOGACION!$A$1:$I$571,9,FALSE),0)</f>
        <v>0P07</v>
      </c>
      <c r="B452" s="274" t="str">
        <f>+IFERROR(VLOOKUP(CATEGORIAS[[#This Row],[CATEGORIA2]],[1]HOMOLOGACION!$A$1:$C$571,3,FALSE),0)</f>
        <v>0C02</v>
      </c>
      <c r="C452" s="274" t="str">
        <f>+IFERROR(VLOOKUP(CATEGORIAS[[#This Row],[CATEGORIA2]],[1]HOMOLOGACION!$A$1:$D$571,4,FALSE),0)</f>
        <v xml:space="preserve">Materiales de Consumo </v>
      </c>
      <c r="D452" s="144" t="s">
        <v>2166</v>
      </c>
      <c r="E452" s="273" t="s">
        <v>1223</v>
      </c>
      <c r="F452" s="275" t="s">
        <v>361</v>
      </c>
      <c r="G452" s="313">
        <v>0</v>
      </c>
      <c r="H452" s="313">
        <v>0</v>
      </c>
      <c r="I452" s="130">
        <v>0</v>
      </c>
      <c r="J452" s="130"/>
      <c r="K452" s="130"/>
      <c r="L452" s="143">
        <f>CATEGORIAS[[#This Row],[ADICIONALES]]+CATEGORIAS[[#This Row],[POM]]</f>
        <v>0</v>
      </c>
      <c r="M452" s="131">
        <v>0</v>
      </c>
      <c r="N452" s="227">
        <v>0</v>
      </c>
      <c r="O452" s="296">
        <f>CATEGORIAS[[#This Row],[PRODUCCION
PARTIDAS
ORIGINALES
ACTUAL]]+CATEGORIAS[[#This Row],[PRODUCCION
ADICIONALES
ACTUAL]]</f>
        <v>0</v>
      </c>
      <c r="P452" s="227">
        <v>0</v>
      </c>
      <c r="Q452" s="227">
        <v>0</v>
      </c>
      <c r="R452" s="297">
        <f>CATEGORIAS[[#This Row],[PRODUCCION
ANTERIOR]]+CATEGORIAS[[#This Row],[PRODUCCION
ADICIONALES
ANTERIOR]]</f>
        <v>0</v>
      </c>
      <c r="S452" s="133">
        <v>0</v>
      </c>
      <c r="T452" s="133"/>
      <c r="U452" s="133"/>
      <c r="V452" s="296">
        <f>SUM(CATEGORIAS[[#This Row],[COSTO
ACUMULADO  AX]:[PROVISIONES]])</f>
        <v>0</v>
      </c>
      <c r="W452" s="298">
        <v>0</v>
      </c>
      <c r="X452" s="227"/>
      <c r="Y452" s="227"/>
      <c r="Z452" s="297">
        <f>SUM(CATEGORIAS[[#This Row],[COSTO ACUMULADO
ANTERIOR]:[PROVISIONES
ANTERIOR]])</f>
        <v>0</v>
      </c>
      <c r="AA452" s="139">
        <f>CATEGORIAS[[#This Row],[PRESUPUESTO
FINAL
PROYECTADO]]-CATEGORIAS[[#This Row],[TOTAL PRODUCCION
ACTUAL]]</f>
        <v>0</v>
      </c>
      <c r="AB452" s="227">
        <v>0</v>
      </c>
      <c r="AC452" s="132"/>
      <c r="AD452" s="132"/>
      <c r="AE452" s="226">
        <f>SUM(CATEGORIAS[[#This Row],[INVENTARIO]:[PROYECCION
DE COSTO
DEL SALDO]])</f>
        <v>0</v>
      </c>
      <c r="AF452" s="132"/>
      <c r="AG452" s="132">
        <f>+CATEGORIAS[[#This Row],[PRESUPUESTO
FINAL
PROYECTADO]]-CATEGORIAS[[#This Row],[COSTO REAL]]-CATEGORIAS[[#This Row],[PROYECCION
TOTAL DE COSTO]]</f>
        <v>0</v>
      </c>
    </row>
    <row r="453" spans="1:33" x14ac:dyDescent="0.25">
      <c r="A453" s="274" t="str">
        <f>+IFERROR(VLOOKUP(CATEGORIAS[[#This Row],[CATEGORIA2]],[1]HOMOLOGACION!$A$1:$I$571,9,FALSE),0)</f>
        <v>0P09</v>
      </c>
      <c r="B453" s="274" t="str">
        <f>+IFERROR(VLOOKUP(CATEGORIAS[[#This Row],[CATEGORIA2]],[1]HOMOLOGACION!$A$1:$C$571,3,FALSE),0)</f>
        <v>0C06</v>
      </c>
      <c r="C453" s="274" t="str">
        <f>+IFERROR(VLOOKUP(CATEGORIAS[[#This Row],[CATEGORIA2]],[1]HOMOLOGACION!$A$1:$D$571,4,FALSE),0)</f>
        <v>Hotelería</v>
      </c>
      <c r="D453" s="144" t="s">
        <v>2167</v>
      </c>
      <c r="E453" s="273" t="s">
        <v>1228</v>
      </c>
      <c r="F453" s="275" t="s">
        <v>361</v>
      </c>
      <c r="G453" s="313">
        <v>0</v>
      </c>
      <c r="H453" s="313">
        <v>0</v>
      </c>
      <c r="I453" s="130">
        <v>0</v>
      </c>
      <c r="J453" s="130"/>
      <c r="K453" s="130"/>
      <c r="L453" s="143">
        <f>CATEGORIAS[[#This Row],[ADICIONALES]]+CATEGORIAS[[#This Row],[POM]]</f>
        <v>0</v>
      </c>
      <c r="M453" s="131">
        <v>0</v>
      </c>
      <c r="N453" s="227">
        <v>0</v>
      </c>
      <c r="O453" s="296">
        <f>CATEGORIAS[[#This Row],[PRODUCCION
PARTIDAS
ORIGINALES
ACTUAL]]+CATEGORIAS[[#This Row],[PRODUCCION
ADICIONALES
ACTUAL]]</f>
        <v>0</v>
      </c>
      <c r="P453" s="227">
        <v>0</v>
      </c>
      <c r="Q453" s="227">
        <v>0</v>
      </c>
      <c r="R453" s="297">
        <f>CATEGORIAS[[#This Row],[PRODUCCION
ANTERIOR]]+CATEGORIAS[[#This Row],[PRODUCCION
ADICIONALES
ANTERIOR]]</f>
        <v>0</v>
      </c>
      <c r="S453" s="133">
        <v>0</v>
      </c>
      <c r="T453" s="133"/>
      <c r="U453" s="133"/>
      <c r="V453" s="296">
        <f>SUM(CATEGORIAS[[#This Row],[COSTO
ACUMULADO  AX]:[PROVISIONES]])</f>
        <v>0</v>
      </c>
      <c r="W453" s="298">
        <v>0</v>
      </c>
      <c r="X453" s="227"/>
      <c r="Y453" s="227"/>
      <c r="Z453" s="297">
        <f>SUM(CATEGORIAS[[#This Row],[COSTO ACUMULADO
ANTERIOR]:[PROVISIONES
ANTERIOR]])</f>
        <v>0</v>
      </c>
      <c r="AA453" s="139">
        <f>CATEGORIAS[[#This Row],[PRESUPUESTO
FINAL
PROYECTADO]]-CATEGORIAS[[#This Row],[TOTAL PRODUCCION
ACTUAL]]</f>
        <v>0</v>
      </c>
      <c r="AB453" s="227">
        <v>0</v>
      </c>
      <c r="AC453" s="132"/>
      <c r="AD453" s="132"/>
      <c r="AE453" s="226">
        <f>SUM(CATEGORIAS[[#This Row],[INVENTARIO]:[PROYECCION
DE COSTO
DEL SALDO]])</f>
        <v>0</v>
      </c>
      <c r="AF453" s="132"/>
      <c r="AG453" s="132">
        <f>+CATEGORIAS[[#This Row],[PRESUPUESTO
FINAL
PROYECTADO]]-CATEGORIAS[[#This Row],[COSTO REAL]]-CATEGORIAS[[#This Row],[PROYECCION
TOTAL DE COSTO]]</f>
        <v>0</v>
      </c>
    </row>
    <row r="454" spans="1:33" x14ac:dyDescent="0.25">
      <c r="A454" s="274" t="str">
        <f>+IFERROR(VLOOKUP(CATEGORIAS[[#This Row],[CATEGORIA2]],[1]HOMOLOGACION!$A$1:$I$571,9,FALSE),0)</f>
        <v>0P09</v>
      </c>
      <c r="B454" s="274" t="str">
        <f>+IFERROR(VLOOKUP(CATEGORIAS[[#This Row],[CATEGORIA2]],[1]HOMOLOGACION!$A$1:$C$571,3,FALSE),0)</f>
        <v>0C06</v>
      </c>
      <c r="C454" s="274" t="str">
        <f>+IFERROR(VLOOKUP(CATEGORIAS[[#This Row],[CATEGORIA2]],[1]HOMOLOGACION!$A$1:$D$571,4,FALSE),0)</f>
        <v>Hotelería</v>
      </c>
      <c r="D454" s="144" t="s">
        <v>2168</v>
      </c>
      <c r="E454" s="273" t="s">
        <v>1230</v>
      </c>
      <c r="F454" s="275" t="s">
        <v>361</v>
      </c>
      <c r="G454" s="313">
        <v>0</v>
      </c>
      <c r="H454" s="313">
        <v>0</v>
      </c>
      <c r="I454" s="130">
        <v>0</v>
      </c>
      <c r="J454" s="130"/>
      <c r="K454" s="130"/>
      <c r="L454" s="143">
        <f>CATEGORIAS[[#This Row],[ADICIONALES]]+CATEGORIAS[[#This Row],[POM]]</f>
        <v>0</v>
      </c>
      <c r="M454" s="131">
        <v>0</v>
      </c>
      <c r="N454" s="227">
        <v>0</v>
      </c>
      <c r="O454" s="296">
        <f>CATEGORIAS[[#This Row],[PRODUCCION
PARTIDAS
ORIGINALES
ACTUAL]]+CATEGORIAS[[#This Row],[PRODUCCION
ADICIONALES
ACTUAL]]</f>
        <v>0</v>
      </c>
      <c r="P454" s="227">
        <v>0</v>
      </c>
      <c r="Q454" s="227">
        <v>0</v>
      </c>
      <c r="R454" s="297">
        <f>CATEGORIAS[[#This Row],[PRODUCCION
ANTERIOR]]+CATEGORIAS[[#This Row],[PRODUCCION
ADICIONALES
ANTERIOR]]</f>
        <v>0</v>
      </c>
      <c r="S454" s="133">
        <v>0</v>
      </c>
      <c r="T454" s="133"/>
      <c r="U454" s="133"/>
      <c r="V454" s="296">
        <f>SUM(CATEGORIAS[[#This Row],[COSTO
ACUMULADO  AX]:[PROVISIONES]])</f>
        <v>0</v>
      </c>
      <c r="W454" s="298">
        <v>0</v>
      </c>
      <c r="X454" s="227"/>
      <c r="Y454" s="227"/>
      <c r="Z454" s="297">
        <f>SUM(CATEGORIAS[[#This Row],[COSTO ACUMULADO
ANTERIOR]:[PROVISIONES
ANTERIOR]])</f>
        <v>0</v>
      </c>
      <c r="AA454" s="139">
        <f>CATEGORIAS[[#This Row],[PRESUPUESTO
FINAL
PROYECTADO]]-CATEGORIAS[[#This Row],[TOTAL PRODUCCION
ACTUAL]]</f>
        <v>0</v>
      </c>
      <c r="AB454" s="227">
        <v>0</v>
      </c>
      <c r="AC454" s="132"/>
      <c r="AD454" s="132"/>
      <c r="AE454" s="226">
        <f>SUM(CATEGORIAS[[#This Row],[INVENTARIO]:[PROYECCION
DE COSTO
DEL SALDO]])</f>
        <v>0</v>
      </c>
      <c r="AF454" s="132"/>
      <c r="AG454" s="132">
        <f>+CATEGORIAS[[#This Row],[PRESUPUESTO
FINAL
PROYECTADO]]-CATEGORIAS[[#This Row],[COSTO REAL]]-CATEGORIAS[[#This Row],[PROYECCION
TOTAL DE COSTO]]</f>
        <v>0</v>
      </c>
    </row>
    <row r="455" spans="1:33" x14ac:dyDescent="0.25">
      <c r="A455" s="274" t="str">
        <f>+IFERROR(VLOOKUP(CATEGORIAS[[#This Row],[CATEGORIA2]],[1]HOMOLOGACION!$A$1:$I$571,9,FALSE),0)</f>
        <v>0P09</v>
      </c>
      <c r="B455" s="274" t="str">
        <f>+IFERROR(VLOOKUP(CATEGORIAS[[#This Row],[CATEGORIA2]],[1]HOMOLOGACION!$A$1:$C$571,3,FALSE),0)</f>
        <v>0C06</v>
      </c>
      <c r="C455" s="274" t="str">
        <f>+IFERROR(VLOOKUP(CATEGORIAS[[#This Row],[CATEGORIA2]],[1]HOMOLOGACION!$A$1:$D$571,4,FALSE),0)</f>
        <v>Hotelería</v>
      </c>
      <c r="D455" s="144" t="s">
        <v>2169</v>
      </c>
      <c r="E455" s="273" t="s">
        <v>2170</v>
      </c>
      <c r="F455" s="275" t="s">
        <v>361</v>
      </c>
      <c r="G455" s="313">
        <v>0</v>
      </c>
      <c r="H455" s="313">
        <v>0</v>
      </c>
      <c r="I455" s="130">
        <v>0</v>
      </c>
      <c r="J455" s="130"/>
      <c r="K455" s="130"/>
      <c r="L455" s="143">
        <f>CATEGORIAS[[#This Row],[ADICIONALES]]+CATEGORIAS[[#This Row],[POM]]</f>
        <v>0</v>
      </c>
      <c r="M455" s="131">
        <v>0</v>
      </c>
      <c r="N455" s="227">
        <v>0</v>
      </c>
      <c r="O455" s="296">
        <f>CATEGORIAS[[#This Row],[PRODUCCION
PARTIDAS
ORIGINALES
ACTUAL]]+CATEGORIAS[[#This Row],[PRODUCCION
ADICIONALES
ACTUAL]]</f>
        <v>0</v>
      </c>
      <c r="P455" s="227">
        <v>0</v>
      </c>
      <c r="Q455" s="132">
        <v>0</v>
      </c>
      <c r="R455" s="297">
        <f>CATEGORIAS[[#This Row],[PRODUCCION
ANTERIOR]]+CATEGORIAS[[#This Row],[PRODUCCION
ADICIONALES
ANTERIOR]]</f>
        <v>0</v>
      </c>
      <c r="S455" s="133">
        <v>0</v>
      </c>
      <c r="T455" s="133"/>
      <c r="U455" s="133"/>
      <c r="V455" s="296">
        <f>SUM(CATEGORIAS[[#This Row],[COSTO
ACUMULADO  AX]:[PROVISIONES]])</f>
        <v>0</v>
      </c>
      <c r="W455" s="298">
        <v>0</v>
      </c>
      <c r="X455" s="227"/>
      <c r="Y455" s="227"/>
      <c r="Z455" s="297">
        <f>SUM(CATEGORIAS[[#This Row],[COSTO ACUMULADO
ANTERIOR]:[PROVISIONES
ANTERIOR]])</f>
        <v>0</v>
      </c>
      <c r="AA455" s="139">
        <f>CATEGORIAS[[#This Row],[PRESUPUESTO
FINAL
PROYECTADO]]-CATEGORIAS[[#This Row],[TOTAL PRODUCCION
ACTUAL]]</f>
        <v>0</v>
      </c>
      <c r="AB455" s="227">
        <v>0</v>
      </c>
      <c r="AC455" s="132"/>
      <c r="AD455" s="132"/>
      <c r="AE455" s="226">
        <f>SUM(CATEGORIAS[[#This Row],[INVENTARIO]:[PROYECCION
DE COSTO
DEL SALDO]])</f>
        <v>0</v>
      </c>
      <c r="AF455" s="132"/>
      <c r="AG455" s="132">
        <f>+CATEGORIAS[[#This Row],[PRESUPUESTO
FINAL
PROYECTADO]]-CATEGORIAS[[#This Row],[COSTO REAL]]-CATEGORIAS[[#This Row],[PROYECCION
TOTAL DE COSTO]]</f>
        <v>0</v>
      </c>
    </row>
    <row r="456" spans="1:33" x14ac:dyDescent="0.25">
      <c r="A456" s="274" t="str">
        <f>+IFERROR(VLOOKUP(CATEGORIAS[[#This Row],[CATEGORIA2]],[1]HOMOLOGACION!$A$1:$I$571,9,FALSE),0)</f>
        <v>0P09</v>
      </c>
      <c r="B456" s="274" t="str">
        <f>+IFERROR(VLOOKUP(CATEGORIAS[[#This Row],[CATEGORIA2]],[1]HOMOLOGACION!$A$1:$C$571,3,FALSE),0)</f>
        <v>0C06</v>
      </c>
      <c r="C456" s="274" t="str">
        <f>+IFERROR(VLOOKUP(CATEGORIAS[[#This Row],[CATEGORIA2]],[1]HOMOLOGACION!$A$1:$D$571,4,FALSE),0)</f>
        <v>Hotelería</v>
      </c>
      <c r="D456" s="144" t="s">
        <v>2171</v>
      </c>
      <c r="E456" s="273" t="s">
        <v>2172</v>
      </c>
      <c r="F456" s="275" t="s">
        <v>361</v>
      </c>
      <c r="G456" s="313">
        <v>0</v>
      </c>
      <c r="H456" s="313">
        <v>0</v>
      </c>
      <c r="I456" s="130">
        <v>0</v>
      </c>
      <c r="J456" s="130"/>
      <c r="K456" s="130"/>
      <c r="L456" s="143">
        <f>CATEGORIAS[[#This Row],[ADICIONALES]]+CATEGORIAS[[#This Row],[POM]]</f>
        <v>0</v>
      </c>
      <c r="M456" s="131">
        <v>0</v>
      </c>
      <c r="N456" s="227">
        <v>0</v>
      </c>
      <c r="O456" s="296">
        <f>CATEGORIAS[[#This Row],[PRODUCCION
PARTIDAS
ORIGINALES
ACTUAL]]+CATEGORIAS[[#This Row],[PRODUCCION
ADICIONALES
ACTUAL]]</f>
        <v>0</v>
      </c>
      <c r="P456" s="227">
        <v>0</v>
      </c>
      <c r="Q456" s="227">
        <v>0</v>
      </c>
      <c r="R456" s="297">
        <f>CATEGORIAS[[#This Row],[PRODUCCION
ANTERIOR]]+CATEGORIAS[[#This Row],[PRODUCCION
ADICIONALES
ANTERIOR]]</f>
        <v>0</v>
      </c>
      <c r="S456" s="133">
        <v>0</v>
      </c>
      <c r="T456" s="133"/>
      <c r="U456" s="133"/>
      <c r="V456" s="296">
        <f>SUM(CATEGORIAS[[#This Row],[COSTO
ACUMULADO  AX]:[PROVISIONES]])</f>
        <v>0</v>
      </c>
      <c r="W456" s="298">
        <v>0</v>
      </c>
      <c r="X456" s="227"/>
      <c r="Y456" s="227"/>
      <c r="Z456" s="297">
        <f>SUM(CATEGORIAS[[#This Row],[COSTO ACUMULADO
ANTERIOR]:[PROVISIONES
ANTERIOR]])</f>
        <v>0</v>
      </c>
      <c r="AA456" s="139">
        <f>CATEGORIAS[[#This Row],[PRESUPUESTO
FINAL
PROYECTADO]]-CATEGORIAS[[#This Row],[TOTAL PRODUCCION
ACTUAL]]</f>
        <v>0</v>
      </c>
      <c r="AB456" s="227">
        <v>0</v>
      </c>
      <c r="AC456" s="132"/>
      <c r="AD456" s="132"/>
      <c r="AE456" s="226">
        <f>SUM(CATEGORIAS[[#This Row],[INVENTARIO]:[PROYECCION
DE COSTO
DEL SALDO]])</f>
        <v>0</v>
      </c>
      <c r="AF456" s="132"/>
      <c r="AG456" s="132">
        <f>+CATEGORIAS[[#This Row],[PRESUPUESTO
FINAL
PROYECTADO]]-CATEGORIAS[[#This Row],[COSTO REAL]]-CATEGORIAS[[#This Row],[PROYECCION
TOTAL DE COSTO]]</f>
        <v>0</v>
      </c>
    </row>
    <row r="457" spans="1:33" x14ac:dyDescent="0.25">
      <c r="A457" s="274" t="str">
        <f>+IFERROR(VLOOKUP(CATEGORIAS[[#This Row],[CATEGORIA2]],[1]HOMOLOGACION!$A$1:$I$571,9,FALSE),0)</f>
        <v>0Q03</v>
      </c>
      <c r="B457" s="274" t="str">
        <f>+IFERROR(VLOOKUP(CATEGORIAS[[#This Row],[CATEGORIA2]],[1]HOMOLOGACION!$A$1:$C$571,3,FALSE),0)</f>
        <v>1H01</v>
      </c>
      <c r="C457" s="274" t="str">
        <f>+IFERROR(VLOOKUP(CATEGORIAS[[#This Row],[CATEGORIA2]],[1]HOMOLOGACION!$A$1:$D$571,4,FALSE),0)</f>
        <v>Mano De Obra</v>
      </c>
      <c r="D457" s="144" t="s">
        <v>2173</v>
      </c>
      <c r="E457" s="273" t="s">
        <v>317</v>
      </c>
      <c r="F457" s="275" t="s">
        <v>364</v>
      </c>
      <c r="G457" s="313">
        <v>10998290.191088844</v>
      </c>
      <c r="H457" s="313">
        <v>10998290.191088844</v>
      </c>
      <c r="I457" s="130">
        <v>0</v>
      </c>
      <c r="J457" s="130"/>
      <c r="K457" s="130"/>
      <c r="L457" s="143">
        <f>CATEGORIAS[[#This Row],[ADICIONALES]]+CATEGORIAS[[#This Row],[POM]]</f>
        <v>10998290.191088844</v>
      </c>
      <c r="M457" s="131">
        <v>8248717.6433166321</v>
      </c>
      <c r="N457" s="227">
        <v>0</v>
      </c>
      <c r="O457" s="296">
        <f>CATEGORIAS[[#This Row],[PRODUCCION
PARTIDAS
ORIGINALES
ACTUAL]]+CATEGORIAS[[#This Row],[PRODUCCION
ADICIONALES
ACTUAL]]</f>
        <v>8248717.6433166321</v>
      </c>
      <c r="P457" s="227">
        <v>8248717.6433166321</v>
      </c>
      <c r="Q457" s="132">
        <v>0</v>
      </c>
      <c r="R457" s="297">
        <f>CATEGORIAS[[#This Row],[PRODUCCION
ANTERIOR]]+CATEGORIAS[[#This Row],[PRODUCCION
ADICIONALES
ANTERIOR]]</f>
        <v>8248717.6433166321</v>
      </c>
      <c r="S457" s="133">
        <v>0</v>
      </c>
      <c r="T457" s="227">
        <f>6268305+5925744</f>
        <v>12194049</v>
      </c>
      <c r="U457" s="133"/>
      <c r="V457" s="296">
        <f>SUM(CATEGORIAS[[#This Row],[COSTO
ACUMULADO  AX]:[PROVISIONES]])</f>
        <v>12194049</v>
      </c>
      <c r="W457" s="298">
        <v>0</v>
      </c>
      <c r="X457" s="227"/>
      <c r="Y457" s="227"/>
      <c r="Z457" s="297">
        <f>SUM(CATEGORIAS[[#This Row],[COSTO ACUMULADO
ANTERIOR]:[PROVISIONES
ANTERIOR]])</f>
        <v>0</v>
      </c>
      <c r="AA457" s="139">
        <f>CATEGORIAS[[#This Row],[PRESUPUESTO
FINAL
PROYECTADO]]-CATEGORIAS[[#This Row],[TOTAL PRODUCCION
ACTUAL]]</f>
        <v>2749572.547772212</v>
      </c>
      <c r="AB457" s="227">
        <v>0</v>
      </c>
      <c r="AC457" s="132"/>
      <c r="AD457" s="132">
        <v>-1195758.8089111559</v>
      </c>
      <c r="AE457" s="226">
        <f>SUM(CATEGORIAS[[#This Row],[INVENTARIO]:[PROYECCION
DE COSTO
DEL SALDO]])</f>
        <v>-1195758.8089111559</v>
      </c>
      <c r="AF457" s="132"/>
      <c r="AG457" s="132">
        <f>+CATEGORIAS[[#This Row],[PRESUPUESTO
FINAL
PROYECTADO]]-CATEGORIAS[[#This Row],[COSTO REAL]]-CATEGORIAS[[#This Row],[PROYECCION
TOTAL DE COSTO]]</f>
        <v>0</v>
      </c>
    </row>
    <row r="458" spans="1:33" x14ac:dyDescent="0.25">
      <c r="A458" s="274" t="str">
        <f>+IFERROR(VLOOKUP(CATEGORIAS[[#This Row],[CATEGORIA2]],[1]HOMOLOGACION!$A$1:$I$571,9,FALSE),0)</f>
        <v>0Q03</v>
      </c>
      <c r="B458" s="274" t="str">
        <f>+IFERROR(VLOOKUP(CATEGORIAS[[#This Row],[CATEGORIA2]],[1]HOMOLOGACION!$A$1:$C$571,3,FALSE),0)</f>
        <v>1H10</v>
      </c>
      <c r="C458" s="274" t="str">
        <f>+IFERROR(VLOOKUP(CATEGORIAS[[#This Row],[CATEGORIA2]],[1]HOMOLOGACION!$A$1:$D$571,4,FALSE),0)</f>
        <v xml:space="preserve">Permisos De Construcción </v>
      </c>
      <c r="D458" s="144" t="s">
        <v>2174</v>
      </c>
      <c r="E458" s="273" t="s">
        <v>1235</v>
      </c>
      <c r="F458" s="275" t="s">
        <v>364</v>
      </c>
      <c r="G458" s="313">
        <v>8000000.0000000019</v>
      </c>
      <c r="H458" s="313">
        <v>8000000.0000000019</v>
      </c>
      <c r="I458" s="130">
        <v>0</v>
      </c>
      <c r="J458" s="130"/>
      <c r="K458" s="130"/>
      <c r="L458" s="143">
        <f>CATEGORIAS[[#This Row],[ADICIONALES]]+CATEGORIAS[[#This Row],[POM]]</f>
        <v>8000000.0000000019</v>
      </c>
      <c r="M458" s="131">
        <v>3736253.2821191279</v>
      </c>
      <c r="N458" s="227">
        <v>0</v>
      </c>
      <c r="O458" s="296">
        <f>CATEGORIAS[[#This Row],[PRODUCCION
PARTIDAS
ORIGINALES
ACTUAL]]+CATEGORIAS[[#This Row],[PRODUCCION
ADICIONALES
ACTUAL]]</f>
        <v>3736253.2821191279</v>
      </c>
      <c r="P458" s="227">
        <v>1990124.478155928</v>
      </c>
      <c r="Q458" s="132">
        <v>0</v>
      </c>
      <c r="R458" s="297">
        <f>CATEGORIAS[[#This Row],[PRODUCCION
ANTERIOR]]+CATEGORIAS[[#This Row],[PRODUCCION
ADICIONALES
ANTERIOR]]</f>
        <v>1990124.478155928</v>
      </c>
      <c r="S458" s="133">
        <v>0</v>
      </c>
      <c r="T458" s="133"/>
      <c r="U458" s="133"/>
      <c r="V458" s="296">
        <f>SUM(CATEGORIAS[[#This Row],[COSTO
ACUMULADO  AX]:[PROVISIONES]])</f>
        <v>0</v>
      </c>
      <c r="W458" s="298">
        <v>0</v>
      </c>
      <c r="X458" s="227"/>
      <c r="Y458" s="227"/>
      <c r="Z458" s="297">
        <f>SUM(CATEGORIAS[[#This Row],[COSTO ACUMULADO
ANTERIOR]:[PROVISIONES
ANTERIOR]])</f>
        <v>0</v>
      </c>
      <c r="AA458" s="139">
        <f>CATEGORIAS[[#This Row],[PRESUPUESTO
FINAL
PROYECTADO]]-CATEGORIAS[[#This Row],[TOTAL PRODUCCION
ACTUAL]]</f>
        <v>4263746.7178808739</v>
      </c>
      <c r="AB458" s="227">
        <v>0</v>
      </c>
      <c r="AC458" s="132"/>
      <c r="AD458" s="132">
        <v>8000000.0000000019</v>
      </c>
      <c r="AE458" s="226">
        <f>SUM(CATEGORIAS[[#This Row],[INVENTARIO]:[PROYECCION
DE COSTO
DEL SALDO]])</f>
        <v>8000000.0000000019</v>
      </c>
      <c r="AF458" s="132"/>
      <c r="AG458" s="132">
        <f>+CATEGORIAS[[#This Row],[PRESUPUESTO
FINAL
PROYECTADO]]-CATEGORIAS[[#This Row],[COSTO REAL]]-CATEGORIAS[[#This Row],[PROYECCION
TOTAL DE COSTO]]</f>
        <v>0</v>
      </c>
    </row>
    <row r="459" spans="1:33" x14ac:dyDescent="0.25">
      <c r="A459" s="274" t="str">
        <f>+IFERROR(VLOOKUP(CATEGORIAS[[#This Row],[CATEGORIA2]],[1]HOMOLOGACION!$A$1:$I$571,9,FALSE),0)</f>
        <v>0Q03</v>
      </c>
      <c r="B459" s="274" t="str">
        <f>+IFERROR(VLOOKUP(CATEGORIAS[[#This Row],[CATEGORIA2]],[1]HOMOLOGACION!$A$1:$C$571,3,FALSE),0)</f>
        <v>1H03</v>
      </c>
      <c r="C459" s="274" t="str">
        <f>+IFERROR(VLOOKUP(CATEGORIAS[[#This Row],[CATEGORIA2]],[1]HOMOLOGACION!$A$1:$D$571,4,FALSE),0)</f>
        <v xml:space="preserve">Materiales </v>
      </c>
      <c r="D459" s="144" t="s">
        <v>2175</v>
      </c>
      <c r="E459" s="273" t="s">
        <v>310</v>
      </c>
      <c r="F459" s="275" t="s">
        <v>364</v>
      </c>
      <c r="G459" s="313">
        <v>25795000</v>
      </c>
      <c r="H459" s="313">
        <v>25795000</v>
      </c>
      <c r="I459" s="130">
        <v>0</v>
      </c>
      <c r="J459" s="130"/>
      <c r="K459" s="130"/>
      <c r="L459" s="143">
        <f>CATEGORIAS[[#This Row],[ADICIONALES]]+CATEGORIAS[[#This Row],[POM]]</f>
        <v>25795000</v>
      </c>
      <c r="M459" s="131">
        <v>19346250</v>
      </c>
      <c r="N459" s="227">
        <v>0</v>
      </c>
      <c r="O459" s="296">
        <f>CATEGORIAS[[#This Row],[PRODUCCION
PARTIDAS
ORIGINALES
ACTUAL]]+CATEGORIAS[[#This Row],[PRODUCCION
ADICIONALES
ACTUAL]]</f>
        <v>19346250</v>
      </c>
      <c r="P459" s="227">
        <v>19346250</v>
      </c>
      <c r="Q459" s="227">
        <v>0</v>
      </c>
      <c r="R459" s="297">
        <f>CATEGORIAS[[#This Row],[PRODUCCION
ANTERIOR]]+CATEGORIAS[[#This Row],[PRODUCCION
ADICIONALES
ANTERIOR]]</f>
        <v>19346250</v>
      </c>
      <c r="S459" s="133">
        <v>6908342</v>
      </c>
      <c r="T459" s="227"/>
      <c r="U459" s="133"/>
      <c r="V459" s="296">
        <f>SUM(CATEGORIAS[[#This Row],[COSTO
ACUMULADO  AX]:[PROVISIONES]])</f>
        <v>6908342</v>
      </c>
      <c r="W459" s="298">
        <v>6028473</v>
      </c>
      <c r="X459" s="227">
        <v>871748</v>
      </c>
      <c r="Y459" s="227"/>
      <c r="Z459" s="297">
        <f>SUM(CATEGORIAS[[#This Row],[COSTO ACUMULADO
ANTERIOR]:[PROVISIONES
ANTERIOR]])</f>
        <v>6900221</v>
      </c>
      <c r="AA459" s="139">
        <f>CATEGORIAS[[#This Row],[PRESUPUESTO
FINAL
PROYECTADO]]-CATEGORIAS[[#This Row],[TOTAL PRODUCCION
ACTUAL]]</f>
        <v>6448750</v>
      </c>
      <c r="AB459" s="227">
        <v>4866412</v>
      </c>
      <c r="AC459" s="132"/>
      <c r="AD459" s="132">
        <v>14020246</v>
      </c>
      <c r="AE459" s="226">
        <f>SUM(CATEGORIAS[[#This Row],[INVENTARIO]:[PROYECCION
DE COSTO
DEL SALDO]])</f>
        <v>18886658</v>
      </c>
      <c r="AF459" s="132"/>
      <c r="AG459" s="132">
        <f>+CATEGORIAS[[#This Row],[PRESUPUESTO
FINAL
PROYECTADO]]-CATEGORIAS[[#This Row],[COSTO REAL]]-CATEGORIAS[[#This Row],[PROYECCION
TOTAL DE COSTO]]</f>
        <v>0</v>
      </c>
    </row>
    <row r="460" spans="1:33" x14ac:dyDescent="0.25">
      <c r="A460" s="274" t="str">
        <f>+IFERROR(VLOOKUP(CATEGORIAS[[#This Row],[CATEGORIA2]],[1]HOMOLOGACION!$A$1:$I$571,9,FALSE),0)</f>
        <v>0Q03</v>
      </c>
      <c r="B460" s="274" t="str">
        <f>+IFERROR(VLOOKUP(CATEGORIAS[[#This Row],[CATEGORIA2]],[1]HOMOLOGACION!$A$1:$C$571,3,FALSE),0)</f>
        <v>1H03</v>
      </c>
      <c r="C460" s="274" t="str">
        <f>+IFERROR(VLOOKUP(CATEGORIAS[[#This Row],[CATEGORIA2]],[1]HOMOLOGACION!$A$1:$D$571,4,FALSE),0)</f>
        <v xml:space="preserve">Materiales </v>
      </c>
      <c r="D460" s="144" t="s">
        <v>2176</v>
      </c>
      <c r="E460" s="273" t="s">
        <v>1238</v>
      </c>
      <c r="F460" s="275" t="s">
        <v>361</v>
      </c>
      <c r="G460" s="313">
        <v>0</v>
      </c>
      <c r="H460" s="313">
        <v>0</v>
      </c>
      <c r="I460" s="130">
        <v>0</v>
      </c>
      <c r="J460" s="130"/>
      <c r="K460" s="130"/>
      <c r="L460" s="143">
        <f>CATEGORIAS[[#This Row],[ADICIONALES]]+CATEGORIAS[[#This Row],[POM]]</f>
        <v>0</v>
      </c>
      <c r="M460" s="131">
        <v>0</v>
      </c>
      <c r="N460" s="227">
        <v>0</v>
      </c>
      <c r="O460" s="296">
        <f>CATEGORIAS[[#This Row],[PRODUCCION
PARTIDAS
ORIGINALES
ACTUAL]]+CATEGORIAS[[#This Row],[PRODUCCION
ADICIONALES
ACTUAL]]</f>
        <v>0</v>
      </c>
      <c r="P460" s="227">
        <v>0</v>
      </c>
      <c r="Q460" s="227">
        <v>0</v>
      </c>
      <c r="R460" s="297">
        <f>CATEGORIAS[[#This Row],[PRODUCCION
ANTERIOR]]+CATEGORIAS[[#This Row],[PRODUCCION
ADICIONALES
ANTERIOR]]</f>
        <v>0</v>
      </c>
      <c r="S460" s="133">
        <v>871748</v>
      </c>
      <c r="T460" s="133">
        <v>-871748</v>
      </c>
      <c r="U460" s="133"/>
      <c r="V460" s="296">
        <f>SUM(CATEGORIAS[[#This Row],[COSTO
ACUMULADO  AX]:[PROVISIONES]])</f>
        <v>0</v>
      </c>
      <c r="W460" s="298">
        <v>871748</v>
      </c>
      <c r="X460" s="227">
        <v>-871748</v>
      </c>
      <c r="Y460" s="227"/>
      <c r="Z460" s="297">
        <f>SUM(CATEGORIAS[[#This Row],[COSTO ACUMULADO
ANTERIOR]:[PROVISIONES
ANTERIOR]])</f>
        <v>0</v>
      </c>
      <c r="AA460" s="139">
        <f>CATEGORIAS[[#This Row],[PRESUPUESTO
FINAL
PROYECTADO]]-CATEGORIAS[[#This Row],[TOTAL PRODUCCION
ACTUAL]]</f>
        <v>0</v>
      </c>
      <c r="AB460" s="227">
        <v>0</v>
      </c>
      <c r="AC460" s="132"/>
      <c r="AD460" s="132"/>
      <c r="AE460" s="226">
        <f>SUM(CATEGORIAS[[#This Row],[INVENTARIO]:[PROYECCION
DE COSTO
DEL SALDO]])</f>
        <v>0</v>
      </c>
      <c r="AF460" s="132"/>
      <c r="AG460" s="132">
        <f>+CATEGORIAS[[#This Row],[PRESUPUESTO
FINAL
PROYECTADO]]-CATEGORIAS[[#This Row],[COSTO REAL]]-CATEGORIAS[[#This Row],[PROYECCION
TOTAL DE COSTO]]</f>
        <v>0</v>
      </c>
    </row>
    <row r="461" spans="1:33" x14ac:dyDescent="0.25">
      <c r="A461" s="274" t="str">
        <f>+IFERROR(VLOOKUP(CATEGORIAS[[#This Row],[CATEGORIA2]],[1]HOMOLOGACION!$A$1:$I$571,9,FALSE),0)</f>
        <v>0Q03</v>
      </c>
      <c r="B461" s="274" t="str">
        <f>+IFERROR(VLOOKUP(CATEGORIAS[[#This Row],[CATEGORIA2]],[1]HOMOLOGACION!$A$1:$C$571,3,FALSE),0)</f>
        <v>1H05</v>
      </c>
      <c r="C461" s="274" t="str">
        <f>+IFERROR(VLOOKUP(CATEGORIAS[[#This Row],[CATEGORIA2]],[1]HOMOLOGACION!$A$1:$D$571,4,FALSE),0)</f>
        <v xml:space="preserve">Mobiliario </v>
      </c>
      <c r="D461" s="144" t="s">
        <v>2177</v>
      </c>
      <c r="E461" s="273" t="s">
        <v>1240</v>
      </c>
      <c r="F461" s="275" t="s">
        <v>364</v>
      </c>
      <c r="G461" s="313">
        <v>3695000.0000000005</v>
      </c>
      <c r="H461" s="313">
        <v>3695000.0000000005</v>
      </c>
      <c r="I461" s="130">
        <v>0</v>
      </c>
      <c r="J461" s="130"/>
      <c r="K461" s="130"/>
      <c r="L461" s="143">
        <f>CATEGORIAS[[#This Row],[ADICIONALES]]+CATEGORIAS[[#This Row],[POM]]</f>
        <v>3695000.0000000005</v>
      </c>
      <c r="M461" s="131">
        <v>2771250</v>
      </c>
      <c r="N461" s="227">
        <v>0</v>
      </c>
      <c r="O461" s="296">
        <f>CATEGORIAS[[#This Row],[PRODUCCION
PARTIDAS
ORIGINALES
ACTUAL]]+CATEGORIAS[[#This Row],[PRODUCCION
ADICIONALES
ACTUAL]]</f>
        <v>2771250</v>
      </c>
      <c r="P461" s="227">
        <v>2771250</v>
      </c>
      <c r="Q461" s="227">
        <v>0</v>
      </c>
      <c r="R461" s="297">
        <f>CATEGORIAS[[#This Row],[PRODUCCION
ANTERIOR]]+CATEGORIAS[[#This Row],[PRODUCCION
ADICIONALES
ANTERIOR]]</f>
        <v>2771250</v>
      </c>
      <c r="S461" s="133">
        <v>507161</v>
      </c>
      <c r="T461" s="133">
        <v>871748</v>
      </c>
      <c r="U461" s="133"/>
      <c r="V461" s="296">
        <f>SUM(CATEGORIAS[[#This Row],[COSTO
ACUMULADO  AX]:[PROVISIONES]])</f>
        <v>1378909</v>
      </c>
      <c r="W461" s="298">
        <v>422726</v>
      </c>
      <c r="X461" s="227"/>
      <c r="Y461" s="227"/>
      <c r="Z461" s="297">
        <f>SUM(CATEGORIAS[[#This Row],[COSTO ACUMULADO
ANTERIOR]:[PROVISIONES
ANTERIOR]])</f>
        <v>422726</v>
      </c>
      <c r="AA461" s="139">
        <f>CATEGORIAS[[#This Row],[PRESUPUESTO
FINAL
PROYECTADO]]-CATEGORIAS[[#This Row],[TOTAL PRODUCCION
ACTUAL]]</f>
        <v>923750.00000000047</v>
      </c>
      <c r="AB461" s="227">
        <v>7667457</v>
      </c>
      <c r="AC461" s="132"/>
      <c r="AD461" s="132">
        <v>-5351366</v>
      </c>
      <c r="AE461" s="226">
        <f>SUM(CATEGORIAS[[#This Row],[INVENTARIO]:[PROYECCION
DE COSTO
DEL SALDO]])</f>
        <v>2316091</v>
      </c>
      <c r="AF461" s="132"/>
      <c r="AG461" s="132">
        <f>+CATEGORIAS[[#This Row],[PRESUPUESTO
FINAL
PROYECTADO]]-CATEGORIAS[[#This Row],[COSTO REAL]]-CATEGORIAS[[#This Row],[PROYECCION
TOTAL DE COSTO]]</f>
        <v>0</v>
      </c>
    </row>
    <row r="462" spans="1:33" x14ac:dyDescent="0.25">
      <c r="A462" s="274" t="str">
        <f>+IFERROR(VLOOKUP(CATEGORIAS[[#This Row],[CATEGORIA2]],[1]HOMOLOGACION!$A$1:$I$571,9,FALSE),0)</f>
        <v>0Q03</v>
      </c>
      <c r="B462" s="274" t="str">
        <f>+IFERROR(VLOOKUP(CATEGORIAS[[#This Row],[CATEGORIA2]],[1]HOMOLOGACION!$A$1:$C$571,3,FALSE),0)</f>
        <v>1H05</v>
      </c>
      <c r="C462" s="274" t="str">
        <f>+IFERROR(VLOOKUP(CATEGORIAS[[#This Row],[CATEGORIA2]],[1]HOMOLOGACION!$A$1:$D$571,4,FALSE),0)</f>
        <v xml:space="preserve">Mobiliario </v>
      </c>
      <c r="D462" s="144" t="s">
        <v>2178</v>
      </c>
      <c r="E462" s="273" t="s">
        <v>1242</v>
      </c>
      <c r="F462" s="275" t="s">
        <v>361</v>
      </c>
      <c r="G462" s="313">
        <v>0</v>
      </c>
      <c r="H462" s="313">
        <v>0</v>
      </c>
      <c r="I462" s="130">
        <v>0</v>
      </c>
      <c r="J462" s="130"/>
      <c r="K462" s="130"/>
      <c r="L462" s="143">
        <f>CATEGORIAS[[#This Row],[ADICIONALES]]+CATEGORIAS[[#This Row],[POM]]</f>
        <v>0</v>
      </c>
      <c r="M462" s="131">
        <v>0</v>
      </c>
      <c r="N462" s="227">
        <v>0</v>
      </c>
      <c r="O462" s="296">
        <f>CATEGORIAS[[#This Row],[PRODUCCION
PARTIDAS
ORIGINALES
ACTUAL]]+CATEGORIAS[[#This Row],[PRODUCCION
ADICIONALES
ACTUAL]]</f>
        <v>0</v>
      </c>
      <c r="P462" s="227">
        <v>0</v>
      </c>
      <c r="Q462" s="227">
        <v>0</v>
      </c>
      <c r="R462" s="297">
        <f>CATEGORIAS[[#This Row],[PRODUCCION
ANTERIOR]]+CATEGORIAS[[#This Row],[PRODUCCION
ADICIONALES
ANTERIOR]]</f>
        <v>0</v>
      </c>
      <c r="S462" s="133">
        <v>0</v>
      </c>
      <c r="T462" s="133"/>
      <c r="U462" s="133"/>
      <c r="V462" s="296">
        <f>SUM(CATEGORIAS[[#This Row],[COSTO
ACUMULADO  AX]:[PROVISIONES]])</f>
        <v>0</v>
      </c>
      <c r="W462" s="298">
        <v>0</v>
      </c>
      <c r="X462" s="227"/>
      <c r="Y462" s="227"/>
      <c r="Z462" s="297">
        <f>SUM(CATEGORIAS[[#This Row],[COSTO ACUMULADO
ANTERIOR]:[PROVISIONES
ANTERIOR]])</f>
        <v>0</v>
      </c>
      <c r="AA462" s="139">
        <f>CATEGORIAS[[#This Row],[PRESUPUESTO
FINAL
PROYECTADO]]-CATEGORIAS[[#This Row],[TOTAL PRODUCCION
ACTUAL]]</f>
        <v>0</v>
      </c>
      <c r="AB462" s="227">
        <v>0</v>
      </c>
      <c r="AC462" s="132"/>
      <c r="AD462" s="132"/>
      <c r="AE462" s="226">
        <f>SUM(CATEGORIAS[[#This Row],[INVENTARIO]:[PROYECCION
DE COSTO
DEL SALDO]])</f>
        <v>0</v>
      </c>
      <c r="AF462" s="132"/>
      <c r="AG462" s="132">
        <f>+CATEGORIAS[[#This Row],[PRESUPUESTO
FINAL
PROYECTADO]]-CATEGORIAS[[#This Row],[COSTO REAL]]-CATEGORIAS[[#This Row],[PROYECCION
TOTAL DE COSTO]]</f>
        <v>0</v>
      </c>
    </row>
    <row r="463" spans="1:33" x14ac:dyDescent="0.25">
      <c r="A463" s="274" t="str">
        <f>+IFERROR(VLOOKUP(CATEGORIAS[[#This Row],[CATEGORIA2]],[1]HOMOLOGACION!$A$1:$I$571,9,FALSE),0)</f>
        <v>0Q03</v>
      </c>
      <c r="B463" s="274" t="str">
        <f>+IFERROR(VLOOKUP(CATEGORIAS[[#This Row],[CATEGORIA2]],[1]HOMOLOGACION!$A$1:$C$571,3,FALSE),0)</f>
        <v>1H06</v>
      </c>
      <c r="C463" s="274" t="str">
        <f>+IFERROR(VLOOKUP(CATEGORIAS[[#This Row],[CATEGORIA2]],[1]HOMOLOGACION!$A$1:$D$571,4,FALSE),0)</f>
        <v xml:space="preserve">Baños Químicos </v>
      </c>
      <c r="D463" s="144" t="s">
        <v>2179</v>
      </c>
      <c r="E463" s="273" t="s">
        <v>1244</v>
      </c>
      <c r="F463" s="275" t="s">
        <v>364</v>
      </c>
      <c r="G463" s="313">
        <v>28435644.852235559</v>
      </c>
      <c r="H463" s="313">
        <v>28435644.852235559</v>
      </c>
      <c r="I463" s="130">
        <v>0</v>
      </c>
      <c r="J463" s="130"/>
      <c r="K463" s="130"/>
      <c r="L463" s="143">
        <f>CATEGORIAS[[#This Row],[ADICIONALES]]+CATEGORIAS[[#This Row],[POM]]</f>
        <v>28435644.852235559</v>
      </c>
      <c r="M463" s="131">
        <v>19917551.307295822</v>
      </c>
      <c r="N463" s="227">
        <v>0</v>
      </c>
      <c r="O463" s="296">
        <f>CATEGORIAS[[#This Row],[PRODUCCION
PARTIDAS
ORIGINALES
ACTUAL]]+CATEGORIAS[[#This Row],[PRODUCCION
ADICIONALES
ACTUAL]]</f>
        <v>19917551.307295822</v>
      </c>
      <c r="P463" s="227">
        <v>18830586.12682873</v>
      </c>
      <c r="Q463" s="227">
        <v>0</v>
      </c>
      <c r="R463" s="297">
        <f>CATEGORIAS[[#This Row],[PRODUCCION
ANTERIOR]]+CATEGORIAS[[#This Row],[PRODUCCION
ADICIONALES
ANTERIOR]]</f>
        <v>18830586.12682873</v>
      </c>
      <c r="S463" s="133">
        <v>1750000</v>
      </c>
      <c r="T463" s="227">
        <v>1715000</v>
      </c>
      <c r="U463" s="227">
        <f>3-175000</f>
        <v>-174997</v>
      </c>
      <c r="V463" s="296">
        <f>SUM(CATEGORIAS[[#This Row],[COSTO
ACUMULADO  AX]:[PROVISIONES]])</f>
        <v>3290003</v>
      </c>
      <c r="W463" s="298">
        <v>0</v>
      </c>
      <c r="X463" s="227">
        <v>1715000</v>
      </c>
      <c r="Y463" s="227"/>
      <c r="Z463" s="297">
        <f>SUM(CATEGORIAS[[#This Row],[COSTO ACUMULADO
ANTERIOR]:[PROVISIONES
ANTERIOR]])</f>
        <v>1715000</v>
      </c>
      <c r="AA463" s="139">
        <f>CATEGORIAS[[#This Row],[PRESUPUESTO
FINAL
PROYECTADO]]-CATEGORIAS[[#This Row],[TOTAL PRODUCCION
ACTUAL]]</f>
        <v>8518093.5449397378</v>
      </c>
      <c r="AB463" s="227">
        <v>0</v>
      </c>
      <c r="AC463" s="132"/>
      <c r="AD463" s="132">
        <v>25145641.852235559</v>
      </c>
      <c r="AE463" s="226">
        <f>SUM(CATEGORIAS[[#This Row],[INVENTARIO]:[PROYECCION
DE COSTO
DEL SALDO]])</f>
        <v>25145641.852235559</v>
      </c>
      <c r="AF463" s="132"/>
      <c r="AG463" s="132">
        <f>+CATEGORIAS[[#This Row],[PRESUPUESTO
FINAL
PROYECTADO]]-CATEGORIAS[[#This Row],[COSTO REAL]]-CATEGORIAS[[#This Row],[PROYECCION
TOTAL DE COSTO]]</f>
        <v>0</v>
      </c>
    </row>
    <row r="464" spans="1:33" x14ac:dyDescent="0.25">
      <c r="A464" s="274" t="str">
        <f>+IFERROR(VLOOKUP(CATEGORIAS[[#This Row],[CATEGORIA2]],[1]HOMOLOGACION!$A$1:$I$571,9,FALSE),0)</f>
        <v>0Q03</v>
      </c>
      <c r="B464" s="274" t="str">
        <f>+IFERROR(VLOOKUP(CATEGORIAS[[#This Row],[CATEGORIA2]],[1]HOMOLOGACION!$A$1:$C$571,3,FALSE),0)</f>
        <v>1H06</v>
      </c>
      <c r="C464" s="274" t="str">
        <f>+IFERROR(VLOOKUP(CATEGORIAS[[#This Row],[CATEGORIA2]],[1]HOMOLOGACION!$A$1:$D$571,4,FALSE),0)</f>
        <v xml:space="preserve">Baños Químicos </v>
      </c>
      <c r="D464" s="144" t="s">
        <v>2180</v>
      </c>
      <c r="E464" s="273" t="s">
        <v>1246</v>
      </c>
      <c r="F464" s="275" t="s">
        <v>361</v>
      </c>
      <c r="G464" s="313">
        <v>0</v>
      </c>
      <c r="H464" s="313">
        <v>0</v>
      </c>
      <c r="I464" s="130">
        <v>0</v>
      </c>
      <c r="J464" s="130"/>
      <c r="K464" s="130"/>
      <c r="L464" s="143">
        <f>CATEGORIAS[[#This Row],[ADICIONALES]]+CATEGORIAS[[#This Row],[POM]]</f>
        <v>0</v>
      </c>
      <c r="M464" s="131">
        <v>0</v>
      </c>
      <c r="N464" s="227">
        <v>0</v>
      </c>
      <c r="O464" s="296">
        <f>CATEGORIAS[[#This Row],[PRODUCCION
PARTIDAS
ORIGINALES
ACTUAL]]+CATEGORIAS[[#This Row],[PRODUCCION
ADICIONALES
ACTUAL]]</f>
        <v>0</v>
      </c>
      <c r="P464" s="227">
        <v>0</v>
      </c>
      <c r="Q464" s="132">
        <v>0</v>
      </c>
      <c r="R464" s="297">
        <f>CATEGORIAS[[#This Row],[PRODUCCION
ANTERIOR]]+CATEGORIAS[[#This Row],[PRODUCCION
ADICIONALES
ANTERIOR]]</f>
        <v>0</v>
      </c>
      <c r="S464" s="133">
        <v>1715000</v>
      </c>
      <c r="T464" s="133">
        <v>-1715000</v>
      </c>
      <c r="U464" s="133"/>
      <c r="V464" s="296">
        <f>SUM(CATEGORIAS[[#This Row],[COSTO
ACUMULADO  AX]:[PROVISIONES]])</f>
        <v>0</v>
      </c>
      <c r="W464" s="298">
        <v>1715000</v>
      </c>
      <c r="X464" s="227">
        <v>-1715000</v>
      </c>
      <c r="Y464" s="227"/>
      <c r="Z464" s="297">
        <f>SUM(CATEGORIAS[[#This Row],[COSTO ACUMULADO
ANTERIOR]:[PROVISIONES
ANTERIOR]])</f>
        <v>0</v>
      </c>
      <c r="AA464" s="139">
        <f>CATEGORIAS[[#This Row],[PRESUPUESTO
FINAL
PROYECTADO]]-CATEGORIAS[[#This Row],[TOTAL PRODUCCION
ACTUAL]]</f>
        <v>0</v>
      </c>
      <c r="AB464" s="227">
        <v>0</v>
      </c>
      <c r="AC464" s="132"/>
      <c r="AD464" s="132"/>
      <c r="AE464" s="226">
        <f>SUM(CATEGORIAS[[#This Row],[INVENTARIO]:[PROYECCION
DE COSTO
DEL SALDO]])</f>
        <v>0</v>
      </c>
      <c r="AF464" s="132"/>
      <c r="AG464" s="132">
        <f>+CATEGORIAS[[#This Row],[PRESUPUESTO
FINAL
PROYECTADO]]-CATEGORIAS[[#This Row],[COSTO REAL]]-CATEGORIAS[[#This Row],[PROYECCION
TOTAL DE COSTO]]</f>
        <v>0</v>
      </c>
    </row>
    <row r="465" spans="1:33" x14ac:dyDescent="0.25">
      <c r="A465" s="274" t="str">
        <f>+IFERROR(VLOOKUP(CATEGORIAS[[#This Row],[CATEGORIA2]],[1]HOMOLOGACION!$A$1:$I$571,9,FALSE),0)</f>
        <v>0Q03</v>
      </c>
      <c r="B465" s="274" t="str">
        <f>+IFERROR(VLOOKUP(CATEGORIAS[[#This Row],[CATEGORIA2]],[1]HOMOLOGACION!$A$1:$C$571,3,FALSE),0)</f>
        <v>1H04</v>
      </c>
      <c r="C465" s="274" t="str">
        <f>+IFERROR(VLOOKUP(CATEGORIAS[[#This Row],[CATEGORIA2]],[1]HOMOLOGACION!$A$1:$D$571,4,FALSE),0)</f>
        <v xml:space="preserve">Energía Eléctrica </v>
      </c>
      <c r="D465" s="144" t="s">
        <v>2181</v>
      </c>
      <c r="E465" s="273" t="s">
        <v>1248</v>
      </c>
      <c r="F465" s="275" t="s">
        <v>364</v>
      </c>
      <c r="G465" s="313">
        <v>4800000.0000000009</v>
      </c>
      <c r="H465" s="313">
        <v>4800000.0000000009</v>
      </c>
      <c r="I465" s="130">
        <v>1945496.9318399997</v>
      </c>
      <c r="J465" s="130"/>
      <c r="K465" s="130"/>
      <c r="L465" s="143">
        <f>CATEGORIAS[[#This Row],[ADICIONALES]]+CATEGORIAS[[#This Row],[POM]]</f>
        <v>6745496.9318400007</v>
      </c>
      <c r="M465" s="131">
        <v>3600000</v>
      </c>
      <c r="N465" s="227">
        <v>0</v>
      </c>
      <c r="O465" s="296">
        <f>CATEGORIAS[[#This Row],[PRODUCCION
PARTIDAS
ORIGINALES
ACTUAL]]+CATEGORIAS[[#This Row],[PRODUCCION
ADICIONALES
ACTUAL]]</f>
        <v>3600000</v>
      </c>
      <c r="P465" s="227">
        <v>3600000</v>
      </c>
      <c r="Q465" s="227">
        <v>0</v>
      </c>
      <c r="R465" s="297">
        <f>CATEGORIAS[[#This Row],[PRODUCCION
ANTERIOR]]+CATEGORIAS[[#This Row],[PRODUCCION
ADICIONALES
ANTERIOR]]</f>
        <v>3600000</v>
      </c>
      <c r="S465" s="133">
        <v>3952000</v>
      </c>
      <c r="T465" s="133">
        <v>120000</v>
      </c>
      <c r="U465" s="133">
        <v>90000</v>
      </c>
      <c r="V465" s="296">
        <f>SUM(CATEGORIAS[[#This Row],[COSTO
ACUMULADO  AX]:[PROVISIONES]])</f>
        <v>4162000</v>
      </c>
      <c r="W465" s="298">
        <v>1612000</v>
      </c>
      <c r="X465" s="227"/>
      <c r="Y465" s="227"/>
      <c r="Z465" s="297">
        <f>SUM(CATEGORIAS[[#This Row],[COSTO ACUMULADO
ANTERIOR]:[PROVISIONES
ANTERIOR]])</f>
        <v>1612000</v>
      </c>
      <c r="AA465" s="139">
        <f>CATEGORIAS[[#This Row],[PRESUPUESTO
FINAL
PROYECTADO]]-CATEGORIAS[[#This Row],[TOTAL PRODUCCION
ACTUAL]]</f>
        <v>3145496.9318400007</v>
      </c>
      <c r="AB465" s="227">
        <v>0</v>
      </c>
      <c r="AC465" s="132"/>
      <c r="AD465" s="132">
        <v>2583496.9318400007</v>
      </c>
      <c r="AE465" s="226">
        <f>SUM(CATEGORIAS[[#This Row],[INVENTARIO]:[PROYECCION
DE COSTO
DEL SALDO]])</f>
        <v>2583496.9318400007</v>
      </c>
      <c r="AF465" s="132"/>
      <c r="AG465" s="132">
        <f>+CATEGORIAS[[#This Row],[PRESUPUESTO
FINAL
PROYECTADO]]-CATEGORIAS[[#This Row],[COSTO REAL]]-CATEGORIAS[[#This Row],[PROYECCION
TOTAL DE COSTO]]</f>
        <v>0</v>
      </c>
    </row>
    <row r="466" spans="1:33" x14ac:dyDescent="0.25">
      <c r="A466" s="274" t="str">
        <f>+IFERROR(VLOOKUP(CATEGORIAS[[#This Row],[CATEGORIA2]],[1]HOMOLOGACION!$A$1:$I$571,9,FALSE),0)</f>
        <v>0Q03</v>
      </c>
      <c r="B466" s="274" t="str">
        <f>+IFERROR(VLOOKUP(CATEGORIAS[[#This Row],[CATEGORIA2]],[1]HOMOLOGACION!$A$1:$C$571,3,FALSE),0)</f>
        <v>1H04</v>
      </c>
      <c r="C466" s="274" t="str">
        <f>+IFERROR(VLOOKUP(CATEGORIAS[[#This Row],[CATEGORIA2]],[1]HOMOLOGACION!$A$1:$D$571,4,FALSE),0)</f>
        <v xml:space="preserve">Energía Eléctrica </v>
      </c>
      <c r="D466" s="144" t="s">
        <v>2182</v>
      </c>
      <c r="E466" s="273" t="s">
        <v>1250</v>
      </c>
      <c r="F466" s="275" t="s">
        <v>361</v>
      </c>
      <c r="G466" s="313">
        <v>0</v>
      </c>
      <c r="H466" s="313">
        <v>0</v>
      </c>
      <c r="I466" s="130">
        <v>0</v>
      </c>
      <c r="J466" s="130"/>
      <c r="K466" s="130"/>
      <c r="L466" s="143">
        <f>CATEGORIAS[[#This Row],[ADICIONALES]]+CATEGORIAS[[#This Row],[POM]]</f>
        <v>0</v>
      </c>
      <c r="M466" s="131">
        <v>0</v>
      </c>
      <c r="N466" s="227">
        <v>0</v>
      </c>
      <c r="O466" s="296">
        <f>CATEGORIAS[[#This Row],[PRODUCCION
PARTIDAS
ORIGINALES
ACTUAL]]+CATEGORIAS[[#This Row],[PRODUCCION
ADICIONALES
ACTUAL]]</f>
        <v>0</v>
      </c>
      <c r="P466" s="227">
        <v>0</v>
      </c>
      <c r="Q466" s="227">
        <v>0</v>
      </c>
      <c r="R466" s="297">
        <f>CATEGORIAS[[#This Row],[PRODUCCION
ANTERIOR]]+CATEGORIAS[[#This Row],[PRODUCCION
ADICIONALES
ANTERIOR]]</f>
        <v>0</v>
      </c>
      <c r="S466" s="133">
        <v>0</v>
      </c>
      <c r="T466" s="133"/>
      <c r="U466" s="133"/>
      <c r="V466" s="296">
        <f>SUM(CATEGORIAS[[#This Row],[COSTO
ACUMULADO  AX]:[PROVISIONES]])</f>
        <v>0</v>
      </c>
      <c r="W466" s="298">
        <v>0</v>
      </c>
      <c r="X466" s="227"/>
      <c r="Y466" s="227"/>
      <c r="Z466" s="297">
        <f>SUM(CATEGORIAS[[#This Row],[COSTO ACUMULADO
ANTERIOR]:[PROVISIONES
ANTERIOR]])</f>
        <v>0</v>
      </c>
      <c r="AA466" s="139">
        <f>CATEGORIAS[[#This Row],[PRESUPUESTO
FINAL
PROYECTADO]]-CATEGORIAS[[#This Row],[TOTAL PRODUCCION
ACTUAL]]</f>
        <v>0</v>
      </c>
      <c r="AB466" s="227">
        <v>0</v>
      </c>
      <c r="AC466" s="132"/>
      <c r="AD466" s="132"/>
      <c r="AE466" s="226">
        <f>SUM(CATEGORIAS[[#This Row],[INVENTARIO]:[PROYECCION
DE COSTO
DEL SALDO]])</f>
        <v>0</v>
      </c>
      <c r="AF466" s="132"/>
      <c r="AG466" s="132">
        <f>+CATEGORIAS[[#This Row],[PRESUPUESTO
FINAL
PROYECTADO]]-CATEGORIAS[[#This Row],[COSTO REAL]]-CATEGORIAS[[#This Row],[PROYECCION
TOTAL DE COSTO]]</f>
        <v>0</v>
      </c>
    </row>
    <row r="467" spans="1:33" x14ac:dyDescent="0.25">
      <c r="A467" s="274" t="str">
        <f>+IFERROR(VLOOKUP(CATEGORIAS[[#This Row],[CATEGORIA2]],[1]HOMOLOGACION!$A$1:$I$571,9,FALSE),0)</f>
        <v>0Q03</v>
      </c>
      <c r="B467" s="274" t="str">
        <f>+IFERROR(VLOOKUP(CATEGORIAS[[#This Row],[CATEGORIA2]],[1]HOMOLOGACION!$A$1:$C$571,3,FALSE),0)</f>
        <v>1H02</v>
      </c>
      <c r="C467" s="274" t="str">
        <f>+IFERROR(VLOOKUP(CATEGORIAS[[#This Row],[CATEGORIA2]],[1]HOMOLOGACION!$A$1:$D$571,4,FALSE),0)</f>
        <v xml:space="preserve">Containers </v>
      </c>
      <c r="D467" s="144" t="s">
        <v>2183</v>
      </c>
      <c r="E467" s="273" t="s">
        <v>1252</v>
      </c>
      <c r="F467" s="275" t="s">
        <v>364</v>
      </c>
      <c r="G467" s="313">
        <v>24060000</v>
      </c>
      <c r="H467" s="313">
        <v>24060000</v>
      </c>
      <c r="I467" s="130">
        <v>0</v>
      </c>
      <c r="J467" s="130"/>
      <c r="K467" s="130"/>
      <c r="L467" s="143">
        <f>CATEGORIAS[[#This Row],[ADICIONALES]]+CATEGORIAS[[#This Row],[POM]]</f>
        <v>24060000</v>
      </c>
      <c r="M467" s="131">
        <v>18045000</v>
      </c>
      <c r="N467" s="227">
        <v>0</v>
      </c>
      <c r="O467" s="296">
        <f>CATEGORIAS[[#This Row],[PRODUCCION
PARTIDAS
ORIGINALES
ACTUAL]]+CATEGORIAS[[#This Row],[PRODUCCION
ADICIONALES
ACTUAL]]</f>
        <v>18045000</v>
      </c>
      <c r="P467" s="227">
        <v>18045000</v>
      </c>
      <c r="Q467" s="227">
        <v>0</v>
      </c>
      <c r="R467" s="297">
        <f>CATEGORIAS[[#This Row],[PRODUCCION
ANTERIOR]]+CATEGORIAS[[#This Row],[PRODUCCION
ADICIONALES
ANTERIOR]]</f>
        <v>18045000</v>
      </c>
      <c r="S467" s="133">
        <v>11793294</v>
      </c>
      <c r="T467" s="227">
        <v>375000</v>
      </c>
      <c r="U467" s="133">
        <v>150000</v>
      </c>
      <c r="V467" s="296">
        <f>SUM(CATEGORIAS[[#This Row],[COSTO
ACUMULADO  AX]:[PROVISIONES]])</f>
        <v>12318294</v>
      </c>
      <c r="W467" s="298">
        <v>5683452</v>
      </c>
      <c r="X467" s="227">
        <v>1715000</v>
      </c>
      <c r="Y467" s="227">
        <v>180000</v>
      </c>
      <c r="Z467" s="297">
        <f>SUM(CATEGORIAS[[#This Row],[COSTO ACUMULADO
ANTERIOR]:[PROVISIONES
ANTERIOR]])</f>
        <v>7578452</v>
      </c>
      <c r="AA467" s="139">
        <f>CATEGORIAS[[#This Row],[PRESUPUESTO
FINAL
PROYECTADO]]-CATEGORIAS[[#This Row],[TOTAL PRODUCCION
ACTUAL]]</f>
        <v>6015000</v>
      </c>
      <c r="AB467" s="227">
        <v>480000</v>
      </c>
      <c r="AC467" s="132"/>
      <c r="AD467" s="132">
        <v>11261706</v>
      </c>
      <c r="AE467" s="226">
        <f>SUM(CATEGORIAS[[#This Row],[INVENTARIO]:[PROYECCION
DE COSTO
DEL SALDO]])</f>
        <v>11741706</v>
      </c>
      <c r="AF467" s="132"/>
      <c r="AG467" s="132">
        <f>+CATEGORIAS[[#This Row],[PRESUPUESTO
FINAL
PROYECTADO]]-CATEGORIAS[[#This Row],[COSTO REAL]]-CATEGORIAS[[#This Row],[PROYECCION
TOTAL DE COSTO]]</f>
        <v>0</v>
      </c>
    </row>
    <row r="468" spans="1:33" x14ac:dyDescent="0.25">
      <c r="A468" s="274" t="str">
        <f>+IFERROR(VLOOKUP(CATEGORIAS[[#This Row],[CATEGORIA2]],[1]HOMOLOGACION!$A$1:$I$571,9,FALSE),0)</f>
        <v>0Q03</v>
      </c>
      <c r="B468" s="274" t="str">
        <f>+IFERROR(VLOOKUP(CATEGORIAS[[#This Row],[CATEGORIA2]],[1]HOMOLOGACION!$A$1:$C$571,3,FALSE),0)</f>
        <v>1H02</v>
      </c>
      <c r="C468" s="274" t="str">
        <f>+IFERROR(VLOOKUP(CATEGORIAS[[#This Row],[CATEGORIA2]],[1]HOMOLOGACION!$A$1:$D$571,4,FALSE),0)</f>
        <v xml:space="preserve">Containers </v>
      </c>
      <c r="D468" s="144" t="s">
        <v>2184</v>
      </c>
      <c r="E468" s="273" t="s">
        <v>1254</v>
      </c>
      <c r="F468" s="275" t="s">
        <v>361</v>
      </c>
      <c r="G468" s="313">
        <v>0</v>
      </c>
      <c r="H468" s="313">
        <v>0</v>
      </c>
      <c r="I468" s="130">
        <v>0</v>
      </c>
      <c r="J468" s="130"/>
      <c r="K468" s="130"/>
      <c r="L468" s="143">
        <f>CATEGORIAS[[#This Row],[ADICIONALES]]+CATEGORIAS[[#This Row],[POM]]</f>
        <v>0</v>
      </c>
      <c r="M468" s="131">
        <v>0</v>
      </c>
      <c r="N468" s="227">
        <v>0</v>
      </c>
      <c r="O468" s="296">
        <f>CATEGORIAS[[#This Row],[PRODUCCION
PARTIDAS
ORIGINALES
ACTUAL]]+CATEGORIAS[[#This Row],[PRODUCCION
ADICIONALES
ACTUAL]]</f>
        <v>0</v>
      </c>
      <c r="P468" s="227">
        <v>0</v>
      </c>
      <c r="Q468" s="227">
        <v>0</v>
      </c>
      <c r="R468" s="297">
        <f>CATEGORIAS[[#This Row],[PRODUCCION
ANTERIOR]]+CATEGORIAS[[#This Row],[PRODUCCION
ADICIONALES
ANTERIOR]]</f>
        <v>0</v>
      </c>
      <c r="S468" s="133">
        <v>0</v>
      </c>
      <c r="T468" s="133"/>
      <c r="U468" s="133"/>
      <c r="V468" s="296">
        <f>SUM(CATEGORIAS[[#This Row],[COSTO
ACUMULADO  AX]:[PROVISIONES]])</f>
        <v>0</v>
      </c>
      <c r="W468" s="298">
        <v>1400000</v>
      </c>
      <c r="X468" s="227">
        <v>-1400000</v>
      </c>
      <c r="Y468" s="227"/>
      <c r="Z468" s="297">
        <f>SUM(CATEGORIAS[[#This Row],[COSTO ACUMULADO
ANTERIOR]:[PROVISIONES
ANTERIOR]])</f>
        <v>0</v>
      </c>
      <c r="AA468" s="139">
        <f>CATEGORIAS[[#This Row],[PRESUPUESTO
FINAL
PROYECTADO]]-CATEGORIAS[[#This Row],[TOTAL PRODUCCION
ACTUAL]]</f>
        <v>0</v>
      </c>
      <c r="AB468" s="227">
        <v>0</v>
      </c>
      <c r="AC468" s="132"/>
      <c r="AD468" s="132"/>
      <c r="AE468" s="226">
        <f>SUM(CATEGORIAS[[#This Row],[INVENTARIO]:[PROYECCION
DE COSTO
DEL SALDO]])</f>
        <v>0</v>
      </c>
      <c r="AF468" s="132"/>
      <c r="AG468" s="132">
        <f>+CATEGORIAS[[#This Row],[PRESUPUESTO
FINAL
PROYECTADO]]-CATEGORIAS[[#This Row],[COSTO REAL]]-CATEGORIAS[[#This Row],[PROYECCION
TOTAL DE COSTO]]</f>
        <v>0</v>
      </c>
    </row>
    <row r="469" spans="1:33" x14ac:dyDescent="0.25">
      <c r="A469" s="274" t="str">
        <f>+IFERROR(VLOOKUP(CATEGORIAS[[#This Row],[CATEGORIA2]],[1]HOMOLOGACION!$A$1:$I$571,9,FALSE),0)</f>
        <v>0Q03</v>
      </c>
      <c r="B469" s="274" t="str">
        <f>+IFERROR(VLOOKUP(CATEGORIAS[[#This Row],[CATEGORIA2]],[1]HOMOLOGACION!$A$1:$C$571,3,FALSE),0)</f>
        <v>1H07</v>
      </c>
      <c r="C469" s="274" t="str">
        <f>+IFERROR(VLOOKUP(CATEGORIAS[[#This Row],[CATEGORIA2]],[1]HOMOLOGACION!$A$1:$D$571,4,FALSE),0)</f>
        <v>Servicios Básicos (Luz, Agua, Gas)</v>
      </c>
      <c r="D469" s="144" t="s">
        <v>2185</v>
      </c>
      <c r="E469" s="273" t="s">
        <v>1256</v>
      </c>
      <c r="F469" s="275" t="s">
        <v>364</v>
      </c>
      <c r="G469" s="313">
        <v>8500000</v>
      </c>
      <c r="H469" s="313">
        <v>8500000</v>
      </c>
      <c r="I469" s="130">
        <v>0</v>
      </c>
      <c r="J469" s="130"/>
      <c r="K469" s="130"/>
      <c r="L469" s="143">
        <f>CATEGORIAS[[#This Row],[ADICIONALES]]+CATEGORIAS[[#This Row],[POM]]</f>
        <v>8500000</v>
      </c>
      <c r="M469" s="131">
        <v>6375000</v>
      </c>
      <c r="N469" s="227">
        <v>0</v>
      </c>
      <c r="O469" s="296">
        <f>CATEGORIAS[[#This Row],[PRODUCCION
PARTIDAS
ORIGINALES
ACTUAL]]+CATEGORIAS[[#This Row],[PRODUCCION
ADICIONALES
ACTUAL]]</f>
        <v>6375000</v>
      </c>
      <c r="P469" s="227">
        <v>6375000</v>
      </c>
      <c r="Q469" s="227">
        <v>0</v>
      </c>
      <c r="R469" s="297">
        <f>CATEGORIAS[[#This Row],[PRODUCCION
ANTERIOR]]+CATEGORIAS[[#This Row],[PRODUCCION
ADICIONALES
ANTERIOR]]</f>
        <v>6375000</v>
      </c>
      <c r="S469" s="133">
        <v>0</v>
      </c>
      <c r="T469" s="133"/>
      <c r="U469" s="133"/>
      <c r="V469" s="296">
        <f>SUM(CATEGORIAS[[#This Row],[COSTO
ACUMULADO  AX]:[PROVISIONES]])</f>
        <v>0</v>
      </c>
      <c r="W469" s="298">
        <v>0</v>
      </c>
      <c r="X469" s="227"/>
      <c r="Y469" s="227"/>
      <c r="Z469" s="297">
        <f>SUM(CATEGORIAS[[#This Row],[COSTO ACUMULADO
ANTERIOR]:[PROVISIONES
ANTERIOR]])</f>
        <v>0</v>
      </c>
      <c r="AA469" s="139">
        <f>CATEGORIAS[[#This Row],[PRESUPUESTO
FINAL
PROYECTADO]]-CATEGORIAS[[#This Row],[TOTAL PRODUCCION
ACTUAL]]</f>
        <v>2125000</v>
      </c>
      <c r="AB469" s="227">
        <v>0</v>
      </c>
      <c r="AC469" s="132"/>
      <c r="AD469" s="132">
        <v>8500000</v>
      </c>
      <c r="AE469" s="226">
        <f>SUM(CATEGORIAS[[#This Row],[INVENTARIO]:[PROYECCION
DE COSTO
DEL SALDO]])</f>
        <v>8500000</v>
      </c>
      <c r="AF469" s="132"/>
      <c r="AG469" s="132">
        <f>+CATEGORIAS[[#This Row],[PRESUPUESTO
FINAL
PROYECTADO]]-CATEGORIAS[[#This Row],[COSTO REAL]]-CATEGORIAS[[#This Row],[PROYECCION
TOTAL DE COSTO]]</f>
        <v>0</v>
      </c>
    </row>
    <row r="470" spans="1:33" x14ac:dyDescent="0.25">
      <c r="A470" s="274" t="str">
        <f>+IFERROR(VLOOKUP(CATEGORIAS[[#This Row],[CATEGORIA2]],[1]HOMOLOGACION!$A$1:$I$571,9,FALSE),0)</f>
        <v>0Q03</v>
      </c>
      <c r="B470" s="274" t="str">
        <f>+IFERROR(VLOOKUP(CATEGORIAS[[#This Row],[CATEGORIA2]],[1]HOMOLOGACION!$A$1:$C$571,3,FALSE),0)</f>
        <v>1H07</v>
      </c>
      <c r="C470" s="274" t="str">
        <f>+IFERROR(VLOOKUP(CATEGORIAS[[#This Row],[CATEGORIA2]],[1]HOMOLOGACION!$A$1:$D$571,4,FALSE),0)</f>
        <v>Servicios Básicos (Luz, Agua, Gas)</v>
      </c>
      <c r="D470" s="144" t="s">
        <v>2186</v>
      </c>
      <c r="E470" s="273" t="s">
        <v>1258</v>
      </c>
      <c r="F470" s="275" t="s">
        <v>361</v>
      </c>
      <c r="G470" s="313">
        <v>0</v>
      </c>
      <c r="H470" s="313">
        <v>0</v>
      </c>
      <c r="I470" s="130">
        <v>0</v>
      </c>
      <c r="J470" s="130"/>
      <c r="K470" s="130"/>
      <c r="L470" s="143">
        <f>CATEGORIAS[[#This Row],[ADICIONALES]]+CATEGORIAS[[#This Row],[POM]]</f>
        <v>0</v>
      </c>
      <c r="M470" s="131">
        <v>0</v>
      </c>
      <c r="N470" s="227">
        <v>0</v>
      </c>
      <c r="O470" s="296">
        <f>CATEGORIAS[[#This Row],[PRODUCCION
PARTIDAS
ORIGINALES
ACTUAL]]+CATEGORIAS[[#This Row],[PRODUCCION
ADICIONALES
ACTUAL]]</f>
        <v>0</v>
      </c>
      <c r="P470" s="227">
        <v>0</v>
      </c>
      <c r="Q470" s="227">
        <v>0</v>
      </c>
      <c r="R470" s="297">
        <f>CATEGORIAS[[#This Row],[PRODUCCION
ANTERIOR]]+CATEGORIAS[[#This Row],[PRODUCCION
ADICIONALES
ANTERIOR]]</f>
        <v>0</v>
      </c>
      <c r="S470" s="133">
        <v>0</v>
      </c>
      <c r="T470" s="133"/>
      <c r="U470" s="133"/>
      <c r="V470" s="296">
        <f>SUM(CATEGORIAS[[#This Row],[COSTO
ACUMULADO  AX]:[PROVISIONES]])</f>
        <v>0</v>
      </c>
      <c r="W470" s="298">
        <v>0</v>
      </c>
      <c r="X470" s="227"/>
      <c r="Y470" s="227"/>
      <c r="Z470" s="297">
        <f>SUM(CATEGORIAS[[#This Row],[COSTO ACUMULADO
ANTERIOR]:[PROVISIONES
ANTERIOR]])</f>
        <v>0</v>
      </c>
      <c r="AA470" s="139">
        <f>CATEGORIAS[[#This Row],[PRESUPUESTO
FINAL
PROYECTADO]]-CATEGORIAS[[#This Row],[TOTAL PRODUCCION
ACTUAL]]</f>
        <v>0</v>
      </c>
      <c r="AB470" s="227">
        <v>0</v>
      </c>
      <c r="AC470" s="132"/>
      <c r="AD470" s="132"/>
      <c r="AE470" s="226">
        <f>SUM(CATEGORIAS[[#This Row],[INVENTARIO]:[PROYECCION
DE COSTO
DEL SALDO]])</f>
        <v>0</v>
      </c>
      <c r="AF470" s="132"/>
      <c r="AG470" s="132">
        <f>+CATEGORIAS[[#This Row],[PRESUPUESTO
FINAL
PROYECTADO]]-CATEGORIAS[[#This Row],[COSTO REAL]]-CATEGORIAS[[#This Row],[PROYECCION
TOTAL DE COSTO]]</f>
        <v>0</v>
      </c>
    </row>
    <row r="471" spans="1:33" x14ac:dyDescent="0.25">
      <c r="A471" s="274" t="str">
        <f>+IFERROR(VLOOKUP(CATEGORIAS[[#This Row],[CATEGORIA2]],[1]HOMOLOGACION!$A$1:$I$571,9,FALSE),0)</f>
        <v>0Q03</v>
      </c>
      <c r="B471" s="274" t="str">
        <f>+IFERROR(VLOOKUP(CATEGORIAS[[#This Row],[CATEGORIA2]],[1]HOMOLOGACION!$A$1:$C$571,3,FALSE),0)</f>
        <v>1H07</v>
      </c>
      <c r="C471" s="274" t="str">
        <f>+IFERROR(VLOOKUP(CATEGORIAS[[#This Row],[CATEGORIA2]],[1]HOMOLOGACION!$A$1:$D$571,4,FALSE),0)</f>
        <v>Servicios Básicos (Luz, Agua, Gas)</v>
      </c>
      <c r="D471" s="144" t="s">
        <v>2187</v>
      </c>
      <c r="E471" s="273" t="s">
        <v>1260</v>
      </c>
      <c r="F471" s="275" t="s">
        <v>361</v>
      </c>
      <c r="G471" s="313">
        <v>0</v>
      </c>
      <c r="H471" s="313">
        <v>0</v>
      </c>
      <c r="I471" s="130">
        <v>0</v>
      </c>
      <c r="J471" s="130"/>
      <c r="K471" s="130"/>
      <c r="L471" s="143">
        <f>CATEGORIAS[[#This Row],[ADICIONALES]]+CATEGORIAS[[#This Row],[POM]]</f>
        <v>0</v>
      </c>
      <c r="M471" s="131">
        <v>0</v>
      </c>
      <c r="N471" s="227">
        <v>0</v>
      </c>
      <c r="O471" s="296">
        <f>CATEGORIAS[[#This Row],[PRODUCCION
PARTIDAS
ORIGINALES
ACTUAL]]+CATEGORIAS[[#This Row],[PRODUCCION
ADICIONALES
ACTUAL]]</f>
        <v>0</v>
      </c>
      <c r="P471" s="227">
        <v>0</v>
      </c>
      <c r="Q471" s="227">
        <v>0</v>
      </c>
      <c r="R471" s="297">
        <f>CATEGORIAS[[#This Row],[PRODUCCION
ANTERIOR]]+CATEGORIAS[[#This Row],[PRODUCCION
ADICIONALES
ANTERIOR]]</f>
        <v>0</v>
      </c>
      <c r="S471" s="133">
        <v>0</v>
      </c>
      <c r="T471" s="133"/>
      <c r="U471" s="133"/>
      <c r="V471" s="296">
        <f>SUM(CATEGORIAS[[#This Row],[COSTO
ACUMULADO  AX]:[PROVISIONES]])</f>
        <v>0</v>
      </c>
      <c r="W471" s="298">
        <v>0</v>
      </c>
      <c r="X471" s="227"/>
      <c r="Y471" s="227"/>
      <c r="Z471" s="297">
        <f>SUM(CATEGORIAS[[#This Row],[COSTO ACUMULADO
ANTERIOR]:[PROVISIONES
ANTERIOR]])</f>
        <v>0</v>
      </c>
      <c r="AA471" s="139">
        <f>CATEGORIAS[[#This Row],[PRESUPUESTO
FINAL
PROYECTADO]]-CATEGORIAS[[#This Row],[TOTAL PRODUCCION
ACTUAL]]</f>
        <v>0</v>
      </c>
      <c r="AB471" s="227">
        <v>0</v>
      </c>
      <c r="AC471" s="132"/>
      <c r="AD471" s="132"/>
      <c r="AE471" s="226">
        <f>SUM(CATEGORIAS[[#This Row],[INVENTARIO]:[PROYECCION
DE COSTO
DEL SALDO]])</f>
        <v>0</v>
      </c>
      <c r="AF471" s="132"/>
      <c r="AG471" s="132">
        <f>+CATEGORIAS[[#This Row],[PRESUPUESTO
FINAL
PROYECTADO]]-CATEGORIAS[[#This Row],[COSTO REAL]]-CATEGORIAS[[#This Row],[PROYECCION
TOTAL DE COSTO]]</f>
        <v>0</v>
      </c>
    </row>
    <row r="472" spans="1:33" x14ac:dyDescent="0.25">
      <c r="A472" s="274" t="str">
        <f>+IFERROR(VLOOKUP(CATEGORIAS[[#This Row],[CATEGORIA2]],[1]HOMOLOGACION!$A$1:$I$571,9,FALSE),0)</f>
        <v>0Q03</v>
      </c>
      <c r="B472" s="274" t="str">
        <f>+IFERROR(VLOOKUP(CATEGORIAS[[#This Row],[CATEGORIA2]],[1]HOMOLOGACION!$A$1:$C$571,3,FALSE),0)</f>
        <v>1H07</v>
      </c>
      <c r="C472" s="274" t="str">
        <f>+IFERROR(VLOOKUP(CATEGORIAS[[#This Row],[CATEGORIA2]],[1]HOMOLOGACION!$A$1:$D$571,4,FALSE),0)</f>
        <v>Servicios Básicos (Luz, Agua, Gas)</v>
      </c>
      <c r="D472" s="144" t="s">
        <v>2188</v>
      </c>
      <c r="E472" s="273" t="s">
        <v>1262</v>
      </c>
      <c r="F472" s="275" t="s">
        <v>361</v>
      </c>
      <c r="G472" s="313">
        <v>0</v>
      </c>
      <c r="H472" s="313">
        <v>0</v>
      </c>
      <c r="I472" s="130">
        <v>0</v>
      </c>
      <c r="J472" s="130"/>
      <c r="K472" s="130"/>
      <c r="L472" s="143">
        <f>CATEGORIAS[[#This Row],[ADICIONALES]]+CATEGORIAS[[#This Row],[POM]]</f>
        <v>0</v>
      </c>
      <c r="M472" s="131">
        <v>0</v>
      </c>
      <c r="N472" s="227">
        <v>0</v>
      </c>
      <c r="O472" s="296">
        <f>CATEGORIAS[[#This Row],[PRODUCCION
PARTIDAS
ORIGINALES
ACTUAL]]+CATEGORIAS[[#This Row],[PRODUCCION
ADICIONALES
ACTUAL]]</f>
        <v>0</v>
      </c>
      <c r="P472" s="227">
        <v>0</v>
      </c>
      <c r="Q472" s="132">
        <v>0</v>
      </c>
      <c r="R472" s="297">
        <f>CATEGORIAS[[#This Row],[PRODUCCION
ANTERIOR]]+CATEGORIAS[[#This Row],[PRODUCCION
ADICIONALES
ANTERIOR]]</f>
        <v>0</v>
      </c>
      <c r="S472" s="133">
        <v>0</v>
      </c>
      <c r="T472" s="133"/>
      <c r="U472" s="133"/>
      <c r="V472" s="296">
        <f>SUM(CATEGORIAS[[#This Row],[COSTO
ACUMULADO  AX]:[PROVISIONES]])</f>
        <v>0</v>
      </c>
      <c r="W472" s="298">
        <v>0</v>
      </c>
      <c r="X472" s="227"/>
      <c r="Y472" s="227"/>
      <c r="Z472" s="297">
        <f>SUM(CATEGORIAS[[#This Row],[COSTO ACUMULADO
ANTERIOR]:[PROVISIONES
ANTERIOR]])</f>
        <v>0</v>
      </c>
      <c r="AA472" s="139">
        <f>CATEGORIAS[[#This Row],[PRESUPUESTO
FINAL
PROYECTADO]]-CATEGORIAS[[#This Row],[TOTAL PRODUCCION
ACTUAL]]</f>
        <v>0</v>
      </c>
      <c r="AB472" s="227">
        <v>0</v>
      </c>
      <c r="AC472" s="132"/>
      <c r="AD472" s="132"/>
      <c r="AE472" s="226">
        <f>SUM(CATEGORIAS[[#This Row],[INVENTARIO]:[PROYECCION
DE COSTO
DEL SALDO]])</f>
        <v>0</v>
      </c>
      <c r="AF472" s="132"/>
      <c r="AG472" s="132">
        <f>+CATEGORIAS[[#This Row],[PRESUPUESTO
FINAL
PROYECTADO]]-CATEGORIAS[[#This Row],[COSTO REAL]]-CATEGORIAS[[#This Row],[PROYECCION
TOTAL DE COSTO]]</f>
        <v>0</v>
      </c>
    </row>
    <row r="473" spans="1:33" x14ac:dyDescent="0.25">
      <c r="A473" s="274" t="str">
        <f>+IFERROR(VLOOKUP(CATEGORIAS[[#This Row],[CATEGORIA2]],[1]HOMOLOGACION!$A$1:$I$571,9,FALSE),0)</f>
        <v>0Q03</v>
      </c>
      <c r="B473" s="274" t="str">
        <f>+IFERROR(VLOOKUP(CATEGORIAS[[#This Row],[CATEGORIA2]],[1]HOMOLOGACION!$A$1:$C$571,3,FALSE),0)</f>
        <v>1H04</v>
      </c>
      <c r="C473" s="274" t="str">
        <f>+IFERROR(VLOOKUP(CATEGORIAS[[#This Row],[CATEGORIA2]],[1]HOMOLOGACION!$A$1:$D$571,4,FALSE),0)</f>
        <v xml:space="preserve">Energía Eléctrica </v>
      </c>
      <c r="D473" s="144" t="s">
        <v>2189</v>
      </c>
      <c r="E473" s="273" t="s">
        <v>1264</v>
      </c>
      <c r="F473" s="275" t="s">
        <v>364</v>
      </c>
      <c r="G473" s="313">
        <v>26712000</v>
      </c>
      <c r="H473" s="313">
        <v>26712000</v>
      </c>
      <c r="I473" s="130">
        <v>0</v>
      </c>
      <c r="J473" s="130"/>
      <c r="K473" s="130"/>
      <c r="L473" s="143">
        <f>CATEGORIAS[[#This Row],[ADICIONALES]]+CATEGORIAS[[#This Row],[POM]]</f>
        <v>26712000</v>
      </c>
      <c r="M473" s="131">
        <v>20034000</v>
      </c>
      <c r="N473" s="227">
        <v>0</v>
      </c>
      <c r="O473" s="296">
        <f>CATEGORIAS[[#This Row],[PRODUCCION
PARTIDAS
ORIGINALES
ACTUAL]]+CATEGORIAS[[#This Row],[PRODUCCION
ADICIONALES
ACTUAL]]</f>
        <v>20034000</v>
      </c>
      <c r="P473" s="227">
        <v>20034000</v>
      </c>
      <c r="Q473" s="227">
        <v>0</v>
      </c>
      <c r="R473" s="297">
        <f>CATEGORIAS[[#This Row],[PRODUCCION
ANTERIOR]]+CATEGORIAS[[#This Row],[PRODUCCION
ADICIONALES
ANTERIOR]]</f>
        <v>20034000</v>
      </c>
      <c r="S473" s="133">
        <v>0</v>
      </c>
      <c r="T473" s="133">
        <v>546840</v>
      </c>
      <c r="U473" s="133">
        <v>228000</v>
      </c>
      <c r="V473" s="296">
        <f>SUM(CATEGORIAS[[#This Row],[COSTO
ACUMULADO  AX]:[PROVISIONES]])</f>
        <v>774840</v>
      </c>
      <c r="W473" s="298">
        <v>0</v>
      </c>
      <c r="X473" s="227">
        <v>318840</v>
      </c>
      <c r="Y473" s="227">
        <v>228000</v>
      </c>
      <c r="Z473" s="297">
        <f>SUM(CATEGORIAS[[#This Row],[COSTO ACUMULADO
ANTERIOR]:[PROVISIONES
ANTERIOR]])</f>
        <v>546840</v>
      </c>
      <c r="AA473" s="139">
        <f>CATEGORIAS[[#This Row],[PRESUPUESTO
FINAL
PROYECTADO]]-CATEGORIAS[[#This Row],[TOTAL PRODUCCION
ACTUAL]]</f>
        <v>6678000</v>
      </c>
      <c r="AB473" s="227">
        <v>1760680</v>
      </c>
      <c r="AC473" s="132"/>
      <c r="AD473" s="132">
        <v>24176480</v>
      </c>
      <c r="AE473" s="226">
        <f>SUM(CATEGORIAS[[#This Row],[INVENTARIO]:[PROYECCION
DE COSTO
DEL SALDO]])</f>
        <v>25937160</v>
      </c>
      <c r="AF473" s="132"/>
      <c r="AG473" s="132">
        <f>+CATEGORIAS[[#This Row],[PRESUPUESTO
FINAL
PROYECTADO]]-CATEGORIAS[[#This Row],[COSTO REAL]]-CATEGORIAS[[#This Row],[PROYECCION
TOTAL DE COSTO]]</f>
        <v>0</v>
      </c>
    </row>
    <row r="474" spans="1:33" x14ac:dyDescent="0.25">
      <c r="A474" s="274" t="str">
        <f>+IFERROR(VLOOKUP(CATEGORIAS[[#This Row],[CATEGORIA2]],[1]HOMOLOGACION!$A$1:$I$571,9,FALSE),0)</f>
        <v>0Q03</v>
      </c>
      <c r="B474" s="274" t="str">
        <f>+IFERROR(VLOOKUP(CATEGORIAS[[#This Row],[CATEGORIA2]],[1]HOMOLOGACION!$A$1:$C$571,3,FALSE),0)</f>
        <v>1H04</v>
      </c>
      <c r="C474" s="274" t="str">
        <f>+IFERROR(VLOOKUP(CATEGORIAS[[#This Row],[CATEGORIA2]],[1]HOMOLOGACION!$A$1:$D$571,4,FALSE),0)</f>
        <v xml:space="preserve">Energía Eléctrica </v>
      </c>
      <c r="D474" s="144" t="s">
        <v>2190</v>
      </c>
      <c r="E474" s="273" t="s">
        <v>1266</v>
      </c>
      <c r="F474" s="275" t="s">
        <v>361</v>
      </c>
      <c r="G474" s="313">
        <v>0</v>
      </c>
      <c r="H474" s="313">
        <v>0</v>
      </c>
      <c r="I474" s="130">
        <v>0</v>
      </c>
      <c r="J474" s="130"/>
      <c r="K474" s="130"/>
      <c r="L474" s="143">
        <f>CATEGORIAS[[#This Row],[ADICIONALES]]+CATEGORIAS[[#This Row],[POM]]</f>
        <v>0</v>
      </c>
      <c r="M474" s="131">
        <v>0</v>
      </c>
      <c r="N474" s="227">
        <v>0</v>
      </c>
      <c r="O474" s="296">
        <f>CATEGORIAS[[#This Row],[PRODUCCION
PARTIDAS
ORIGINALES
ACTUAL]]+CATEGORIAS[[#This Row],[PRODUCCION
ADICIONALES
ACTUAL]]</f>
        <v>0</v>
      </c>
      <c r="P474" s="227">
        <v>0</v>
      </c>
      <c r="Q474" s="132">
        <v>0</v>
      </c>
      <c r="R474" s="297">
        <f>CATEGORIAS[[#This Row],[PRODUCCION
ANTERIOR]]+CATEGORIAS[[#This Row],[PRODUCCION
ADICIONALES
ANTERIOR]]</f>
        <v>0</v>
      </c>
      <c r="S474" s="133">
        <v>0</v>
      </c>
      <c r="T474" s="133"/>
      <c r="U474" s="133"/>
      <c r="V474" s="296">
        <f>SUM(CATEGORIAS[[#This Row],[COSTO
ACUMULADO  AX]:[PROVISIONES]])</f>
        <v>0</v>
      </c>
      <c r="W474" s="298">
        <v>0</v>
      </c>
      <c r="X474" s="227"/>
      <c r="Y474" s="227"/>
      <c r="Z474" s="297">
        <f>SUM(CATEGORIAS[[#This Row],[COSTO ACUMULADO
ANTERIOR]:[PROVISIONES
ANTERIOR]])</f>
        <v>0</v>
      </c>
      <c r="AA474" s="139">
        <f>CATEGORIAS[[#This Row],[PRESUPUESTO
FINAL
PROYECTADO]]-CATEGORIAS[[#This Row],[TOTAL PRODUCCION
ACTUAL]]</f>
        <v>0</v>
      </c>
      <c r="AB474" s="227">
        <v>0</v>
      </c>
      <c r="AC474" s="132"/>
      <c r="AD474" s="132"/>
      <c r="AE474" s="226">
        <f>SUM(CATEGORIAS[[#This Row],[INVENTARIO]:[PROYECCION
DE COSTO
DEL SALDO]])</f>
        <v>0</v>
      </c>
      <c r="AF474" s="132"/>
      <c r="AG474" s="132">
        <f>+CATEGORIAS[[#This Row],[PRESUPUESTO
FINAL
PROYECTADO]]-CATEGORIAS[[#This Row],[COSTO REAL]]-CATEGORIAS[[#This Row],[PROYECCION
TOTAL DE COSTO]]</f>
        <v>0</v>
      </c>
    </row>
    <row r="475" spans="1:33" x14ac:dyDescent="0.25">
      <c r="A475" s="274" t="str">
        <f>+IFERROR(VLOOKUP(CATEGORIAS[[#This Row],[CATEGORIA2]],[1]HOMOLOGACION!$A$1:$I$571,9,FALSE),0)</f>
        <v>0Q03</v>
      </c>
      <c r="B475" s="274" t="str">
        <f>+IFERROR(VLOOKUP(CATEGORIAS[[#This Row],[CATEGORIA2]],[1]HOMOLOGACION!$A$1:$C$571,3,FALSE),0)</f>
        <v>1H03</v>
      </c>
      <c r="C475" s="274" t="str">
        <f>+IFERROR(VLOOKUP(CATEGORIAS[[#This Row],[CATEGORIA2]],[1]HOMOLOGACION!$A$1:$D$571,4,FALSE),0)</f>
        <v xml:space="preserve">Materiales </v>
      </c>
      <c r="D475" s="144" t="s">
        <v>2191</v>
      </c>
      <c r="E475" s="273" t="s">
        <v>1268</v>
      </c>
      <c r="F475" s="275" t="s">
        <v>364</v>
      </c>
      <c r="G475" s="313">
        <v>7500000.0000000009</v>
      </c>
      <c r="H475" s="313">
        <v>7500000.0000000009</v>
      </c>
      <c r="I475" s="130">
        <v>0</v>
      </c>
      <c r="J475" s="130"/>
      <c r="K475" s="130"/>
      <c r="L475" s="143">
        <f>CATEGORIAS[[#This Row],[ADICIONALES]]+CATEGORIAS[[#This Row],[POM]]</f>
        <v>7500000.0000000009</v>
      </c>
      <c r="M475" s="131">
        <v>3502737.4519866821</v>
      </c>
      <c r="N475" s="227">
        <v>0</v>
      </c>
      <c r="O475" s="296">
        <f>CATEGORIAS[[#This Row],[PRODUCCION
PARTIDAS
ORIGINALES
ACTUAL]]+CATEGORIAS[[#This Row],[PRODUCCION
ADICIONALES
ACTUAL]]</f>
        <v>3502737.4519866821</v>
      </c>
      <c r="P475" s="227">
        <v>1865741.6982711824</v>
      </c>
      <c r="Q475" s="227">
        <v>0</v>
      </c>
      <c r="R475" s="297">
        <f>CATEGORIAS[[#This Row],[PRODUCCION
ANTERIOR]]+CATEGORIAS[[#This Row],[PRODUCCION
ADICIONALES
ANTERIOR]]</f>
        <v>1865741.6982711824</v>
      </c>
      <c r="S475" s="133">
        <v>3662598</v>
      </c>
      <c r="T475" s="133"/>
      <c r="U475" s="133"/>
      <c r="V475" s="296">
        <f>SUM(CATEGORIAS[[#This Row],[COSTO
ACUMULADO  AX]:[PROVISIONES]])</f>
        <v>3662598</v>
      </c>
      <c r="W475" s="298">
        <v>3313448</v>
      </c>
      <c r="X475" s="227"/>
      <c r="Y475" s="227"/>
      <c r="Z475" s="297">
        <f>SUM(CATEGORIAS[[#This Row],[COSTO ACUMULADO
ANTERIOR]:[PROVISIONES
ANTERIOR]])</f>
        <v>3313448</v>
      </c>
      <c r="AA475" s="139">
        <f>CATEGORIAS[[#This Row],[PRESUPUESTO
FINAL
PROYECTADO]]-CATEGORIAS[[#This Row],[TOTAL PRODUCCION
ACTUAL]]</f>
        <v>3997262.5480133188</v>
      </c>
      <c r="AB475" s="227">
        <v>467250</v>
      </c>
      <c r="AC475" s="132"/>
      <c r="AD475" s="132">
        <v>3370152.0000000009</v>
      </c>
      <c r="AE475" s="226">
        <f>SUM(CATEGORIAS[[#This Row],[INVENTARIO]:[PROYECCION
DE COSTO
DEL SALDO]])</f>
        <v>3837402.0000000009</v>
      </c>
      <c r="AF475" s="132"/>
      <c r="AG475" s="132">
        <f>+CATEGORIAS[[#This Row],[PRESUPUESTO
FINAL
PROYECTADO]]-CATEGORIAS[[#This Row],[COSTO REAL]]-CATEGORIAS[[#This Row],[PROYECCION
TOTAL DE COSTO]]</f>
        <v>0</v>
      </c>
    </row>
    <row r="476" spans="1:33" x14ac:dyDescent="0.25">
      <c r="A476" s="274" t="str">
        <f>+IFERROR(VLOOKUP(CATEGORIAS[[#This Row],[CATEGORIA2]],[1]HOMOLOGACION!$A$1:$I$571,9,FALSE),0)</f>
        <v>0Q03</v>
      </c>
      <c r="B476" s="274" t="str">
        <f>+IFERROR(VLOOKUP(CATEGORIAS[[#This Row],[CATEGORIA2]],[1]HOMOLOGACION!$A$1:$C$571,3,FALSE),0)</f>
        <v>1H03</v>
      </c>
      <c r="C476" s="274" t="str">
        <f>+IFERROR(VLOOKUP(CATEGORIAS[[#This Row],[CATEGORIA2]],[1]HOMOLOGACION!$A$1:$D$571,4,FALSE),0)</f>
        <v xml:space="preserve">Materiales </v>
      </c>
      <c r="D476" s="144" t="s">
        <v>2192</v>
      </c>
      <c r="E476" s="273" t="s">
        <v>1270</v>
      </c>
      <c r="F476" s="275" t="s">
        <v>361</v>
      </c>
      <c r="G476" s="313">
        <v>0</v>
      </c>
      <c r="H476" s="313">
        <v>0</v>
      </c>
      <c r="I476" s="130">
        <v>0</v>
      </c>
      <c r="J476" s="130"/>
      <c r="K476" s="130"/>
      <c r="L476" s="143">
        <f>CATEGORIAS[[#This Row],[ADICIONALES]]+CATEGORIAS[[#This Row],[POM]]</f>
        <v>0</v>
      </c>
      <c r="M476" s="131">
        <v>0</v>
      </c>
      <c r="N476" s="227">
        <v>0</v>
      </c>
      <c r="O476" s="296">
        <f>CATEGORIAS[[#This Row],[PRODUCCION
PARTIDAS
ORIGINALES
ACTUAL]]+CATEGORIAS[[#This Row],[PRODUCCION
ADICIONALES
ACTUAL]]</f>
        <v>0</v>
      </c>
      <c r="P476" s="227">
        <v>0</v>
      </c>
      <c r="Q476" s="227">
        <v>0</v>
      </c>
      <c r="R476" s="297">
        <f>CATEGORIAS[[#This Row],[PRODUCCION
ANTERIOR]]+CATEGORIAS[[#This Row],[PRODUCCION
ADICIONALES
ANTERIOR]]</f>
        <v>0</v>
      </c>
      <c r="S476" s="133">
        <v>0</v>
      </c>
      <c r="T476" s="133"/>
      <c r="U476" s="133"/>
      <c r="V476" s="296">
        <f>SUM(CATEGORIAS[[#This Row],[COSTO
ACUMULADO  AX]:[PROVISIONES]])</f>
        <v>0</v>
      </c>
      <c r="W476" s="298">
        <v>0</v>
      </c>
      <c r="X476" s="227"/>
      <c r="Y476" s="227"/>
      <c r="Z476" s="297">
        <f>SUM(CATEGORIAS[[#This Row],[COSTO ACUMULADO
ANTERIOR]:[PROVISIONES
ANTERIOR]])</f>
        <v>0</v>
      </c>
      <c r="AA476" s="139">
        <f>CATEGORIAS[[#This Row],[PRESUPUESTO
FINAL
PROYECTADO]]-CATEGORIAS[[#This Row],[TOTAL PRODUCCION
ACTUAL]]</f>
        <v>0</v>
      </c>
      <c r="AB476" s="227">
        <v>0</v>
      </c>
      <c r="AC476" s="132"/>
      <c r="AD476" s="132"/>
      <c r="AE476" s="226">
        <f>SUM(CATEGORIAS[[#This Row],[INVENTARIO]:[PROYECCION
DE COSTO
DEL SALDO]])</f>
        <v>0</v>
      </c>
      <c r="AF476" s="132"/>
      <c r="AG476" s="132">
        <f>+CATEGORIAS[[#This Row],[PRESUPUESTO
FINAL
PROYECTADO]]-CATEGORIAS[[#This Row],[COSTO REAL]]-CATEGORIAS[[#This Row],[PROYECCION
TOTAL DE COSTO]]</f>
        <v>0</v>
      </c>
    </row>
    <row r="477" spans="1:33" x14ac:dyDescent="0.25">
      <c r="A477" s="274" t="str">
        <f>+IFERROR(VLOOKUP(CATEGORIAS[[#This Row],[CATEGORIA2]],[1]HOMOLOGACION!$A$1:$I$571,9,FALSE),0)</f>
        <v>0Q03</v>
      </c>
      <c r="B477" s="274" t="str">
        <f>+IFERROR(VLOOKUP(CATEGORIAS[[#This Row],[CATEGORIA2]],[1]HOMOLOGACION!$A$1:$C$571,3,FALSE),0)</f>
        <v>1H08</v>
      </c>
      <c r="C477" s="274" t="str">
        <f>+IFERROR(VLOOKUP(CATEGORIAS[[#This Row],[CATEGORIA2]],[1]HOMOLOGACION!$A$1:$D$571,4,FALSE),0)</f>
        <v xml:space="preserve">Fletes </v>
      </c>
      <c r="D477" s="144" t="s">
        <v>2193</v>
      </c>
      <c r="E477" s="273" t="s">
        <v>1272</v>
      </c>
      <c r="F477" s="275" t="s">
        <v>364</v>
      </c>
      <c r="G477" s="313">
        <v>16315638.578070559</v>
      </c>
      <c r="H477" s="313">
        <v>16315638.578070559</v>
      </c>
      <c r="I477" s="130">
        <v>0</v>
      </c>
      <c r="J477" s="130"/>
      <c r="K477" s="130"/>
      <c r="L477" s="143">
        <f>CATEGORIAS[[#This Row],[ADICIONALES]]+CATEGORIAS[[#This Row],[POM]]</f>
        <v>16315638.578070559</v>
      </c>
      <c r="M477" s="131">
        <v>12236728.933552915</v>
      </c>
      <c r="N477" s="227">
        <v>0</v>
      </c>
      <c r="O477" s="296">
        <f>CATEGORIAS[[#This Row],[PRODUCCION
PARTIDAS
ORIGINALES
ACTUAL]]+CATEGORIAS[[#This Row],[PRODUCCION
ADICIONALES
ACTUAL]]</f>
        <v>12236728.933552915</v>
      </c>
      <c r="P477" s="227">
        <v>12236728.933552915</v>
      </c>
      <c r="Q477" s="227">
        <v>0</v>
      </c>
      <c r="R477" s="297">
        <f>CATEGORIAS[[#This Row],[PRODUCCION
ANTERIOR]]+CATEGORIAS[[#This Row],[PRODUCCION
ADICIONALES
ANTERIOR]]</f>
        <v>12236728.933552915</v>
      </c>
      <c r="S477" s="133">
        <v>0</v>
      </c>
      <c r="T477" s="133"/>
      <c r="U477" s="133"/>
      <c r="V477" s="296">
        <f>SUM(CATEGORIAS[[#This Row],[COSTO
ACUMULADO  AX]:[PROVISIONES]])</f>
        <v>0</v>
      </c>
      <c r="W477" s="298">
        <v>0</v>
      </c>
      <c r="X477" s="227"/>
      <c r="Y477" s="227"/>
      <c r="Z477" s="297">
        <f>SUM(CATEGORIAS[[#This Row],[COSTO ACUMULADO
ANTERIOR]:[PROVISIONES
ANTERIOR]])</f>
        <v>0</v>
      </c>
      <c r="AA477" s="139">
        <f>CATEGORIAS[[#This Row],[PRESUPUESTO
FINAL
PROYECTADO]]-CATEGORIAS[[#This Row],[TOTAL PRODUCCION
ACTUAL]]</f>
        <v>4078909.6445176434</v>
      </c>
      <c r="AB477" s="227">
        <v>0</v>
      </c>
      <c r="AC477" s="132"/>
      <c r="AD477" s="132">
        <v>16315638.578070559</v>
      </c>
      <c r="AE477" s="226">
        <f>SUM(CATEGORIAS[[#This Row],[INVENTARIO]:[PROYECCION
DE COSTO
DEL SALDO]])</f>
        <v>16315638.578070559</v>
      </c>
      <c r="AF477" s="132"/>
      <c r="AG477" s="132">
        <f>+CATEGORIAS[[#This Row],[PRESUPUESTO
FINAL
PROYECTADO]]-CATEGORIAS[[#This Row],[COSTO REAL]]-CATEGORIAS[[#This Row],[PROYECCION
TOTAL DE COSTO]]</f>
        <v>0</v>
      </c>
    </row>
    <row r="478" spans="1:33" x14ac:dyDescent="0.25">
      <c r="A478" s="274" t="str">
        <f>+IFERROR(VLOOKUP(CATEGORIAS[[#This Row],[CATEGORIA2]],[1]HOMOLOGACION!$A$1:$I$571,9,FALSE),0)</f>
        <v>0Q03</v>
      </c>
      <c r="B478" s="274" t="str">
        <f>+IFERROR(VLOOKUP(CATEGORIAS[[#This Row],[CATEGORIA2]],[1]HOMOLOGACION!$A$1:$C$571,3,FALSE),0)</f>
        <v>1H08</v>
      </c>
      <c r="C478" s="274" t="str">
        <f>+IFERROR(VLOOKUP(CATEGORIAS[[#This Row],[CATEGORIA2]],[1]HOMOLOGACION!$A$1:$D$571,4,FALSE),0)</f>
        <v xml:space="preserve">Fletes </v>
      </c>
      <c r="D478" s="144" t="s">
        <v>2194</v>
      </c>
      <c r="E478" s="273" t="s">
        <v>1274</v>
      </c>
      <c r="F478" s="275" t="s">
        <v>361</v>
      </c>
      <c r="G478" s="313">
        <v>0</v>
      </c>
      <c r="H478" s="313">
        <v>0</v>
      </c>
      <c r="I478" s="130">
        <v>0</v>
      </c>
      <c r="J478" s="130"/>
      <c r="K478" s="130"/>
      <c r="L478" s="143">
        <f>CATEGORIAS[[#This Row],[ADICIONALES]]+CATEGORIAS[[#This Row],[POM]]</f>
        <v>0</v>
      </c>
      <c r="M478" s="131">
        <v>0</v>
      </c>
      <c r="N478" s="227">
        <v>0</v>
      </c>
      <c r="O478" s="296">
        <f>CATEGORIAS[[#This Row],[PRODUCCION
PARTIDAS
ORIGINALES
ACTUAL]]+CATEGORIAS[[#This Row],[PRODUCCION
ADICIONALES
ACTUAL]]</f>
        <v>0</v>
      </c>
      <c r="P478" s="227">
        <v>0</v>
      </c>
      <c r="Q478" s="132">
        <v>0</v>
      </c>
      <c r="R478" s="297">
        <f>CATEGORIAS[[#This Row],[PRODUCCION
ANTERIOR]]+CATEGORIAS[[#This Row],[PRODUCCION
ADICIONALES
ANTERIOR]]</f>
        <v>0</v>
      </c>
      <c r="S478" s="133">
        <v>0</v>
      </c>
      <c r="T478" s="133"/>
      <c r="U478" s="133"/>
      <c r="V478" s="296">
        <f>SUM(CATEGORIAS[[#This Row],[COSTO
ACUMULADO  AX]:[PROVISIONES]])</f>
        <v>0</v>
      </c>
      <c r="W478" s="298">
        <v>0</v>
      </c>
      <c r="X478" s="227"/>
      <c r="Y478" s="227"/>
      <c r="Z478" s="297">
        <f>SUM(CATEGORIAS[[#This Row],[COSTO ACUMULADO
ANTERIOR]:[PROVISIONES
ANTERIOR]])</f>
        <v>0</v>
      </c>
      <c r="AA478" s="139">
        <f>CATEGORIAS[[#This Row],[PRESUPUESTO
FINAL
PROYECTADO]]-CATEGORIAS[[#This Row],[TOTAL PRODUCCION
ACTUAL]]</f>
        <v>0</v>
      </c>
      <c r="AB478" s="227">
        <v>0</v>
      </c>
      <c r="AC478" s="132"/>
      <c r="AD478" s="132"/>
      <c r="AE478" s="226">
        <f>SUM(CATEGORIAS[[#This Row],[INVENTARIO]:[PROYECCION
DE COSTO
DEL SALDO]])</f>
        <v>0</v>
      </c>
      <c r="AF478" s="132"/>
      <c r="AG478" s="132">
        <f>+CATEGORIAS[[#This Row],[PRESUPUESTO
FINAL
PROYECTADO]]-CATEGORIAS[[#This Row],[COSTO REAL]]-CATEGORIAS[[#This Row],[PROYECCION
TOTAL DE COSTO]]</f>
        <v>0</v>
      </c>
    </row>
    <row r="479" spans="1:33" x14ac:dyDescent="0.25">
      <c r="A479" s="274" t="str">
        <f>+IFERROR(VLOOKUP(CATEGORIAS[[#This Row],[CATEGORIA2]],[1]HOMOLOGACION!$A$1:$I$571,9,FALSE),0)</f>
        <v>0Q03</v>
      </c>
      <c r="B479" s="274" t="str">
        <f>+IFERROR(VLOOKUP(CATEGORIAS[[#This Row],[CATEGORIA2]],[1]HOMOLOGACION!$A$1:$C$571,3,FALSE),0)</f>
        <v>1H09</v>
      </c>
      <c r="C479" s="274" t="str">
        <f>+IFERROR(VLOOKUP(CATEGORIAS[[#This Row],[CATEGORIA2]],[1]HOMOLOGACION!$A$1:$D$571,4,FALSE),0)</f>
        <v xml:space="preserve">Combustibles </v>
      </c>
      <c r="D479" s="144" t="s">
        <v>2195</v>
      </c>
      <c r="E479" s="273" t="s">
        <v>1276</v>
      </c>
      <c r="F479" s="275" t="s">
        <v>361</v>
      </c>
      <c r="G479" s="313">
        <v>0</v>
      </c>
      <c r="H479" s="313">
        <v>0</v>
      </c>
      <c r="I479" s="130">
        <v>0</v>
      </c>
      <c r="J479" s="130"/>
      <c r="K479" s="130"/>
      <c r="L479" s="143">
        <f>CATEGORIAS[[#This Row],[ADICIONALES]]+CATEGORIAS[[#This Row],[POM]]</f>
        <v>0</v>
      </c>
      <c r="M479" s="131">
        <v>0</v>
      </c>
      <c r="N479" s="227">
        <v>0</v>
      </c>
      <c r="O479" s="296">
        <f>CATEGORIAS[[#This Row],[PRODUCCION
PARTIDAS
ORIGINALES
ACTUAL]]+CATEGORIAS[[#This Row],[PRODUCCION
ADICIONALES
ACTUAL]]</f>
        <v>0</v>
      </c>
      <c r="P479" s="227">
        <v>0</v>
      </c>
      <c r="Q479" s="227">
        <v>0</v>
      </c>
      <c r="R479" s="297">
        <f>CATEGORIAS[[#This Row],[PRODUCCION
ANTERIOR]]+CATEGORIAS[[#This Row],[PRODUCCION
ADICIONALES
ANTERIOR]]</f>
        <v>0</v>
      </c>
      <c r="S479" s="133">
        <v>0</v>
      </c>
      <c r="T479" s="133"/>
      <c r="U479" s="133"/>
      <c r="V479" s="296">
        <f>SUM(CATEGORIAS[[#This Row],[COSTO
ACUMULADO  AX]:[PROVISIONES]])</f>
        <v>0</v>
      </c>
      <c r="W479" s="298">
        <v>0</v>
      </c>
      <c r="X479" s="227"/>
      <c r="Y479" s="227"/>
      <c r="Z479" s="297">
        <f>SUM(CATEGORIAS[[#This Row],[COSTO ACUMULADO
ANTERIOR]:[PROVISIONES
ANTERIOR]])</f>
        <v>0</v>
      </c>
      <c r="AA479" s="139">
        <f>CATEGORIAS[[#This Row],[PRESUPUESTO
FINAL
PROYECTADO]]-CATEGORIAS[[#This Row],[TOTAL PRODUCCION
ACTUAL]]</f>
        <v>0</v>
      </c>
      <c r="AB479" s="227">
        <v>0</v>
      </c>
      <c r="AC479" s="132"/>
      <c r="AD479" s="132"/>
      <c r="AE479" s="226">
        <f>SUM(CATEGORIAS[[#This Row],[INVENTARIO]:[PROYECCION
DE COSTO
DEL SALDO]])</f>
        <v>0</v>
      </c>
      <c r="AF479" s="132"/>
      <c r="AG479" s="132">
        <f>+CATEGORIAS[[#This Row],[PRESUPUESTO
FINAL
PROYECTADO]]-CATEGORIAS[[#This Row],[COSTO REAL]]-CATEGORIAS[[#This Row],[PROYECCION
TOTAL DE COSTO]]</f>
        <v>0</v>
      </c>
    </row>
    <row r="480" spans="1:33" x14ac:dyDescent="0.25">
      <c r="A480" s="274" t="str">
        <f>+IFERROR(VLOOKUP(CATEGORIAS[[#This Row],[CATEGORIA2]],[1]HOMOLOGACION!$A$1:$I$571,9,FALSE),0)</f>
        <v>0Q03</v>
      </c>
      <c r="B480" s="274" t="str">
        <f>+IFERROR(VLOOKUP(CATEGORIAS[[#This Row],[CATEGORIA2]],[1]HOMOLOGACION!$A$1:$C$571,3,FALSE),0)</f>
        <v>1H09</v>
      </c>
      <c r="C480" s="274" t="str">
        <f>+IFERROR(VLOOKUP(CATEGORIAS[[#This Row],[CATEGORIA2]],[1]HOMOLOGACION!$A$1:$D$571,4,FALSE),0)</f>
        <v xml:space="preserve">Combustibles </v>
      </c>
      <c r="D480" s="144" t="s">
        <v>2196</v>
      </c>
      <c r="E480" s="273" t="s">
        <v>1278</v>
      </c>
      <c r="F480" s="275" t="s">
        <v>361</v>
      </c>
      <c r="G480" s="313">
        <v>0</v>
      </c>
      <c r="H480" s="313">
        <v>0</v>
      </c>
      <c r="I480" s="130">
        <v>0</v>
      </c>
      <c r="J480" s="130"/>
      <c r="K480" s="130"/>
      <c r="L480" s="143">
        <f>CATEGORIAS[[#This Row],[ADICIONALES]]+CATEGORIAS[[#This Row],[POM]]</f>
        <v>0</v>
      </c>
      <c r="M480" s="131">
        <v>0</v>
      </c>
      <c r="N480" s="227">
        <v>0</v>
      </c>
      <c r="O480" s="296">
        <f>CATEGORIAS[[#This Row],[PRODUCCION
PARTIDAS
ORIGINALES
ACTUAL]]+CATEGORIAS[[#This Row],[PRODUCCION
ADICIONALES
ACTUAL]]</f>
        <v>0</v>
      </c>
      <c r="P480" s="227">
        <v>0</v>
      </c>
      <c r="Q480" s="132">
        <v>0</v>
      </c>
      <c r="R480" s="297">
        <f>CATEGORIAS[[#This Row],[PRODUCCION
ANTERIOR]]+CATEGORIAS[[#This Row],[PRODUCCION
ADICIONALES
ANTERIOR]]</f>
        <v>0</v>
      </c>
      <c r="S480" s="133">
        <v>0</v>
      </c>
      <c r="T480" s="133"/>
      <c r="U480" s="133"/>
      <c r="V480" s="296">
        <f>SUM(CATEGORIAS[[#This Row],[COSTO
ACUMULADO  AX]:[PROVISIONES]])</f>
        <v>0</v>
      </c>
      <c r="W480" s="298">
        <v>0</v>
      </c>
      <c r="X480" s="227"/>
      <c r="Y480" s="227"/>
      <c r="Z480" s="297">
        <f>SUM(CATEGORIAS[[#This Row],[COSTO ACUMULADO
ANTERIOR]:[PROVISIONES
ANTERIOR]])</f>
        <v>0</v>
      </c>
      <c r="AA480" s="139">
        <f>CATEGORIAS[[#This Row],[PRESUPUESTO
FINAL
PROYECTADO]]-CATEGORIAS[[#This Row],[TOTAL PRODUCCION
ACTUAL]]</f>
        <v>0</v>
      </c>
      <c r="AB480" s="227">
        <v>0</v>
      </c>
      <c r="AC480" s="132"/>
      <c r="AD480" s="132"/>
      <c r="AE480" s="226">
        <f>SUM(CATEGORIAS[[#This Row],[INVENTARIO]:[PROYECCION
DE COSTO
DEL SALDO]])</f>
        <v>0</v>
      </c>
      <c r="AF480" s="132"/>
      <c r="AG480" s="132">
        <f>+CATEGORIAS[[#This Row],[PRESUPUESTO
FINAL
PROYECTADO]]-CATEGORIAS[[#This Row],[COSTO REAL]]-CATEGORIAS[[#This Row],[PROYECCION
TOTAL DE COSTO]]</f>
        <v>0</v>
      </c>
    </row>
    <row r="481" spans="1:33" x14ac:dyDescent="0.25">
      <c r="A481" s="274" t="str">
        <f>+IFERROR(VLOOKUP(CATEGORIAS[[#This Row],[CATEGORIA2]],[1]HOMOLOGACION!$A$1:$I$571,9,FALSE),0)</f>
        <v>0Q03</v>
      </c>
      <c r="B481" s="274" t="str">
        <f>+IFERROR(VLOOKUP(CATEGORIAS[[#This Row],[CATEGORIA2]],[1]HOMOLOGACION!$A$1:$C$571,3,FALSE),0)</f>
        <v>1H09</v>
      </c>
      <c r="C481" s="274" t="str">
        <f>+IFERROR(VLOOKUP(CATEGORIAS[[#This Row],[CATEGORIA2]],[1]HOMOLOGACION!$A$1:$D$571,4,FALSE),0)</f>
        <v xml:space="preserve">Combustibles </v>
      </c>
      <c r="D481" s="144" t="s">
        <v>2197</v>
      </c>
      <c r="E481" s="273" t="s">
        <v>1280</v>
      </c>
      <c r="F481" s="275" t="s">
        <v>361</v>
      </c>
      <c r="G481" s="313">
        <v>0</v>
      </c>
      <c r="H481" s="313">
        <v>0</v>
      </c>
      <c r="I481" s="130">
        <v>0</v>
      </c>
      <c r="J481" s="130"/>
      <c r="K481" s="130"/>
      <c r="L481" s="143">
        <f>CATEGORIAS[[#This Row],[ADICIONALES]]+CATEGORIAS[[#This Row],[POM]]</f>
        <v>0</v>
      </c>
      <c r="M481" s="131">
        <v>0</v>
      </c>
      <c r="N481" s="227">
        <v>0</v>
      </c>
      <c r="O481" s="296">
        <f>CATEGORIAS[[#This Row],[PRODUCCION
PARTIDAS
ORIGINALES
ACTUAL]]+CATEGORIAS[[#This Row],[PRODUCCION
ADICIONALES
ACTUAL]]</f>
        <v>0</v>
      </c>
      <c r="P481" s="227">
        <v>0</v>
      </c>
      <c r="Q481" s="227">
        <v>0</v>
      </c>
      <c r="R481" s="297">
        <f>CATEGORIAS[[#This Row],[PRODUCCION
ANTERIOR]]+CATEGORIAS[[#This Row],[PRODUCCION
ADICIONALES
ANTERIOR]]</f>
        <v>0</v>
      </c>
      <c r="S481" s="133">
        <v>0</v>
      </c>
      <c r="T481" s="133"/>
      <c r="U481" s="133"/>
      <c r="V481" s="296">
        <f>SUM(CATEGORIAS[[#This Row],[COSTO
ACUMULADO  AX]:[PROVISIONES]])</f>
        <v>0</v>
      </c>
      <c r="W481" s="298">
        <v>0</v>
      </c>
      <c r="X481" s="227"/>
      <c r="Y481" s="227"/>
      <c r="Z481" s="297">
        <f>SUM(CATEGORIAS[[#This Row],[COSTO ACUMULADO
ANTERIOR]:[PROVISIONES
ANTERIOR]])</f>
        <v>0</v>
      </c>
      <c r="AA481" s="139">
        <f>CATEGORIAS[[#This Row],[PRESUPUESTO
FINAL
PROYECTADO]]-CATEGORIAS[[#This Row],[TOTAL PRODUCCION
ACTUAL]]</f>
        <v>0</v>
      </c>
      <c r="AB481" s="227">
        <v>0</v>
      </c>
      <c r="AC481" s="132"/>
      <c r="AD481" s="132"/>
      <c r="AE481" s="226">
        <f>SUM(CATEGORIAS[[#This Row],[INVENTARIO]:[PROYECCION
DE COSTO
DEL SALDO]])</f>
        <v>0</v>
      </c>
      <c r="AF481" s="132"/>
      <c r="AG481" s="132">
        <f>+CATEGORIAS[[#This Row],[PRESUPUESTO
FINAL
PROYECTADO]]-CATEGORIAS[[#This Row],[COSTO REAL]]-CATEGORIAS[[#This Row],[PROYECCION
TOTAL DE COSTO]]</f>
        <v>0</v>
      </c>
    </row>
    <row r="482" spans="1:33" x14ac:dyDescent="0.25">
      <c r="A482" s="274" t="str">
        <f>+IFERROR(VLOOKUP(CATEGORIAS[[#This Row],[CATEGORIA2]],[1]HOMOLOGACION!$A$1:$I$571,9,FALSE),0)</f>
        <v>0Q03</v>
      </c>
      <c r="B482" s="274" t="str">
        <f>+IFERROR(VLOOKUP(CATEGORIAS[[#This Row],[CATEGORIA2]],[1]HOMOLOGACION!$A$1:$C$571,3,FALSE),0)</f>
        <v>1H09</v>
      </c>
      <c r="C482" s="274" t="str">
        <f>+IFERROR(VLOOKUP(CATEGORIAS[[#This Row],[CATEGORIA2]],[1]HOMOLOGACION!$A$1:$D$571,4,FALSE),0)</f>
        <v xml:space="preserve">Combustibles </v>
      </c>
      <c r="D482" s="144" t="s">
        <v>2198</v>
      </c>
      <c r="E482" s="273" t="s">
        <v>1282</v>
      </c>
      <c r="F482" s="275" t="s">
        <v>361</v>
      </c>
      <c r="G482" s="313">
        <v>0</v>
      </c>
      <c r="H482" s="313">
        <v>0</v>
      </c>
      <c r="I482" s="130">
        <v>0</v>
      </c>
      <c r="J482" s="130"/>
      <c r="K482" s="130"/>
      <c r="L482" s="143">
        <f>CATEGORIAS[[#This Row],[ADICIONALES]]+CATEGORIAS[[#This Row],[POM]]</f>
        <v>0</v>
      </c>
      <c r="M482" s="131">
        <v>0</v>
      </c>
      <c r="N482" s="227">
        <v>0</v>
      </c>
      <c r="O482" s="296">
        <f>CATEGORIAS[[#This Row],[PRODUCCION
PARTIDAS
ORIGINALES
ACTUAL]]+CATEGORIAS[[#This Row],[PRODUCCION
ADICIONALES
ACTUAL]]</f>
        <v>0</v>
      </c>
      <c r="P482" s="227">
        <v>0</v>
      </c>
      <c r="Q482" s="132">
        <v>0</v>
      </c>
      <c r="R482" s="297">
        <f>CATEGORIAS[[#This Row],[PRODUCCION
ANTERIOR]]+CATEGORIAS[[#This Row],[PRODUCCION
ADICIONALES
ANTERIOR]]</f>
        <v>0</v>
      </c>
      <c r="S482" s="133">
        <v>0</v>
      </c>
      <c r="T482" s="133"/>
      <c r="U482" s="133"/>
      <c r="V482" s="296">
        <f>SUM(CATEGORIAS[[#This Row],[COSTO
ACUMULADO  AX]:[PROVISIONES]])</f>
        <v>0</v>
      </c>
      <c r="W482" s="298">
        <v>0</v>
      </c>
      <c r="X482" s="227"/>
      <c r="Y482" s="227"/>
      <c r="Z482" s="297">
        <f>SUM(CATEGORIAS[[#This Row],[COSTO ACUMULADO
ANTERIOR]:[PROVISIONES
ANTERIOR]])</f>
        <v>0</v>
      </c>
      <c r="AA482" s="139">
        <f>CATEGORIAS[[#This Row],[PRESUPUESTO
FINAL
PROYECTADO]]-CATEGORIAS[[#This Row],[TOTAL PRODUCCION
ACTUAL]]</f>
        <v>0</v>
      </c>
      <c r="AB482" s="227">
        <v>0</v>
      </c>
      <c r="AC482" s="132"/>
      <c r="AD482" s="132"/>
      <c r="AE482" s="226">
        <f>SUM(CATEGORIAS[[#This Row],[INVENTARIO]:[PROYECCION
DE COSTO
DEL SALDO]])</f>
        <v>0</v>
      </c>
      <c r="AF482" s="132"/>
      <c r="AG482" s="132">
        <f>+CATEGORIAS[[#This Row],[PRESUPUESTO
FINAL
PROYECTADO]]-CATEGORIAS[[#This Row],[COSTO REAL]]-CATEGORIAS[[#This Row],[PROYECCION
TOTAL DE COSTO]]</f>
        <v>0</v>
      </c>
    </row>
    <row r="483" spans="1:33" x14ac:dyDescent="0.25">
      <c r="A483" s="274">
        <f>+IFERROR(VLOOKUP(CATEGORIAS[[#This Row],[CATEGORIA2]],[1]HOMOLOGACION!$A$1:$I$571,9,FALSE),0)</f>
        <v>0</v>
      </c>
      <c r="B483" s="274">
        <f>+IFERROR(VLOOKUP(CATEGORIAS[[#This Row],[CATEGORIA2]],[1]HOMOLOGACION!$A$1:$C$571,3,FALSE),0)</f>
        <v>0</v>
      </c>
      <c r="C483" s="274">
        <f>+IFERROR(VLOOKUP(CATEGORIAS[[#This Row],[CATEGORIA2]],[1]HOMOLOGACION!$A$1:$D$571,4,FALSE),0)</f>
        <v>0</v>
      </c>
      <c r="D483" s="144" t="s">
        <v>2338</v>
      </c>
      <c r="E483" s="273" t="s">
        <v>2339</v>
      </c>
      <c r="F483" s="275" t="s">
        <v>361</v>
      </c>
      <c r="G483" s="313">
        <v>0</v>
      </c>
      <c r="H483" s="313">
        <v>0</v>
      </c>
      <c r="I483" s="130">
        <v>0</v>
      </c>
      <c r="J483" s="130"/>
      <c r="K483" s="130"/>
      <c r="L483" s="143">
        <f>CATEGORIAS[[#This Row],[ADICIONALES]]+CATEGORIAS[[#This Row],[POM]]</f>
        <v>0</v>
      </c>
      <c r="M483" s="131">
        <v>0</v>
      </c>
      <c r="N483" s="227">
        <v>0</v>
      </c>
      <c r="O483" s="296">
        <f>CATEGORIAS[[#This Row],[PRODUCCION
PARTIDAS
ORIGINALES
ACTUAL]]+CATEGORIAS[[#This Row],[PRODUCCION
ADICIONALES
ACTUAL]]</f>
        <v>0</v>
      </c>
      <c r="P483" s="227">
        <v>0</v>
      </c>
      <c r="Q483" s="227">
        <v>0</v>
      </c>
      <c r="R483" s="297">
        <f>CATEGORIAS[[#This Row],[PRODUCCION
ANTERIOR]]+CATEGORIAS[[#This Row],[PRODUCCION
ADICIONALES
ANTERIOR]]</f>
        <v>0</v>
      </c>
      <c r="S483" s="133">
        <v>0</v>
      </c>
      <c r="T483" s="133"/>
      <c r="U483" s="133"/>
      <c r="V483" s="296">
        <f>SUM(CATEGORIAS[[#This Row],[COSTO
ACUMULADO  AX]:[PROVISIONES]])</f>
        <v>0</v>
      </c>
      <c r="W483" s="298">
        <v>0</v>
      </c>
      <c r="X483" s="227"/>
      <c r="Y483" s="227"/>
      <c r="Z483" s="297">
        <f>SUM(CATEGORIAS[[#This Row],[COSTO ACUMULADO
ANTERIOR]:[PROVISIONES
ANTERIOR]])</f>
        <v>0</v>
      </c>
      <c r="AA483" s="139">
        <f>CATEGORIAS[[#This Row],[PRESUPUESTO
FINAL
PROYECTADO]]-CATEGORIAS[[#This Row],[TOTAL PRODUCCION
ACTUAL]]</f>
        <v>0</v>
      </c>
      <c r="AB483" s="227">
        <v>0</v>
      </c>
      <c r="AC483" s="132"/>
      <c r="AD483" s="132"/>
      <c r="AE483" s="226">
        <f>SUM(CATEGORIAS[[#This Row],[INVENTARIO]:[PROYECCION
DE COSTO
DEL SALDO]])</f>
        <v>0</v>
      </c>
      <c r="AF483" s="132"/>
      <c r="AG483" s="132">
        <f>+CATEGORIAS[[#This Row],[PRESUPUESTO
FINAL
PROYECTADO]]-CATEGORIAS[[#This Row],[COSTO REAL]]-CATEGORIAS[[#This Row],[PROYECCION
TOTAL DE COSTO]]</f>
        <v>0</v>
      </c>
    </row>
    <row r="484" spans="1:33" x14ac:dyDescent="0.25">
      <c r="A484" s="274">
        <f>+IFERROR(VLOOKUP(CATEGORIAS[[#This Row],[CATEGORIA2]],[1]HOMOLOGACION!$A$1:$I$571,9,FALSE),0)</f>
        <v>0</v>
      </c>
      <c r="B484" s="274">
        <f>+IFERROR(VLOOKUP(CATEGORIAS[[#This Row],[CATEGORIA2]],[1]HOMOLOGACION!$A$1:$C$571,3,FALSE),0)</f>
        <v>0</v>
      </c>
      <c r="C484" s="274">
        <f>+IFERROR(VLOOKUP(CATEGORIAS[[#This Row],[CATEGORIA2]],[1]HOMOLOGACION!$A$1:$D$571,4,FALSE),0)</f>
        <v>0</v>
      </c>
      <c r="D484" s="144" t="s">
        <v>2340</v>
      </c>
      <c r="E484" s="273" t="s">
        <v>2339</v>
      </c>
      <c r="F484" s="275" t="s">
        <v>361</v>
      </c>
      <c r="G484" s="313">
        <v>0</v>
      </c>
      <c r="H484" s="313">
        <v>0</v>
      </c>
      <c r="I484" s="130">
        <v>0</v>
      </c>
      <c r="J484" s="130"/>
      <c r="K484" s="130"/>
      <c r="L484" s="143">
        <f>CATEGORIAS[[#This Row],[ADICIONALES]]+CATEGORIAS[[#This Row],[POM]]</f>
        <v>0</v>
      </c>
      <c r="M484" s="131">
        <v>0</v>
      </c>
      <c r="N484" s="227">
        <v>0</v>
      </c>
      <c r="O484" s="296">
        <f>CATEGORIAS[[#This Row],[PRODUCCION
PARTIDAS
ORIGINALES
ACTUAL]]+CATEGORIAS[[#This Row],[PRODUCCION
ADICIONALES
ACTUAL]]</f>
        <v>0</v>
      </c>
      <c r="P484" s="227">
        <v>0</v>
      </c>
      <c r="Q484" s="132">
        <v>0</v>
      </c>
      <c r="R484" s="297">
        <f>CATEGORIAS[[#This Row],[PRODUCCION
ANTERIOR]]+CATEGORIAS[[#This Row],[PRODUCCION
ADICIONALES
ANTERIOR]]</f>
        <v>0</v>
      </c>
      <c r="S484" s="133">
        <v>0</v>
      </c>
      <c r="T484" s="133"/>
      <c r="U484" s="133"/>
      <c r="V484" s="296">
        <f>SUM(CATEGORIAS[[#This Row],[COSTO
ACUMULADO  AX]:[PROVISIONES]])</f>
        <v>0</v>
      </c>
      <c r="W484" s="298">
        <v>0</v>
      </c>
      <c r="X484" s="227"/>
      <c r="Y484" s="227"/>
      <c r="Z484" s="297">
        <f>SUM(CATEGORIAS[[#This Row],[COSTO ACUMULADO
ANTERIOR]:[PROVISIONES
ANTERIOR]])</f>
        <v>0</v>
      </c>
      <c r="AA484" s="139">
        <f>CATEGORIAS[[#This Row],[PRESUPUESTO
FINAL
PROYECTADO]]-CATEGORIAS[[#This Row],[TOTAL PRODUCCION
ACTUAL]]</f>
        <v>0</v>
      </c>
      <c r="AB484" s="227">
        <v>0</v>
      </c>
      <c r="AC484" s="132"/>
      <c r="AD484" s="132"/>
      <c r="AE484" s="226">
        <f>SUM(CATEGORIAS[[#This Row],[INVENTARIO]:[PROYECCION
DE COSTO
DEL SALDO]])</f>
        <v>0</v>
      </c>
      <c r="AF484" s="132"/>
      <c r="AG484" s="132">
        <f>+CATEGORIAS[[#This Row],[PRESUPUESTO
FINAL
PROYECTADO]]-CATEGORIAS[[#This Row],[COSTO REAL]]-CATEGORIAS[[#This Row],[PROYECCION
TOTAL DE COSTO]]</f>
        <v>0</v>
      </c>
    </row>
    <row r="485" spans="1:33" x14ac:dyDescent="0.25">
      <c r="A485" s="274" t="str">
        <f>+IFERROR(VLOOKUP(CATEGORIAS[[#This Row],[CATEGORIA2]],[1]HOMOLOGACION!$A$1:$I$571,9,FALSE),0)</f>
        <v>1Z03</v>
      </c>
      <c r="B485" s="274" t="str">
        <f>+IFERROR(VLOOKUP(CATEGORIAS[[#This Row],[CATEGORIA2]],[1]HOMOLOGACION!$A$1:$C$571,3,FALSE),0)</f>
        <v>1J03</v>
      </c>
      <c r="C485" s="274" t="str">
        <f>+IFERROR(VLOOKUP(CATEGORIAS[[#This Row],[CATEGORIA2]],[1]HOMOLOGACION!$A$1:$D$571,4,FALSE),0)</f>
        <v>Gastos Financieros</v>
      </c>
      <c r="D485" s="144" t="s">
        <v>2199</v>
      </c>
      <c r="E485" s="273" t="s">
        <v>2289</v>
      </c>
      <c r="F485" s="275" t="s">
        <v>361</v>
      </c>
      <c r="G485" s="313">
        <v>0</v>
      </c>
      <c r="H485" s="313">
        <v>0</v>
      </c>
      <c r="I485" s="130">
        <v>0</v>
      </c>
      <c r="J485" s="130"/>
      <c r="K485" s="130"/>
      <c r="L485" s="143">
        <f>CATEGORIAS[[#This Row],[ADICIONALES]]+CATEGORIAS[[#This Row],[POM]]</f>
        <v>0</v>
      </c>
      <c r="M485" s="131">
        <v>0</v>
      </c>
      <c r="N485" s="227">
        <v>0</v>
      </c>
      <c r="O485" s="296">
        <f>CATEGORIAS[[#This Row],[PRODUCCION
PARTIDAS
ORIGINALES
ACTUAL]]+CATEGORIAS[[#This Row],[PRODUCCION
ADICIONALES
ACTUAL]]</f>
        <v>0</v>
      </c>
      <c r="P485" s="227">
        <v>0</v>
      </c>
      <c r="Q485" s="227">
        <v>0</v>
      </c>
      <c r="R485" s="297">
        <f>CATEGORIAS[[#This Row],[PRODUCCION
ANTERIOR]]+CATEGORIAS[[#This Row],[PRODUCCION
ADICIONALES
ANTERIOR]]</f>
        <v>0</v>
      </c>
      <c r="S485" s="133">
        <v>0</v>
      </c>
      <c r="T485" s="133"/>
      <c r="U485" s="133"/>
      <c r="V485" s="296">
        <f>SUM(CATEGORIAS[[#This Row],[COSTO
ACUMULADO  AX]:[PROVISIONES]])</f>
        <v>0</v>
      </c>
      <c r="W485" s="298">
        <v>0</v>
      </c>
      <c r="X485" s="227"/>
      <c r="Y485" s="227"/>
      <c r="Z485" s="297">
        <f>SUM(CATEGORIAS[[#This Row],[COSTO ACUMULADO
ANTERIOR]:[PROVISIONES
ANTERIOR]])</f>
        <v>0</v>
      </c>
      <c r="AA485" s="139">
        <f>CATEGORIAS[[#This Row],[PRESUPUESTO
FINAL
PROYECTADO]]-CATEGORIAS[[#This Row],[TOTAL PRODUCCION
ACTUAL]]</f>
        <v>0</v>
      </c>
      <c r="AB485" s="227">
        <v>0</v>
      </c>
      <c r="AC485" s="132"/>
      <c r="AD485" s="132"/>
      <c r="AE485" s="226">
        <f>SUM(CATEGORIAS[[#This Row],[INVENTARIO]:[PROYECCION
DE COSTO
DEL SALDO]])</f>
        <v>0</v>
      </c>
      <c r="AF485" s="132"/>
      <c r="AG485" s="132">
        <f>+CATEGORIAS[[#This Row],[PRESUPUESTO
FINAL
PROYECTADO]]-CATEGORIAS[[#This Row],[COSTO REAL]]-CATEGORIAS[[#This Row],[PROYECCION
TOTAL DE COSTO]]</f>
        <v>0</v>
      </c>
    </row>
    <row r="486" spans="1:33" x14ac:dyDescent="0.25">
      <c r="A486" s="274" t="str">
        <f>+IFERROR(VLOOKUP(CATEGORIAS[[#This Row],[CATEGORIA2]],[1]HOMOLOGACION!$A$1:$I$571,9,FALSE),0)</f>
        <v>1Z03</v>
      </c>
      <c r="B486" s="274" t="str">
        <f>+IFERROR(VLOOKUP(CATEGORIAS[[#This Row],[CATEGORIA2]],[1]HOMOLOGACION!$A$1:$C$571,3,FALSE),0)</f>
        <v>1J03</v>
      </c>
      <c r="C486" s="274" t="str">
        <f>+IFERROR(VLOOKUP(CATEGORIAS[[#This Row],[CATEGORIA2]],[1]HOMOLOGACION!$A$1:$D$571,4,FALSE),0)</f>
        <v>Gastos Financieros</v>
      </c>
      <c r="D486" s="144" t="s">
        <v>2200</v>
      </c>
      <c r="E486" s="273" t="s">
        <v>2290</v>
      </c>
      <c r="F486" s="275" t="s">
        <v>361</v>
      </c>
      <c r="G486" s="313">
        <v>0</v>
      </c>
      <c r="H486" s="313">
        <v>0</v>
      </c>
      <c r="I486" s="130">
        <v>0</v>
      </c>
      <c r="J486" s="130"/>
      <c r="K486" s="130"/>
      <c r="L486" s="143">
        <f>CATEGORIAS[[#This Row],[ADICIONALES]]+CATEGORIAS[[#This Row],[POM]]</f>
        <v>0</v>
      </c>
      <c r="M486" s="131">
        <v>0</v>
      </c>
      <c r="N486" s="227">
        <v>0</v>
      </c>
      <c r="O486" s="296">
        <f>CATEGORIAS[[#This Row],[PRODUCCION
PARTIDAS
ORIGINALES
ACTUAL]]+CATEGORIAS[[#This Row],[PRODUCCION
ADICIONALES
ACTUAL]]</f>
        <v>0</v>
      </c>
      <c r="P486" s="227">
        <v>0</v>
      </c>
      <c r="Q486" s="227">
        <v>0</v>
      </c>
      <c r="R486" s="297">
        <f>CATEGORIAS[[#This Row],[PRODUCCION
ANTERIOR]]+CATEGORIAS[[#This Row],[PRODUCCION
ADICIONALES
ANTERIOR]]</f>
        <v>0</v>
      </c>
      <c r="S486" s="133">
        <v>0</v>
      </c>
      <c r="T486" s="133"/>
      <c r="U486" s="133"/>
      <c r="V486" s="296">
        <f>SUM(CATEGORIAS[[#This Row],[COSTO
ACUMULADO  AX]:[PROVISIONES]])</f>
        <v>0</v>
      </c>
      <c r="W486" s="298">
        <v>0</v>
      </c>
      <c r="X486" s="227"/>
      <c r="Y486" s="227"/>
      <c r="Z486" s="297">
        <f>SUM(CATEGORIAS[[#This Row],[COSTO ACUMULADO
ANTERIOR]:[PROVISIONES
ANTERIOR]])</f>
        <v>0</v>
      </c>
      <c r="AA486" s="139">
        <f>CATEGORIAS[[#This Row],[PRESUPUESTO
FINAL
PROYECTADO]]-CATEGORIAS[[#This Row],[TOTAL PRODUCCION
ACTUAL]]</f>
        <v>0</v>
      </c>
      <c r="AB486" s="227">
        <v>0</v>
      </c>
      <c r="AC486" s="132"/>
      <c r="AD486" s="132"/>
      <c r="AE486" s="226">
        <f>SUM(CATEGORIAS[[#This Row],[INVENTARIO]:[PROYECCION
DE COSTO
DEL SALDO]])</f>
        <v>0</v>
      </c>
      <c r="AF486" s="132"/>
      <c r="AG486" s="132">
        <f>+CATEGORIAS[[#This Row],[PRESUPUESTO
FINAL
PROYECTADO]]-CATEGORIAS[[#This Row],[COSTO REAL]]-CATEGORIAS[[#This Row],[PROYECCION
TOTAL DE COSTO]]</f>
        <v>0</v>
      </c>
    </row>
    <row r="487" spans="1:33" x14ac:dyDescent="0.25">
      <c r="A487" s="274">
        <f>+IFERROR(VLOOKUP(CATEGORIAS[[#This Row],[CATEGORIA2]],[1]HOMOLOGACION!$A$1:$I$571,9,FALSE),0)</f>
        <v>0</v>
      </c>
      <c r="B487" s="274">
        <f>+IFERROR(VLOOKUP(CATEGORIAS[[#This Row],[CATEGORIA2]],[1]HOMOLOGACION!$A$1:$C$571,3,FALSE),0)</f>
        <v>0</v>
      </c>
      <c r="C487" s="274">
        <f>+IFERROR(VLOOKUP(CATEGORIAS[[#This Row],[CATEGORIA2]],[1]HOMOLOGACION!$A$1:$D$571,4,FALSE),0)</f>
        <v>0</v>
      </c>
      <c r="D487" s="144" t="s">
        <v>2341</v>
      </c>
      <c r="E487" s="273" t="s">
        <v>2342</v>
      </c>
      <c r="F487" s="275" t="s">
        <v>361</v>
      </c>
      <c r="G487" s="313">
        <v>0</v>
      </c>
      <c r="H487" s="313">
        <v>0</v>
      </c>
      <c r="I487" s="130">
        <v>0</v>
      </c>
      <c r="J487" s="130"/>
      <c r="K487" s="130"/>
      <c r="L487" s="143">
        <f>CATEGORIAS[[#This Row],[ADICIONALES]]+CATEGORIAS[[#This Row],[POM]]</f>
        <v>0</v>
      </c>
      <c r="M487" s="131">
        <v>0</v>
      </c>
      <c r="N487" s="227">
        <v>0</v>
      </c>
      <c r="O487" s="296">
        <f>CATEGORIAS[[#This Row],[PRODUCCION
PARTIDAS
ORIGINALES
ACTUAL]]+CATEGORIAS[[#This Row],[PRODUCCION
ADICIONALES
ACTUAL]]</f>
        <v>0</v>
      </c>
      <c r="P487" s="227">
        <v>0</v>
      </c>
      <c r="Q487" s="227">
        <v>0</v>
      </c>
      <c r="R487" s="297">
        <f>CATEGORIAS[[#This Row],[PRODUCCION
ANTERIOR]]+CATEGORIAS[[#This Row],[PRODUCCION
ADICIONALES
ANTERIOR]]</f>
        <v>0</v>
      </c>
      <c r="S487" s="133">
        <v>0</v>
      </c>
      <c r="T487" s="133"/>
      <c r="U487" s="133"/>
      <c r="V487" s="296">
        <f>SUM(CATEGORIAS[[#This Row],[COSTO
ACUMULADO  AX]:[PROVISIONES]])</f>
        <v>0</v>
      </c>
      <c r="W487" s="298">
        <v>0</v>
      </c>
      <c r="X487" s="227"/>
      <c r="Y487" s="227"/>
      <c r="Z487" s="297">
        <f>SUM(CATEGORIAS[[#This Row],[COSTO ACUMULADO
ANTERIOR]:[PROVISIONES
ANTERIOR]])</f>
        <v>0</v>
      </c>
      <c r="AA487" s="139">
        <f>CATEGORIAS[[#This Row],[PRESUPUESTO
FINAL
PROYECTADO]]-CATEGORIAS[[#This Row],[TOTAL PRODUCCION
ACTUAL]]</f>
        <v>0</v>
      </c>
      <c r="AB487" s="227">
        <v>0</v>
      </c>
      <c r="AC487" s="132"/>
      <c r="AD487" s="132"/>
      <c r="AE487" s="226">
        <f>SUM(CATEGORIAS[[#This Row],[INVENTARIO]:[PROYECCION
DE COSTO
DEL SALDO]])</f>
        <v>0</v>
      </c>
      <c r="AF487" s="132"/>
      <c r="AG487" s="132">
        <f>+CATEGORIAS[[#This Row],[PRESUPUESTO
FINAL
PROYECTADO]]-CATEGORIAS[[#This Row],[COSTO REAL]]-CATEGORIAS[[#This Row],[PROYECCION
TOTAL DE COSTO]]</f>
        <v>0</v>
      </c>
    </row>
    <row r="488" spans="1:33" x14ac:dyDescent="0.25">
      <c r="A488" s="274">
        <f>+IFERROR(VLOOKUP(CATEGORIAS[[#This Row],[CATEGORIA2]],[1]HOMOLOGACION!$A$1:$I$571,9,FALSE),0)</f>
        <v>0</v>
      </c>
      <c r="B488" s="274">
        <f>+IFERROR(VLOOKUP(CATEGORIAS[[#This Row],[CATEGORIA2]],[1]HOMOLOGACION!$A$1:$C$571,3,FALSE),0)</f>
        <v>0</v>
      </c>
      <c r="C488" s="274">
        <f>+IFERROR(VLOOKUP(CATEGORIAS[[#This Row],[CATEGORIA2]],[1]HOMOLOGACION!$A$1:$D$571,4,FALSE),0)</f>
        <v>0</v>
      </c>
      <c r="D488" s="144" t="s">
        <v>2343</v>
      </c>
      <c r="E488" s="273" t="s">
        <v>2342</v>
      </c>
      <c r="F488" s="275" t="s">
        <v>361</v>
      </c>
      <c r="G488" s="313">
        <v>0</v>
      </c>
      <c r="H488" s="313">
        <v>0</v>
      </c>
      <c r="I488" s="130">
        <v>0</v>
      </c>
      <c r="J488" s="130"/>
      <c r="K488" s="130"/>
      <c r="L488" s="143">
        <f>CATEGORIAS[[#This Row],[ADICIONALES]]+CATEGORIAS[[#This Row],[POM]]</f>
        <v>0</v>
      </c>
      <c r="M488" s="131">
        <v>0</v>
      </c>
      <c r="N488" s="227">
        <v>0</v>
      </c>
      <c r="O488" s="296">
        <f>CATEGORIAS[[#This Row],[PRODUCCION
PARTIDAS
ORIGINALES
ACTUAL]]+CATEGORIAS[[#This Row],[PRODUCCION
ADICIONALES
ACTUAL]]</f>
        <v>0</v>
      </c>
      <c r="P488" s="227">
        <v>0</v>
      </c>
      <c r="Q488" s="227">
        <v>0</v>
      </c>
      <c r="R488" s="297">
        <f>CATEGORIAS[[#This Row],[PRODUCCION
ANTERIOR]]+CATEGORIAS[[#This Row],[PRODUCCION
ADICIONALES
ANTERIOR]]</f>
        <v>0</v>
      </c>
      <c r="S488" s="133">
        <v>0</v>
      </c>
      <c r="T488" s="133"/>
      <c r="U488" s="133"/>
      <c r="V488" s="296">
        <f>SUM(CATEGORIAS[[#This Row],[COSTO
ACUMULADO  AX]:[PROVISIONES]])</f>
        <v>0</v>
      </c>
      <c r="W488" s="298">
        <v>0</v>
      </c>
      <c r="X488" s="227"/>
      <c r="Y488" s="227"/>
      <c r="Z488" s="297">
        <f>SUM(CATEGORIAS[[#This Row],[COSTO ACUMULADO
ANTERIOR]:[PROVISIONES
ANTERIOR]])</f>
        <v>0</v>
      </c>
      <c r="AA488" s="139">
        <f>CATEGORIAS[[#This Row],[PRESUPUESTO
FINAL
PROYECTADO]]-CATEGORIAS[[#This Row],[TOTAL PRODUCCION
ACTUAL]]</f>
        <v>0</v>
      </c>
      <c r="AB488" s="227">
        <v>0</v>
      </c>
      <c r="AC488" s="132"/>
      <c r="AD488" s="132"/>
      <c r="AE488" s="226">
        <f>SUM(CATEGORIAS[[#This Row],[INVENTARIO]:[PROYECCION
DE COSTO
DEL SALDO]])</f>
        <v>0</v>
      </c>
      <c r="AF488" s="132"/>
      <c r="AG488" s="132">
        <f>+CATEGORIAS[[#This Row],[PRESUPUESTO
FINAL
PROYECTADO]]-CATEGORIAS[[#This Row],[COSTO REAL]]-CATEGORIAS[[#This Row],[PROYECCION
TOTAL DE COSTO]]</f>
        <v>0</v>
      </c>
    </row>
    <row r="489" spans="1:33" x14ac:dyDescent="0.25">
      <c r="A489" s="274">
        <f>+IFERROR(VLOOKUP(CATEGORIAS[[#This Row],[CATEGORIA2]],[1]HOMOLOGACION!$A$1:$I$571,9,FALSE),0)</f>
        <v>0</v>
      </c>
      <c r="B489" s="274">
        <f>+IFERROR(VLOOKUP(CATEGORIAS[[#This Row],[CATEGORIA2]],[1]HOMOLOGACION!$A$1:$C$571,3,FALSE),0)</f>
        <v>0</v>
      </c>
      <c r="C489" s="274">
        <f>+IFERROR(VLOOKUP(CATEGORIAS[[#This Row],[CATEGORIA2]],[1]HOMOLOGACION!$A$1:$D$571,4,FALSE),0)</f>
        <v>0</v>
      </c>
      <c r="D489" s="144" t="s">
        <v>2344</v>
      </c>
      <c r="E489" s="273" t="s">
        <v>2345</v>
      </c>
      <c r="F489" s="275" t="s">
        <v>361</v>
      </c>
      <c r="G489" s="313">
        <v>0</v>
      </c>
      <c r="H489" s="313">
        <v>0</v>
      </c>
      <c r="I489" s="130">
        <v>0</v>
      </c>
      <c r="J489" s="130"/>
      <c r="K489" s="130"/>
      <c r="L489" s="143">
        <f>CATEGORIAS[[#This Row],[ADICIONALES]]+CATEGORIAS[[#This Row],[POM]]</f>
        <v>0</v>
      </c>
      <c r="M489" s="131">
        <v>0</v>
      </c>
      <c r="N489" s="227">
        <v>0</v>
      </c>
      <c r="O489" s="296">
        <f>CATEGORIAS[[#This Row],[PRODUCCION
PARTIDAS
ORIGINALES
ACTUAL]]+CATEGORIAS[[#This Row],[PRODUCCION
ADICIONALES
ACTUAL]]</f>
        <v>0</v>
      </c>
      <c r="P489" s="227">
        <v>0</v>
      </c>
      <c r="Q489" s="132">
        <v>0</v>
      </c>
      <c r="R489" s="297">
        <f>CATEGORIAS[[#This Row],[PRODUCCION
ANTERIOR]]+CATEGORIAS[[#This Row],[PRODUCCION
ADICIONALES
ANTERIOR]]</f>
        <v>0</v>
      </c>
      <c r="S489" s="133">
        <v>0</v>
      </c>
      <c r="T489" s="133"/>
      <c r="U489" s="133"/>
      <c r="V489" s="296">
        <f>SUM(CATEGORIAS[[#This Row],[COSTO
ACUMULADO  AX]:[PROVISIONES]])</f>
        <v>0</v>
      </c>
      <c r="W489" s="298">
        <v>0</v>
      </c>
      <c r="X489" s="227"/>
      <c r="Y489" s="227"/>
      <c r="Z489" s="297">
        <f>SUM(CATEGORIAS[[#This Row],[COSTO ACUMULADO
ANTERIOR]:[PROVISIONES
ANTERIOR]])</f>
        <v>0</v>
      </c>
      <c r="AA489" s="139">
        <f>CATEGORIAS[[#This Row],[PRESUPUESTO
FINAL
PROYECTADO]]-CATEGORIAS[[#This Row],[TOTAL PRODUCCION
ACTUAL]]</f>
        <v>0</v>
      </c>
      <c r="AB489" s="227">
        <v>0</v>
      </c>
      <c r="AC489" s="132"/>
      <c r="AD489" s="132"/>
      <c r="AE489" s="226">
        <f>SUM(CATEGORIAS[[#This Row],[INVENTARIO]:[PROYECCION
DE COSTO
DEL SALDO]])</f>
        <v>0</v>
      </c>
      <c r="AF489" s="132"/>
      <c r="AG489" s="132">
        <f>+CATEGORIAS[[#This Row],[PRESUPUESTO
FINAL
PROYECTADO]]-CATEGORIAS[[#This Row],[COSTO REAL]]-CATEGORIAS[[#This Row],[PROYECCION
TOTAL DE COSTO]]</f>
        <v>0</v>
      </c>
    </row>
    <row r="490" spans="1:33" x14ac:dyDescent="0.25">
      <c r="A490" s="274">
        <f>+IFERROR(VLOOKUP(CATEGORIAS[[#This Row],[CATEGORIA2]],[1]HOMOLOGACION!$A$1:$I$571,9,FALSE),0)</f>
        <v>0</v>
      </c>
      <c r="B490" s="274">
        <f>+IFERROR(VLOOKUP(CATEGORIAS[[#This Row],[CATEGORIA2]],[1]HOMOLOGACION!$A$1:$C$571,3,FALSE),0)</f>
        <v>0</v>
      </c>
      <c r="C490" s="274">
        <f>+IFERROR(VLOOKUP(CATEGORIAS[[#This Row],[CATEGORIA2]],[1]HOMOLOGACION!$A$1:$D$571,4,FALSE),0)</f>
        <v>0</v>
      </c>
      <c r="D490" s="144" t="s">
        <v>2346</v>
      </c>
      <c r="E490" s="273" t="s">
        <v>2345</v>
      </c>
      <c r="F490" s="275" t="s">
        <v>361</v>
      </c>
      <c r="G490" s="313">
        <v>0</v>
      </c>
      <c r="H490" s="313">
        <v>0</v>
      </c>
      <c r="I490" s="130">
        <v>0</v>
      </c>
      <c r="J490" s="130"/>
      <c r="K490" s="130"/>
      <c r="L490" s="143">
        <f>CATEGORIAS[[#This Row],[ADICIONALES]]+CATEGORIAS[[#This Row],[POM]]</f>
        <v>0</v>
      </c>
      <c r="M490" s="131">
        <v>0</v>
      </c>
      <c r="N490" s="227">
        <v>0</v>
      </c>
      <c r="O490" s="296">
        <f>CATEGORIAS[[#This Row],[PRODUCCION
PARTIDAS
ORIGINALES
ACTUAL]]+CATEGORIAS[[#This Row],[PRODUCCION
ADICIONALES
ACTUAL]]</f>
        <v>0</v>
      </c>
      <c r="P490" s="227">
        <v>0</v>
      </c>
      <c r="Q490" s="227">
        <v>0</v>
      </c>
      <c r="R490" s="297">
        <f>CATEGORIAS[[#This Row],[PRODUCCION
ANTERIOR]]+CATEGORIAS[[#This Row],[PRODUCCION
ADICIONALES
ANTERIOR]]</f>
        <v>0</v>
      </c>
      <c r="S490" s="133">
        <v>0</v>
      </c>
      <c r="T490" s="133"/>
      <c r="U490" s="133"/>
      <c r="V490" s="296">
        <f>SUM(CATEGORIAS[[#This Row],[COSTO
ACUMULADO  AX]:[PROVISIONES]])</f>
        <v>0</v>
      </c>
      <c r="W490" s="298">
        <v>0</v>
      </c>
      <c r="X490" s="227"/>
      <c r="Y490" s="227"/>
      <c r="Z490" s="297">
        <f>SUM(CATEGORIAS[[#This Row],[COSTO ACUMULADO
ANTERIOR]:[PROVISIONES
ANTERIOR]])</f>
        <v>0</v>
      </c>
      <c r="AA490" s="139">
        <f>CATEGORIAS[[#This Row],[PRESUPUESTO
FINAL
PROYECTADO]]-CATEGORIAS[[#This Row],[TOTAL PRODUCCION
ACTUAL]]</f>
        <v>0</v>
      </c>
      <c r="AB490" s="227">
        <v>0</v>
      </c>
      <c r="AC490" s="132"/>
      <c r="AD490" s="132"/>
      <c r="AE490" s="226">
        <f>SUM(CATEGORIAS[[#This Row],[INVENTARIO]:[PROYECCION
DE COSTO
DEL SALDO]])</f>
        <v>0</v>
      </c>
      <c r="AF490" s="132"/>
      <c r="AG490" s="132">
        <f>+CATEGORIAS[[#This Row],[PRESUPUESTO
FINAL
PROYECTADO]]-CATEGORIAS[[#This Row],[COSTO REAL]]-CATEGORIAS[[#This Row],[PROYECCION
TOTAL DE COSTO]]</f>
        <v>0</v>
      </c>
    </row>
    <row r="491" spans="1:33" x14ac:dyDescent="0.25">
      <c r="A491" s="274">
        <f>+IFERROR(VLOOKUP(CATEGORIAS[[#This Row],[CATEGORIA2]],[1]HOMOLOGACION!$A$1:$I$571,9,FALSE),0)</f>
        <v>0</v>
      </c>
      <c r="B491" s="274">
        <f>+IFERROR(VLOOKUP(CATEGORIAS[[#This Row],[CATEGORIA2]],[1]HOMOLOGACION!$A$1:$C$571,3,FALSE),0)</f>
        <v>0</v>
      </c>
      <c r="C491" s="274">
        <f>+IFERROR(VLOOKUP(CATEGORIAS[[#This Row],[CATEGORIA2]],[1]HOMOLOGACION!$A$1:$D$571,4,FALSE),0)</f>
        <v>0</v>
      </c>
      <c r="D491" s="144" t="s">
        <v>2347</v>
      </c>
      <c r="E491" s="273" t="s">
        <v>2348</v>
      </c>
      <c r="F491" s="275" t="s">
        <v>361</v>
      </c>
      <c r="G491" s="313">
        <v>0</v>
      </c>
      <c r="H491" s="313">
        <v>0</v>
      </c>
      <c r="I491" s="130">
        <v>0</v>
      </c>
      <c r="J491" s="130"/>
      <c r="K491" s="130"/>
      <c r="L491" s="143">
        <f>CATEGORIAS[[#This Row],[ADICIONALES]]+CATEGORIAS[[#This Row],[POM]]</f>
        <v>0</v>
      </c>
      <c r="M491" s="131">
        <v>0</v>
      </c>
      <c r="N491" s="227">
        <v>0</v>
      </c>
      <c r="O491" s="296">
        <f>CATEGORIAS[[#This Row],[PRODUCCION
PARTIDAS
ORIGINALES
ACTUAL]]+CATEGORIAS[[#This Row],[PRODUCCION
ADICIONALES
ACTUAL]]</f>
        <v>0</v>
      </c>
      <c r="P491" s="227">
        <v>0</v>
      </c>
      <c r="Q491" s="132">
        <v>0</v>
      </c>
      <c r="R491" s="297">
        <f>CATEGORIAS[[#This Row],[PRODUCCION
ANTERIOR]]+CATEGORIAS[[#This Row],[PRODUCCION
ADICIONALES
ANTERIOR]]</f>
        <v>0</v>
      </c>
      <c r="S491" s="133">
        <v>0</v>
      </c>
      <c r="T491" s="133"/>
      <c r="U491" s="133"/>
      <c r="V491" s="296">
        <f>SUM(CATEGORIAS[[#This Row],[COSTO
ACUMULADO  AX]:[PROVISIONES]])</f>
        <v>0</v>
      </c>
      <c r="W491" s="298">
        <v>0</v>
      </c>
      <c r="X491" s="227"/>
      <c r="Y491" s="227"/>
      <c r="Z491" s="297">
        <f>SUM(CATEGORIAS[[#This Row],[COSTO ACUMULADO
ANTERIOR]:[PROVISIONES
ANTERIOR]])</f>
        <v>0</v>
      </c>
      <c r="AA491" s="139">
        <f>CATEGORIAS[[#This Row],[PRESUPUESTO
FINAL
PROYECTADO]]-CATEGORIAS[[#This Row],[TOTAL PRODUCCION
ACTUAL]]</f>
        <v>0</v>
      </c>
      <c r="AB491" s="227">
        <v>0</v>
      </c>
      <c r="AC491" s="132"/>
      <c r="AD491" s="132"/>
      <c r="AE491" s="226">
        <f>SUM(CATEGORIAS[[#This Row],[INVENTARIO]:[PROYECCION
DE COSTO
DEL SALDO]])</f>
        <v>0</v>
      </c>
      <c r="AF491" s="132"/>
      <c r="AG491" s="132">
        <f>+CATEGORIAS[[#This Row],[PRESUPUESTO
FINAL
PROYECTADO]]-CATEGORIAS[[#This Row],[COSTO REAL]]-CATEGORIAS[[#This Row],[PROYECCION
TOTAL DE COSTO]]</f>
        <v>0</v>
      </c>
    </row>
    <row r="492" spans="1:33" x14ac:dyDescent="0.25">
      <c r="A492" s="274">
        <f>+IFERROR(VLOOKUP(CATEGORIAS[[#This Row],[CATEGORIA2]],[1]HOMOLOGACION!$A$1:$I$571,9,FALSE),0)</f>
        <v>0</v>
      </c>
      <c r="B492" s="274">
        <f>+IFERROR(VLOOKUP(CATEGORIAS[[#This Row],[CATEGORIA2]],[1]HOMOLOGACION!$A$1:$C$571,3,FALSE),0)</f>
        <v>0</v>
      </c>
      <c r="C492" s="274">
        <f>+IFERROR(VLOOKUP(CATEGORIAS[[#This Row],[CATEGORIA2]],[1]HOMOLOGACION!$A$1:$D$571,4,FALSE),0)</f>
        <v>0</v>
      </c>
      <c r="D492" s="144" t="s">
        <v>2349</v>
      </c>
      <c r="E492" s="273" t="s">
        <v>2348</v>
      </c>
      <c r="F492" s="275" t="s">
        <v>361</v>
      </c>
      <c r="G492" s="313">
        <v>0</v>
      </c>
      <c r="H492" s="313">
        <v>0</v>
      </c>
      <c r="I492" s="130">
        <v>0</v>
      </c>
      <c r="J492" s="130"/>
      <c r="K492" s="130"/>
      <c r="L492" s="143">
        <f>CATEGORIAS[[#This Row],[ADICIONALES]]+CATEGORIAS[[#This Row],[POM]]</f>
        <v>0</v>
      </c>
      <c r="M492" s="131">
        <v>0</v>
      </c>
      <c r="N492" s="227">
        <v>0</v>
      </c>
      <c r="O492" s="296">
        <f>CATEGORIAS[[#This Row],[PRODUCCION
PARTIDAS
ORIGINALES
ACTUAL]]+CATEGORIAS[[#This Row],[PRODUCCION
ADICIONALES
ACTUAL]]</f>
        <v>0</v>
      </c>
      <c r="P492" s="227">
        <v>0</v>
      </c>
      <c r="Q492" s="227">
        <v>0</v>
      </c>
      <c r="R492" s="297">
        <f>CATEGORIAS[[#This Row],[PRODUCCION
ANTERIOR]]+CATEGORIAS[[#This Row],[PRODUCCION
ADICIONALES
ANTERIOR]]</f>
        <v>0</v>
      </c>
      <c r="S492" s="133">
        <v>0</v>
      </c>
      <c r="T492" s="133"/>
      <c r="U492" s="133"/>
      <c r="V492" s="296">
        <f>SUM(CATEGORIAS[[#This Row],[COSTO
ACUMULADO  AX]:[PROVISIONES]])</f>
        <v>0</v>
      </c>
      <c r="W492" s="298">
        <v>0</v>
      </c>
      <c r="X492" s="227"/>
      <c r="Y492" s="227"/>
      <c r="Z492" s="297">
        <f>SUM(CATEGORIAS[[#This Row],[COSTO ACUMULADO
ANTERIOR]:[PROVISIONES
ANTERIOR]])</f>
        <v>0</v>
      </c>
      <c r="AA492" s="139">
        <f>CATEGORIAS[[#This Row],[PRESUPUESTO
FINAL
PROYECTADO]]-CATEGORIAS[[#This Row],[TOTAL PRODUCCION
ACTUAL]]</f>
        <v>0</v>
      </c>
      <c r="AB492" s="227">
        <v>0</v>
      </c>
      <c r="AC492" s="132"/>
      <c r="AD492" s="132"/>
      <c r="AE492" s="226">
        <f>SUM(CATEGORIAS[[#This Row],[INVENTARIO]:[PROYECCION
DE COSTO
DEL SALDO]])</f>
        <v>0</v>
      </c>
      <c r="AF492" s="132"/>
      <c r="AG492" s="132">
        <f>+CATEGORIAS[[#This Row],[PRESUPUESTO
FINAL
PROYECTADO]]-CATEGORIAS[[#This Row],[COSTO REAL]]-CATEGORIAS[[#This Row],[PROYECCION
TOTAL DE COSTO]]</f>
        <v>0</v>
      </c>
    </row>
    <row r="493" spans="1:33" x14ac:dyDescent="0.25">
      <c r="A493" s="274">
        <f>+IFERROR(VLOOKUP(CATEGORIAS[[#This Row],[CATEGORIA2]],[1]HOMOLOGACION!$A$1:$I$571,9,FALSE),0)</f>
        <v>0</v>
      </c>
      <c r="B493" s="274">
        <f>+IFERROR(VLOOKUP(CATEGORIAS[[#This Row],[CATEGORIA2]],[1]HOMOLOGACION!$A$1:$C$571,3,FALSE),0)</f>
        <v>0</v>
      </c>
      <c r="C493" s="274">
        <f>+IFERROR(VLOOKUP(CATEGORIAS[[#This Row],[CATEGORIA2]],[1]HOMOLOGACION!$A$1:$D$571,4,FALSE),0)</f>
        <v>0</v>
      </c>
      <c r="D493" s="144" t="s">
        <v>2350</v>
      </c>
      <c r="E493" s="273" t="s">
        <v>2351</v>
      </c>
      <c r="F493" s="275" t="s">
        <v>361</v>
      </c>
      <c r="G493" s="313">
        <v>0</v>
      </c>
      <c r="H493" s="313">
        <v>0</v>
      </c>
      <c r="I493" s="130">
        <v>0</v>
      </c>
      <c r="J493" s="130"/>
      <c r="K493" s="130"/>
      <c r="L493" s="143">
        <f>CATEGORIAS[[#This Row],[ADICIONALES]]+CATEGORIAS[[#This Row],[POM]]</f>
        <v>0</v>
      </c>
      <c r="M493" s="131">
        <v>0</v>
      </c>
      <c r="N493" s="227">
        <v>0</v>
      </c>
      <c r="O493" s="296">
        <f>CATEGORIAS[[#This Row],[PRODUCCION
PARTIDAS
ORIGINALES
ACTUAL]]+CATEGORIAS[[#This Row],[PRODUCCION
ADICIONALES
ACTUAL]]</f>
        <v>0</v>
      </c>
      <c r="P493" s="227">
        <v>0</v>
      </c>
      <c r="Q493" s="132">
        <v>0</v>
      </c>
      <c r="R493" s="297">
        <f>CATEGORIAS[[#This Row],[PRODUCCION
ANTERIOR]]+CATEGORIAS[[#This Row],[PRODUCCION
ADICIONALES
ANTERIOR]]</f>
        <v>0</v>
      </c>
      <c r="S493" s="133">
        <v>0</v>
      </c>
      <c r="T493" s="133"/>
      <c r="U493" s="133"/>
      <c r="V493" s="296">
        <f>SUM(CATEGORIAS[[#This Row],[COSTO
ACUMULADO  AX]:[PROVISIONES]])</f>
        <v>0</v>
      </c>
      <c r="W493" s="298">
        <v>0</v>
      </c>
      <c r="X493" s="227"/>
      <c r="Y493" s="227"/>
      <c r="Z493" s="297">
        <f>SUM(CATEGORIAS[[#This Row],[COSTO ACUMULADO
ANTERIOR]:[PROVISIONES
ANTERIOR]])</f>
        <v>0</v>
      </c>
      <c r="AA493" s="139">
        <f>CATEGORIAS[[#This Row],[PRESUPUESTO
FINAL
PROYECTADO]]-CATEGORIAS[[#This Row],[TOTAL PRODUCCION
ACTUAL]]</f>
        <v>0</v>
      </c>
      <c r="AB493" s="227">
        <v>0</v>
      </c>
      <c r="AC493" s="132"/>
      <c r="AD493" s="132"/>
      <c r="AE493" s="226">
        <f>SUM(CATEGORIAS[[#This Row],[INVENTARIO]:[PROYECCION
DE COSTO
DEL SALDO]])</f>
        <v>0</v>
      </c>
      <c r="AF493" s="132"/>
      <c r="AG493" s="132">
        <f>+CATEGORIAS[[#This Row],[PRESUPUESTO
FINAL
PROYECTADO]]-CATEGORIAS[[#This Row],[COSTO REAL]]-CATEGORIAS[[#This Row],[PROYECCION
TOTAL DE COSTO]]</f>
        <v>0</v>
      </c>
    </row>
    <row r="494" spans="1:33" x14ac:dyDescent="0.25">
      <c r="A494" s="274">
        <f>+IFERROR(VLOOKUP(CATEGORIAS[[#This Row],[CATEGORIA2]],[1]HOMOLOGACION!$A$1:$I$571,9,FALSE),0)</f>
        <v>0</v>
      </c>
      <c r="B494" s="274">
        <f>+IFERROR(VLOOKUP(CATEGORIAS[[#This Row],[CATEGORIA2]],[1]HOMOLOGACION!$A$1:$C$571,3,FALSE),0)</f>
        <v>0</v>
      </c>
      <c r="C494" s="274">
        <f>+IFERROR(VLOOKUP(CATEGORIAS[[#This Row],[CATEGORIA2]],[1]HOMOLOGACION!$A$1:$D$571,4,FALSE),0)</f>
        <v>0</v>
      </c>
      <c r="D494" s="144" t="s">
        <v>2352</v>
      </c>
      <c r="E494" s="273" t="s">
        <v>2351</v>
      </c>
      <c r="F494" s="275" t="s">
        <v>361</v>
      </c>
      <c r="G494" s="313">
        <v>0</v>
      </c>
      <c r="H494" s="313">
        <v>0</v>
      </c>
      <c r="I494" s="130">
        <v>0</v>
      </c>
      <c r="J494" s="130"/>
      <c r="K494" s="130"/>
      <c r="L494" s="143">
        <f>CATEGORIAS[[#This Row],[ADICIONALES]]+CATEGORIAS[[#This Row],[POM]]</f>
        <v>0</v>
      </c>
      <c r="M494" s="131">
        <v>0</v>
      </c>
      <c r="N494" s="227">
        <v>0</v>
      </c>
      <c r="O494" s="296">
        <f>CATEGORIAS[[#This Row],[PRODUCCION
PARTIDAS
ORIGINALES
ACTUAL]]+CATEGORIAS[[#This Row],[PRODUCCION
ADICIONALES
ACTUAL]]</f>
        <v>0</v>
      </c>
      <c r="P494" s="227">
        <v>0</v>
      </c>
      <c r="Q494" s="132">
        <v>0</v>
      </c>
      <c r="R494" s="297">
        <f>CATEGORIAS[[#This Row],[PRODUCCION
ANTERIOR]]+CATEGORIAS[[#This Row],[PRODUCCION
ADICIONALES
ANTERIOR]]</f>
        <v>0</v>
      </c>
      <c r="S494" s="133">
        <v>0</v>
      </c>
      <c r="T494" s="133"/>
      <c r="U494" s="133"/>
      <c r="V494" s="296">
        <f>SUM(CATEGORIAS[[#This Row],[COSTO
ACUMULADO  AX]:[PROVISIONES]])</f>
        <v>0</v>
      </c>
      <c r="W494" s="298">
        <v>0</v>
      </c>
      <c r="X494" s="227"/>
      <c r="Y494" s="227"/>
      <c r="Z494" s="297">
        <f>SUM(CATEGORIAS[[#This Row],[COSTO ACUMULADO
ANTERIOR]:[PROVISIONES
ANTERIOR]])</f>
        <v>0</v>
      </c>
      <c r="AA494" s="139">
        <f>CATEGORIAS[[#This Row],[PRESUPUESTO
FINAL
PROYECTADO]]-CATEGORIAS[[#This Row],[TOTAL PRODUCCION
ACTUAL]]</f>
        <v>0</v>
      </c>
      <c r="AB494" s="227">
        <v>0</v>
      </c>
      <c r="AC494" s="132"/>
      <c r="AD494" s="132"/>
      <c r="AE494" s="226">
        <f>SUM(CATEGORIAS[[#This Row],[INVENTARIO]:[PROYECCION
DE COSTO
DEL SALDO]])</f>
        <v>0</v>
      </c>
      <c r="AF494" s="132"/>
      <c r="AG494" s="132">
        <f>+CATEGORIAS[[#This Row],[PRESUPUESTO
FINAL
PROYECTADO]]-CATEGORIAS[[#This Row],[COSTO REAL]]-CATEGORIAS[[#This Row],[PROYECCION
TOTAL DE COSTO]]</f>
        <v>0</v>
      </c>
    </row>
    <row r="495" spans="1:33" x14ac:dyDescent="0.25">
      <c r="A495" s="274">
        <f>+IFERROR(VLOOKUP(CATEGORIAS[[#This Row],[CATEGORIA2]],[1]HOMOLOGACION!$A$1:$I$571,9,FALSE),0)</f>
        <v>0</v>
      </c>
      <c r="B495" s="274">
        <f>+IFERROR(VLOOKUP(CATEGORIAS[[#This Row],[CATEGORIA2]],[1]HOMOLOGACION!$A$1:$C$571,3,FALSE),0)</f>
        <v>0</v>
      </c>
      <c r="C495" s="274">
        <f>+IFERROR(VLOOKUP(CATEGORIAS[[#This Row],[CATEGORIA2]],[1]HOMOLOGACION!$A$1:$D$571,4,FALSE),0)</f>
        <v>0</v>
      </c>
      <c r="D495" s="144" t="s">
        <v>2353</v>
      </c>
      <c r="E495" s="273" t="s">
        <v>2354</v>
      </c>
      <c r="F495" s="275" t="s">
        <v>361</v>
      </c>
      <c r="G495" s="313">
        <v>0</v>
      </c>
      <c r="H495" s="313">
        <v>0</v>
      </c>
      <c r="I495" s="130">
        <v>0</v>
      </c>
      <c r="J495" s="130"/>
      <c r="K495" s="130"/>
      <c r="L495" s="143">
        <f>CATEGORIAS[[#This Row],[ADICIONALES]]+CATEGORIAS[[#This Row],[POM]]</f>
        <v>0</v>
      </c>
      <c r="M495" s="131">
        <v>0</v>
      </c>
      <c r="N495" s="227">
        <v>0</v>
      </c>
      <c r="O495" s="296">
        <f>CATEGORIAS[[#This Row],[PRODUCCION
PARTIDAS
ORIGINALES
ACTUAL]]+CATEGORIAS[[#This Row],[PRODUCCION
ADICIONALES
ACTUAL]]</f>
        <v>0</v>
      </c>
      <c r="P495" s="227">
        <v>0</v>
      </c>
      <c r="Q495" s="227">
        <v>0</v>
      </c>
      <c r="R495" s="297">
        <f>CATEGORIAS[[#This Row],[PRODUCCION
ANTERIOR]]+CATEGORIAS[[#This Row],[PRODUCCION
ADICIONALES
ANTERIOR]]</f>
        <v>0</v>
      </c>
      <c r="S495" s="133">
        <v>0</v>
      </c>
      <c r="T495" s="133"/>
      <c r="U495" s="133"/>
      <c r="V495" s="296">
        <f>SUM(CATEGORIAS[[#This Row],[COSTO
ACUMULADO  AX]:[PROVISIONES]])</f>
        <v>0</v>
      </c>
      <c r="W495" s="298">
        <v>0</v>
      </c>
      <c r="X495" s="227"/>
      <c r="Y495" s="227"/>
      <c r="Z495" s="297">
        <f>SUM(CATEGORIAS[[#This Row],[COSTO ACUMULADO
ANTERIOR]:[PROVISIONES
ANTERIOR]])</f>
        <v>0</v>
      </c>
      <c r="AA495" s="139">
        <f>CATEGORIAS[[#This Row],[PRESUPUESTO
FINAL
PROYECTADO]]-CATEGORIAS[[#This Row],[TOTAL PRODUCCION
ACTUAL]]</f>
        <v>0</v>
      </c>
      <c r="AB495" s="227">
        <v>0</v>
      </c>
      <c r="AC495" s="132"/>
      <c r="AD495" s="132"/>
      <c r="AE495" s="226">
        <f>SUM(CATEGORIAS[[#This Row],[INVENTARIO]:[PROYECCION
DE COSTO
DEL SALDO]])</f>
        <v>0</v>
      </c>
      <c r="AF495" s="132"/>
      <c r="AG495" s="132">
        <f>+CATEGORIAS[[#This Row],[PRESUPUESTO
FINAL
PROYECTADO]]-CATEGORIAS[[#This Row],[COSTO REAL]]-CATEGORIAS[[#This Row],[PROYECCION
TOTAL DE COSTO]]</f>
        <v>0</v>
      </c>
    </row>
    <row r="496" spans="1:33" x14ac:dyDescent="0.25">
      <c r="A496" s="274">
        <f>+IFERROR(VLOOKUP(CATEGORIAS[[#This Row],[CATEGORIA2]],[1]HOMOLOGACION!$A$1:$I$571,9,FALSE),0)</f>
        <v>0</v>
      </c>
      <c r="B496" s="274">
        <f>+IFERROR(VLOOKUP(CATEGORIAS[[#This Row],[CATEGORIA2]],[1]HOMOLOGACION!$A$1:$C$571,3,FALSE),0)</f>
        <v>0</v>
      </c>
      <c r="C496" s="274">
        <f>+IFERROR(VLOOKUP(CATEGORIAS[[#This Row],[CATEGORIA2]],[1]HOMOLOGACION!$A$1:$D$571,4,FALSE),0)</f>
        <v>0</v>
      </c>
      <c r="D496" s="144" t="s">
        <v>2355</v>
      </c>
      <c r="E496" s="273" t="s">
        <v>2354</v>
      </c>
      <c r="F496" s="275" t="s">
        <v>361</v>
      </c>
      <c r="G496" s="313">
        <v>0</v>
      </c>
      <c r="H496" s="313">
        <v>0</v>
      </c>
      <c r="I496" s="130">
        <v>0</v>
      </c>
      <c r="J496" s="130"/>
      <c r="K496" s="130"/>
      <c r="L496" s="143">
        <f>CATEGORIAS[[#This Row],[ADICIONALES]]+CATEGORIAS[[#This Row],[POM]]</f>
        <v>0</v>
      </c>
      <c r="M496" s="131">
        <v>0</v>
      </c>
      <c r="N496" s="227">
        <v>0</v>
      </c>
      <c r="O496" s="296">
        <f>CATEGORIAS[[#This Row],[PRODUCCION
PARTIDAS
ORIGINALES
ACTUAL]]+CATEGORIAS[[#This Row],[PRODUCCION
ADICIONALES
ACTUAL]]</f>
        <v>0</v>
      </c>
      <c r="P496" s="227">
        <v>0</v>
      </c>
      <c r="Q496" s="227">
        <v>0</v>
      </c>
      <c r="R496" s="297">
        <f>CATEGORIAS[[#This Row],[PRODUCCION
ANTERIOR]]+CATEGORIAS[[#This Row],[PRODUCCION
ADICIONALES
ANTERIOR]]</f>
        <v>0</v>
      </c>
      <c r="S496" s="133">
        <v>0</v>
      </c>
      <c r="T496" s="133"/>
      <c r="U496" s="133"/>
      <c r="V496" s="296">
        <f>SUM(CATEGORIAS[[#This Row],[COSTO
ACUMULADO  AX]:[PROVISIONES]])</f>
        <v>0</v>
      </c>
      <c r="W496" s="298">
        <v>0</v>
      </c>
      <c r="X496" s="227"/>
      <c r="Y496" s="227"/>
      <c r="Z496" s="297">
        <f>SUM(CATEGORIAS[[#This Row],[COSTO ACUMULADO
ANTERIOR]:[PROVISIONES
ANTERIOR]])</f>
        <v>0</v>
      </c>
      <c r="AA496" s="139">
        <f>CATEGORIAS[[#This Row],[PRESUPUESTO
FINAL
PROYECTADO]]-CATEGORIAS[[#This Row],[TOTAL PRODUCCION
ACTUAL]]</f>
        <v>0</v>
      </c>
      <c r="AB496" s="227">
        <v>0</v>
      </c>
      <c r="AC496" s="132"/>
      <c r="AD496" s="132"/>
      <c r="AE496" s="226">
        <f>SUM(CATEGORIAS[[#This Row],[INVENTARIO]:[PROYECCION
DE COSTO
DEL SALDO]])</f>
        <v>0</v>
      </c>
      <c r="AF496" s="132"/>
      <c r="AG496" s="132">
        <f>+CATEGORIAS[[#This Row],[PRESUPUESTO
FINAL
PROYECTADO]]-CATEGORIAS[[#This Row],[COSTO REAL]]-CATEGORIAS[[#This Row],[PROYECCION
TOTAL DE COSTO]]</f>
        <v>0</v>
      </c>
    </row>
    <row r="497" spans="1:33" x14ac:dyDescent="0.25">
      <c r="A497" s="274">
        <f>+IFERROR(VLOOKUP(CATEGORIAS[[#This Row],[CATEGORIA2]],[1]HOMOLOGACION!$A$1:$I$571,9,FALSE),0)</f>
        <v>0</v>
      </c>
      <c r="B497" s="274">
        <f>+IFERROR(VLOOKUP(CATEGORIAS[[#This Row],[CATEGORIA2]],[1]HOMOLOGACION!$A$1:$C$571,3,FALSE),0)</f>
        <v>0</v>
      </c>
      <c r="C497" s="274">
        <f>+IFERROR(VLOOKUP(CATEGORIAS[[#This Row],[CATEGORIA2]],[1]HOMOLOGACION!$A$1:$D$571,4,FALSE),0)</f>
        <v>0</v>
      </c>
      <c r="D497" s="144" t="s">
        <v>2356</v>
      </c>
      <c r="E497" s="273" t="s">
        <v>2357</v>
      </c>
      <c r="F497" s="275" t="s">
        <v>361</v>
      </c>
      <c r="G497" s="313">
        <v>0</v>
      </c>
      <c r="H497" s="313">
        <v>0</v>
      </c>
      <c r="I497" s="130">
        <v>0</v>
      </c>
      <c r="J497" s="130"/>
      <c r="K497" s="130"/>
      <c r="L497" s="143">
        <f>CATEGORIAS[[#This Row],[ADICIONALES]]+CATEGORIAS[[#This Row],[POM]]</f>
        <v>0</v>
      </c>
      <c r="M497" s="131">
        <v>0</v>
      </c>
      <c r="N497" s="227">
        <v>0</v>
      </c>
      <c r="O497" s="296">
        <f>CATEGORIAS[[#This Row],[PRODUCCION
PARTIDAS
ORIGINALES
ACTUAL]]+CATEGORIAS[[#This Row],[PRODUCCION
ADICIONALES
ACTUAL]]</f>
        <v>0</v>
      </c>
      <c r="P497" s="227">
        <v>0</v>
      </c>
      <c r="Q497" s="132">
        <v>0</v>
      </c>
      <c r="R497" s="297">
        <f>CATEGORIAS[[#This Row],[PRODUCCION
ANTERIOR]]+CATEGORIAS[[#This Row],[PRODUCCION
ADICIONALES
ANTERIOR]]</f>
        <v>0</v>
      </c>
      <c r="S497" s="133">
        <v>0</v>
      </c>
      <c r="T497" s="133"/>
      <c r="U497" s="133"/>
      <c r="V497" s="296">
        <f>SUM(CATEGORIAS[[#This Row],[COSTO
ACUMULADO  AX]:[PROVISIONES]])</f>
        <v>0</v>
      </c>
      <c r="W497" s="298">
        <v>0</v>
      </c>
      <c r="X497" s="227"/>
      <c r="Y497" s="227"/>
      <c r="Z497" s="297">
        <f>SUM(CATEGORIAS[[#This Row],[COSTO ACUMULADO
ANTERIOR]:[PROVISIONES
ANTERIOR]])</f>
        <v>0</v>
      </c>
      <c r="AA497" s="139">
        <f>CATEGORIAS[[#This Row],[PRESUPUESTO
FINAL
PROYECTADO]]-CATEGORIAS[[#This Row],[TOTAL PRODUCCION
ACTUAL]]</f>
        <v>0</v>
      </c>
      <c r="AB497" s="227">
        <v>0</v>
      </c>
      <c r="AC497" s="132"/>
      <c r="AD497" s="132"/>
      <c r="AE497" s="226">
        <f>SUM(CATEGORIAS[[#This Row],[INVENTARIO]:[PROYECCION
DE COSTO
DEL SALDO]])</f>
        <v>0</v>
      </c>
      <c r="AF497" s="132"/>
      <c r="AG497" s="132">
        <f>+CATEGORIAS[[#This Row],[PRESUPUESTO
FINAL
PROYECTADO]]-CATEGORIAS[[#This Row],[COSTO REAL]]-CATEGORIAS[[#This Row],[PROYECCION
TOTAL DE COSTO]]</f>
        <v>0</v>
      </c>
    </row>
    <row r="498" spans="1:33" x14ac:dyDescent="0.25">
      <c r="A498" s="274">
        <f>+IFERROR(VLOOKUP(CATEGORIAS[[#This Row],[CATEGORIA2]],[1]HOMOLOGACION!$A$1:$I$571,9,FALSE),0)</f>
        <v>0</v>
      </c>
      <c r="B498" s="274">
        <f>+IFERROR(VLOOKUP(CATEGORIAS[[#This Row],[CATEGORIA2]],[1]HOMOLOGACION!$A$1:$C$571,3,FALSE),0)</f>
        <v>0</v>
      </c>
      <c r="C498" s="274">
        <f>+IFERROR(VLOOKUP(CATEGORIAS[[#This Row],[CATEGORIA2]],[1]HOMOLOGACION!$A$1:$D$571,4,FALSE),0)</f>
        <v>0</v>
      </c>
      <c r="D498" s="144" t="s">
        <v>2358</v>
      </c>
      <c r="E498" s="273" t="s">
        <v>2357</v>
      </c>
      <c r="F498" s="275" t="s">
        <v>361</v>
      </c>
      <c r="G498" s="313">
        <v>0</v>
      </c>
      <c r="H498" s="313">
        <v>0</v>
      </c>
      <c r="I498" s="130">
        <v>0</v>
      </c>
      <c r="J498" s="130"/>
      <c r="K498" s="130"/>
      <c r="L498" s="143">
        <f>CATEGORIAS[[#This Row],[ADICIONALES]]+CATEGORIAS[[#This Row],[POM]]</f>
        <v>0</v>
      </c>
      <c r="M498" s="131">
        <v>0</v>
      </c>
      <c r="N498" s="227">
        <v>0</v>
      </c>
      <c r="O498" s="296">
        <f>CATEGORIAS[[#This Row],[PRODUCCION
PARTIDAS
ORIGINALES
ACTUAL]]+CATEGORIAS[[#This Row],[PRODUCCION
ADICIONALES
ACTUAL]]</f>
        <v>0</v>
      </c>
      <c r="P498" s="227">
        <v>0</v>
      </c>
      <c r="Q498" s="227">
        <v>0</v>
      </c>
      <c r="R498" s="297">
        <f>CATEGORIAS[[#This Row],[PRODUCCION
ANTERIOR]]+CATEGORIAS[[#This Row],[PRODUCCION
ADICIONALES
ANTERIOR]]</f>
        <v>0</v>
      </c>
      <c r="S498" s="133">
        <v>0</v>
      </c>
      <c r="T498" s="133"/>
      <c r="U498" s="133"/>
      <c r="V498" s="296">
        <f>SUM(CATEGORIAS[[#This Row],[COSTO
ACUMULADO  AX]:[PROVISIONES]])</f>
        <v>0</v>
      </c>
      <c r="W498" s="298">
        <v>0</v>
      </c>
      <c r="X498" s="227"/>
      <c r="Y498" s="227"/>
      <c r="Z498" s="297">
        <f>SUM(CATEGORIAS[[#This Row],[COSTO ACUMULADO
ANTERIOR]:[PROVISIONES
ANTERIOR]])</f>
        <v>0</v>
      </c>
      <c r="AA498" s="139">
        <f>CATEGORIAS[[#This Row],[PRESUPUESTO
FINAL
PROYECTADO]]-CATEGORIAS[[#This Row],[TOTAL PRODUCCION
ACTUAL]]</f>
        <v>0</v>
      </c>
      <c r="AB498" s="227">
        <v>0</v>
      </c>
      <c r="AC498" s="132"/>
      <c r="AD498" s="132"/>
      <c r="AE498" s="226">
        <f>SUM(CATEGORIAS[[#This Row],[INVENTARIO]:[PROYECCION
DE COSTO
DEL SALDO]])</f>
        <v>0</v>
      </c>
      <c r="AF498" s="132"/>
      <c r="AG498" s="132">
        <f>+CATEGORIAS[[#This Row],[PRESUPUESTO
FINAL
PROYECTADO]]-CATEGORIAS[[#This Row],[COSTO REAL]]-CATEGORIAS[[#This Row],[PROYECCION
TOTAL DE COSTO]]</f>
        <v>0</v>
      </c>
    </row>
    <row r="499" spans="1:33" x14ac:dyDescent="0.25">
      <c r="A499" s="274" t="str">
        <f>+IFERROR(VLOOKUP(CATEGORIAS[[#This Row],[CATEGORIA2]],[1]HOMOLOGACION!$A$1:$I$571,9,FALSE),0)</f>
        <v>1Z02</v>
      </c>
      <c r="B499" s="274" t="str">
        <f>+IFERROR(VLOOKUP(CATEGORIAS[[#This Row],[CATEGORIA2]],[1]HOMOLOGACION!$A$1:$C$571,3,FALSE),0)</f>
        <v>1I05</v>
      </c>
      <c r="C499" s="274" t="str">
        <f>+IFERROR(VLOOKUP(CATEGORIAS[[#This Row],[CATEGORIA2]],[1]HOMOLOGACION!$A$1:$D$571,4,FALSE),0)</f>
        <v>Telecomunicaciones</v>
      </c>
      <c r="D499" s="144" t="s">
        <v>2201</v>
      </c>
      <c r="E499" s="273" t="s">
        <v>1291</v>
      </c>
      <c r="F499" s="275" t="s">
        <v>361</v>
      </c>
      <c r="G499" s="313">
        <v>0</v>
      </c>
      <c r="H499" s="313">
        <v>0</v>
      </c>
      <c r="I499" s="130">
        <v>0</v>
      </c>
      <c r="J499" s="130"/>
      <c r="K499" s="130"/>
      <c r="L499" s="143">
        <f>CATEGORIAS[[#This Row],[ADICIONALES]]+CATEGORIAS[[#This Row],[POM]]</f>
        <v>0</v>
      </c>
      <c r="M499" s="131">
        <v>0</v>
      </c>
      <c r="N499" s="227">
        <v>0</v>
      </c>
      <c r="O499" s="296">
        <f>CATEGORIAS[[#This Row],[PRODUCCION
PARTIDAS
ORIGINALES
ACTUAL]]+CATEGORIAS[[#This Row],[PRODUCCION
ADICIONALES
ACTUAL]]</f>
        <v>0</v>
      </c>
      <c r="P499" s="227">
        <v>0</v>
      </c>
      <c r="Q499" s="227">
        <v>0</v>
      </c>
      <c r="R499" s="297">
        <f>CATEGORIAS[[#This Row],[PRODUCCION
ANTERIOR]]+CATEGORIAS[[#This Row],[PRODUCCION
ADICIONALES
ANTERIOR]]</f>
        <v>0</v>
      </c>
      <c r="S499" s="133">
        <v>0</v>
      </c>
      <c r="T499" s="133"/>
      <c r="U499" s="133"/>
      <c r="V499" s="296">
        <f>SUM(CATEGORIAS[[#This Row],[COSTO
ACUMULADO  AX]:[PROVISIONES]])</f>
        <v>0</v>
      </c>
      <c r="W499" s="298">
        <v>0</v>
      </c>
      <c r="X499" s="227"/>
      <c r="Y499" s="227"/>
      <c r="Z499" s="297">
        <f>SUM(CATEGORIAS[[#This Row],[COSTO ACUMULADO
ANTERIOR]:[PROVISIONES
ANTERIOR]])</f>
        <v>0</v>
      </c>
      <c r="AA499" s="139">
        <f>CATEGORIAS[[#This Row],[PRESUPUESTO
FINAL
PROYECTADO]]-CATEGORIAS[[#This Row],[TOTAL PRODUCCION
ACTUAL]]</f>
        <v>0</v>
      </c>
      <c r="AB499" s="227">
        <v>0</v>
      </c>
      <c r="AC499" s="132"/>
      <c r="AD499" s="132"/>
      <c r="AE499" s="226">
        <f>SUM(CATEGORIAS[[#This Row],[INVENTARIO]:[PROYECCION
DE COSTO
DEL SALDO]])</f>
        <v>0</v>
      </c>
      <c r="AF499" s="132"/>
      <c r="AG499" s="132">
        <f>+CATEGORIAS[[#This Row],[PRESUPUESTO
FINAL
PROYECTADO]]-CATEGORIAS[[#This Row],[COSTO REAL]]-CATEGORIAS[[#This Row],[PROYECCION
TOTAL DE COSTO]]</f>
        <v>0</v>
      </c>
    </row>
    <row r="500" spans="1:33" x14ac:dyDescent="0.25">
      <c r="A500" s="274" t="str">
        <f>+IFERROR(VLOOKUP(CATEGORIAS[[#This Row],[CATEGORIA2]],[1]HOMOLOGACION!$A$1:$I$571,9,FALSE),0)</f>
        <v>1Z02</v>
      </c>
      <c r="B500" s="274" t="str">
        <f>+IFERROR(VLOOKUP(CATEGORIAS[[#This Row],[CATEGORIA2]],[1]HOMOLOGACION!$A$1:$C$571,3,FALSE),0)</f>
        <v>1I05</v>
      </c>
      <c r="C500" s="274" t="str">
        <f>+IFERROR(VLOOKUP(CATEGORIAS[[#This Row],[CATEGORIA2]],[1]HOMOLOGACION!$A$1:$D$571,4,FALSE),0)</f>
        <v>Telecomunicaciones</v>
      </c>
      <c r="D500" s="144" t="s">
        <v>2202</v>
      </c>
      <c r="E500" s="273" t="s">
        <v>1293</v>
      </c>
      <c r="F500" s="275" t="s">
        <v>361</v>
      </c>
      <c r="G500" s="313">
        <v>0</v>
      </c>
      <c r="H500" s="313">
        <v>0</v>
      </c>
      <c r="I500" s="130">
        <v>0</v>
      </c>
      <c r="J500" s="130"/>
      <c r="K500" s="130"/>
      <c r="L500" s="143">
        <f>CATEGORIAS[[#This Row],[ADICIONALES]]+CATEGORIAS[[#This Row],[POM]]</f>
        <v>0</v>
      </c>
      <c r="M500" s="131">
        <v>0</v>
      </c>
      <c r="N500" s="227">
        <v>0</v>
      </c>
      <c r="O500" s="296">
        <f>CATEGORIAS[[#This Row],[PRODUCCION
PARTIDAS
ORIGINALES
ACTUAL]]+CATEGORIAS[[#This Row],[PRODUCCION
ADICIONALES
ACTUAL]]</f>
        <v>0</v>
      </c>
      <c r="P500" s="227">
        <v>0</v>
      </c>
      <c r="Q500" s="227">
        <v>0</v>
      </c>
      <c r="R500" s="297">
        <f>CATEGORIAS[[#This Row],[PRODUCCION
ANTERIOR]]+CATEGORIAS[[#This Row],[PRODUCCION
ADICIONALES
ANTERIOR]]</f>
        <v>0</v>
      </c>
      <c r="S500" s="133">
        <v>0</v>
      </c>
      <c r="T500" s="133"/>
      <c r="U500" s="133"/>
      <c r="V500" s="296">
        <f>SUM(CATEGORIAS[[#This Row],[COSTO
ACUMULADO  AX]:[PROVISIONES]])</f>
        <v>0</v>
      </c>
      <c r="W500" s="298">
        <v>0</v>
      </c>
      <c r="X500" s="227"/>
      <c r="Y500" s="227"/>
      <c r="Z500" s="297">
        <f>SUM(CATEGORIAS[[#This Row],[COSTO ACUMULADO
ANTERIOR]:[PROVISIONES
ANTERIOR]])</f>
        <v>0</v>
      </c>
      <c r="AA500" s="139">
        <f>CATEGORIAS[[#This Row],[PRESUPUESTO
FINAL
PROYECTADO]]-CATEGORIAS[[#This Row],[TOTAL PRODUCCION
ACTUAL]]</f>
        <v>0</v>
      </c>
      <c r="AB500" s="227">
        <v>0</v>
      </c>
      <c r="AC500" s="132"/>
      <c r="AD500" s="132"/>
      <c r="AE500" s="226">
        <f>SUM(CATEGORIAS[[#This Row],[INVENTARIO]:[PROYECCION
DE COSTO
DEL SALDO]])</f>
        <v>0</v>
      </c>
      <c r="AF500" s="132"/>
      <c r="AG500" s="132">
        <f>+CATEGORIAS[[#This Row],[PRESUPUESTO
FINAL
PROYECTADO]]-CATEGORIAS[[#This Row],[COSTO REAL]]-CATEGORIAS[[#This Row],[PROYECCION
TOTAL DE COSTO]]</f>
        <v>0</v>
      </c>
    </row>
    <row r="501" spans="1:33" x14ac:dyDescent="0.25">
      <c r="A501" s="274" t="str">
        <f>+IFERROR(VLOOKUP(CATEGORIAS[[#This Row],[CATEGORIA2]],[1]HOMOLOGACION!$A$1:$I$571,9,FALSE),0)</f>
        <v>1Z02</v>
      </c>
      <c r="B501" s="274" t="str">
        <f>+IFERROR(VLOOKUP(CATEGORIAS[[#This Row],[CATEGORIA2]],[1]HOMOLOGACION!$A$1:$C$571,3,FALSE),0)</f>
        <v>1I05</v>
      </c>
      <c r="C501" s="274" t="str">
        <f>+IFERROR(VLOOKUP(CATEGORIAS[[#This Row],[CATEGORIA2]],[1]HOMOLOGACION!$A$1:$D$571,4,FALSE),0)</f>
        <v>Telecomunicaciones</v>
      </c>
      <c r="D501" s="144" t="s">
        <v>2203</v>
      </c>
      <c r="E501" s="273" t="s">
        <v>1295</v>
      </c>
      <c r="F501" s="275" t="s">
        <v>364</v>
      </c>
      <c r="G501" s="313">
        <v>3125000</v>
      </c>
      <c r="H501" s="313">
        <v>3125000</v>
      </c>
      <c r="I501" s="130">
        <v>0</v>
      </c>
      <c r="J501" s="130"/>
      <c r="K501" s="130"/>
      <c r="L501" s="143">
        <f>CATEGORIAS[[#This Row],[ADICIONALES]]+CATEGORIAS[[#This Row],[POM]]</f>
        <v>3125000</v>
      </c>
      <c r="M501" s="131">
        <v>1459473.9383277842</v>
      </c>
      <c r="N501" s="227">
        <v>0</v>
      </c>
      <c r="O501" s="296">
        <f>CATEGORIAS[[#This Row],[PRODUCCION
PARTIDAS
ORIGINALES
ACTUAL]]+CATEGORIAS[[#This Row],[PRODUCCION
ADICIONALES
ACTUAL]]</f>
        <v>1459473.9383277842</v>
      </c>
      <c r="P501" s="227">
        <v>777392.37427965924</v>
      </c>
      <c r="Q501" s="227">
        <v>0</v>
      </c>
      <c r="R501" s="297">
        <f>CATEGORIAS[[#This Row],[PRODUCCION
ANTERIOR]]+CATEGORIAS[[#This Row],[PRODUCCION
ADICIONALES
ANTERIOR]]</f>
        <v>777392.37427965924</v>
      </c>
      <c r="S501" s="133">
        <v>479028</v>
      </c>
      <c r="T501" s="133"/>
      <c r="U501" s="133"/>
      <c r="V501" s="296">
        <f>SUM(CATEGORIAS[[#This Row],[COSTO
ACUMULADO  AX]:[PROVISIONES]])</f>
        <v>479028</v>
      </c>
      <c r="W501" s="298">
        <v>314313</v>
      </c>
      <c r="X501" s="227"/>
      <c r="Y501" s="227"/>
      <c r="Z501" s="297">
        <f>SUM(CATEGORIAS[[#This Row],[COSTO ACUMULADO
ANTERIOR]:[PROVISIONES
ANTERIOR]])</f>
        <v>314313</v>
      </c>
      <c r="AA501" s="139">
        <f>CATEGORIAS[[#This Row],[PRESUPUESTO
FINAL
PROYECTADO]]-CATEGORIAS[[#This Row],[TOTAL PRODUCCION
ACTUAL]]</f>
        <v>1665526.0616722158</v>
      </c>
      <c r="AB501" s="227">
        <v>0</v>
      </c>
      <c r="AC501" s="132"/>
      <c r="AD501" s="132">
        <v>2645972</v>
      </c>
      <c r="AE501" s="226">
        <f>SUM(CATEGORIAS[[#This Row],[INVENTARIO]:[PROYECCION
DE COSTO
DEL SALDO]])</f>
        <v>2645972</v>
      </c>
      <c r="AF501" s="132"/>
      <c r="AG501" s="132">
        <f>+CATEGORIAS[[#This Row],[PRESUPUESTO
FINAL
PROYECTADO]]-CATEGORIAS[[#This Row],[COSTO REAL]]-CATEGORIAS[[#This Row],[PROYECCION
TOTAL DE COSTO]]</f>
        <v>0</v>
      </c>
    </row>
    <row r="502" spans="1:33" x14ac:dyDescent="0.25">
      <c r="A502" s="274" t="str">
        <f>+IFERROR(VLOOKUP(CATEGORIAS[[#This Row],[CATEGORIA2]],[1]HOMOLOGACION!$A$1:$I$571,9,FALSE),0)</f>
        <v>1Z02</v>
      </c>
      <c r="B502" s="274" t="str">
        <f>+IFERROR(VLOOKUP(CATEGORIAS[[#This Row],[CATEGORIA2]],[1]HOMOLOGACION!$A$1:$C$571,3,FALSE),0)</f>
        <v>1I05</v>
      </c>
      <c r="C502" s="274" t="str">
        <f>+IFERROR(VLOOKUP(CATEGORIAS[[#This Row],[CATEGORIA2]],[1]HOMOLOGACION!$A$1:$D$571,4,FALSE),0)</f>
        <v>Telecomunicaciones</v>
      </c>
      <c r="D502" s="144" t="s">
        <v>2204</v>
      </c>
      <c r="E502" s="273" t="s">
        <v>1297</v>
      </c>
      <c r="F502" s="275" t="s">
        <v>361</v>
      </c>
      <c r="G502" s="313">
        <v>0</v>
      </c>
      <c r="H502" s="313">
        <v>0</v>
      </c>
      <c r="I502" s="130">
        <v>0</v>
      </c>
      <c r="J502" s="130"/>
      <c r="K502" s="130"/>
      <c r="L502" s="143">
        <f>CATEGORIAS[[#This Row],[ADICIONALES]]+CATEGORIAS[[#This Row],[POM]]</f>
        <v>0</v>
      </c>
      <c r="M502" s="131">
        <v>0</v>
      </c>
      <c r="N502" s="227">
        <v>0</v>
      </c>
      <c r="O502" s="296">
        <f>CATEGORIAS[[#This Row],[PRODUCCION
PARTIDAS
ORIGINALES
ACTUAL]]+CATEGORIAS[[#This Row],[PRODUCCION
ADICIONALES
ACTUAL]]</f>
        <v>0</v>
      </c>
      <c r="P502" s="227">
        <v>0</v>
      </c>
      <c r="Q502" s="227">
        <v>0</v>
      </c>
      <c r="R502" s="297">
        <f>CATEGORIAS[[#This Row],[PRODUCCION
ANTERIOR]]+CATEGORIAS[[#This Row],[PRODUCCION
ADICIONALES
ANTERIOR]]</f>
        <v>0</v>
      </c>
      <c r="S502" s="133">
        <v>0</v>
      </c>
      <c r="T502" s="133"/>
      <c r="U502" s="133"/>
      <c r="V502" s="296">
        <f>SUM(CATEGORIAS[[#This Row],[COSTO
ACUMULADO  AX]:[PROVISIONES]])</f>
        <v>0</v>
      </c>
      <c r="W502" s="298">
        <v>0</v>
      </c>
      <c r="X502" s="227"/>
      <c r="Y502" s="227"/>
      <c r="Z502" s="297">
        <f>SUM(CATEGORIAS[[#This Row],[COSTO ACUMULADO
ANTERIOR]:[PROVISIONES
ANTERIOR]])</f>
        <v>0</v>
      </c>
      <c r="AA502" s="139">
        <f>CATEGORIAS[[#This Row],[PRESUPUESTO
FINAL
PROYECTADO]]-CATEGORIAS[[#This Row],[TOTAL PRODUCCION
ACTUAL]]</f>
        <v>0</v>
      </c>
      <c r="AB502" s="227">
        <v>0</v>
      </c>
      <c r="AC502" s="132"/>
      <c r="AD502" s="132"/>
      <c r="AE502" s="226">
        <f>SUM(CATEGORIAS[[#This Row],[INVENTARIO]:[PROYECCION
DE COSTO
DEL SALDO]])</f>
        <v>0</v>
      </c>
      <c r="AF502" s="132"/>
      <c r="AG502" s="132">
        <f>+CATEGORIAS[[#This Row],[PRESUPUESTO
FINAL
PROYECTADO]]-CATEGORIAS[[#This Row],[COSTO REAL]]-CATEGORIAS[[#This Row],[PROYECCION
TOTAL DE COSTO]]</f>
        <v>0</v>
      </c>
    </row>
    <row r="503" spans="1:33" x14ac:dyDescent="0.25">
      <c r="A503" s="274" t="str">
        <f>+IFERROR(VLOOKUP(CATEGORIAS[[#This Row],[CATEGORIA2]],[1]HOMOLOGACION!$A$1:$I$571,9,FALSE),0)</f>
        <v>1Z02</v>
      </c>
      <c r="B503" s="274" t="str">
        <f>+IFERROR(VLOOKUP(CATEGORIAS[[#This Row],[CATEGORIA2]],[1]HOMOLOGACION!$A$1:$C$571,3,FALSE),0)</f>
        <v>1I03</v>
      </c>
      <c r="C503" s="274" t="str">
        <f>+IFERROR(VLOOKUP(CATEGORIAS[[#This Row],[CATEGORIA2]],[1]HOMOLOGACION!$A$1:$D$571,4,FALSE),0)</f>
        <v>Internet</v>
      </c>
      <c r="D503" s="144" t="s">
        <v>2205</v>
      </c>
      <c r="E503" s="273" t="s">
        <v>295</v>
      </c>
      <c r="F503" s="275" t="s">
        <v>364</v>
      </c>
      <c r="G503" s="313">
        <v>3623408.6400000006</v>
      </c>
      <c r="H503" s="313">
        <v>3623408.6400000006</v>
      </c>
      <c r="I503" s="130">
        <v>0</v>
      </c>
      <c r="J503" s="130"/>
      <c r="K503" s="130"/>
      <c r="L503" s="143">
        <f>CATEGORIAS[[#This Row],[ADICIONALES]]+CATEGORIAS[[#This Row],[POM]]</f>
        <v>3623408.6400000006</v>
      </c>
      <c r="M503" s="131">
        <v>1692246.5529573506</v>
      </c>
      <c r="N503" s="227">
        <v>0</v>
      </c>
      <c r="O503" s="296">
        <f>CATEGORIAS[[#This Row],[PRODUCCION
PARTIDAS
ORIGINALES
ACTUAL]]+CATEGORIAS[[#This Row],[PRODUCCION
ADICIONALES
ACTUAL]]</f>
        <v>1692246.5529573506</v>
      </c>
      <c r="P503" s="227">
        <v>901379.27860320988</v>
      </c>
      <c r="Q503" s="132">
        <v>0</v>
      </c>
      <c r="R503" s="297">
        <f>CATEGORIAS[[#This Row],[PRODUCCION
ANTERIOR]]+CATEGORIAS[[#This Row],[PRODUCCION
ADICIONALES
ANTERIOR]]</f>
        <v>901379.27860320988</v>
      </c>
      <c r="S503" s="133">
        <v>29404</v>
      </c>
      <c r="T503" s="133"/>
      <c r="U503" s="133"/>
      <c r="V503" s="296">
        <f>SUM(CATEGORIAS[[#This Row],[COSTO
ACUMULADO  AX]:[PROVISIONES]])</f>
        <v>29404</v>
      </c>
      <c r="W503" s="298">
        <v>29404</v>
      </c>
      <c r="X503" s="227"/>
      <c r="Y503" s="227"/>
      <c r="Z503" s="297">
        <f>SUM(CATEGORIAS[[#This Row],[COSTO ACUMULADO
ANTERIOR]:[PROVISIONES
ANTERIOR]])</f>
        <v>29404</v>
      </c>
      <c r="AA503" s="139">
        <f>CATEGORIAS[[#This Row],[PRESUPUESTO
FINAL
PROYECTADO]]-CATEGORIAS[[#This Row],[TOTAL PRODUCCION
ACTUAL]]</f>
        <v>1931162.08704265</v>
      </c>
      <c r="AB503" s="227">
        <v>0</v>
      </c>
      <c r="AC503" s="132"/>
      <c r="AD503" s="132">
        <v>3594004.6400000006</v>
      </c>
      <c r="AE503" s="226">
        <f>SUM(CATEGORIAS[[#This Row],[INVENTARIO]:[PROYECCION
DE COSTO
DEL SALDO]])</f>
        <v>3594004.6400000006</v>
      </c>
      <c r="AF503" s="132"/>
      <c r="AG503" s="132">
        <f>+CATEGORIAS[[#This Row],[PRESUPUESTO
FINAL
PROYECTADO]]-CATEGORIAS[[#This Row],[COSTO REAL]]-CATEGORIAS[[#This Row],[PROYECCION
TOTAL DE COSTO]]</f>
        <v>0</v>
      </c>
    </row>
    <row r="504" spans="1:33" x14ac:dyDescent="0.25">
      <c r="A504" s="274" t="str">
        <f>+IFERROR(VLOOKUP(CATEGORIAS[[#This Row],[CATEGORIA2]],[1]HOMOLOGACION!$A$1:$I$571,9,FALSE),0)</f>
        <v>1Z02</v>
      </c>
      <c r="B504" s="274" t="str">
        <f>+IFERROR(VLOOKUP(CATEGORIAS[[#This Row],[CATEGORIA2]],[1]HOMOLOGACION!$A$1:$C$571,3,FALSE),0)</f>
        <v>1I03</v>
      </c>
      <c r="C504" s="274" t="str">
        <f>+IFERROR(VLOOKUP(CATEGORIAS[[#This Row],[CATEGORIA2]],[1]HOMOLOGACION!$A$1:$D$571,4,FALSE),0)</f>
        <v>Internet</v>
      </c>
      <c r="D504" s="144" t="s">
        <v>2206</v>
      </c>
      <c r="E504" s="273" t="s">
        <v>1299</v>
      </c>
      <c r="F504" s="275" t="s">
        <v>361</v>
      </c>
      <c r="G504" s="313">
        <v>0</v>
      </c>
      <c r="H504" s="313">
        <v>0</v>
      </c>
      <c r="I504" s="130">
        <v>0</v>
      </c>
      <c r="J504" s="130"/>
      <c r="K504" s="130"/>
      <c r="L504" s="143">
        <f>CATEGORIAS[[#This Row],[ADICIONALES]]+CATEGORIAS[[#This Row],[POM]]</f>
        <v>0</v>
      </c>
      <c r="M504" s="131">
        <v>0</v>
      </c>
      <c r="N504" s="227">
        <v>0</v>
      </c>
      <c r="O504" s="296">
        <f>CATEGORIAS[[#This Row],[PRODUCCION
PARTIDAS
ORIGINALES
ACTUAL]]+CATEGORIAS[[#This Row],[PRODUCCION
ADICIONALES
ACTUAL]]</f>
        <v>0</v>
      </c>
      <c r="P504" s="227">
        <v>0</v>
      </c>
      <c r="Q504" s="227">
        <v>0</v>
      </c>
      <c r="R504" s="297">
        <f>CATEGORIAS[[#This Row],[PRODUCCION
ANTERIOR]]+CATEGORIAS[[#This Row],[PRODUCCION
ADICIONALES
ANTERIOR]]</f>
        <v>0</v>
      </c>
      <c r="S504" s="133">
        <v>0</v>
      </c>
      <c r="T504" s="133"/>
      <c r="U504" s="133"/>
      <c r="V504" s="296">
        <f>SUM(CATEGORIAS[[#This Row],[COSTO
ACUMULADO  AX]:[PROVISIONES]])</f>
        <v>0</v>
      </c>
      <c r="W504" s="298">
        <v>0</v>
      </c>
      <c r="X504" s="227"/>
      <c r="Y504" s="227"/>
      <c r="Z504" s="297">
        <f>SUM(CATEGORIAS[[#This Row],[COSTO ACUMULADO
ANTERIOR]:[PROVISIONES
ANTERIOR]])</f>
        <v>0</v>
      </c>
      <c r="AA504" s="139">
        <f>CATEGORIAS[[#This Row],[PRESUPUESTO
FINAL
PROYECTADO]]-CATEGORIAS[[#This Row],[TOTAL PRODUCCION
ACTUAL]]</f>
        <v>0</v>
      </c>
      <c r="AB504" s="227">
        <v>0</v>
      </c>
      <c r="AC504" s="132"/>
      <c r="AD504" s="132"/>
      <c r="AE504" s="226">
        <f>SUM(CATEGORIAS[[#This Row],[INVENTARIO]:[PROYECCION
DE COSTO
DEL SALDO]])</f>
        <v>0</v>
      </c>
      <c r="AF504" s="132"/>
      <c r="AG504" s="132">
        <f>+CATEGORIAS[[#This Row],[PRESUPUESTO
FINAL
PROYECTADO]]-CATEGORIAS[[#This Row],[COSTO REAL]]-CATEGORIAS[[#This Row],[PROYECCION
TOTAL DE COSTO]]</f>
        <v>0</v>
      </c>
    </row>
    <row r="505" spans="1:33" x14ac:dyDescent="0.25">
      <c r="A505" s="274" t="str">
        <f>+IFERROR(VLOOKUP(CATEGORIAS[[#This Row],[CATEGORIA2]],[1]HOMOLOGACION!$A$1:$I$571,9,FALSE),0)</f>
        <v>1Z02</v>
      </c>
      <c r="B505" s="274" t="str">
        <f>+IFERROR(VLOOKUP(CATEGORIAS[[#This Row],[CATEGORIA2]],[1]HOMOLOGACION!$A$1:$C$571,3,FALSE),0)</f>
        <v>1I05</v>
      </c>
      <c r="C505" s="274" t="str">
        <f>+IFERROR(VLOOKUP(CATEGORIAS[[#This Row],[CATEGORIA2]],[1]HOMOLOGACION!$A$1:$D$571,4,FALSE),0)</f>
        <v>Telecomunicaciones</v>
      </c>
      <c r="D505" s="144" t="s">
        <v>2207</v>
      </c>
      <c r="E505" s="273" t="s">
        <v>1301</v>
      </c>
      <c r="F505" s="275" t="s">
        <v>364</v>
      </c>
      <c r="G505" s="313">
        <v>8546910.6365033966</v>
      </c>
      <c r="H505" s="313">
        <v>8546910.6365033966</v>
      </c>
      <c r="I505" s="130">
        <v>0</v>
      </c>
      <c r="J505" s="130"/>
      <c r="K505" s="130"/>
      <c r="L505" s="143">
        <f>CATEGORIAS[[#This Row],[ADICIONALES]]+CATEGORIAS[[#This Row],[POM]]</f>
        <v>8546910.6365033966</v>
      </c>
      <c r="M505" s="131">
        <v>3991677.8647018368</v>
      </c>
      <c r="N505" s="227">
        <v>0</v>
      </c>
      <c r="O505" s="296">
        <f>CATEGORIAS[[#This Row],[PRODUCCION
PARTIDAS
ORIGINALES
ACTUAL]]+CATEGORIAS[[#This Row],[PRODUCCION
ADICIONALES
ACTUAL]]</f>
        <v>3991677.8647018368</v>
      </c>
      <c r="P505" s="227">
        <v>2126177.0087895836</v>
      </c>
      <c r="Q505" s="227">
        <v>0</v>
      </c>
      <c r="R505" s="297">
        <f>CATEGORIAS[[#This Row],[PRODUCCION
ANTERIOR]]+CATEGORIAS[[#This Row],[PRODUCCION
ADICIONALES
ANTERIOR]]</f>
        <v>2126177.0087895836</v>
      </c>
      <c r="S505" s="133">
        <v>0</v>
      </c>
      <c r="T505" s="133"/>
      <c r="U505" s="133"/>
      <c r="V505" s="296">
        <f>SUM(CATEGORIAS[[#This Row],[COSTO
ACUMULADO  AX]:[PROVISIONES]])</f>
        <v>0</v>
      </c>
      <c r="W505" s="298">
        <v>0</v>
      </c>
      <c r="X505" s="227"/>
      <c r="Y505" s="227"/>
      <c r="Z505" s="297">
        <f>SUM(CATEGORIAS[[#This Row],[COSTO ACUMULADO
ANTERIOR]:[PROVISIONES
ANTERIOR]])</f>
        <v>0</v>
      </c>
      <c r="AA505" s="139">
        <f>CATEGORIAS[[#This Row],[PRESUPUESTO
FINAL
PROYECTADO]]-CATEGORIAS[[#This Row],[TOTAL PRODUCCION
ACTUAL]]</f>
        <v>4555232.7718015593</v>
      </c>
      <c r="AB505" s="227">
        <v>4660272</v>
      </c>
      <c r="AC505" s="132"/>
      <c r="AD505" s="132">
        <v>3886638.6365033966</v>
      </c>
      <c r="AE505" s="226">
        <f>SUM(CATEGORIAS[[#This Row],[INVENTARIO]:[PROYECCION
DE COSTO
DEL SALDO]])</f>
        <v>8546910.6365033966</v>
      </c>
      <c r="AF505" s="132"/>
      <c r="AG505" s="132">
        <f>+CATEGORIAS[[#This Row],[PRESUPUESTO
FINAL
PROYECTADO]]-CATEGORIAS[[#This Row],[COSTO REAL]]-CATEGORIAS[[#This Row],[PROYECCION
TOTAL DE COSTO]]</f>
        <v>0</v>
      </c>
    </row>
    <row r="506" spans="1:33" x14ac:dyDescent="0.25">
      <c r="A506" s="274" t="str">
        <f>+IFERROR(VLOOKUP(CATEGORIAS[[#This Row],[CATEGORIA2]],[1]HOMOLOGACION!$A$1:$I$571,9,FALSE),0)</f>
        <v>1Z02</v>
      </c>
      <c r="B506" s="274" t="str">
        <f>+IFERROR(VLOOKUP(CATEGORIAS[[#This Row],[CATEGORIA2]],[1]HOMOLOGACION!$A$1:$C$571,3,FALSE),0)</f>
        <v>1I05</v>
      </c>
      <c r="C506" s="274" t="str">
        <f>+IFERROR(VLOOKUP(CATEGORIAS[[#This Row],[CATEGORIA2]],[1]HOMOLOGACION!$A$1:$D$571,4,FALSE),0)</f>
        <v>Telecomunicaciones</v>
      </c>
      <c r="D506" s="144" t="s">
        <v>2208</v>
      </c>
      <c r="E506" s="273" t="s">
        <v>1303</v>
      </c>
      <c r="F506" s="275" t="s">
        <v>361</v>
      </c>
      <c r="G506" s="313">
        <v>0</v>
      </c>
      <c r="H506" s="313">
        <v>0</v>
      </c>
      <c r="I506" s="130">
        <v>0</v>
      </c>
      <c r="J506" s="130"/>
      <c r="K506" s="130"/>
      <c r="L506" s="143">
        <f>CATEGORIAS[[#This Row],[ADICIONALES]]+CATEGORIAS[[#This Row],[POM]]</f>
        <v>0</v>
      </c>
      <c r="M506" s="131">
        <v>0</v>
      </c>
      <c r="N506" s="227">
        <v>0</v>
      </c>
      <c r="O506" s="296">
        <f>CATEGORIAS[[#This Row],[PRODUCCION
PARTIDAS
ORIGINALES
ACTUAL]]+CATEGORIAS[[#This Row],[PRODUCCION
ADICIONALES
ACTUAL]]</f>
        <v>0</v>
      </c>
      <c r="P506" s="227">
        <v>0</v>
      </c>
      <c r="Q506" s="227">
        <v>0</v>
      </c>
      <c r="R506" s="297">
        <f>CATEGORIAS[[#This Row],[PRODUCCION
ANTERIOR]]+CATEGORIAS[[#This Row],[PRODUCCION
ADICIONALES
ANTERIOR]]</f>
        <v>0</v>
      </c>
      <c r="S506" s="133">
        <v>0</v>
      </c>
      <c r="T506" s="133"/>
      <c r="U506" s="133"/>
      <c r="V506" s="296">
        <f>SUM(CATEGORIAS[[#This Row],[COSTO
ACUMULADO  AX]:[PROVISIONES]])</f>
        <v>0</v>
      </c>
      <c r="W506" s="298">
        <v>0</v>
      </c>
      <c r="X506" s="227"/>
      <c r="Y506" s="227"/>
      <c r="Z506" s="297">
        <f>SUM(CATEGORIAS[[#This Row],[COSTO ACUMULADO
ANTERIOR]:[PROVISIONES
ANTERIOR]])</f>
        <v>0</v>
      </c>
      <c r="AA506" s="139">
        <f>CATEGORIAS[[#This Row],[PRESUPUESTO
FINAL
PROYECTADO]]-CATEGORIAS[[#This Row],[TOTAL PRODUCCION
ACTUAL]]</f>
        <v>0</v>
      </c>
      <c r="AB506" s="227">
        <v>0</v>
      </c>
      <c r="AC506" s="132"/>
      <c r="AD506" s="132"/>
      <c r="AE506" s="226">
        <f>SUM(CATEGORIAS[[#This Row],[INVENTARIO]:[PROYECCION
DE COSTO
DEL SALDO]])</f>
        <v>0</v>
      </c>
      <c r="AF506" s="132"/>
      <c r="AG506" s="132">
        <f>+CATEGORIAS[[#This Row],[PRESUPUESTO
FINAL
PROYECTADO]]-CATEGORIAS[[#This Row],[COSTO REAL]]-CATEGORIAS[[#This Row],[PROYECCION
TOTAL DE COSTO]]</f>
        <v>0</v>
      </c>
    </row>
    <row r="507" spans="1:33" x14ac:dyDescent="0.25">
      <c r="A507" s="274" t="str">
        <f>+IFERROR(VLOOKUP(CATEGORIAS[[#This Row],[CATEGORIA2]],[1]HOMOLOGACION!$A$1:$I$571,9,FALSE),0)</f>
        <v>1Z02</v>
      </c>
      <c r="B507" s="274" t="str">
        <f>+IFERROR(VLOOKUP(CATEGORIAS[[#This Row],[CATEGORIA2]],[1]HOMOLOGACION!$A$1:$C$571,3,FALSE),0)</f>
        <v>1I06</v>
      </c>
      <c r="C507" s="274" t="str">
        <f>+IFERROR(VLOOKUP(CATEGORIAS[[#This Row],[CATEGORIA2]],[1]HOMOLOGACION!$A$1:$D$571,4,FALSE),0)</f>
        <v>Computación y Software</v>
      </c>
      <c r="D507" s="144" t="s">
        <v>2209</v>
      </c>
      <c r="E507" s="273" t="s">
        <v>319</v>
      </c>
      <c r="F507" s="275" t="s">
        <v>364</v>
      </c>
      <c r="G507" s="313">
        <v>13568881.920000002</v>
      </c>
      <c r="H507" s="313">
        <v>13568881.920000002</v>
      </c>
      <c r="I507" s="130">
        <v>0</v>
      </c>
      <c r="J507" s="130"/>
      <c r="K507" s="130"/>
      <c r="L507" s="143">
        <f>CATEGORIAS[[#This Row],[ADICIONALES]]+CATEGORIAS[[#This Row],[POM]]</f>
        <v>13568881.920000002</v>
      </c>
      <c r="M507" s="131">
        <v>6337097.45103586</v>
      </c>
      <c r="N507" s="227">
        <v>0</v>
      </c>
      <c r="O507" s="296">
        <f>CATEGORIAS[[#This Row],[PRODUCCION
PARTIDAS
ORIGINALES
ACTUAL]]+CATEGORIAS[[#This Row],[PRODUCCION
ADICIONALES
ACTUAL]]</f>
        <v>6337097.45103586</v>
      </c>
      <c r="P507" s="227">
        <v>3375470.5062749251</v>
      </c>
      <c r="Q507" s="132">
        <v>0</v>
      </c>
      <c r="R507" s="297">
        <f>CATEGORIAS[[#This Row],[PRODUCCION
ANTERIOR]]+CATEGORIAS[[#This Row],[PRODUCCION
ADICIONALES
ANTERIOR]]</f>
        <v>3375470.5062749251</v>
      </c>
      <c r="S507" s="133">
        <v>0</v>
      </c>
      <c r="T507" s="133">
        <v>2169496.4711999996</v>
      </c>
      <c r="U507" s="133"/>
      <c r="V507" s="296">
        <f>SUM(CATEGORIAS[[#This Row],[COSTO
ACUMULADO  AX]:[PROVISIONES]])</f>
        <v>2169496.4711999996</v>
      </c>
      <c r="W507" s="298">
        <v>0</v>
      </c>
      <c r="X507" s="227">
        <v>386565</v>
      </c>
      <c r="Y507" s="227"/>
      <c r="Z507" s="297">
        <f>SUM(CATEGORIAS[[#This Row],[COSTO ACUMULADO
ANTERIOR]:[PROVISIONES
ANTERIOR]])</f>
        <v>386565</v>
      </c>
      <c r="AA507" s="139">
        <f>CATEGORIAS[[#This Row],[PRESUPUESTO
FINAL
PROYECTADO]]-CATEGORIAS[[#This Row],[TOTAL PRODUCCION
ACTUAL]]</f>
        <v>7231784.4689641418</v>
      </c>
      <c r="AB507" s="227">
        <v>427000</v>
      </c>
      <c r="AC507" s="132"/>
      <c r="AD507" s="132">
        <v>10972385.448800001</v>
      </c>
      <c r="AE507" s="226">
        <f>SUM(CATEGORIAS[[#This Row],[INVENTARIO]:[PROYECCION
DE COSTO
DEL SALDO]])</f>
        <v>11399385.448800001</v>
      </c>
      <c r="AF507" s="132"/>
      <c r="AG507" s="132">
        <f>+CATEGORIAS[[#This Row],[PRESUPUESTO
FINAL
PROYECTADO]]-CATEGORIAS[[#This Row],[COSTO REAL]]-CATEGORIAS[[#This Row],[PROYECCION
TOTAL DE COSTO]]</f>
        <v>0</v>
      </c>
    </row>
    <row r="508" spans="1:33" x14ac:dyDescent="0.25">
      <c r="A508" s="274" t="str">
        <f>+IFERROR(VLOOKUP(CATEGORIAS[[#This Row],[CATEGORIA2]],[1]HOMOLOGACION!$A$1:$I$571,9,FALSE),0)</f>
        <v>1Z02</v>
      </c>
      <c r="B508" s="274" t="str">
        <f>+IFERROR(VLOOKUP(CATEGORIAS[[#This Row],[CATEGORIA2]],[1]HOMOLOGACION!$A$1:$C$571,3,FALSE),0)</f>
        <v>1I06</v>
      </c>
      <c r="C508" s="274" t="str">
        <f>+IFERROR(VLOOKUP(CATEGORIAS[[#This Row],[CATEGORIA2]],[1]HOMOLOGACION!$A$1:$D$571,4,FALSE),0)</f>
        <v>Computación y Software</v>
      </c>
      <c r="D508" s="144" t="s">
        <v>2210</v>
      </c>
      <c r="E508" s="273" t="s">
        <v>1305</v>
      </c>
      <c r="F508" s="275" t="s">
        <v>361</v>
      </c>
      <c r="G508" s="313">
        <v>0</v>
      </c>
      <c r="H508" s="313">
        <v>0</v>
      </c>
      <c r="I508" s="130">
        <v>0</v>
      </c>
      <c r="J508" s="130"/>
      <c r="K508" s="130"/>
      <c r="L508" s="143">
        <f>CATEGORIAS[[#This Row],[ADICIONALES]]+CATEGORIAS[[#This Row],[POM]]</f>
        <v>0</v>
      </c>
      <c r="M508" s="131">
        <v>0</v>
      </c>
      <c r="N508" s="227">
        <v>0</v>
      </c>
      <c r="O508" s="296">
        <f>CATEGORIAS[[#This Row],[PRODUCCION
PARTIDAS
ORIGINALES
ACTUAL]]+CATEGORIAS[[#This Row],[PRODUCCION
ADICIONALES
ACTUAL]]</f>
        <v>0</v>
      </c>
      <c r="P508" s="227">
        <v>0</v>
      </c>
      <c r="Q508" s="227">
        <v>0</v>
      </c>
      <c r="R508" s="297">
        <f>CATEGORIAS[[#This Row],[PRODUCCION
ANTERIOR]]+CATEGORIAS[[#This Row],[PRODUCCION
ADICIONALES
ANTERIOR]]</f>
        <v>0</v>
      </c>
      <c r="S508" s="133">
        <v>0</v>
      </c>
      <c r="T508" s="133"/>
      <c r="U508" s="133"/>
      <c r="V508" s="296">
        <f>SUM(CATEGORIAS[[#This Row],[COSTO
ACUMULADO  AX]:[PROVISIONES]])</f>
        <v>0</v>
      </c>
      <c r="W508" s="298">
        <v>0</v>
      </c>
      <c r="X508" s="227"/>
      <c r="Y508" s="227"/>
      <c r="Z508" s="297">
        <f>SUM(CATEGORIAS[[#This Row],[COSTO ACUMULADO
ANTERIOR]:[PROVISIONES
ANTERIOR]])</f>
        <v>0</v>
      </c>
      <c r="AA508" s="139">
        <f>CATEGORIAS[[#This Row],[PRESUPUESTO
FINAL
PROYECTADO]]-CATEGORIAS[[#This Row],[TOTAL PRODUCCION
ACTUAL]]</f>
        <v>0</v>
      </c>
      <c r="AB508" s="227">
        <v>0</v>
      </c>
      <c r="AC508" s="132"/>
      <c r="AD508" s="132"/>
      <c r="AE508" s="226">
        <f>SUM(CATEGORIAS[[#This Row],[INVENTARIO]:[PROYECCION
DE COSTO
DEL SALDO]])</f>
        <v>0</v>
      </c>
      <c r="AF508" s="132"/>
      <c r="AG508" s="132">
        <f>+CATEGORIAS[[#This Row],[PRESUPUESTO
FINAL
PROYECTADO]]-CATEGORIAS[[#This Row],[COSTO REAL]]-CATEGORIAS[[#This Row],[PROYECCION
TOTAL DE COSTO]]</f>
        <v>0</v>
      </c>
    </row>
    <row r="509" spans="1:33" x14ac:dyDescent="0.25">
      <c r="A509" s="274" t="str">
        <f>+IFERROR(VLOOKUP(CATEGORIAS[[#This Row],[CATEGORIA2]],[1]HOMOLOGACION!$A$1:$I$571,9,FALSE),0)</f>
        <v>1Z02</v>
      </c>
      <c r="B509" s="274" t="str">
        <f>+IFERROR(VLOOKUP(CATEGORIAS[[#This Row],[CATEGORIA2]],[1]HOMOLOGACION!$A$1:$C$571,3,FALSE),0)</f>
        <v>1I06</v>
      </c>
      <c r="C509" s="274" t="str">
        <f>+IFERROR(VLOOKUP(CATEGORIAS[[#This Row],[CATEGORIA2]],[1]HOMOLOGACION!$A$1:$D$571,4,FALSE),0)</f>
        <v>Computación y Software</v>
      </c>
      <c r="D509" s="144" t="s">
        <v>2211</v>
      </c>
      <c r="E509" s="273" t="s">
        <v>1307</v>
      </c>
      <c r="F509" s="275" t="s">
        <v>364</v>
      </c>
      <c r="G509" s="313">
        <v>500000.00000000012</v>
      </c>
      <c r="H509" s="313">
        <v>500000.00000000012</v>
      </c>
      <c r="I509" s="130">
        <v>0</v>
      </c>
      <c r="J509" s="130"/>
      <c r="K509" s="130"/>
      <c r="L509" s="143">
        <f>CATEGORIAS[[#This Row],[ADICIONALES]]+CATEGORIAS[[#This Row],[POM]]</f>
        <v>500000.00000000012</v>
      </c>
      <c r="M509" s="131">
        <v>233515.8301324455</v>
      </c>
      <c r="N509" s="227">
        <v>0</v>
      </c>
      <c r="O509" s="296">
        <f>CATEGORIAS[[#This Row],[PRODUCCION
PARTIDAS
ORIGINALES
ACTUAL]]+CATEGORIAS[[#This Row],[PRODUCCION
ADICIONALES
ACTUAL]]</f>
        <v>233515.8301324455</v>
      </c>
      <c r="P509" s="227">
        <v>124382.7798847455</v>
      </c>
      <c r="Q509" s="132">
        <v>0</v>
      </c>
      <c r="R509" s="297">
        <f>CATEGORIAS[[#This Row],[PRODUCCION
ANTERIOR]]+CATEGORIAS[[#This Row],[PRODUCCION
ADICIONALES
ANTERIOR]]</f>
        <v>124382.7798847455</v>
      </c>
      <c r="S509" s="133">
        <v>0</v>
      </c>
      <c r="T509" s="133"/>
      <c r="U509" s="133"/>
      <c r="V509" s="296">
        <f>SUM(CATEGORIAS[[#This Row],[COSTO
ACUMULADO  AX]:[PROVISIONES]])</f>
        <v>0</v>
      </c>
      <c r="W509" s="298">
        <v>0</v>
      </c>
      <c r="X509" s="227"/>
      <c r="Y509" s="227"/>
      <c r="Z509" s="297">
        <f>SUM(CATEGORIAS[[#This Row],[COSTO ACUMULADO
ANTERIOR]:[PROVISIONES
ANTERIOR]])</f>
        <v>0</v>
      </c>
      <c r="AA509" s="139">
        <f>CATEGORIAS[[#This Row],[PRESUPUESTO
FINAL
PROYECTADO]]-CATEGORIAS[[#This Row],[TOTAL PRODUCCION
ACTUAL]]</f>
        <v>266484.16986755462</v>
      </c>
      <c r="AB509" s="227">
        <v>4132341</v>
      </c>
      <c r="AC509" s="132"/>
      <c r="AD509" s="132">
        <v>-3632341</v>
      </c>
      <c r="AE509" s="226">
        <f>SUM(CATEGORIAS[[#This Row],[INVENTARIO]:[PROYECCION
DE COSTO
DEL SALDO]])</f>
        <v>500000</v>
      </c>
      <c r="AF509" s="132"/>
      <c r="AG509" s="132">
        <f>+CATEGORIAS[[#This Row],[PRESUPUESTO
FINAL
PROYECTADO]]-CATEGORIAS[[#This Row],[COSTO REAL]]-CATEGORIAS[[#This Row],[PROYECCION
TOTAL DE COSTO]]</f>
        <v>0</v>
      </c>
    </row>
    <row r="510" spans="1:33" x14ac:dyDescent="0.25">
      <c r="A510" s="274" t="str">
        <f>+IFERROR(VLOOKUP(CATEGORIAS[[#This Row],[CATEGORIA2]],[1]HOMOLOGACION!$A$1:$I$571,9,FALSE),0)</f>
        <v>1Z02</v>
      </c>
      <c r="B510" s="274" t="str">
        <f>+IFERROR(VLOOKUP(CATEGORIAS[[#This Row],[CATEGORIA2]],[1]HOMOLOGACION!$A$1:$C$571,3,FALSE),0)</f>
        <v>1I06</v>
      </c>
      <c r="C510" s="274" t="str">
        <f>+IFERROR(VLOOKUP(CATEGORIAS[[#This Row],[CATEGORIA2]],[1]HOMOLOGACION!$A$1:$D$571,4,FALSE),0)</f>
        <v>Computación y Software</v>
      </c>
      <c r="D510" s="144" t="s">
        <v>2212</v>
      </c>
      <c r="E510" s="273" t="s">
        <v>1309</v>
      </c>
      <c r="F510" s="275" t="s">
        <v>361</v>
      </c>
      <c r="G510" s="313">
        <v>0</v>
      </c>
      <c r="H510" s="313">
        <v>0</v>
      </c>
      <c r="I510" s="130">
        <v>0</v>
      </c>
      <c r="J510" s="130"/>
      <c r="K510" s="130"/>
      <c r="L510" s="143">
        <f>CATEGORIAS[[#This Row],[ADICIONALES]]+CATEGORIAS[[#This Row],[POM]]</f>
        <v>0</v>
      </c>
      <c r="M510" s="131">
        <v>0</v>
      </c>
      <c r="N510" s="227">
        <v>0</v>
      </c>
      <c r="O510" s="296">
        <f>CATEGORIAS[[#This Row],[PRODUCCION
PARTIDAS
ORIGINALES
ACTUAL]]+CATEGORIAS[[#This Row],[PRODUCCION
ADICIONALES
ACTUAL]]</f>
        <v>0</v>
      </c>
      <c r="P510" s="227">
        <v>0</v>
      </c>
      <c r="Q510" s="227">
        <v>0</v>
      </c>
      <c r="R510" s="297">
        <f>CATEGORIAS[[#This Row],[PRODUCCION
ANTERIOR]]+CATEGORIAS[[#This Row],[PRODUCCION
ADICIONALES
ANTERIOR]]</f>
        <v>0</v>
      </c>
      <c r="S510" s="133">
        <v>0</v>
      </c>
      <c r="T510" s="133"/>
      <c r="U510" s="133"/>
      <c r="V510" s="296">
        <f>SUM(CATEGORIAS[[#This Row],[COSTO
ACUMULADO  AX]:[PROVISIONES]])</f>
        <v>0</v>
      </c>
      <c r="W510" s="298">
        <v>0</v>
      </c>
      <c r="X510" s="227"/>
      <c r="Y510" s="227"/>
      <c r="Z510" s="297">
        <f>SUM(CATEGORIAS[[#This Row],[COSTO ACUMULADO
ANTERIOR]:[PROVISIONES
ANTERIOR]])</f>
        <v>0</v>
      </c>
      <c r="AA510" s="139">
        <f>CATEGORIAS[[#This Row],[PRESUPUESTO
FINAL
PROYECTADO]]-CATEGORIAS[[#This Row],[TOTAL PRODUCCION
ACTUAL]]</f>
        <v>0</v>
      </c>
      <c r="AB510" s="227">
        <v>0</v>
      </c>
      <c r="AC510" s="132"/>
      <c r="AD510" s="132"/>
      <c r="AE510" s="226">
        <f>SUM(CATEGORIAS[[#This Row],[INVENTARIO]:[PROYECCION
DE COSTO
DEL SALDO]])</f>
        <v>0</v>
      </c>
      <c r="AF510" s="132"/>
      <c r="AG510" s="132">
        <f>+CATEGORIAS[[#This Row],[PRESUPUESTO
FINAL
PROYECTADO]]-CATEGORIAS[[#This Row],[COSTO REAL]]-CATEGORIAS[[#This Row],[PROYECCION
TOTAL DE COSTO]]</f>
        <v>0</v>
      </c>
    </row>
    <row r="511" spans="1:33" x14ac:dyDescent="0.25">
      <c r="A511" s="274" t="str">
        <f>+IFERROR(VLOOKUP(CATEGORIAS[[#This Row],[CATEGORIA2]],[1]HOMOLOGACION!$A$1:$I$571,9,FALSE),0)</f>
        <v>1Z02</v>
      </c>
      <c r="B511" s="274" t="str">
        <f>+IFERROR(VLOOKUP(CATEGORIAS[[#This Row],[CATEGORIA2]],[1]HOMOLOGACION!$A$1:$C$571,3,FALSE),0)</f>
        <v>1I03</v>
      </c>
      <c r="C511" s="274" t="str">
        <f>+IFERROR(VLOOKUP(CATEGORIAS[[#This Row],[CATEGORIA2]],[1]HOMOLOGACION!$A$1:$D$571,4,FALSE),0)</f>
        <v>Internet</v>
      </c>
      <c r="D511" s="144" t="s">
        <v>2213</v>
      </c>
      <c r="E511" s="273" t="s">
        <v>1311</v>
      </c>
      <c r="F511" s="275" t="s">
        <v>361</v>
      </c>
      <c r="G511" s="313">
        <v>0</v>
      </c>
      <c r="H511" s="313">
        <v>0</v>
      </c>
      <c r="I511" s="130">
        <v>0</v>
      </c>
      <c r="J511" s="130"/>
      <c r="K511" s="130"/>
      <c r="L511" s="143">
        <f>CATEGORIAS[[#This Row],[ADICIONALES]]+CATEGORIAS[[#This Row],[POM]]</f>
        <v>0</v>
      </c>
      <c r="M511" s="131">
        <v>0</v>
      </c>
      <c r="N511" s="227">
        <v>0</v>
      </c>
      <c r="O511" s="296">
        <f>CATEGORIAS[[#This Row],[PRODUCCION
PARTIDAS
ORIGINALES
ACTUAL]]+CATEGORIAS[[#This Row],[PRODUCCION
ADICIONALES
ACTUAL]]</f>
        <v>0</v>
      </c>
      <c r="P511" s="227">
        <v>0</v>
      </c>
      <c r="Q511" s="132">
        <v>0</v>
      </c>
      <c r="R511" s="297">
        <f>CATEGORIAS[[#This Row],[PRODUCCION
ANTERIOR]]+CATEGORIAS[[#This Row],[PRODUCCION
ADICIONALES
ANTERIOR]]</f>
        <v>0</v>
      </c>
      <c r="S511" s="133">
        <v>0</v>
      </c>
      <c r="T511" s="133"/>
      <c r="U511" s="133"/>
      <c r="V511" s="296">
        <f>SUM(CATEGORIAS[[#This Row],[COSTO
ACUMULADO  AX]:[PROVISIONES]])</f>
        <v>0</v>
      </c>
      <c r="W511" s="298">
        <v>0</v>
      </c>
      <c r="X511" s="227"/>
      <c r="Y511" s="227"/>
      <c r="Z511" s="297">
        <f>SUM(CATEGORIAS[[#This Row],[COSTO ACUMULADO
ANTERIOR]:[PROVISIONES
ANTERIOR]])</f>
        <v>0</v>
      </c>
      <c r="AA511" s="139">
        <f>CATEGORIAS[[#This Row],[PRESUPUESTO
FINAL
PROYECTADO]]-CATEGORIAS[[#This Row],[TOTAL PRODUCCION
ACTUAL]]</f>
        <v>0</v>
      </c>
      <c r="AB511" s="227">
        <v>0</v>
      </c>
      <c r="AC511" s="132"/>
      <c r="AD511" s="132"/>
      <c r="AE511" s="226">
        <f>SUM(CATEGORIAS[[#This Row],[INVENTARIO]:[PROYECCION
DE COSTO
DEL SALDO]])</f>
        <v>0</v>
      </c>
      <c r="AF511" s="132"/>
      <c r="AG511" s="132">
        <f>+CATEGORIAS[[#This Row],[PRESUPUESTO
FINAL
PROYECTADO]]-CATEGORIAS[[#This Row],[COSTO REAL]]-CATEGORIAS[[#This Row],[PROYECCION
TOTAL DE COSTO]]</f>
        <v>0</v>
      </c>
    </row>
    <row r="512" spans="1:33" x14ac:dyDescent="0.25">
      <c r="A512" s="274" t="str">
        <f>+IFERROR(VLOOKUP(CATEGORIAS[[#This Row],[CATEGORIA2]],[1]HOMOLOGACION!$A$1:$I$571,9,FALSE),0)</f>
        <v>1Z02</v>
      </c>
      <c r="B512" s="274" t="str">
        <f>+IFERROR(VLOOKUP(CATEGORIAS[[#This Row],[CATEGORIA2]],[1]HOMOLOGACION!$A$1:$C$571,3,FALSE),0)</f>
        <v>1I03</v>
      </c>
      <c r="C512" s="274" t="str">
        <f>+IFERROR(VLOOKUP(CATEGORIAS[[#This Row],[CATEGORIA2]],[1]HOMOLOGACION!$A$1:$D$571,4,FALSE),0)</f>
        <v>Internet</v>
      </c>
      <c r="D512" s="144" t="s">
        <v>2214</v>
      </c>
      <c r="E512" s="273" t="s">
        <v>1313</v>
      </c>
      <c r="F512" s="275" t="s">
        <v>361</v>
      </c>
      <c r="G512" s="313">
        <v>0</v>
      </c>
      <c r="H512" s="313">
        <v>0</v>
      </c>
      <c r="I512" s="130">
        <v>0</v>
      </c>
      <c r="J512" s="130"/>
      <c r="K512" s="130"/>
      <c r="L512" s="143">
        <f>CATEGORIAS[[#This Row],[ADICIONALES]]+CATEGORIAS[[#This Row],[POM]]</f>
        <v>0</v>
      </c>
      <c r="M512" s="131">
        <v>0</v>
      </c>
      <c r="N512" s="227">
        <v>0</v>
      </c>
      <c r="O512" s="296">
        <f>CATEGORIAS[[#This Row],[PRODUCCION
PARTIDAS
ORIGINALES
ACTUAL]]+CATEGORIAS[[#This Row],[PRODUCCION
ADICIONALES
ACTUAL]]</f>
        <v>0</v>
      </c>
      <c r="P512" s="227">
        <v>0</v>
      </c>
      <c r="Q512" s="227">
        <v>0</v>
      </c>
      <c r="R512" s="297">
        <f>CATEGORIAS[[#This Row],[PRODUCCION
ANTERIOR]]+CATEGORIAS[[#This Row],[PRODUCCION
ADICIONALES
ANTERIOR]]</f>
        <v>0</v>
      </c>
      <c r="S512" s="133">
        <v>0</v>
      </c>
      <c r="T512" s="133"/>
      <c r="U512" s="133"/>
      <c r="V512" s="296">
        <f>SUM(CATEGORIAS[[#This Row],[COSTO
ACUMULADO  AX]:[PROVISIONES]])</f>
        <v>0</v>
      </c>
      <c r="W512" s="298">
        <v>0</v>
      </c>
      <c r="X512" s="227"/>
      <c r="Y512" s="227"/>
      <c r="Z512" s="297">
        <f>SUM(CATEGORIAS[[#This Row],[COSTO ACUMULADO
ANTERIOR]:[PROVISIONES
ANTERIOR]])</f>
        <v>0</v>
      </c>
      <c r="AA512" s="139">
        <f>CATEGORIAS[[#This Row],[PRESUPUESTO
FINAL
PROYECTADO]]-CATEGORIAS[[#This Row],[TOTAL PRODUCCION
ACTUAL]]</f>
        <v>0</v>
      </c>
      <c r="AB512" s="227">
        <v>0</v>
      </c>
      <c r="AC512" s="132"/>
      <c r="AD512" s="132"/>
      <c r="AE512" s="226">
        <f>SUM(CATEGORIAS[[#This Row],[INVENTARIO]:[PROYECCION
DE COSTO
DEL SALDO]])</f>
        <v>0</v>
      </c>
      <c r="AF512" s="132"/>
      <c r="AG512" s="132">
        <f>+CATEGORIAS[[#This Row],[PRESUPUESTO
FINAL
PROYECTADO]]-CATEGORIAS[[#This Row],[COSTO REAL]]-CATEGORIAS[[#This Row],[PROYECCION
TOTAL DE COSTO]]</f>
        <v>0</v>
      </c>
    </row>
    <row r="513" spans="1:33" x14ac:dyDescent="0.25">
      <c r="A513" s="274" t="str">
        <f>+IFERROR(VLOOKUP(CATEGORIAS[[#This Row],[CATEGORIA2]],[1]HOMOLOGACION!$A$1:$I$571,9,FALSE),0)</f>
        <v>1Z02</v>
      </c>
      <c r="B513" s="274" t="str">
        <f>+IFERROR(VLOOKUP(CATEGORIAS[[#This Row],[CATEGORIA2]],[1]HOMOLOGACION!$A$1:$C$571,3,FALSE),0)</f>
        <v>1I06</v>
      </c>
      <c r="C513" s="274" t="str">
        <f>+IFERROR(VLOOKUP(CATEGORIAS[[#This Row],[CATEGORIA2]],[1]HOMOLOGACION!$A$1:$D$571,4,FALSE),0)</f>
        <v>Computación y Software</v>
      </c>
      <c r="D513" s="144" t="s">
        <v>2215</v>
      </c>
      <c r="E513" s="273" t="s">
        <v>1315</v>
      </c>
      <c r="F513" s="275" t="s">
        <v>361</v>
      </c>
      <c r="G513" s="313">
        <v>0</v>
      </c>
      <c r="H513" s="313">
        <v>0</v>
      </c>
      <c r="I513" s="130">
        <v>0</v>
      </c>
      <c r="J513" s="130"/>
      <c r="K513" s="130"/>
      <c r="L513" s="143">
        <f>CATEGORIAS[[#This Row],[ADICIONALES]]+CATEGORIAS[[#This Row],[POM]]</f>
        <v>0</v>
      </c>
      <c r="M513" s="131">
        <v>0</v>
      </c>
      <c r="N513" s="227">
        <v>0</v>
      </c>
      <c r="O513" s="296">
        <f>CATEGORIAS[[#This Row],[PRODUCCION
PARTIDAS
ORIGINALES
ACTUAL]]+CATEGORIAS[[#This Row],[PRODUCCION
ADICIONALES
ACTUAL]]</f>
        <v>0</v>
      </c>
      <c r="P513" s="227">
        <v>0</v>
      </c>
      <c r="Q513" s="227">
        <v>0</v>
      </c>
      <c r="R513" s="297">
        <f>CATEGORIAS[[#This Row],[PRODUCCION
ANTERIOR]]+CATEGORIAS[[#This Row],[PRODUCCION
ADICIONALES
ANTERIOR]]</f>
        <v>0</v>
      </c>
      <c r="S513" s="133">
        <v>8568714</v>
      </c>
      <c r="T513" s="133">
        <v>-8568714</v>
      </c>
      <c r="U513" s="133"/>
      <c r="V513" s="296">
        <f>SUM(CATEGORIAS[[#This Row],[COSTO
ACUMULADO  AX]:[PROVISIONES]])</f>
        <v>0</v>
      </c>
      <c r="W513" s="298">
        <v>2086756</v>
      </c>
      <c r="X513" s="227">
        <v>-2086756</v>
      </c>
      <c r="Y513" s="227"/>
      <c r="Z513" s="297">
        <f>SUM(CATEGORIAS[[#This Row],[COSTO ACUMULADO
ANTERIOR]:[PROVISIONES
ANTERIOR]])</f>
        <v>0</v>
      </c>
      <c r="AA513" s="139">
        <f>CATEGORIAS[[#This Row],[PRESUPUESTO
FINAL
PROYECTADO]]-CATEGORIAS[[#This Row],[TOTAL PRODUCCION
ACTUAL]]</f>
        <v>0</v>
      </c>
      <c r="AB513" s="227">
        <v>0</v>
      </c>
      <c r="AC513" s="132"/>
      <c r="AD513" s="132"/>
      <c r="AE513" s="226">
        <f>SUM(CATEGORIAS[[#This Row],[INVENTARIO]:[PROYECCION
DE COSTO
DEL SALDO]])</f>
        <v>0</v>
      </c>
      <c r="AF513" s="132"/>
      <c r="AG513" s="132">
        <f>+CATEGORIAS[[#This Row],[PRESUPUESTO
FINAL
PROYECTADO]]-CATEGORIAS[[#This Row],[COSTO REAL]]-CATEGORIAS[[#This Row],[PROYECCION
TOTAL DE COSTO]]</f>
        <v>0</v>
      </c>
    </row>
    <row r="514" spans="1:33" x14ac:dyDescent="0.25">
      <c r="A514" s="274" t="str">
        <f>+IFERROR(VLOOKUP(CATEGORIAS[[#This Row],[CATEGORIA2]],[1]HOMOLOGACION!$A$1:$I$571,9,FALSE),0)</f>
        <v>1Z02</v>
      </c>
      <c r="B514" s="274" t="str">
        <f>+IFERROR(VLOOKUP(CATEGORIAS[[#This Row],[CATEGORIA2]],[1]HOMOLOGACION!$A$1:$C$571,3,FALSE),0)</f>
        <v>1I06</v>
      </c>
      <c r="C514" s="274" t="str">
        <f>+IFERROR(VLOOKUP(CATEGORIAS[[#This Row],[CATEGORIA2]],[1]HOMOLOGACION!$A$1:$D$571,4,FALSE),0)</f>
        <v>Computación y Software</v>
      </c>
      <c r="D514" s="144" t="s">
        <v>2216</v>
      </c>
      <c r="E514" s="273" t="s">
        <v>1315</v>
      </c>
      <c r="F514" s="275" t="s">
        <v>361</v>
      </c>
      <c r="G514" s="313">
        <v>0</v>
      </c>
      <c r="H514" s="313">
        <v>0</v>
      </c>
      <c r="I514" s="130">
        <v>0</v>
      </c>
      <c r="J514" s="130"/>
      <c r="K514" s="130"/>
      <c r="L514" s="143">
        <f>CATEGORIAS[[#This Row],[ADICIONALES]]+CATEGORIAS[[#This Row],[POM]]</f>
        <v>0</v>
      </c>
      <c r="M514" s="131">
        <v>0</v>
      </c>
      <c r="N514" s="227">
        <v>0</v>
      </c>
      <c r="O514" s="296">
        <f>CATEGORIAS[[#This Row],[PRODUCCION
PARTIDAS
ORIGINALES
ACTUAL]]+CATEGORIAS[[#This Row],[PRODUCCION
ADICIONALES
ACTUAL]]</f>
        <v>0</v>
      </c>
      <c r="P514" s="227">
        <v>0</v>
      </c>
      <c r="Q514" s="227">
        <v>0</v>
      </c>
      <c r="R514" s="297">
        <f>CATEGORIAS[[#This Row],[PRODUCCION
ANTERIOR]]+CATEGORIAS[[#This Row],[PRODUCCION
ADICIONALES
ANTERIOR]]</f>
        <v>0</v>
      </c>
      <c r="S514" s="133">
        <v>0</v>
      </c>
      <c r="T514" s="133"/>
      <c r="U514" s="133"/>
      <c r="V514" s="296">
        <f>SUM(CATEGORIAS[[#This Row],[COSTO
ACUMULADO  AX]:[PROVISIONES]])</f>
        <v>0</v>
      </c>
      <c r="W514" s="298">
        <v>0</v>
      </c>
      <c r="X514" s="227"/>
      <c r="Y514" s="227"/>
      <c r="Z514" s="297">
        <f>SUM(CATEGORIAS[[#This Row],[COSTO ACUMULADO
ANTERIOR]:[PROVISIONES
ANTERIOR]])</f>
        <v>0</v>
      </c>
      <c r="AA514" s="139">
        <f>CATEGORIAS[[#This Row],[PRESUPUESTO
FINAL
PROYECTADO]]-CATEGORIAS[[#This Row],[TOTAL PRODUCCION
ACTUAL]]</f>
        <v>0</v>
      </c>
      <c r="AB514" s="227">
        <v>0</v>
      </c>
      <c r="AC514" s="132"/>
      <c r="AD514" s="132"/>
      <c r="AE514" s="226">
        <f>SUM(CATEGORIAS[[#This Row],[INVENTARIO]:[PROYECCION
DE COSTO
DEL SALDO]])</f>
        <v>0</v>
      </c>
      <c r="AF514" s="132"/>
      <c r="AG514" s="132">
        <f>+CATEGORIAS[[#This Row],[PRESUPUESTO
FINAL
PROYECTADO]]-CATEGORIAS[[#This Row],[COSTO REAL]]-CATEGORIAS[[#This Row],[PROYECCION
TOTAL DE COSTO]]</f>
        <v>0</v>
      </c>
    </row>
    <row r="515" spans="1:33" x14ac:dyDescent="0.25">
      <c r="A515" s="274" t="str">
        <f>+IFERROR(VLOOKUP(CATEGORIAS[[#This Row],[CATEGORIA2]],[1]HOMOLOGACION!$A$1:$I$571,9,FALSE),0)</f>
        <v>1Z02</v>
      </c>
      <c r="B515" s="274" t="str">
        <f>+IFERROR(VLOOKUP(CATEGORIAS[[#This Row],[CATEGORIA2]],[1]HOMOLOGACION!$A$1:$C$571,3,FALSE),0)</f>
        <v>1I06</v>
      </c>
      <c r="C515" s="274" t="str">
        <f>+IFERROR(VLOOKUP(CATEGORIAS[[#This Row],[CATEGORIA2]],[1]HOMOLOGACION!$A$1:$D$571,4,FALSE),0)</f>
        <v>Computación y Software</v>
      </c>
      <c r="D515" s="144" t="s">
        <v>2217</v>
      </c>
      <c r="E515" s="273" t="s">
        <v>1318</v>
      </c>
      <c r="F515" s="275" t="s">
        <v>361</v>
      </c>
      <c r="G515" s="313">
        <v>0</v>
      </c>
      <c r="H515" s="313">
        <v>0</v>
      </c>
      <c r="I515" s="130">
        <v>0</v>
      </c>
      <c r="J515" s="130"/>
      <c r="K515" s="130"/>
      <c r="L515" s="143">
        <f>CATEGORIAS[[#This Row],[ADICIONALES]]+CATEGORIAS[[#This Row],[POM]]</f>
        <v>0</v>
      </c>
      <c r="M515" s="131">
        <v>0</v>
      </c>
      <c r="N515" s="227">
        <v>0</v>
      </c>
      <c r="O515" s="296">
        <f>CATEGORIAS[[#This Row],[PRODUCCION
PARTIDAS
ORIGINALES
ACTUAL]]+CATEGORIAS[[#This Row],[PRODUCCION
ADICIONALES
ACTUAL]]</f>
        <v>0</v>
      </c>
      <c r="P515" s="227">
        <v>0</v>
      </c>
      <c r="Q515" s="132">
        <v>0</v>
      </c>
      <c r="R515" s="297">
        <f>CATEGORIAS[[#This Row],[PRODUCCION
ANTERIOR]]+CATEGORIAS[[#This Row],[PRODUCCION
ADICIONALES
ANTERIOR]]</f>
        <v>0</v>
      </c>
      <c r="S515" s="133">
        <v>0</v>
      </c>
      <c r="T515" s="133"/>
      <c r="U515" s="133"/>
      <c r="V515" s="296">
        <f>SUM(CATEGORIAS[[#This Row],[COSTO
ACUMULADO  AX]:[PROVISIONES]])</f>
        <v>0</v>
      </c>
      <c r="W515" s="298">
        <v>0</v>
      </c>
      <c r="X515" s="227"/>
      <c r="Y515" s="227"/>
      <c r="Z515" s="297">
        <f>SUM(CATEGORIAS[[#This Row],[COSTO ACUMULADO
ANTERIOR]:[PROVISIONES
ANTERIOR]])</f>
        <v>0</v>
      </c>
      <c r="AA515" s="139">
        <f>CATEGORIAS[[#This Row],[PRESUPUESTO
FINAL
PROYECTADO]]-CATEGORIAS[[#This Row],[TOTAL PRODUCCION
ACTUAL]]</f>
        <v>0</v>
      </c>
      <c r="AB515" s="227">
        <v>0</v>
      </c>
      <c r="AC515" s="132"/>
      <c r="AD515" s="132"/>
      <c r="AE515" s="226">
        <f>SUM(CATEGORIAS[[#This Row],[INVENTARIO]:[PROYECCION
DE COSTO
DEL SALDO]])</f>
        <v>0</v>
      </c>
      <c r="AF515" s="132"/>
      <c r="AG515" s="132">
        <f>+CATEGORIAS[[#This Row],[PRESUPUESTO
FINAL
PROYECTADO]]-CATEGORIAS[[#This Row],[COSTO REAL]]-CATEGORIAS[[#This Row],[PROYECCION
TOTAL DE COSTO]]</f>
        <v>0</v>
      </c>
    </row>
    <row r="516" spans="1:33" x14ac:dyDescent="0.25">
      <c r="A516" s="274" t="str">
        <f>+IFERROR(VLOOKUP(CATEGORIAS[[#This Row],[CATEGORIA2]],[1]HOMOLOGACION!$A$1:$I$571,9,FALSE),0)</f>
        <v>1Z02</v>
      </c>
      <c r="B516" s="274" t="str">
        <f>+IFERROR(VLOOKUP(CATEGORIAS[[#This Row],[CATEGORIA2]],[1]HOMOLOGACION!$A$1:$C$571,3,FALSE),0)</f>
        <v>1I06</v>
      </c>
      <c r="C516" s="274" t="str">
        <f>+IFERROR(VLOOKUP(CATEGORIAS[[#This Row],[CATEGORIA2]],[1]HOMOLOGACION!$A$1:$D$571,4,FALSE),0)</f>
        <v>Computación y Software</v>
      </c>
      <c r="D516" s="144" t="s">
        <v>2218</v>
      </c>
      <c r="E516" s="273" t="s">
        <v>1320</v>
      </c>
      <c r="F516" s="275" t="s">
        <v>361</v>
      </c>
      <c r="G516" s="313">
        <v>0</v>
      </c>
      <c r="H516" s="313">
        <v>0</v>
      </c>
      <c r="I516" s="130">
        <v>0</v>
      </c>
      <c r="J516" s="130"/>
      <c r="K516" s="130"/>
      <c r="L516" s="143">
        <f>CATEGORIAS[[#This Row],[ADICIONALES]]+CATEGORIAS[[#This Row],[POM]]</f>
        <v>0</v>
      </c>
      <c r="M516" s="131">
        <v>0</v>
      </c>
      <c r="N516" s="227">
        <v>0</v>
      </c>
      <c r="O516" s="296">
        <f>CATEGORIAS[[#This Row],[PRODUCCION
PARTIDAS
ORIGINALES
ACTUAL]]+CATEGORIAS[[#This Row],[PRODUCCION
ADICIONALES
ACTUAL]]</f>
        <v>0</v>
      </c>
      <c r="P516" s="227">
        <v>0</v>
      </c>
      <c r="Q516" s="227">
        <v>0</v>
      </c>
      <c r="R516" s="297">
        <f>CATEGORIAS[[#This Row],[PRODUCCION
ANTERIOR]]+CATEGORIAS[[#This Row],[PRODUCCION
ADICIONALES
ANTERIOR]]</f>
        <v>0</v>
      </c>
      <c r="S516" s="133">
        <v>0</v>
      </c>
      <c r="T516" s="133"/>
      <c r="U516" s="133"/>
      <c r="V516" s="296">
        <f>SUM(CATEGORIAS[[#This Row],[COSTO
ACUMULADO  AX]:[PROVISIONES]])</f>
        <v>0</v>
      </c>
      <c r="W516" s="298">
        <v>0</v>
      </c>
      <c r="X516" s="227"/>
      <c r="Y516" s="227"/>
      <c r="Z516" s="297">
        <f>SUM(CATEGORIAS[[#This Row],[COSTO ACUMULADO
ANTERIOR]:[PROVISIONES
ANTERIOR]])</f>
        <v>0</v>
      </c>
      <c r="AA516" s="139">
        <f>CATEGORIAS[[#This Row],[PRESUPUESTO
FINAL
PROYECTADO]]-CATEGORIAS[[#This Row],[TOTAL PRODUCCION
ACTUAL]]</f>
        <v>0</v>
      </c>
      <c r="AB516" s="227">
        <v>0</v>
      </c>
      <c r="AC516" s="132"/>
      <c r="AD516" s="132"/>
      <c r="AE516" s="226">
        <f>SUM(CATEGORIAS[[#This Row],[INVENTARIO]:[PROYECCION
DE COSTO
DEL SALDO]])</f>
        <v>0</v>
      </c>
      <c r="AF516" s="132"/>
      <c r="AG516" s="132">
        <f>+CATEGORIAS[[#This Row],[PRESUPUESTO
FINAL
PROYECTADO]]-CATEGORIAS[[#This Row],[COSTO REAL]]-CATEGORIAS[[#This Row],[PROYECCION
TOTAL DE COSTO]]</f>
        <v>0</v>
      </c>
    </row>
    <row r="517" spans="1:33" x14ac:dyDescent="0.25">
      <c r="A517" s="274" t="str">
        <f>+IFERROR(VLOOKUP(CATEGORIAS[[#This Row],[CATEGORIA2]],[1]HOMOLOGACION!$A$1:$I$571,9,FALSE),0)</f>
        <v>1Z02</v>
      </c>
      <c r="B517" s="274" t="str">
        <f>+IFERROR(VLOOKUP(CATEGORIAS[[#This Row],[CATEGORIA2]],[1]HOMOLOGACION!$A$1:$C$571,3,FALSE),0)</f>
        <v>1I07</v>
      </c>
      <c r="C517" s="274" t="str">
        <f>+IFERROR(VLOOKUP(CATEGORIAS[[#This Row],[CATEGORIA2]],[1]HOMOLOGACION!$A$1:$D$571,4,FALSE),0)</f>
        <v>Gastos Oficina</v>
      </c>
      <c r="D517" s="144" t="s">
        <v>2219</v>
      </c>
      <c r="E517" s="273" t="s">
        <v>1322</v>
      </c>
      <c r="F517" s="275" t="s">
        <v>364</v>
      </c>
      <c r="G517" s="313">
        <v>2100000</v>
      </c>
      <c r="H517" s="313">
        <v>2100000</v>
      </c>
      <c r="I517" s="130">
        <v>0</v>
      </c>
      <c r="J517" s="130"/>
      <c r="K517" s="130"/>
      <c r="L517" s="143">
        <f>CATEGORIAS[[#This Row],[ADICIONALES]]+CATEGORIAS[[#This Row],[POM]]</f>
        <v>2100000</v>
      </c>
      <c r="M517" s="131">
        <v>980766.48655627109</v>
      </c>
      <c r="N517" s="227">
        <v>0</v>
      </c>
      <c r="O517" s="142">
        <f>CATEGORIAS[[#This Row],[PRODUCCION
PARTIDAS
ORIGINALES
ACTUAL]]+CATEGORIAS[[#This Row],[PRODUCCION
ADICIONALES
ACTUAL]]</f>
        <v>980766.48655627109</v>
      </c>
      <c r="P517" s="227">
        <v>522407.67551593104</v>
      </c>
      <c r="Q517" s="227">
        <v>0</v>
      </c>
      <c r="R517" s="297">
        <f>CATEGORIAS[[#This Row],[PRODUCCION
ANTERIOR]]+CATEGORIAS[[#This Row],[PRODUCCION
ADICIONALES
ANTERIOR]]</f>
        <v>522407.67551593104</v>
      </c>
      <c r="S517" s="133">
        <v>404678</v>
      </c>
      <c r="T517" s="133"/>
      <c r="U517" s="133"/>
      <c r="V517" s="142">
        <f>SUM(CATEGORIAS[[#This Row],[COSTO
ACUMULADO  AX]:[PROVISIONES]])</f>
        <v>404678</v>
      </c>
      <c r="W517" s="298">
        <v>251578</v>
      </c>
      <c r="X517" s="227"/>
      <c r="Y517" s="227"/>
      <c r="Z517" s="297">
        <f>SUM(CATEGORIAS[[#This Row],[COSTO ACUMULADO
ANTERIOR]:[PROVISIONES
ANTERIOR]])</f>
        <v>251578</v>
      </c>
      <c r="AA517" s="139">
        <f>CATEGORIAS[[#This Row],[PRESUPUESTO
FINAL
PROYECTADO]]-CATEGORIAS[[#This Row],[TOTAL PRODUCCION
ACTUAL]]</f>
        <v>1119233.5134437289</v>
      </c>
      <c r="AB517" s="227">
        <v>320440</v>
      </c>
      <c r="AC517" s="132"/>
      <c r="AD517" s="132">
        <v>1374882</v>
      </c>
      <c r="AE517" s="226">
        <f>SUM(CATEGORIAS[[#This Row],[INVENTARIO]:[PROYECCION
DE COSTO
DEL SALDO]])</f>
        <v>1695322</v>
      </c>
      <c r="AF517" s="132"/>
      <c r="AG517" s="132">
        <f>+CATEGORIAS[[#This Row],[PRESUPUESTO
FINAL
PROYECTADO]]-CATEGORIAS[[#This Row],[COSTO REAL]]-CATEGORIAS[[#This Row],[PROYECCION
TOTAL DE COSTO]]</f>
        <v>0</v>
      </c>
    </row>
    <row r="518" spans="1:33" x14ac:dyDescent="0.25">
      <c r="A518" s="274" t="str">
        <f>+IFERROR(VLOOKUP(CATEGORIAS[[#This Row],[CATEGORIA2]],[1]HOMOLOGACION!$A$1:$I$571,9,FALSE),0)</f>
        <v>1Z02</v>
      </c>
      <c r="B518" s="274" t="str">
        <f>+IFERROR(VLOOKUP(CATEGORIAS[[#This Row],[CATEGORIA2]],[1]HOMOLOGACION!$A$1:$C$571,3,FALSE),0)</f>
        <v>1I07</v>
      </c>
      <c r="C518" s="274" t="str">
        <f>+IFERROR(VLOOKUP(CATEGORIAS[[#This Row],[CATEGORIA2]],[1]HOMOLOGACION!$A$1:$D$571,4,FALSE),0)</f>
        <v>Gastos Oficina</v>
      </c>
      <c r="D518" s="144" t="s">
        <v>2220</v>
      </c>
      <c r="E518" s="273" t="s">
        <v>1322</v>
      </c>
      <c r="F518" s="275" t="s">
        <v>361</v>
      </c>
      <c r="G518" s="313">
        <v>0</v>
      </c>
      <c r="H518" s="313">
        <v>0</v>
      </c>
      <c r="I518" s="130">
        <v>0</v>
      </c>
      <c r="J518" s="130"/>
      <c r="K518" s="130"/>
      <c r="L518" s="143">
        <f>CATEGORIAS[[#This Row],[ADICIONALES]]+CATEGORIAS[[#This Row],[POM]]</f>
        <v>0</v>
      </c>
      <c r="M518" s="131">
        <v>0</v>
      </c>
      <c r="N518" s="227">
        <v>0</v>
      </c>
      <c r="O518" s="296">
        <f>CATEGORIAS[[#This Row],[PRODUCCION
PARTIDAS
ORIGINALES
ACTUAL]]+CATEGORIAS[[#This Row],[PRODUCCION
ADICIONALES
ACTUAL]]</f>
        <v>0</v>
      </c>
      <c r="P518" s="227">
        <v>0</v>
      </c>
      <c r="Q518" s="227">
        <v>0</v>
      </c>
      <c r="R518" s="297">
        <f>CATEGORIAS[[#This Row],[PRODUCCION
ANTERIOR]]+CATEGORIAS[[#This Row],[PRODUCCION
ADICIONALES
ANTERIOR]]</f>
        <v>0</v>
      </c>
      <c r="S518" s="133">
        <v>0</v>
      </c>
      <c r="T518" s="133"/>
      <c r="U518" s="133"/>
      <c r="V518" s="142">
        <f>SUM(CATEGORIAS[[#This Row],[COSTO
ACUMULADO  AX]:[PROVISIONES]])</f>
        <v>0</v>
      </c>
      <c r="W518" s="298">
        <v>0</v>
      </c>
      <c r="X518" s="227"/>
      <c r="Y518" s="227"/>
      <c r="Z518" s="297">
        <f>SUM(CATEGORIAS[[#This Row],[COSTO ACUMULADO
ANTERIOR]:[PROVISIONES
ANTERIOR]])</f>
        <v>0</v>
      </c>
      <c r="AA518" s="139">
        <f>CATEGORIAS[[#This Row],[PRESUPUESTO
FINAL
PROYECTADO]]-CATEGORIAS[[#This Row],[TOTAL PRODUCCION
ACTUAL]]</f>
        <v>0</v>
      </c>
      <c r="AB518" s="227">
        <v>0</v>
      </c>
      <c r="AC518" s="132"/>
      <c r="AD518" s="132"/>
      <c r="AE518" s="226">
        <f>SUM(CATEGORIAS[[#This Row],[INVENTARIO]:[PROYECCION
DE COSTO
DEL SALDO]])</f>
        <v>0</v>
      </c>
      <c r="AF518" s="132"/>
      <c r="AG518" s="132">
        <f>+CATEGORIAS[[#This Row],[PRESUPUESTO
FINAL
PROYECTADO]]-CATEGORIAS[[#This Row],[COSTO REAL]]-CATEGORIAS[[#This Row],[PROYECCION
TOTAL DE COSTO]]</f>
        <v>0</v>
      </c>
    </row>
    <row r="519" spans="1:33" x14ac:dyDescent="0.25">
      <c r="A519" s="274" t="str">
        <f>+IFERROR(VLOOKUP(CATEGORIAS[[#This Row],[CATEGORIA2]],[1]HOMOLOGACION!$A$1:$I$571,9,FALSE),0)</f>
        <v>1Z02</v>
      </c>
      <c r="B519" s="274" t="str">
        <f>+IFERROR(VLOOKUP(CATEGORIAS[[#This Row],[CATEGORIA2]],[1]HOMOLOGACION!$A$1:$C$571,3,FALSE),0)</f>
        <v>1I10</v>
      </c>
      <c r="C519" s="274" t="str">
        <f>+IFERROR(VLOOKUP(CATEGORIAS[[#This Row],[CATEGORIA2]],[1]HOMOLOGACION!$A$1:$D$571,4,FALSE),0)</f>
        <v>Agua y café Oficina</v>
      </c>
      <c r="D519" s="144" t="s">
        <v>2221</v>
      </c>
      <c r="E519" s="273" t="s">
        <v>1325</v>
      </c>
      <c r="F519" s="275" t="s">
        <v>364</v>
      </c>
      <c r="G519" s="313">
        <v>5059733.6079545459</v>
      </c>
      <c r="H519" s="313">
        <v>5059733.6079545459</v>
      </c>
      <c r="I519" s="130">
        <v>0</v>
      </c>
      <c r="J519" s="130"/>
      <c r="K519" s="130"/>
      <c r="L519" s="143">
        <f>CATEGORIAS[[#This Row],[ADICIONALES]]+CATEGORIAS[[#This Row],[POM]]</f>
        <v>5059733.6079545459</v>
      </c>
      <c r="M519" s="131">
        <v>2363055.7874210784</v>
      </c>
      <c r="N519" s="227">
        <v>0</v>
      </c>
      <c r="O519" s="142">
        <f>CATEGORIAS[[#This Row],[PRODUCCION
PARTIDAS
ORIGINALES
ACTUAL]]+CATEGORIAS[[#This Row],[PRODUCCION
ADICIONALES
ACTUAL]]</f>
        <v>2363055.7874210784</v>
      </c>
      <c r="P519" s="227">
        <v>1258687.4632673187</v>
      </c>
      <c r="Q519" s="227">
        <v>0</v>
      </c>
      <c r="R519" s="297">
        <f>CATEGORIAS[[#This Row],[PRODUCCION
ANTERIOR]]+CATEGORIAS[[#This Row],[PRODUCCION
ADICIONALES
ANTERIOR]]</f>
        <v>1258687.4632673187</v>
      </c>
      <c r="S519" s="133">
        <v>2375100</v>
      </c>
      <c r="T519" s="133"/>
      <c r="U519" s="133"/>
      <c r="V519" s="142">
        <f>SUM(CATEGORIAS[[#This Row],[COSTO
ACUMULADO  AX]:[PROVISIONES]])</f>
        <v>2375100</v>
      </c>
      <c r="W519" s="298">
        <v>1421000</v>
      </c>
      <c r="X519" s="227"/>
      <c r="Y519" s="227"/>
      <c r="Z519" s="297">
        <f>SUM(CATEGORIAS[[#This Row],[COSTO ACUMULADO
ANTERIOR]:[PROVISIONES
ANTERIOR]])</f>
        <v>1421000</v>
      </c>
      <c r="AA519" s="139">
        <f>CATEGORIAS[[#This Row],[PRESUPUESTO
FINAL
PROYECTADO]]-CATEGORIAS[[#This Row],[TOTAL PRODUCCION
ACTUAL]]</f>
        <v>2696677.8205334675</v>
      </c>
      <c r="AB519" s="227">
        <v>0</v>
      </c>
      <c r="AC519" s="132"/>
      <c r="AD519" s="132">
        <v>2684633.6079545459</v>
      </c>
      <c r="AE519" s="226">
        <f>SUM(CATEGORIAS[[#This Row],[INVENTARIO]:[PROYECCION
DE COSTO
DEL SALDO]])</f>
        <v>2684633.6079545459</v>
      </c>
      <c r="AF519" s="132"/>
      <c r="AG519" s="132">
        <f>+CATEGORIAS[[#This Row],[PRESUPUESTO
FINAL
PROYECTADO]]-CATEGORIAS[[#This Row],[COSTO REAL]]-CATEGORIAS[[#This Row],[PROYECCION
TOTAL DE COSTO]]</f>
        <v>0</v>
      </c>
    </row>
    <row r="520" spans="1:33" x14ac:dyDescent="0.25">
      <c r="A520" s="274" t="str">
        <f>+IFERROR(VLOOKUP(CATEGORIAS[[#This Row],[CATEGORIA2]],[1]HOMOLOGACION!$A$1:$I$571,9,FALSE),0)</f>
        <v>1Z02</v>
      </c>
      <c r="B520" s="274" t="str">
        <f>+IFERROR(VLOOKUP(CATEGORIAS[[#This Row],[CATEGORIA2]],[1]HOMOLOGACION!$A$1:$C$571,3,FALSE),0)</f>
        <v>1I10</v>
      </c>
      <c r="C520" s="274" t="str">
        <f>+IFERROR(VLOOKUP(CATEGORIAS[[#This Row],[CATEGORIA2]],[1]HOMOLOGACION!$A$1:$D$571,4,FALSE),0)</f>
        <v>Agua y café Oficina</v>
      </c>
      <c r="D520" s="144" t="s">
        <v>2222</v>
      </c>
      <c r="E520" s="273" t="s">
        <v>1327</v>
      </c>
      <c r="F520" s="275" t="s">
        <v>361</v>
      </c>
      <c r="G520" s="313">
        <v>0</v>
      </c>
      <c r="H520" s="313">
        <v>0</v>
      </c>
      <c r="I520" s="130">
        <v>0</v>
      </c>
      <c r="J520" s="130"/>
      <c r="K520" s="130"/>
      <c r="L520" s="143">
        <f>CATEGORIAS[[#This Row],[ADICIONALES]]+CATEGORIAS[[#This Row],[POM]]</f>
        <v>0</v>
      </c>
      <c r="M520" s="131">
        <v>0</v>
      </c>
      <c r="N520" s="227">
        <v>0</v>
      </c>
      <c r="O520" s="142">
        <f>CATEGORIAS[[#This Row],[PRODUCCION
PARTIDAS
ORIGINALES
ACTUAL]]+CATEGORIAS[[#This Row],[PRODUCCION
ADICIONALES
ACTUAL]]</f>
        <v>0</v>
      </c>
      <c r="P520" s="227">
        <v>0</v>
      </c>
      <c r="Q520" s="227">
        <v>0</v>
      </c>
      <c r="R520" s="297">
        <f>CATEGORIAS[[#This Row],[PRODUCCION
ANTERIOR]]+CATEGORIAS[[#This Row],[PRODUCCION
ADICIONALES
ANTERIOR]]</f>
        <v>0</v>
      </c>
      <c r="S520" s="133">
        <v>0</v>
      </c>
      <c r="T520" s="133"/>
      <c r="U520" s="133"/>
      <c r="V520" s="142">
        <f>SUM(CATEGORIAS[[#This Row],[COSTO
ACUMULADO  AX]:[PROVISIONES]])</f>
        <v>0</v>
      </c>
      <c r="W520" s="298">
        <v>0</v>
      </c>
      <c r="X520" s="227"/>
      <c r="Y520" s="227"/>
      <c r="Z520" s="297">
        <f>SUM(CATEGORIAS[[#This Row],[COSTO ACUMULADO
ANTERIOR]:[PROVISIONES
ANTERIOR]])</f>
        <v>0</v>
      </c>
      <c r="AA520" s="139">
        <f>CATEGORIAS[[#This Row],[PRESUPUESTO
FINAL
PROYECTADO]]-CATEGORIAS[[#This Row],[TOTAL PRODUCCION
ACTUAL]]</f>
        <v>0</v>
      </c>
      <c r="AB520" s="227">
        <v>0</v>
      </c>
      <c r="AC520" s="132"/>
      <c r="AD520" s="132"/>
      <c r="AE520" s="226">
        <f>SUM(CATEGORIAS[[#This Row],[INVENTARIO]:[PROYECCION
DE COSTO
DEL SALDO]])</f>
        <v>0</v>
      </c>
      <c r="AF520" s="132"/>
      <c r="AG520" s="132">
        <f>+CATEGORIAS[[#This Row],[PRESUPUESTO
FINAL
PROYECTADO]]-CATEGORIAS[[#This Row],[COSTO REAL]]-CATEGORIAS[[#This Row],[PROYECCION
TOTAL DE COSTO]]</f>
        <v>0</v>
      </c>
    </row>
    <row r="521" spans="1:33" x14ac:dyDescent="0.25">
      <c r="A521" s="274" t="str">
        <f>+IFERROR(VLOOKUP(CATEGORIAS[[#This Row],[CATEGORIA2]],[1]HOMOLOGACION!$A$1:$I$571,9,FALSE),0)</f>
        <v>1Z02</v>
      </c>
      <c r="B521" s="274" t="str">
        <f>+IFERROR(VLOOKUP(CATEGORIAS[[#This Row],[CATEGORIA2]],[1]HOMOLOGACION!$A$1:$C$571,3,FALSE),0)</f>
        <v>1I07</v>
      </c>
      <c r="C521" s="274" t="str">
        <f>+IFERROR(VLOOKUP(CATEGORIAS[[#This Row],[CATEGORIA2]],[1]HOMOLOGACION!$A$1:$D$571,4,FALSE),0)</f>
        <v>Gastos Oficina</v>
      </c>
      <c r="D521" s="144" t="s">
        <v>2223</v>
      </c>
      <c r="E521" s="273" t="s">
        <v>1329</v>
      </c>
      <c r="F521" s="275" t="s">
        <v>361</v>
      </c>
      <c r="G521" s="313">
        <v>0</v>
      </c>
      <c r="H521" s="313">
        <v>0</v>
      </c>
      <c r="I521" s="130">
        <v>0</v>
      </c>
      <c r="J521" s="130"/>
      <c r="K521" s="130"/>
      <c r="L521" s="143">
        <f>CATEGORIAS[[#This Row],[ADICIONALES]]+CATEGORIAS[[#This Row],[POM]]</f>
        <v>0</v>
      </c>
      <c r="M521" s="131">
        <v>0</v>
      </c>
      <c r="N521" s="227">
        <v>0</v>
      </c>
      <c r="O521" s="142">
        <f>CATEGORIAS[[#This Row],[PRODUCCION
PARTIDAS
ORIGINALES
ACTUAL]]+CATEGORIAS[[#This Row],[PRODUCCION
ADICIONALES
ACTUAL]]</f>
        <v>0</v>
      </c>
      <c r="P521" s="227">
        <v>0</v>
      </c>
      <c r="Q521" s="227">
        <v>0</v>
      </c>
      <c r="R521" s="297">
        <f>CATEGORIAS[[#This Row],[PRODUCCION
ANTERIOR]]+CATEGORIAS[[#This Row],[PRODUCCION
ADICIONALES
ANTERIOR]]</f>
        <v>0</v>
      </c>
      <c r="S521" s="133">
        <v>0</v>
      </c>
      <c r="T521" s="133"/>
      <c r="U521" s="133"/>
      <c r="V521" s="142">
        <f>SUM(CATEGORIAS[[#This Row],[COSTO
ACUMULADO  AX]:[PROVISIONES]])</f>
        <v>0</v>
      </c>
      <c r="W521" s="298">
        <v>0</v>
      </c>
      <c r="X521" s="227"/>
      <c r="Y521" s="227"/>
      <c r="Z521" s="297">
        <f>SUM(CATEGORIAS[[#This Row],[COSTO ACUMULADO
ANTERIOR]:[PROVISIONES
ANTERIOR]])</f>
        <v>0</v>
      </c>
      <c r="AA521" s="139">
        <f>CATEGORIAS[[#This Row],[PRESUPUESTO
FINAL
PROYECTADO]]-CATEGORIAS[[#This Row],[TOTAL PRODUCCION
ACTUAL]]</f>
        <v>0</v>
      </c>
      <c r="AB521" s="227">
        <v>0</v>
      </c>
      <c r="AC521" s="132"/>
      <c r="AD521" s="132"/>
      <c r="AE521" s="226">
        <f>SUM(CATEGORIAS[[#This Row],[INVENTARIO]:[PROYECCION
DE COSTO
DEL SALDO]])</f>
        <v>0</v>
      </c>
      <c r="AF521" s="132"/>
      <c r="AG521" s="132">
        <f>+CATEGORIAS[[#This Row],[PRESUPUESTO
FINAL
PROYECTADO]]-CATEGORIAS[[#This Row],[COSTO REAL]]-CATEGORIAS[[#This Row],[PROYECCION
TOTAL DE COSTO]]</f>
        <v>0</v>
      </c>
    </row>
    <row r="522" spans="1:33" x14ac:dyDescent="0.25">
      <c r="A522" s="274" t="str">
        <f>+IFERROR(VLOOKUP(CATEGORIAS[[#This Row],[CATEGORIA2]],[1]HOMOLOGACION!$A$1:$I$571,9,FALSE),0)</f>
        <v>1Z02</v>
      </c>
      <c r="B522" s="274" t="str">
        <f>+IFERROR(VLOOKUP(CATEGORIAS[[#This Row],[CATEGORIA2]],[1]HOMOLOGACION!$A$1:$C$571,3,FALSE),0)</f>
        <v>1I07</v>
      </c>
      <c r="C522" s="274" t="str">
        <f>+IFERROR(VLOOKUP(CATEGORIAS[[#This Row],[CATEGORIA2]],[1]HOMOLOGACION!$A$1:$D$571,4,FALSE),0)</f>
        <v>Gastos Oficina</v>
      </c>
      <c r="D522" s="144" t="s">
        <v>2224</v>
      </c>
      <c r="E522" s="273" t="s">
        <v>1331</v>
      </c>
      <c r="F522" s="275" t="s">
        <v>361</v>
      </c>
      <c r="G522" s="313">
        <v>0</v>
      </c>
      <c r="H522" s="313">
        <v>0</v>
      </c>
      <c r="I522" s="130">
        <v>0</v>
      </c>
      <c r="J522" s="130"/>
      <c r="K522" s="130"/>
      <c r="L522" s="143">
        <f>CATEGORIAS[[#This Row],[ADICIONALES]]+CATEGORIAS[[#This Row],[POM]]</f>
        <v>0</v>
      </c>
      <c r="M522" s="131">
        <v>0</v>
      </c>
      <c r="N522" s="227">
        <v>0</v>
      </c>
      <c r="O522" s="296">
        <f>CATEGORIAS[[#This Row],[PRODUCCION
PARTIDAS
ORIGINALES
ACTUAL]]+CATEGORIAS[[#This Row],[PRODUCCION
ADICIONALES
ACTUAL]]</f>
        <v>0</v>
      </c>
      <c r="P522" s="227">
        <v>0</v>
      </c>
      <c r="Q522" s="227">
        <v>0</v>
      </c>
      <c r="R522" s="297">
        <f>CATEGORIAS[[#This Row],[PRODUCCION
ANTERIOR]]+CATEGORIAS[[#This Row],[PRODUCCION
ADICIONALES
ANTERIOR]]</f>
        <v>0</v>
      </c>
      <c r="S522" s="133">
        <v>0</v>
      </c>
      <c r="T522" s="133"/>
      <c r="U522" s="133"/>
      <c r="V522" s="142">
        <f>SUM(CATEGORIAS[[#This Row],[COSTO
ACUMULADO  AX]:[PROVISIONES]])</f>
        <v>0</v>
      </c>
      <c r="W522" s="298">
        <v>0</v>
      </c>
      <c r="X522" s="227"/>
      <c r="Y522" s="227"/>
      <c r="Z522" s="297">
        <f>SUM(CATEGORIAS[[#This Row],[COSTO ACUMULADO
ANTERIOR]:[PROVISIONES
ANTERIOR]])</f>
        <v>0</v>
      </c>
      <c r="AA522" s="139">
        <f>CATEGORIAS[[#This Row],[PRESUPUESTO
FINAL
PROYECTADO]]-CATEGORIAS[[#This Row],[TOTAL PRODUCCION
ACTUAL]]</f>
        <v>0</v>
      </c>
      <c r="AB522" s="227">
        <v>0</v>
      </c>
      <c r="AC522" s="132"/>
      <c r="AD522" s="132"/>
      <c r="AE522" s="226">
        <f>SUM(CATEGORIAS[[#This Row],[INVENTARIO]:[PROYECCION
DE COSTO
DEL SALDO]])</f>
        <v>0</v>
      </c>
      <c r="AF522" s="132"/>
      <c r="AG522" s="132">
        <f>+CATEGORIAS[[#This Row],[PRESUPUESTO
FINAL
PROYECTADO]]-CATEGORIAS[[#This Row],[COSTO REAL]]-CATEGORIAS[[#This Row],[PROYECCION
TOTAL DE COSTO]]</f>
        <v>0</v>
      </c>
    </row>
    <row r="523" spans="1:33" x14ac:dyDescent="0.25">
      <c r="A523" s="274" t="str">
        <f>+IFERROR(VLOOKUP(CATEGORIAS[[#This Row],[CATEGORIA2]],[1]HOMOLOGACION!$A$1:$I$571,9,FALSE),0)</f>
        <v>1Z02</v>
      </c>
      <c r="B523" s="274" t="str">
        <f>+IFERROR(VLOOKUP(CATEGORIAS[[#This Row],[CATEGORIA2]],[1]HOMOLOGACION!$A$1:$C$571,3,FALSE),0)</f>
        <v>1I07</v>
      </c>
      <c r="C523" s="274" t="str">
        <f>+IFERROR(VLOOKUP(CATEGORIAS[[#This Row],[CATEGORIA2]],[1]HOMOLOGACION!$A$1:$D$571,4,FALSE),0)</f>
        <v>Gastos Oficina</v>
      </c>
      <c r="D523" s="144" t="s">
        <v>2225</v>
      </c>
      <c r="E523" s="273" t="s">
        <v>1333</v>
      </c>
      <c r="F523" s="275" t="s">
        <v>364</v>
      </c>
      <c r="G523" s="313">
        <v>4070090.2575000012</v>
      </c>
      <c r="H523" s="313">
        <v>4070090.2575000012</v>
      </c>
      <c r="I523" s="130">
        <v>0</v>
      </c>
      <c r="J523" s="130"/>
      <c r="K523" s="130"/>
      <c r="L523" s="143">
        <f>CATEGORIAS[[#This Row],[ADICIONALES]]+CATEGORIAS[[#This Row],[POM]]</f>
        <v>4070090.2575000012</v>
      </c>
      <c r="M523" s="131">
        <v>560437.99231786921</v>
      </c>
      <c r="N523" s="227">
        <v>0</v>
      </c>
      <c r="O523" s="142">
        <f>CATEGORIAS[[#This Row],[PRODUCCION
PARTIDAS
ORIGINALES
ACTUAL]]+CATEGORIAS[[#This Row],[PRODUCCION
ADICIONALES
ACTUAL]]</f>
        <v>560437.99231786921</v>
      </c>
      <c r="P523" s="227">
        <v>298518.67172338918</v>
      </c>
      <c r="Q523" s="227">
        <v>0</v>
      </c>
      <c r="R523" s="297">
        <f>CATEGORIAS[[#This Row],[PRODUCCION
ANTERIOR]]+CATEGORIAS[[#This Row],[PRODUCCION
ADICIONALES
ANTERIOR]]</f>
        <v>298518.67172338918</v>
      </c>
      <c r="S523" s="133">
        <v>3686533</v>
      </c>
      <c r="T523" s="133"/>
      <c r="U523" s="133"/>
      <c r="V523" s="296">
        <f>SUM(CATEGORIAS[[#This Row],[COSTO
ACUMULADO  AX]:[PROVISIONES]])</f>
        <v>3686533</v>
      </c>
      <c r="W523" s="298">
        <v>3221545</v>
      </c>
      <c r="X523" s="227"/>
      <c r="Y523" s="227"/>
      <c r="Z523" s="297">
        <f>SUM(CATEGORIAS[[#This Row],[COSTO ACUMULADO
ANTERIOR]:[PROVISIONES
ANTERIOR]])</f>
        <v>3221545</v>
      </c>
      <c r="AA523" s="139">
        <f>CATEGORIAS[[#This Row],[PRESUPUESTO
FINAL
PROYECTADO]]-CATEGORIAS[[#This Row],[TOTAL PRODUCCION
ACTUAL]]</f>
        <v>3509652.2651821319</v>
      </c>
      <c r="AB523" s="227">
        <v>1569428</v>
      </c>
      <c r="AC523" s="132"/>
      <c r="AD523" s="132">
        <v>-1185870.7424999988</v>
      </c>
      <c r="AE523" s="226">
        <f>SUM(CATEGORIAS[[#This Row],[INVENTARIO]:[PROYECCION
DE COSTO
DEL SALDO]])</f>
        <v>383557.25750000123</v>
      </c>
      <c r="AF523" s="132"/>
      <c r="AG523" s="132">
        <f>+CATEGORIAS[[#This Row],[PRESUPUESTO
FINAL
PROYECTADO]]-CATEGORIAS[[#This Row],[COSTO REAL]]-CATEGORIAS[[#This Row],[PROYECCION
TOTAL DE COSTO]]</f>
        <v>0</v>
      </c>
    </row>
    <row r="524" spans="1:33" x14ac:dyDescent="0.25">
      <c r="A524" s="274" t="str">
        <f>+IFERROR(VLOOKUP(CATEGORIAS[[#This Row],[CATEGORIA2]],[1]HOMOLOGACION!$A$1:$I$571,9,FALSE),0)</f>
        <v>1Z02</v>
      </c>
      <c r="B524" s="274" t="str">
        <f>+IFERROR(VLOOKUP(CATEGORIAS[[#This Row],[CATEGORIA2]],[1]HOMOLOGACION!$A$1:$C$571,3,FALSE),0)</f>
        <v>1I07</v>
      </c>
      <c r="C524" s="274" t="str">
        <f>+IFERROR(VLOOKUP(CATEGORIAS[[#This Row],[CATEGORIA2]],[1]HOMOLOGACION!$A$1:$D$571,4,FALSE),0)</f>
        <v>Gastos Oficina</v>
      </c>
      <c r="D524" s="144" t="s">
        <v>2226</v>
      </c>
      <c r="E524" s="273" t="s">
        <v>1335</v>
      </c>
      <c r="F524" s="275" t="s">
        <v>361</v>
      </c>
      <c r="G524" s="313">
        <v>0</v>
      </c>
      <c r="H524" s="313">
        <v>0</v>
      </c>
      <c r="I524" s="130">
        <v>0</v>
      </c>
      <c r="J524" s="130"/>
      <c r="K524" s="130"/>
      <c r="L524" s="143">
        <f>CATEGORIAS[[#This Row],[ADICIONALES]]+CATEGORIAS[[#This Row],[POM]]</f>
        <v>0</v>
      </c>
      <c r="M524" s="131">
        <v>0</v>
      </c>
      <c r="N524" s="227">
        <v>0</v>
      </c>
      <c r="O524" s="296">
        <f>CATEGORIAS[[#This Row],[PRODUCCION
PARTIDAS
ORIGINALES
ACTUAL]]+CATEGORIAS[[#This Row],[PRODUCCION
ADICIONALES
ACTUAL]]</f>
        <v>0</v>
      </c>
      <c r="P524" s="227">
        <v>0</v>
      </c>
      <c r="Q524" s="227">
        <v>0</v>
      </c>
      <c r="R524" s="297">
        <f>CATEGORIAS[[#This Row],[PRODUCCION
ANTERIOR]]+CATEGORIAS[[#This Row],[PRODUCCION
ADICIONALES
ANTERIOR]]</f>
        <v>0</v>
      </c>
      <c r="S524" s="133">
        <v>0</v>
      </c>
      <c r="T524" s="133"/>
      <c r="U524" s="133"/>
      <c r="V524" s="296">
        <f>SUM(CATEGORIAS[[#This Row],[COSTO
ACUMULADO  AX]:[PROVISIONES]])</f>
        <v>0</v>
      </c>
      <c r="W524" s="298">
        <v>0</v>
      </c>
      <c r="X524" s="227"/>
      <c r="Y524" s="227"/>
      <c r="Z524" s="297">
        <f>SUM(CATEGORIAS[[#This Row],[COSTO ACUMULADO
ANTERIOR]:[PROVISIONES
ANTERIOR]])</f>
        <v>0</v>
      </c>
      <c r="AA524" s="139">
        <f>CATEGORIAS[[#This Row],[PRESUPUESTO
FINAL
PROYECTADO]]-CATEGORIAS[[#This Row],[TOTAL PRODUCCION
ACTUAL]]</f>
        <v>0</v>
      </c>
      <c r="AB524" s="227">
        <v>0</v>
      </c>
      <c r="AC524" s="132"/>
      <c r="AD524" s="132"/>
      <c r="AE524" s="226">
        <f>SUM(CATEGORIAS[[#This Row],[INVENTARIO]:[PROYECCION
DE COSTO
DEL SALDO]])</f>
        <v>0</v>
      </c>
      <c r="AF524" s="132"/>
      <c r="AG524" s="132">
        <f>+CATEGORIAS[[#This Row],[PRESUPUESTO
FINAL
PROYECTADO]]-CATEGORIAS[[#This Row],[COSTO REAL]]-CATEGORIAS[[#This Row],[PROYECCION
TOTAL DE COSTO]]</f>
        <v>0</v>
      </c>
    </row>
    <row r="525" spans="1:33" x14ac:dyDescent="0.25">
      <c r="A525" s="274" t="str">
        <f>+IFERROR(VLOOKUP(CATEGORIAS[[#This Row],[CATEGORIA2]],[1]HOMOLOGACION!$A$1:$I$571,9,FALSE),0)</f>
        <v>1Y11</v>
      </c>
      <c r="B525" s="274" t="str">
        <f>+IFERROR(VLOOKUP(CATEGORIAS[[#This Row],[CATEGORIA2]],[1]HOMOLOGACION!$A$1:$C$571,3,FALSE),0)</f>
        <v>1I09</v>
      </c>
      <c r="C525" s="274" t="str">
        <f>+IFERROR(VLOOKUP(CATEGORIAS[[#This Row],[CATEGORIA2]],[1]HOMOLOGACION!$A$1:$D$571,4,FALSE),0)</f>
        <v>Seguridad MOI</v>
      </c>
      <c r="D525" s="144" t="s">
        <v>2227</v>
      </c>
      <c r="E525" s="273" t="s">
        <v>1337</v>
      </c>
      <c r="F525" s="275" t="s">
        <v>364</v>
      </c>
      <c r="G525" s="313">
        <v>6483651.42857143</v>
      </c>
      <c r="H525" s="313">
        <v>6483651.42857143</v>
      </c>
      <c r="I525" s="130">
        <v>0</v>
      </c>
      <c r="J525" s="130"/>
      <c r="K525" s="130"/>
      <c r="L525" s="143">
        <f>CATEGORIAS[[#This Row],[ADICIONALES]]+CATEGORIAS[[#This Row],[POM]]</f>
        <v>6483651.42857143</v>
      </c>
      <c r="M525" s="131">
        <v>3028070.4912645472</v>
      </c>
      <c r="N525" s="227">
        <v>0</v>
      </c>
      <c r="O525" s="296">
        <f>CATEGORIAS[[#This Row],[PRODUCCION
PARTIDAS
ORIGINALES
ACTUAL]]+CATEGORIAS[[#This Row],[PRODUCCION
ADICIONALES
ACTUAL]]</f>
        <v>3028070.4912645472</v>
      </c>
      <c r="P525" s="227">
        <v>1612909.1769788316</v>
      </c>
      <c r="Q525" s="132">
        <v>0</v>
      </c>
      <c r="R525" s="297">
        <f>CATEGORIAS[[#This Row],[PRODUCCION
ANTERIOR]]+CATEGORIAS[[#This Row],[PRODUCCION
ADICIONALES
ANTERIOR]]</f>
        <v>1612909.1769788316</v>
      </c>
      <c r="S525" s="133">
        <v>4714066</v>
      </c>
      <c r="T525" s="133"/>
      <c r="U525" s="133"/>
      <c r="V525" s="296">
        <f>SUM(CATEGORIAS[[#This Row],[COSTO
ACUMULADO  AX]:[PROVISIONES]])</f>
        <v>4714066</v>
      </c>
      <c r="W525" s="298">
        <v>3647037</v>
      </c>
      <c r="X525" s="227"/>
      <c r="Y525" s="227"/>
      <c r="Z525" s="297">
        <f>SUM(CATEGORIAS[[#This Row],[COSTO ACUMULADO
ANTERIOR]:[PROVISIONES
ANTERIOR]])</f>
        <v>3647037</v>
      </c>
      <c r="AA525" s="139">
        <f>CATEGORIAS[[#This Row],[PRESUPUESTO
FINAL
PROYECTADO]]-CATEGORIAS[[#This Row],[TOTAL PRODUCCION
ACTUAL]]</f>
        <v>3455580.9373068828</v>
      </c>
      <c r="AB525" s="227">
        <v>1761223</v>
      </c>
      <c r="AC525" s="132"/>
      <c r="AD525" s="132">
        <v>8362.4285714300349</v>
      </c>
      <c r="AE525" s="226">
        <f>SUM(CATEGORIAS[[#This Row],[INVENTARIO]:[PROYECCION
DE COSTO
DEL SALDO]])</f>
        <v>1769585.42857143</v>
      </c>
      <c r="AF525" s="132"/>
      <c r="AG525" s="132">
        <f>+CATEGORIAS[[#This Row],[PRESUPUESTO
FINAL
PROYECTADO]]-CATEGORIAS[[#This Row],[COSTO REAL]]-CATEGORIAS[[#This Row],[PROYECCION
TOTAL DE COSTO]]</f>
        <v>0</v>
      </c>
    </row>
    <row r="526" spans="1:33" x14ac:dyDescent="0.25">
      <c r="A526" s="274" t="str">
        <f>+IFERROR(VLOOKUP(CATEGORIAS[[#This Row],[CATEGORIA2]],[1]HOMOLOGACION!$A$1:$I$571,9,FALSE),0)</f>
        <v>1Y11</v>
      </c>
      <c r="B526" s="274" t="str">
        <f>+IFERROR(VLOOKUP(CATEGORIAS[[#This Row],[CATEGORIA2]],[1]HOMOLOGACION!$A$1:$C$571,3,FALSE),0)</f>
        <v>1I09</v>
      </c>
      <c r="C526" s="274" t="str">
        <f>+IFERROR(VLOOKUP(CATEGORIAS[[#This Row],[CATEGORIA2]],[1]HOMOLOGACION!$A$1:$D$571,4,FALSE),0)</f>
        <v>Seguridad MOI</v>
      </c>
      <c r="D526" s="144" t="s">
        <v>2228</v>
      </c>
      <c r="E526" s="273" t="s">
        <v>1339</v>
      </c>
      <c r="F526" s="275" t="s">
        <v>361</v>
      </c>
      <c r="G526" s="313">
        <v>0</v>
      </c>
      <c r="H526" s="313">
        <v>0</v>
      </c>
      <c r="I526" s="130">
        <v>0</v>
      </c>
      <c r="J526" s="130"/>
      <c r="K526" s="130"/>
      <c r="L526" s="143">
        <f>CATEGORIAS[[#This Row],[ADICIONALES]]+CATEGORIAS[[#This Row],[POM]]</f>
        <v>0</v>
      </c>
      <c r="M526" s="131">
        <v>0</v>
      </c>
      <c r="N526" s="227">
        <v>0</v>
      </c>
      <c r="O526" s="296">
        <f>CATEGORIAS[[#This Row],[PRODUCCION
PARTIDAS
ORIGINALES
ACTUAL]]+CATEGORIAS[[#This Row],[PRODUCCION
ADICIONALES
ACTUAL]]</f>
        <v>0</v>
      </c>
      <c r="P526" s="227">
        <v>0</v>
      </c>
      <c r="Q526" s="227">
        <v>0</v>
      </c>
      <c r="R526" s="297">
        <f>CATEGORIAS[[#This Row],[PRODUCCION
ANTERIOR]]+CATEGORIAS[[#This Row],[PRODUCCION
ADICIONALES
ANTERIOR]]</f>
        <v>0</v>
      </c>
      <c r="S526" s="133">
        <v>0</v>
      </c>
      <c r="T526" s="133"/>
      <c r="U526" s="133"/>
      <c r="V526" s="296">
        <f>SUM(CATEGORIAS[[#This Row],[COSTO
ACUMULADO  AX]:[PROVISIONES]])</f>
        <v>0</v>
      </c>
      <c r="W526" s="298">
        <v>0</v>
      </c>
      <c r="X526" s="227"/>
      <c r="Y526" s="227"/>
      <c r="Z526" s="297">
        <f>SUM(CATEGORIAS[[#This Row],[COSTO ACUMULADO
ANTERIOR]:[PROVISIONES
ANTERIOR]])</f>
        <v>0</v>
      </c>
      <c r="AA526" s="139">
        <f>CATEGORIAS[[#This Row],[PRESUPUESTO
FINAL
PROYECTADO]]-CATEGORIAS[[#This Row],[TOTAL PRODUCCION
ACTUAL]]</f>
        <v>0</v>
      </c>
      <c r="AB526" s="227">
        <v>0</v>
      </c>
      <c r="AC526" s="132"/>
      <c r="AD526" s="132"/>
      <c r="AE526" s="226">
        <f>SUM(CATEGORIAS[[#This Row],[INVENTARIO]:[PROYECCION
DE COSTO
DEL SALDO]])</f>
        <v>0</v>
      </c>
      <c r="AF526" s="132"/>
      <c r="AG526" s="132">
        <f>+CATEGORIAS[[#This Row],[PRESUPUESTO
FINAL
PROYECTADO]]-CATEGORIAS[[#This Row],[COSTO REAL]]-CATEGORIAS[[#This Row],[PROYECCION
TOTAL DE COSTO]]</f>
        <v>0</v>
      </c>
    </row>
    <row r="527" spans="1:33" x14ac:dyDescent="0.25">
      <c r="A527" s="274" t="str">
        <f>+IFERROR(VLOOKUP(CATEGORIAS[[#This Row],[CATEGORIA2]],[1]HOMOLOGACION!$A$1:$I$571,9,FALSE),0)</f>
        <v>0P03</v>
      </c>
      <c r="B527" s="274" t="str">
        <f>+IFERROR(VLOOKUP(CATEGORIAS[[#This Row],[CATEGORIA2]],[1]HOMOLOGACION!$A$1:$C$571,3,FALSE),0)</f>
        <v>1I01</v>
      </c>
      <c r="C527" s="274" t="str">
        <f>+IFERROR(VLOOKUP(CATEGORIAS[[#This Row],[CATEGORIA2]],[1]HOMOLOGACION!$A$1:$D$571,4,FALSE),0)</f>
        <v xml:space="preserve">Gastos contratación </v>
      </c>
      <c r="D527" s="144" t="s">
        <v>2229</v>
      </c>
      <c r="E527" s="273" t="s">
        <v>1341</v>
      </c>
      <c r="F527" s="275" t="s">
        <v>364</v>
      </c>
      <c r="G527" s="313">
        <v>169007626.47784966</v>
      </c>
      <c r="H527" s="313">
        <v>169007626.47784966</v>
      </c>
      <c r="I527" s="130">
        <v>0</v>
      </c>
      <c r="J527" s="130"/>
      <c r="K527" s="130"/>
      <c r="L527" s="143">
        <f>CATEGORIAS[[#This Row],[ADICIONALES]]+CATEGORIAS[[#This Row],[POM]]</f>
        <v>169007626.47784966</v>
      </c>
      <c r="M527" s="131">
        <v>64347808.25306838</v>
      </c>
      <c r="N527" s="227">
        <v>0</v>
      </c>
      <c r="O527" s="296">
        <f>CATEGORIAS[[#This Row],[PRODUCCION
PARTIDAS
ORIGINALES
ACTUAL]]+CATEGORIAS[[#This Row],[PRODUCCION
ADICIONALES
ACTUAL]]</f>
        <v>64347808.25306838</v>
      </c>
      <c r="P527" s="227">
        <v>34275017.952605791</v>
      </c>
      <c r="Q527" s="227">
        <v>0</v>
      </c>
      <c r="R527" s="297">
        <f>CATEGORIAS[[#This Row],[PRODUCCION
ANTERIOR]]+CATEGORIAS[[#This Row],[PRODUCCION
ADICIONALES
ANTERIOR]]</f>
        <v>34275017.952605791</v>
      </c>
      <c r="S527" s="133">
        <v>24371019</v>
      </c>
      <c r="T527" s="133">
        <v>2593866</v>
      </c>
      <c r="U527" s="133"/>
      <c r="V527" s="296">
        <f>SUM(CATEGORIAS[[#This Row],[COSTO
ACUMULADO  AX]:[PROVISIONES]])</f>
        <v>26964885</v>
      </c>
      <c r="W527" s="298">
        <v>15019055</v>
      </c>
      <c r="X527" s="227">
        <v>1811866</v>
      </c>
      <c r="Y527" s="227">
        <v>782000</v>
      </c>
      <c r="Z527" s="297">
        <f>SUM(CATEGORIAS[[#This Row],[COSTO ACUMULADO
ANTERIOR]:[PROVISIONES
ANTERIOR]])</f>
        <v>17612921</v>
      </c>
      <c r="AA527" s="139">
        <f>CATEGORIAS[[#This Row],[PRESUPUESTO
FINAL
PROYECTADO]]-CATEGORIAS[[#This Row],[TOTAL PRODUCCION
ACTUAL]]</f>
        <v>104659818.22478127</v>
      </c>
      <c r="AB527" s="227">
        <v>0</v>
      </c>
      <c r="AC527" s="132"/>
      <c r="AD527" s="132">
        <v>142042741.47784966</v>
      </c>
      <c r="AE527" s="226">
        <f>SUM(CATEGORIAS[[#This Row],[INVENTARIO]:[PROYECCION
DE COSTO
DEL SALDO]])</f>
        <v>142042741.47784966</v>
      </c>
      <c r="AF527" s="132"/>
      <c r="AG527" s="132">
        <f>+CATEGORIAS[[#This Row],[PRESUPUESTO
FINAL
PROYECTADO]]-CATEGORIAS[[#This Row],[COSTO REAL]]-CATEGORIAS[[#This Row],[PROYECCION
TOTAL DE COSTO]]</f>
        <v>0</v>
      </c>
    </row>
    <row r="528" spans="1:33" x14ac:dyDescent="0.25">
      <c r="A528" s="274" t="str">
        <f>+IFERROR(VLOOKUP(CATEGORIAS[[#This Row],[CATEGORIA2]],[1]HOMOLOGACION!$A$1:$I$571,9,FALSE),0)</f>
        <v>1Z02</v>
      </c>
      <c r="B528" s="274" t="str">
        <f>+IFERROR(VLOOKUP(CATEGORIAS[[#This Row],[CATEGORIA2]],[1]HOMOLOGACION!$A$1:$C$571,3,FALSE),0)</f>
        <v>1I01</v>
      </c>
      <c r="C528" s="274" t="str">
        <f>+IFERROR(VLOOKUP(CATEGORIAS[[#This Row],[CATEGORIA2]],[1]HOMOLOGACION!$A$1:$D$571,4,FALSE),0)</f>
        <v xml:space="preserve">Gastos contratación </v>
      </c>
      <c r="D528" s="144" t="s">
        <v>2230</v>
      </c>
      <c r="E528" s="273" t="s">
        <v>1343</v>
      </c>
      <c r="F528" s="275" t="s">
        <v>361</v>
      </c>
      <c r="G528" s="313">
        <v>0</v>
      </c>
      <c r="H528" s="313">
        <v>0</v>
      </c>
      <c r="I528" s="130">
        <v>0</v>
      </c>
      <c r="J528" s="130"/>
      <c r="K528" s="130"/>
      <c r="L528" s="143">
        <f>CATEGORIAS[[#This Row],[ADICIONALES]]+CATEGORIAS[[#This Row],[POM]]</f>
        <v>0</v>
      </c>
      <c r="M528" s="131">
        <v>0</v>
      </c>
      <c r="N528" s="227">
        <v>0</v>
      </c>
      <c r="O528" s="296">
        <f>CATEGORIAS[[#This Row],[PRODUCCION
PARTIDAS
ORIGINALES
ACTUAL]]+CATEGORIAS[[#This Row],[PRODUCCION
ADICIONALES
ACTUAL]]</f>
        <v>0</v>
      </c>
      <c r="P528" s="227">
        <v>0</v>
      </c>
      <c r="Q528" s="227">
        <v>0</v>
      </c>
      <c r="R528" s="297">
        <f>CATEGORIAS[[#This Row],[PRODUCCION
ANTERIOR]]+CATEGORIAS[[#This Row],[PRODUCCION
ADICIONALES
ANTERIOR]]</f>
        <v>0</v>
      </c>
      <c r="S528" s="133">
        <v>31276166</v>
      </c>
      <c r="T528" s="133">
        <v>-31276166</v>
      </c>
      <c r="U528" s="133"/>
      <c r="V528" s="296">
        <f>SUM(CATEGORIAS[[#This Row],[COSTO
ACUMULADO  AX]:[PROVISIONES]])</f>
        <v>0</v>
      </c>
      <c r="W528" s="298">
        <v>21395066</v>
      </c>
      <c r="X528" s="227">
        <v>-21395066</v>
      </c>
      <c r="Y528" s="227"/>
      <c r="Z528" s="297">
        <f>SUM(CATEGORIAS[[#This Row],[COSTO ACUMULADO
ANTERIOR]:[PROVISIONES
ANTERIOR]])</f>
        <v>0</v>
      </c>
      <c r="AA528" s="139">
        <f>CATEGORIAS[[#This Row],[PRESUPUESTO
FINAL
PROYECTADO]]-CATEGORIAS[[#This Row],[TOTAL PRODUCCION
ACTUAL]]</f>
        <v>0</v>
      </c>
      <c r="AB528" s="227">
        <v>0</v>
      </c>
      <c r="AC528" s="132"/>
      <c r="AD528" s="132"/>
      <c r="AE528" s="226">
        <f>SUM(CATEGORIAS[[#This Row],[INVENTARIO]:[PROYECCION
DE COSTO
DEL SALDO]])</f>
        <v>0</v>
      </c>
      <c r="AF528" s="132"/>
      <c r="AG528" s="132">
        <f>+CATEGORIAS[[#This Row],[PRESUPUESTO
FINAL
PROYECTADO]]-CATEGORIAS[[#This Row],[COSTO REAL]]-CATEGORIAS[[#This Row],[PROYECCION
TOTAL DE COSTO]]</f>
        <v>0</v>
      </c>
    </row>
    <row r="529" spans="1:33" x14ac:dyDescent="0.25">
      <c r="A529" s="274" t="str">
        <f>+IFERROR(VLOOKUP(CATEGORIAS[[#This Row],[CATEGORIA2]],[1]HOMOLOGACION!$A$1:$I$571,9,FALSE),0)</f>
        <v>1Z02</v>
      </c>
      <c r="B529" s="274" t="str">
        <f>+IFERROR(VLOOKUP(CATEGORIAS[[#This Row],[CATEGORIA2]],[1]HOMOLOGACION!$A$1:$C$571,3,FALSE),0)</f>
        <v>1I07</v>
      </c>
      <c r="C529" s="274" t="str">
        <f>+IFERROR(VLOOKUP(CATEGORIAS[[#This Row],[CATEGORIA2]],[1]HOMOLOGACION!$A$1:$D$571,4,FALSE),0)</f>
        <v>Gastos Oficina</v>
      </c>
      <c r="D529" s="144" t="s">
        <v>2231</v>
      </c>
      <c r="E529" s="273" t="s">
        <v>1345</v>
      </c>
      <c r="F529" s="275" t="s">
        <v>361</v>
      </c>
      <c r="G529" s="313">
        <v>0</v>
      </c>
      <c r="H529" s="313">
        <v>0</v>
      </c>
      <c r="I529" s="130">
        <v>0</v>
      </c>
      <c r="J529" s="130"/>
      <c r="K529" s="130"/>
      <c r="L529" s="143">
        <f>CATEGORIAS[[#This Row],[ADICIONALES]]+CATEGORIAS[[#This Row],[POM]]</f>
        <v>0</v>
      </c>
      <c r="M529" s="131">
        <v>0</v>
      </c>
      <c r="N529" s="227">
        <v>0</v>
      </c>
      <c r="O529" s="296">
        <f>CATEGORIAS[[#This Row],[PRODUCCION
PARTIDAS
ORIGINALES
ACTUAL]]+CATEGORIAS[[#This Row],[PRODUCCION
ADICIONALES
ACTUAL]]</f>
        <v>0</v>
      </c>
      <c r="P529" s="227">
        <v>0</v>
      </c>
      <c r="Q529" s="132">
        <v>0</v>
      </c>
      <c r="R529" s="297">
        <f>CATEGORIAS[[#This Row],[PRODUCCION
ANTERIOR]]+CATEGORIAS[[#This Row],[PRODUCCION
ADICIONALES
ANTERIOR]]</f>
        <v>0</v>
      </c>
      <c r="S529" s="133">
        <v>0</v>
      </c>
      <c r="T529" s="133"/>
      <c r="U529" s="133"/>
      <c r="V529" s="296">
        <f>SUM(CATEGORIAS[[#This Row],[COSTO
ACUMULADO  AX]:[PROVISIONES]])</f>
        <v>0</v>
      </c>
      <c r="W529" s="298">
        <v>0</v>
      </c>
      <c r="X529" s="227"/>
      <c r="Y529" s="227"/>
      <c r="Z529" s="297">
        <f>SUM(CATEGORIAS[[#This Row],[COSTO ACUMULADO
ANTERIOR]:[PROVISIONES
ANTERIOR]])</f>
        <v>0</v>
      </c>
      <c r="AA529" s="139">
        <f>CATEGORIAS[[#This Row],[PRESUPUESTO
FINAL
PROYECTADO]]-CATEGORIAS[[#This Row],[TOTAL PRODUCCION
ACTUAL]]</f>
        <v>0</v>
      </c>
      <c r="AB529" s="227">
        <v>0</v>
      </c>
      <c r="AC529" s="132"/>
      <c r="AD529" s="132"/>
      <c r="AE529" s="226">
        <f>SUM(CATEGORIAS[[#This Row],[INVENTARIO]:[PROYECCION
DE COSTO
DEL SALDO]])</f>
        <v>0</v>
      </c>
      <c r="AF529" s="132"/>
      <c r="AG529" s="132">
        <f>+CATEGORIAS[[#This Row],[PRESUPUESTO
FINAL
PROYECTADO]]-CATEGORIAS[[#This Row],[COSTO REAL]]-CATEGORIAS[[#This Row],[PROYECCION
TOTAL DE COSTO]]</f>
        <v>0</v>
      </c>
    </row>
    <row r="530" spans="1:33" x14ac:dyDescent="0.25">
      <c r="A530" s="274" t="str">
        <f>+IFERROR(VLOOKUP(CATEGORIAS[[#This Row],[CATEGORIA2]],[1]HOMOLOGACION!$A$1:$I$571,9,FALSE),0)</f>
        <v>0P03</v>
      </c>
      <c r="B530" s="274" t="str">
        <f>+IFERROR(VLOOKUP(CATEGORIAS[[#This Row],[CATEGORIA2]],[1]HOMOLOGACION!$A$1:$C$571,3,FALSE),0)</f>
        <v>1I08</v>
      </c>
      <c r="C530" s="274" t="str">
        <f>+IFERROR(VLOOKUP(CATEGORIAS[[#This Row],[CATEGORIA2]],[1]HOMOLOGACION!$A$1:$D$571,4,FALSE),0)</f>
        <v>Calificaciones</v>
      </c>
      <c r="D530" s="144" t="s">
        <v>2232</v>
      </c>
      <c r="E530" s="273" t="s">
        <v>1347</v>
      </c>
      <c r="F530" s="275" t="s">
        <v>361</v>
      </c>
      <c r="G530" s="313">
        <v>0</v>
      </c>
      <c r="H530" s="313">
        <v>0</v>
      </c>
      <c r="I530" s="130">
        <v>0</v>
      </c>
      <c r="J530" s="130"/>
      <c r="K530" s="130"/>
      <c r="L530" s="143">
        <f>CATEGORIAS[[#This Row],[ADICIONALES]]+CATEGORIAS[[#This Row],[POM]]</f>
        <v>0</v>
      </c>
      <c r="M530" s="131">
        <v>0</v>
      </c>
      <c r="N530" s="227">
        <v>0</v>
      </c>
      <c r="O530" s="296">
        <f>CATEGORIAS[[#This Row],[PRODUCCION
PARTIDAS
ORIGINALES
ACTUAL]]+CATEGORIAS[[#This Row],[PRODUCCION
ADICIONALES
ACTUAL]]</f>
        <v>0</v>
      </c>
      <c r="P530" s="227">
        <v>0</v>
      </c>
      <c r="Q530" s="227">
        <v>0</v>
      </c>
      <c r="R530" s="297">
        <f>CATEGORIAS[[#This Row],[PRODUCCION
ANTERIOR]]+CATEGORIAS[[#This Row],[PRODUCCION
ADICIONALES
ANTERIOR]]</f>
        <v>0</v>
      </c>
      <c r="S530" s="133">
        <v>0</v>
      </c>
      <c r="T530" s="133"/>
      <c r="U530" s="133"/>
      <c r="V530" s="296">
        <f>SUM(CATEGORIAS[[#This Row],[COSTO
ACUMULADO  AX]:[PROVISIONES]])</f>
        <v>0</v>
      </c>
      <c r="W530" s="298">
        <v>0</v>
      </c>
      <c r="X530" s="227"/>
      <c r="Y530" s="227"/>
      <c r="Z530" s="297">
        <f>SUM(CATEGORIAS[[#This Row],[COSTO ACUMULADO
ANTERIOR]:[PROVISIONES
ANTERIOR]])</f>
        <v>0</v>
      </c>
      <c r="AA530" s="139">
        <f>CATEGORIAS[[#This Row],[PRESUPUESTO
FINAL
PROYECTADO]]-CATEGORIAS[[#This Row],[TOTAL PRODUCCION
ACTUAL]]</f>
        <v>0</v>
      </c>
      <c r="AB530" s="227">
        <v>0</v>
      </c>
      <c r="AC530" s="132"/>
      <c r="AD530" s="132"/>
      <c r="AE530" s="226">
        <f>SUM(CATEGORIAS[[#This Row],[INVENTARIO]:[PROYECCION
DE COSTO
DEL SALDO]])</f>
        <v>0</v>
      </c>
      <c r="AF530" s="132"/>
      <c r="AG530" s="132">
        <f>+CATEGORIAS[[#This Row],[PRESUPUESTO
FINAL
PROYECTADO]]-CATEGORIAS[[#This Row],[COSTO REAL]]-CATEGORIAS[[#This Row],[PROYECCION
TOTAL DE COSTO]]</f>
        <v>0</v>
      </c>
    </row>
    <row r="531" spans="1:33" x14ac:dyDescent="0.25">
      <c r="A531" s="274" t="str">
        <f>+IFERROR(VLOOKUP(CATEGORIAS[[#This Row],[CATEGORIA2]],[1]HOMOLOGACION!$A$1:$I$571,9,FALSE),0)</f>
        <v>1Z02</v>
      </c>
      <c r="B531" s="274" t="str">
        <f>+IFERROR(VLOOKUP(CATEGORIAS[[#This Row],[CATEGORIA2]],[1]HOMOLOGACION!$A$1:$C$571,3,FALSE),0)</f>
        <v>1I04</v>
      </c>
      <c r="C531" s="274" t="str">
        <f>+IFERROR(VLOOKUP(CATEGORIAS[[#This Row],[CATEGORIA2]],[1]HOMOLOGACION!$A$1:$D$571,4,FALSE),0)</f>
        <v xml:space="preserve">Fletes generales de Obra </v>
      </c>
      <c r="D531" s="144" t="s">
        <v>2233</v>
      </c>
      <c r="E531" s="273" t="s">
        <v>1349</v>
      </c>
      <c r="F531" s="275" t="s">
        <v>364</v>
      </c>
      <c r="G531" s="313">
        <v>17524296.883200001</v>
      </c>
      <c r="H531" s="313">
        <v>17524296.883200001</v>
      </c>
      <c r="I531" s="130">
        <v>549015.26663345238</v>
      </c>
      <c r="J531" s="130"/>
      <c r="K531" s="130"/>
      <c r="L531" s="143">
        <f>CATEGORIAS[[#This Row],[ADICIONALES]]+CATEGORIAS[[#This Row],[POM]]</f>
        <v>18073312.149833452</v>
      </c>
      <c r="M531" s="131">
        <v>8184401.4683357542</v>
      </c>
      <c r="N531" s="227">
        <v>549015.26663345238</v>
      </c>
      <c r="O531" s="296">
        <f>CATEGORIAS[[#This Row],[PRODUCCION
PARTIDAS
ORIGINALES
ACTUAL]]+CATEGORIAS[[#This Row],[PRODUCCION
ADICIONALES
ACTUAL]]</f>
        <v>8733416.7349692062</v>
      </c>
      <c r="P531" s="227">
        <v>4359441.9373987094</v>
      </c>
      <c r="Q531" s="227">
        <v>549015.26663345238</v>
      </c>
      <c r="R531" s="297">
        <f>CATEGORIAS[[#This Row],[PRODUCCION
ANTERIOR]]+CATEGORIAS[[#This Row],[PRODUCCION
ADICIONALES
ANTERIOR]]</f>
        <v>4908457.2040321622</v>
      </c>
      <c r="S531" s="133">
        <v>27236392</v>
      </c>
      <c r="T531" s="227"/>
      <c r="U531" s="133"/>
      <c r="V531" s="296">
        <f>SUM(CATEGORIAS[[#This Row],[COSTO
ACUMULADO  AX]:[PROVISIONES]])</f>
        <v>27236392</v>
      </c>
      <c r="W531" s="298">
        <v>23440182</v>
      </c>
      <c r="X531" s="227"/>
      <c r="Y531" s="227"/>
      <c r="Z531" s="297">
        <f>SUM(CATEGORIAS[[#This Row],[COSTO ACUMULADO
ANTERIOR]:[PROVISIONES
ANTERIOR]])</f>
        <v>23440182</v>
      </c>
      <c r="AA531" s="139">
        <f>CATEGORIAS[[#This Row],[PRESUPUESTO
FINAL
PROYECTADO]]-CATEGORIAS[[#This Row],[TOTAL PRODUCCION
ACTUAL]]</f>
        <v>9339895.4148642458</v>
      </c>
      <c r="AB531" s="227">
        <v>0</v>
      </c>
      <c r="AC531" s="132"/>
      <c r="AD531" s="132">
        <v>-9163079.850166548</v>
      </c>
      <c r="AE531" s="226">
        <f>SUM(CATEGORIAS[[#This Row],[INVENTARIO]:[PROYECCION
DE COSTO
DEL SALDO]])</f>
        <v>-9163079.850166548</v>
      </c>
      <c r="AF531" s="132"/>
      <c r="AG531" s="132">
        <f>+CATEGORIAS[[#This Row],[PRESUPUESTO
FINAL
PROYECTADO]]-CATEGORIAS[[#This Row],[COSTO REAL]]-CATEGORIAS[[#This Row],[PROYECCION
TOTAL DE COSTO]]</f>
        <v>0</v>
      </c>
    </row>
    <row r="532" spans="1:33" x14ac:dyDescent="0.25">
      <c r="A532" s="274" t="str">
        <f>+IFERROR(VLOOKUP(CATEGORIAS[[#This Row],[CATEGORIA2]],[1]HOMOLOGACION!$A$1:$I$571,9,FALSE),0)</f>
        <v>1Z02</v>
      </c>
      <c r="B532" s="274" t="str">
        <f>+IFERROR(VLOOKUP(CATEGORIAS[[#This Row],[CATEGORIA2]],[1]HOMOLOGACION!$A$1:$C$571,3,FALSE),0)</f>
        <v>1I04</v>
      </c>
      <c r="C532" s="274" t="str">
        <f>+IFERROR(VLOOKUP(CATEGORIAS[[#This Row],[CATEGORIA2]],[1]HOMOLOGACION!$A$1:$D$571,4,FALSE),0)</f>
        <v xml:space="preserve">Fletes generales de Obra </v>
      </c>
      <c r="D532" s="144" t="s">
        <v>2234</v>
      </c>
      <c r="E532" s="273" t="s">
        <v>1351</v>
      </c>
      <c r="F532" s="275" t="s">
        <v>361</v>
      </c>
      <c r="G532" s="313">
        <v>0</v>
      </c>
      <c r="H532" s="313">
        <v>0</v>
      </c>
      <c r="I532" s="130">
        <v>0</v>
      </c>
      <c r="J532" s="130"/>
      <c r="K532" s="130"/>
      <c r="L532" s="143">
        <f>CATEGORIAS[[#This Row],[ADICIONALES]]+CATEGORIAS[[#This Row],[POM]]</f>
        <v>0</v>
      </c>
      <c r="M532" s="131">
        <v>0</v>
      </c>
      <c r="N532" s="227">
        <v>0</v>
      </c>
      <c r="O532" s="296">
        <f>CATEGORIAS[[#This Row],[PRODUCCION
PARTIDAS
ORIGINALES
ACTUAL]]+CATEGORIAS[[#This Row],[PRODUCCION
ADICIONALES
ACTUAL]]</f>
        <v>0</v>
      </c>
      <c r="P532" s="227">
        <v>0</v>
      </c>
      <c r="Q532" s="227">
        <v>0</v>
      </c>
      <c r="R532" s="297">
        <f>CATEGORIAS[[#This Row],[PRODUCCION
ANTERIOR]]+CATEGORIAS[[#This Row],[PRODUCCION
ADICIONALES
ANTERIOR]]</f>
        <v>0</v>
      </c>
      <c r="S532" s="133">
        <v>0</v>
      </c>
      <c r="T532" s="133"/>
      <c r="U532" s="133"/>
      <c r="V532" s="296">
        <f>SUM(CATEGORIAS[[#This Row],[COSTO
ACUMULADO  AX]:[PROVISIONES]])</f>
        <v>0</v>
      </c>
      <c r="W532" s="298">
        <v>0</v>
      </c>
      <c r="X532" s="227"/>
      <c r="Y532" s="227"/>
      <c r="Z532" s="297">
        <f>SUM(CATEGORIAS[[#This Row],[COSTO ACUMULADO
ANTERIOR]:[PROVISIONES
ANTERIOR]])</f>
        <v>0</v>
      </c>
      <c r="AA532" s="139">
        <f>CATEGORIAS[[#This Row],[PRESUPUESTO
FINAL
PROYECTADO]]-CATEGORIAS[[#This Row],[TOTAL PRODUCCION
ACTUAL]]</f>
        <v>0</v>
      </c>
      <c r="AB532" s="227">
        <v>0</v>
      </c>
      <c r="AC532" s="132"/>
      <c r="AD532" s="132"/>
      <c r="AE532" s="226">
        <f>SUM(CATEGORIAS[[#This Row],[INVENTARIO]:[PROYECCION
DE COSTO
DEL SALDO]])</f>
        <v>0</v>
      </c>
      <c r="AF532" s="132"/>
      <c r="AG532" s="132">
        <f>+CATEGORIAS[[#This Row],[PRESUPUESTO
FINAL
PROYECTADO]]-CATEGORIAS[[#This Row],[COSTO REAL]]-CATEGORIAS[[#This Row],[PROYECCION
TOTAL DE COSTO]]</f>
        <v>0</v>
      </c>
    </row>
    <row r="533" spans="1:33" x14ac:dyDescent="0.25">
      <c r="A533" s="274" t="str">
        <f>+IFERROR(VLOOKUP(CATEGORIAS[[#This Row],[CATEGORIA2]],[1]HOMOLOGACION!$A$1:$I$571,9,FALSE),0)</f>
        <v>1Y10</v>
      </c>
      <c r="B533" s="274" t="str">
        <f>+IFERROR(VLOOKUP(CATEGORIAS[[#This Row],[CATEGORIA2]],[1]HOMOLOGACION!$A$1:$C$571,3,FALSE),0)</f>
        <v>1F11</v>
      </c>
      <c r="C533" s="274" t="str">
        <f>+IFERROR(VLOOKUP(CATEGORIAS[[#This Row],[CATEGORIA2]],[1]HOMOLOGACION!$A$1:$D$571,4,FALSE),0)</f>
        <v>Alojamiento y Alimentación</v>
      </c>
      <c r="D533" s="144" t="s">
        <v>2235</v>
      </c>
      <c r="E533" s="273" t="s">
        <v>1353</v>
      </c>
      <c r="F533" s="275" t="s">
        <v>361</v>
      </c>
      <c r="G533" s="313">
        <v>0</v>
      </c>
      <c r="H533" s="313">
        <v>0</v>
      </c>
      <c r="I533" s="130">
        <v>0</v>
      </c>
      <c r="J533" s="130"/>
      <c r="K533" s="130"/>
      <c r="L533" s="143">
        <f>CATEGORIAS[[#This Row],[ADICIONALES]]+CATEGORIAS[[#This Row],[POM]]</f>
        <v>0</v>
      </c>
      <c r="M533" s="131">
        <v>0</v>
      </c>
      <c r="N533" s="227">
        <v>0</v>
      </c>
      <c r="O533" s="296">
        <f>CATEGORIAS[[#This Row],[PRODUCCION
PARTIDAS
ORIGINALES
ACTUAL]]+CATEGORIAS[[#This Row],[PRODUCCION
ADICIONALES
ACTUAL]]</f>
        <v>0</v>
      </c>
      <c r="P533" s="227">
        <v>0</v>
      </c>
      <c r="Q533" s="227">
        <v>0</v>
      </c>
      <c r="R533" s="297">
        <f>CATEGORIAS[[#This Row],[PRODUCCION
ANTERIOR]]+CATEGORIAS[[#This Row],[PRODUCCION
ADICIONALES
ANTERIOR]]</f>
        <v>0</v>
      </c>
      <c r="S533" s="133">
        <v>0</v>
      </c>
      <c r="T533" s="133"/>
      <c r="U533" s="133"/>
      <c r="V533" s="296">
        <f>SUM(CATEGORIAS[[#This Row],[COSTO
ACUMULADO  AX]:[PROVISIONES]])</f>
        <v>0</v>
      </c>
      <c r="W533" s="298">
        <v>0</v>
      </c>
      <c r="X533" s="227"/>
      <c r="Y533" s="227"/>
      <c r="Z533" s="297">
        <f>SUM(CATEGORIAS[[#This Row],[COSTO ACUMULADO
ANTERIOR]:[PROVISIONES
ANTERIOR]])</f>
        <v>0</v>
      </c>
      <c r="AA533" s="139">
        <f>CATEGORIAS[[#This Row],[PRESUPUESTO
FINAL
PROYECTADO]]-CATEGORIAS[[#This Row],[TOTAL PRODUCCION
ACTUAL]]</f>
        <v>0</v>
      </c>
      <c r="AB533" s="227">
        <v>0</v>
      </c>
      <c r="AC533" s="132"/>
      <c r="AD533" s="132"/>
      <c r="AE533" s="226">
        <f>SUM(CATEGORIAS[[#This Row],[INVENTARIO]:[PROYECCION
DE COSTO
DEL SALDO]])</f>
        <v>0</v>
      </c>
      <c r="AF533" s="132"/>
      <c r="AG533" s="132">
        <f>+CATEGORIAS[[#This Row],[PRESUPUESTO
FINAL
PROYECTADO]]-CATEGORIAS[[#This Row],[COSTO REAL]]-CATEGORIAS[[#This Row],[PROYECCION
TOTAL DE COSTO]]</f>
        <v>0</v>
      </c>
    </row>
    <row r="534" spans="1:33" x14ac:dyDescent="0.25">
      <c r="A534" s="274" t="str">
        <f>+IFERROR(VLOOKUP(CATEGORIAS[[#This Row],[CATEGORIA2]],[1]HOMOLOGACION!$A$1:$I$571,9,FALSE),0)</f>
        <v>1Y10</v>
      </c>
      <c r="B534" s="274" t="str">
        <f>+IFERROR(VLOOKUP(CATEGORIAS[[#This Row],[CATEGORIA2]],[1]HOMOLOGACION!$A$1:$C$571,3,FALSE),0)</f>
        <v>1F11</v>
      </c>
      <c r="C534" s="274" t="str">
        <f>+IFERROR(VLOOKUP(CATEGORIAS[[#This Row],[CATEGORIA2]],[1]HOMOLOGACION!$A$1:$D$571,4,FALSE),0)</f>
        <v>Alojamiento y Alimentación</v>
      </c>
      <c r="D534" s="144" t="s">
        <v>2236</v>
      </c>
      <c r="E534" s="273" t="s">
        <v>1355</v>
      </c>
      <c r="F534" s="275" t="s">
        <v>361</v>
      </c>
      <c r="G534" s="313">
        <v>0</v>
      </c>
      <c r="H534" s="313">
        <v>0</v>
      </c>
      <c r="I534" s="130">
        <v>0</v>
      </c>
      <c r="J534" s="130"/>
      <c r="K534" s="130"/>
      <c r="L534" s="143">
        <f>CATEGORIAS[[#This Row],[ADICIONALES]]+CATEGORIAS[[#This Row],[POM]]</f>
        <v>0</v>
      </c>
      <c r="M534" s="131">
        <v>0</v>
      </c>
      <c r="N534" s="227">
        <v>0</v>
      </c>
      <c r="O534" s="296">
        <f>CATEGORIAS[[#This Row],[PRODUCCION
PARTIDAS
ORIGINALES
ACTUAL]]+CATEGORIAS[[#This Row],[PRODUCCION
ADICIONALES
ACTUAL]]</f>
        <v>0</v>
      </c>
      <c r="P534" s="227">
        <v>0</v>
      </c>
      <c r="Q534" s="227">
        <v>0</v>
      </c>
      <c r="R534" s="297">
        <f>CATEGORIAS[[#This Row],[PRODUCCION
ANTERIOR]]+CATEGORIAS[[#This Row],[PRODUCCION
ADICIONALES
ANTERIOR]]</f>
        <v>0</v>
      </c>
      <c r="S534" s="133">
        <v>0</v>
      </c>
      <c r="T534" s="133"/>
      <c r="U534" s="133"/>
      <c r="V534" s="296">
        <f>SUM(CATEGORIAS[[#This Row],[COSTO
ACUMULADO  AX]:[PROVISIONES]])</f>
        <v>0</v>
      </c>
      <c r="W534" s="298">
        <v>0</v>
      </c>
      <c r="X534" s="227"/>
      <c r="Y534" s="227"/>
      <c r="Z534" s="297">
        <f>SUM(CATEGORIAS[[#This Row],[COSTO ACUMULADO
ANTERIOR]:[PROVISIONES
ANTERIOR]])</f>
        <v>0</v>
      </c>
      <c r="AA534" s="139">
        <f>CATEGORIAS[[#This Row],[PRESUPUESTO
FINAL
PROYECTADO]]-CATEGORIAS[[#This Row],[TOTAL PRODUCCION
ACTUAL]]</f>
        <v>0</v>
      </c>
      <c r="AB534" s="227">
        <v>0</v>
      </c>
      <c r="AC534" s="132"/>
      <c r="AD534" s="132"/>
      <c r="AE534" s="226">
        <f>SUM(CATEGORIAS[[#This Row],[INVENTARIO]:[PROYECCION
DE COSTO
DEL SALDO]])</f>
        <v>0</v>
      </c>
      <c r="AF534" s="132"/>
      <c r="AG534" s="132">
        <f>+CATEGORIAS[[#This Row],[PRESUPUESTO
FINAL
PROYECTADO]]-CATEGORIAS[[#This Row],[COSTO REAL]]-CATEGORIAS[[#This Row],[PROYECCION
TOTAL DE COSTO]]</f>
        <v>0</v>
      </c>
    </row>
    <row r="535" spans="1:33" x14ac:dyDescent="0.25">
      <c r="A535" s="274" t="str">
        <f>+IFERROR(VLOOKUP(CATEGORIAS[[#This Row],[CATEGORIA2]],[1]HOMOLOGACION!$A$1:$I$571,9,FALSE),0)</f>
        <v>1Z02</v>
      </c>
      <c r="B535" s="274" t="str">
        <f>+IFERROR(VLOOKUP(CATEGORIAS[[#This Row],[CATEGORIA2]],[1]HOMOLOGACION!$A$1:$C$571,3,FALSE),0)</f>
        <v>1I02</v>
      </c>
      <c r="C535" s="274" t="str">
        <f>+IFERROR(VLOOKUP(CATEGORIAS[[#This Row],[CATEGORIA2]],[1]HOMOLOGACION!$A$1:$D$571,4,FALSE),0)</f>
        <v>Otros Gastos Generales</v>
      </c>
      <c r="D535" s="144" t="s">
        <v>2237</v>
      </c>
      <c r="E535" s="273" t="s">
        <v>1357</v>
      </c>
      <c r="F535" s="275" t="s">
        <v>361</v>
      </c>
      <c r="G535" s="313">
        <v>0</v>
      </c>
      <c r="H535" s="313">
        <v>0</v>
      </c>
      <c r="I535" s="130">
        <v>0</v>
      </c>
      <c r="J535" s="130"/>
      <c r="K535" s="130"/>
      <c r="L535" s="143">
        <f>CATEGORIAS[[#This Row],[ADICIONALES]]+CATEGORIAS[[#This Row],[POM]]</f>
        <v>0</v>
      </c>
      <c r="M535" s="131">
        <v>0</v>
      </c>
      <c r="N535" s="227">
        <v>0</v>
      </c>
      <c r="O535" s="296">
        <f>CATEGORIAS[[#This Row],[PRODUCCION
PARTIDAS
ORIGINALES
ACTUAL]]+CATEGORIAS[[#This Row],[PRODUCCION
ADICIONALES
ACTUAL]]</f>
        <v>0</v>
      </c>
      <c r="P535" s="227">
        <v>0</v>
      </c>
      <c r="Q535" s="227">
        <v>0</v>
      </c>
      <c r="R535" s="297">
        <f>CATEGORIAS[[#This Row],[PRODUCCION
ANTERIOR]]+CATEGORIAS[[#This Row],[PRODUCCION
ADICIONALES
ANTERIOR]]</f>
        <v>0</v>
      </c>
      <c r="S535" s="133">
        <v>0</v>
      </c>
      <c r="T535" s="133"/>
      <c r="U535" s="133"/>
      <c r="V535" s="296">
        <f>SUM(CATEGORIAS[[#This Row],[COSTO
ACUMULADO  AX]:[PROVISIONES]])</f>
        <v>0</v>
      </c>
      <c r="W535" s="298">
        <v>0</v>
      </c>
      <c r="X535" s="227"/>
      <c r="Y535" s="227"/>
      <c r="Z535" s="297">
        <f>SUM(CATEGORIAS[[#This Row],[COSTO ACUMULADO
ANTERIOR]:[PROVISIONES
ANTERIOR]])</f>
        <v>0</v>
      </c>
      <c r="AA535" s="139">
        <f>CATEGORIAS[[#This Row],[PRESUPUESTO
FINAL
PROYECTADO]]-CATEGORIAS[[#This Row],[TOTAL PRODUCCION
ACTUAL]]</f>
        <v>0</v>
      </c>
      <c r="AB535" s="227">
        <v>0</v>
      </c>
      <c r="AC535" s="132"/>
      <c r="AD535" s="132"/>
      <c r="AE535" s="226">
        <f>SUM(CATEGORIAS[[#This Row],[INVENTARIO]:[PROYECCION
DE COSTO
DEL SALDO]])</f>
        <v>0</v>
      </c>
      <c r="AF535" s="132"/>
      <c r="AG535" s="132">
        <f>+CATEGORIAS[[#This Row],[PRESUPUESTO
FINAL
PROYECTADO]]-CATEGORIAS[[#This Row],[COSTO REAL]]-CATEGORIAS[[#This Row],[PROYECCION
TOTAL DE COSTO]]</f>
        <v>0</v>
      </c>
    </row>
    <row r="536" spans="1:33" x14ac:dyDescent="0.25">
      <c r="A536" s="274" t="str">
        <f>+IFERROR(VLOOKUP(CATEGORIAS[[#This Row],[CATEGORIA2]],[1]HOMOLOGACION!$A$1:$I$571,9,FALSE),0)</f>
        <v>1Z02</v>
      </c>
      <c r="B536" s="274" t="str">
        <f>+IFERROR(VLOOKUP(CATEGORIAS[[#This Row],[CATEGORIA2]],[1]HOMOLOGACION!$A$1:$C$571,3,FALSE),0)</f>
        <v>1I02</v>
      </c>
      <c r="C536" s="274" t="str">
        <f>+IFERROR(VLOOKUP(CATEGORIAS[[#This Row],[CATEGORIA2]],[1]HOMOLOGACION!$A$1:$D$571,4,FALSE),0)</f>
        <v>Otros Gastos Generales</v>
      </c>
      <c r="D536" s="144" t="s">
        <v>2238</v>
      </c>
      <c r="E536" s="273" t="s">
        <v>1359</v>
      </c>
      <c r="F536" s="275" t="s">
        <v>361</v>
      </c>
      <c r="G536" s="313">
        <v>0</v>
      </c>
      <c r="H536" s="313">
        <v>0</v>
      </c>
      <c r="I536" s="130">
        <v>0</v>
      </c>
      <c r="J536" s="130"/>
      <c r="K536" s="130"/>
      <c r="L536" s="143">
        <f>CATEGORIAS[[#This Row],[ADICIONALES]]+CATEGORIAS[[#This Row],[POM]]</f>
        <v>0</v>
      </c>
      <c r="M536" s="131">
        <v>0</v>
      </c>
      <c r="N536" s="227">
        <v>0</v>
      </c>
      <c r="O536" s="296">
        <f>CATEGORIAS[[#This Row],[PRODUCCION
PARTIDAS
ORIGINALES
ACTUAL]]+CATEGORIAS[[#This Row],[PRODUCCION
ADICIONALES
ACTUAL]]</f>
        <v>0</v>
      </c>
      <c r="P536" s="227">
        <v>0</v>
      </c>
      <c r="Q536" s="227">
        <v>0</v>
      </c>
      <c r="R536" s="297">
        <f>CATEGORIAS[[#This Row],[PRODUCCION
ANTERIOR]]+CATEGORIAS[[#This Row],[PRODUCCION
ADICIONALES
ANTERIOR]]</f>
        <v>0</v>
      </c>
      <c r="S536" s="133">
        <v>0</v>
      </c>
      <c r="T536" s="133"/>
      <c r="U536" s="133"/>
      <c r="V536" s="296">
        <f>SUM(CATEGORIAS[[#This Row],[COSTO
ACUMULADO  AX]:[PROVISIONES]])</f>
        <v>0</v>
      </c>
      <c r="W536" s="298">
        <v>0</v>
      </c>
      <c r="X536" s="227"/>
      <c r="Y536" s="227"/>
      <c r="Z536" s="297">
        <f>SUM(CATEGORIAS[[#This Row],[COSTO ACUMULADO
ANTERIOR]:[PROVISIONES
ANTERIOR]])</f>
        <v>0</v>
      </c>
      <c r="AA536" s="139">
        <f>CATEGORIAS[[#This Row],[PRESUPUESTO
FINAL
PROYECTADO]]-CATEGORIAS[[#This Row],[TOTAL PRODUCCION
ACTUAL]]</f>
        <v>0</v>
      </c>
      <c r="AB536" s="227">
        <v>0</v>
      </c>
      <c r="AC536" s="132"/>
      <c r="AD536" s="132"/>
      <c r="AE536" s="226">
        <f>SUM(CATEGORIAS[[#This Row],[INVENTARIO]:[PROYECCION
DE COSTO
DEL SALDO]])</f>
        <v>0</v>
      </c>
      <c r="AF536" s="132"/>
      <c r="AG536" s="132">
        <f>+CATEGORIAS[[#This Row],[PRESUPUESTO
FINAL
PROYECTADO]]-CATEGORIAS[[#This Row],[COSTO REAL]]-CATEGORIAS[[#This Row],[PROYECCION
TOTAL DE COSTO]]</f>
        <v>0</v>
      </c>
    </row>
    <row r="537" spans="1:33" x14ac:dyDescent="0.25">
      <c r="A537" s="274" t="str">
        <f>+IFERROR(VLOOKUP(CATEGORIAS[[#This Row],[CATEGORIA2]],[1]HOMOLOGACION!$A$1:$I$571,9,FALSE),0)</f>
        <v>1Z02</v>
      </c>
      <c r="B537" s="274" t="str">
        <f>+IFERROR(VLOOKUP(CATEGORIAS[[#This Row],[CATEGORIA2]],[1]HOMOLOGACION!$A$1:$C$571,3,FALSE),0)</f>
        <v>1I02</v>
      </c>
      <c r="C537" s="274" t="str">
        <f>+IFERROR(VLOOKUP(CATEGORIAS[[#This Row],[CATEGORIA2]],[1]HOMOLOGACION!$A$1:$D$571,4,FALSE),0)</f>
        <v>Otros Gastos Generales</v>
      </c>
      <c r="D537" s="144" t="s">
        <v>2239</v>
      </c>
      <c r="E537" s="273" t="s">
        <v>1361</v>
      </c>
      <c r="F537" s="275" t="s">
        <v>361</v>
      </c>
      <c r="G537" s="313">
        <v>0</v>
      </c>
      <c r="H537" s="313">
        <v>0</v>
      </c>
      <c r="I537" s="130">
        <v>0</v>
      </c>
      <c r="J537" s="130"/>
      <c r="K537" s="130"/>
      <c r="L537" s="143">
        <f>CATEGORIAS[[#This Row],[ADICIONALES]]+CATEGORIAS[[#This Row],[POM]]</f>
        <v>0</v>
      </c>
      <c r="M537" s="131">
        <v>0</v>
      </c>
      <c r="N537" s="227">
        <v>0</v>
      </c>
      <c r="O537" s="296">
        <f>CATEGORIAS[[#This Row],[PRODUCCION
PARTIDAS
ORIGINALES
ACTUAL]]+CATEGORIAS[[#This Row],[PRODUCCION
ADICIONALES
ACTUAL]]</f>
        <v>0</v>
      </c>
      <c r="P537" s="227">
        <v>0</v>
      </c>
      <c r="Q537" s="227">
        <v>0</v>
      </c>
      <c r="R537" s="297">
        <f>CATEGORIAS[[#This Row],[PRODUCCION
ANTERIOR]]+CATEGORIAS[[#This Row],[PRODUCCION
ADICIONALES
ANTERIOR]]</f>
        <v>0</v>
      </c>
      <c r="S537" s="133">
        <v>0</v>
      </c>
      <c r="T537" s="133"/>
      <c r="U537" s="133"/>
      <c r="V537" s="296">
        <f>SUM(CATEGORIAS[[#This Row],[COSTO
ACUMULADO  AX]:[PROVISIONES]])</f>
        <v>0</v>
      </c>
      <c r="W537" s="298">
        <v>0</v>
      </c>
      <c r="X537" s="227"/>
      <c r="Y537" s="227"/>
      <c r="Z537" s="297">
        <f>SUM(CATEGORIAS[[#This Row],[COSTO ACUMULADO
ANTERIOR]:[PROVISIONES
ANTERIOR]])</f>
        <v>0</v>
      </c>
      <c r="AA537" s="139">
        <f>CATEGORIAS[[#This Row],[PRESUPUESTO
FINAL
PROYECTADO]]-CATEGORIAS[[#This Row],[TOTAL PRODUCCION
ACTUAL]]</f>
        <v>0</v>
      </c>
      <c r="AB537" s="227">
        <v>0</v>
      </c>
      <c r="AC537" s="132"/>
      <c r="AD537" s="132"/>
      <c r="AE537" s="226">
        <f>SUM(CATEGORIAS[[#This Row],[INVENTARIO]:[PROYECCION
DE COSTO
DEL SALDO]])</f>
        <v>0</v>
      </c>
      <c r="AF537" s="132"/>
      <c r="AG537" s="132">
        <f>+CATEGORIAS[[#This Row],[PRESUPUESTO
FINAL
PROYECTADO]]-CATEGORIAS[[#This Row],[COSTO REAL]]-CATEGORIAS[[#This Row],[PROYECCION
TOTAL DE COSTO]]</f>
        <v>0</v>
      </c>
    </row>
    <row r="538" spans="1:33" x14ac:dyDescent="0.25">
      <c r="A538" s="274" t="str">
        <f>+IFERROR(VLOOKUP(CATEGORIAS[[#This Row],[CATEGORIA2]],[1]HOMOLOGACION!$A$1:$I$571,9,FALSE),0)</f>
        <v>1Z02</v>
      </c>
      <c r="B538" s="274" t="str">
        <f>+IFERROR(VLOOKUP(CATEGORIAS[[#This Row],[CATEGORIA2]],[1]HOMOLOGACION!$A$1:$C$571,3,FALSE),0)</f>
        <v>1I02</v>
      </c>
      <c r="C538" s="274" t="str">
        <f>+IFERROR(VLOOKUP(CATEGORIAS[[#This Row],[CATEGORIA2]],[1]HOMOLOGACION!$A$1:$D$571,4,FALSE),0)</f>
        <v>Otros Gastos Generales</v>
      </c>
      <c r="D538" s="144" t="s">
        <v>2240</v>
      </c>
      <c r="E538" s="273" t="s">
        <v>1363</v>
      </c>
      <c r="F538" s="275" t="s">
        <v>361</v>
      </c>
      <c r="G538" s="313">
        <v>0</v>
      </c>
      <c r="H538" s="313">
        <v>0</v>
      </c>
      <c r="I538" s="130">
        <v>0</v>
      </c>
      <c r="J538" s="130"/>
      <c r="K538" s="130"/>
      <c r="L538" s="143">
        <f>CATEGORIAS[[#This Row],[ADICIONALES]]+CATEGORIAS[[#This Row],[POM]]</f>
        <v>0</v>
      </c>
      <c r="M538" s="131">
        <v>0</v>
      </c>
      <c r="N538" s="227">
        <v>0</v>
      </c>
      <c r="O538" s="296">
        <f>CATEGORIAS[[#This Row],[PRODUCCION
PARTIDAS
ORIGINALES
ACTUAL]]+CATEGORIAS[[#This Row],[PRODUCCION
ADICIONALES
ACTUAL]]</f>
        <v>0</v>
      </c>
      <c r="P538" s="227">
        <v>0</v>
      </c>
      <c r="Q538" s="132">
        <v>0</v>
      </c>
      <c r="R538" s="297">
        <f>CATEGORIAS[[#This Row],[PRODUCCION
ANTERIOR]]+CATEGORIAS[[#This Row],[PRODUCCION
ADICIONALES
ANTERIOR]]</f>
        <v>0</v>
      </c>
      <c r="S538" s="133">
        <v>0</v>
      </c>
      <c r="T538" s="133"/>
      <c r="U538" s="133"/>
      <c r="V538" s="296">
        <f>SUM(CATEGORIAS[[#This Row],[COSTO
ACUMULADO  AX]:[PROVISIONES]])</f>
        <v>0</v>
      </c>
      <c r="W538" s="298">
        <v>0</v>
      </c>
      <c r="X538" s="227"/>
      <c r="Y538" s="227"/>
      <c r="Z538" s="297">
        <f>SUM(CATEGORIAS[[#This Row],[COSTO ACUMULADO
ANTERIOR]:[PROVISIONES
ANTERIOR]])</f>
        <v>0</v>
      </c>
      <c r="AA538" s="139">
        <f>CATEGORIAS[[#This Row],[PRESUPUESTO
FINAL
PROYECTADO]]-CATEGORIAS[[#This Row],[TOTAL PRODUCCION
ACTUAL]]</f>
        <v>0</v>
      </c>
      <c r="AB538" s="227">
        <v>0</v>
      </c>
      <c r="AC538" s="132"/>
      <c r="AD538" s="132"/>
      <c r="AE538" s="226">
        <f>SUM(CATEGORIAS[[#This Row],[INVENTARIO]:[PROYECCION
DE COSTO
DEL SALDO]])</f>
        <v>0</v>
      </c>
      <c r="AF538" s="132"/>
      <c r="AG538" s="132">
        <f>+CATEGORIAS[[#This Row],[PRESUPUESTO
FINAL
PROYECTADO]]-CATEGORIAS[[#This Row],[COSTO REAL]]-CATEGORIAS[[#This Row],[PROYECCION
TOTAL DE COSTO]]</f>
        <v>0</v>
      </c>
    </row>
    <row r="539" spans="1:33" x14ac:dyDescent="0.25">
      <c r="A539" s="274" t="str">
        <f>+IFERROR(VLOOKUP(CATEGORIAS[[#This Row],[CATEGORIA2]],[1]HOMOLOGACION!$A$1:$I$571,9,FALSE),0)</f>
        <v>1Z02</v>
      </c>
      <c r="B539" s="274" t="str">
        <f>+IFERROR(VLOOKUP(CATEGORIAS[[#This Row],[CATEGORIA2]],[1]HOMOLOGACION!$A$1:$C$571,3,FALSE),0)</f>
        <v>1I02</v>
      </c>
      <c r="C539" s="274" t="str">
        <f>+IFERROR(VLOOKUP(CATEGORIAS[[#This Row],[CATEGORIA2]],[1]HOMOLOGACION!$A$1:$D$571,4,FALSE),0)</f>
        <v>Otros Gastos Generales</v>
      </c>
      <c r="D539" s="144" t="s">
        <v>2241</v>
      </c>
      <c r="E539" s="273" t="s">
        <v>1365</v>
      </c>
      <c r="F539" s="275" t="s">
        <v>361</v>
      </c>
      <c r="G539" s="313">
        <v>0</v>
      </c>
      <c r="H539" s="313">
        <v>0</v>
      </c>
      <c r="I539" s="130">
        <v>0</v>
      </c>
      <c r="J539" s="130"/>
      <c r="K539" s="130"/>
      <c r="L539" s="143">
        <f>CATEGORIAS[[#This Row],[ADICIONALES]]+CATEGORIAS[[#This Row],[POM]]</f>
        <v>0</v>
      </c>
      <c r="M539" s="131">
        <v>0</v>
      </c>
      <c r="N539" s="227">
        <v>0</v>
      </c>
      <c r="O539" s="296">
        <f>CATEGORIAS[[#This Row],[PRODUCCION
PARTIDAS
ORIGINALES
ACTUAL]]+CATEGORIAS[[#This Row],[PRODUCCION
ADICIONALES
ACTUAL]]</f>
        <v>0</v>
      </c>
      <c r="P539" s="227">
        <v>0</v>
      </c>
      <c r="Q539" s="227">
        <v>0</v>
      </c>
      <c r="R539" s="297">
        <f>CATEGORIAS[[#This Row],[PRODUCCION
ANTERIOR]]+CATEGORIAS[[#This Row],[PRODUCCION
ADICIONALES
ANTERIOR]]</f>
        <v>0</v>
      </c>
      <c r="S539" s="133">
        <v>0</v>
      </c>
      <c r="T539" s="133"/>
      <c r="U539" s="133"/>
      <c r="V539" s="296">
        <f>SUM(CATEGORIAS[[#This Row],[COSTO
ACUMULADO  AX]:[PROVISIONES]])</f>
        <v>0</v>
      </c>
      <c r="W539" s="298">
        <v>0</v>
      </c>
      <c r="X539" s="227"/>
      <c r="Y539" s="227"/>
      <c r="Z539" s="297">
        <f>SUM(CATEGORIAS[[#This Row],[COSTO ACUMULADO
ANTERIOR]:[PROVISIONES
ANTERIOR]])</f>
        <v>0</v>
      </c>
      <c r="AA539" s="139">
        <f>CATEGORIAS[[#This Row],[PRESUPUESTO
FINAL
PROYECTADO]]-CATEGORIAS[[#This Row],[TOTAL PRODUCCION
ACTUAL]]</f>
        <v>0</v>
      </c>
      <c r="AB539" s="227">
        <v>0</v>
      </c>
      <c r="AC539" s="132"/>
      <c r="AD539" s="132"/>
      <c r="AE539" s="226">
        <f>SUM(CATEGORIAS[[#This Row],[INVENTARIO]:[PROYECCION
DE COSTO
DEL SALDO]])</f>
        <v>0</v>
      </c>
      <c r="AF539" s="132"/>
      <c r="AG539" s="132">
        <f>+CATEGORIAS[[#This Row],[PRESUPUESTO
FINAL
PROYECTADO]]-CATEGORIAS[[#This Row],[COSTO REAL]]-CATEGORIAS[[#This Row],[PROYECCION
TOTAL DE COSTO]]</f>
        <v>0</v>
      </c>
    </row>
    <row r="540" spans="1:33" x14ac:dyDescent="0.25">
      <c r="A540" s="274" t="str">
        <f>+IFERROR(VLOOKUP(CATEGORIAS[[#This Row],[CATEGORIA2]],[1]HOMOLOGACION!$A$1:$I$571,9,FALSE),0)</f>
        <v>1Z02</v>
      </c>
      <c r="B540" s="274" t="str">
        <f>+IFERROR(VLOOKUP(CATEGORIAS[[#This Row],[CATEGORIA2]],[1]HOMOLOGACION!$A$1:$C$571,3,FALSE),0)</f>
        <v>1I02</v>
      </c>
      <c r="C540" s="274" t="str">
        <f>+IFERROR(VLOOKUP(CATEGORIAS[[#This Row],[CATEGORIA2]],[1]HOMOLOGACION!$A$1:$D$571,4,FALSE),0)</f>
        <v>Otros Gastos Generales</v>
      </c>
      <c r="D540" s="144" t="s">
        <v>2242</v>
      </c>
      <c r="E540" s="273" t="s">
        <v>1367</v>
      </c>
      <c r="F540" s="275" t="s">
        <v>361</v>
      </c>
      <c r="G540" s="313">
        <v>0</v>
      </c>
      <c r="H540" s="313">
        <v>0</v>
      </c>
      <c r="I540" s="130">
        <v>0</v>
      </c>
      <c r="J540" s="130"/>
      <c r="K540" s="130"/>
      <c r="L540" s="143">
        <f>CATEGORIAS[[#This Row],[ADICIONALES]]+CATEGORIAS[[#This Row],[POM]]</f>
        <v>0</v>
      </c>
      <c r="M540" s="131">
        <v>0</v>
      </c>
      <c r="N540" s="227">
        <v>0</v>
      </c>
      <c r="O540" s="296">
        <f>CATEGORIAS[[#This Row],[PRODUCCION
PARTIDAS
ORIGINALES
ACTUAL]]+CATEGORIAS[[#This Row],[PRODUCCION
ADICIONALES
ACTUAL]]</f>
        <v>0</v>
      </c>
      <c r="P540" s="227">
        <v>0</v>
      </c>
      <c r="Q540" s="227">
        <v>0</v>
      </c>
      <c r="R540" s="297">
        <f>CATEGORIAS[[#This Row],[PRODUCCION
ANTERIOR]]+CATEGORIAS[[#This Row],[PRODUCCION
ADICIONALES
ANTERIOR]]</f>
        <v>0</v>
      </c>
      <c r="S540" s="133">
        <v>0</v>
      </c>
      <c r="T540" s="227"/>
      <c r="U540" s="133"/>
      <c r="V540" s="296">
        <f>SUM(CATEGORIAS[[#This Row],[COSTO
ACUMULADO  AX]:[PROVISIONES]])</f>
        <v>0</v>
      </c>
      <c r="W540" s="298">
        <v>0</v>
      </c>
      <c r="X540" s="227"/>
      <c r="Y540" s="227"/>
      <c r="Z540" s="297">
        <f>SUM(CATEGORIAS[[#This Row],[COSTO ACUMULADO
ANTERIOR]:[PROVISIONES
ANTERIOR]])</f>
        <v>0</v>
      </c>
      <c r="AA540" s="139">
        <f>CATEGORIAS[[#This Row],[PRESUPUESTO
FINAL
PROYECTADO]]-CATEGORIAS[[#This Row],[TOTAL PRODUCCION
ACTUAL]]</f>
        <v>0</v>
      </c>
      <c r="AB540" s="227">
        <v>0</v>
      </c>
      <c r="AC540" s="132"/>
      <c r="AD540" s="132"/>
      <c r="AE540" s="226">
        <f>SUM(CATEGORIAS[[#This Row],[INVENTARIO]:[PROYECCION
DE COSTO
DEL SALDO]])</f>
        <v>0</v>
      </c>
      <c r="AF540" s="132"/>
      <c r="AG540" s="132">
        <f>+CATEGORIAS[[#This Row],[PRESUPUESTO
FINAL
PROYECTADO]]-CATEGORIAS[[#This Row],[COSTO REAL]]-CATEGORIAS[[#This Row],[PROYECCION
TOTAL DE COSTO]]</f>
        <v>0</v>
      </c>
    </row>
    <row r="541" spans="1:33" x14ac:dyDescent="0.25">
      <c r="A541" s="274" t="str">
        <f>+IFERROR(VLOOKUP(CATEGORIAS[[#This Row],[CATEGORIA2]],[1]HOMOLOGACION!$A$1:$I$571,9,FALSE),0)</f>
        <v>1Z02</v>
      </c>
      <c r="B541" s="274" t="str">
        <f>+IFERROR(VLOOKUP(CATEGORIAS[[#This Row],[CATEGORIA2]],[1]HOMOLOGACION!$A$1:$C$571,3,FALSE),0)</f>
        <v>1I01</v>
      </c>
      <c r="C541" s="274" t="str">
        <f>+IFERROR(VLOOKUP(CATEGORIAS[[#This Row],[CATEGORIA2]],[1]HOMOLOGACION!$A$1:$D$571,4,FALSE),0)</f>
        <v xml:space="preserve">Gastos contratación </v>
      </c>
      <c r="D541" s="144" t="s">
        <v>2243</v>
      </c>
      <c r="E541" s="273" t="s">
        <v>1369</v>
      </c>
      <c r="F541" s="275" t="s">
        <v>361</v>
      </c>
      <c r="G541" s="313">
        <v>0</v>
      </c>
      <c r="H541" s="313">
        <v>0</v>
      </c>
      <c r="I541" s="130">
        <v>0</v>
      </c>
      <c r="J541" s="130"/>
      <c r="K541" s="130"/>
      <c r="L541" s="143">
        <f>CATEGORIAS[[#This Row],[ADICIONALES]]+CATEGORIAS[[#This Row],[POM]]</f>
        <v>0</v>
      </c>
      <c r="M541" s="131">
        <v>0</v>
      </c>
      <c r="N541" s="227">
        <v>0</v>
      </c>
      <c r="O541" s="141">
        <f>CATEGORIAS[[#This Row],[PRODUCCION
PARTIDAS
ORIGINALES
ACTUAL]]+CATEGORIAS[[#This Row],[PRODUCCION
ADICIONALES
ACTUAL]]</f>
        <v>0</v>
      </c>
      <c r="P541" s="132">
        <v>0</v>
      </c>
      <c r="Q541" s="132">
        <v>0</v>
      </c>
      <c r="R541" s="140">
        <f>CATEGORIAS[[#This Row],[PRODUCCION
ANTERIOR]]+CATEGORIAS[[#This Row],[PRODUCCION
ADICIONALES
ANTERIOR]]</f>
        <v>0</v>
      </c>
      <c r="S541" s="133">
        <v>0</v>
      </c>
      <c r="T541" s="133"/>
      <c r="U541" s="133"/>
      <c r="V541" s="141">
        <f>SUM(CATEGORIAS[[#This Row],[COSTO
ACUMULADO  AX]:[PROVISIONES]])</f>
        <v>0</v>
      </c>
      <c r="W541" s="134">
        <v>0</v>
      </c>
      <c r="X541" s="132"/>
      <c r="Y541" s="132"/>
      <c r="Z541" s="140">
        <f>SUM(CATEGORIAS[[#This Row],[COSTO ACUMULADO
ANTERIOR]:[PROVISIONES
ANTERIOR]])</f>
        <v>0</v>
      </c>
      <c r="AA541" s="139">
        <f>CATEGORIAS[[#This Row],[PRESUPUESTO
FINAL
PROYECTADO]]-CATEGORIAS[[#This Row],[TOTAL PRODUCCION
ACTUAL]]</f>
        <v>0</v>
      </c>
      <c r="AB541" s="227">
        <v>0</v>
      </c>
      <c r="AC541" s="132"/>
      <c r="AD541" s="132"/>
      <c r="AE541" s="137">
        <f>SUM(CATEGORIAS[[#This Row],[INVENTARIO]:[PROYECCION
DE COSTO
DEL SALDO]])</f>
        <v>0</v>
      </c>
      <c r="AF541" s="132"/>
      <c r="AG541" s="132">
        <f>+CATEGORIAS[[#This Row],[PRESUPUESTO
FINAL
PROYECTADO]]-CATEGORIAS[[#This Row],[COSTO REAL]]-CATEGORIAS[[#This Row],[PROYECCION
TOTAL DE COSTO]]</f>
        <v>0</v>
      </c>
    </row>
    <row r="542" spans="1:33" x14ac:dyDescent="0.25">
      <c r="A542" s="274" t="str">
        <f>+IFERROR(VLOOKUP(CATEGORIAS[[#This Row],[CATEGORIA2]],[1]HOMOLOGACION!$A$1:$I$571,9,FALSE),0)</f>
        <v>1Z02</v>
      </c>
      <c r="B542" s="274" t="str">
        <f>+IFERROR(VLOOKUP(CATEGORIAS[[#This Row],[CATEGORIA2]],[1]HOMOLOGACION!$A$1:$C$571,3,FALSE),0)</f>
        <v>1I01</v>
      </c>
      <c r="C542" s="274" t="str">
        <f>+IFERROR(VLOOKUP(CATEGORIAS[[#This Row],[CATEGORIA2]],[1]HOMOLOGACION!$A$1:$D$571,4,FALSE),0)</f>
        <v xml:space="preserve">Gastos contratación </v>
      </c>
      <c r="D542" s="144" t="s">
        <v>2244</v>
      </c>
      <c r="E542" s="273" t="s">
        <v>1371</v>
      </c>
      <c r="F542" s="275" t="s">
        <v>361</v>
      </c>
      <c r="G542" s="313">
        <v>0</v>
      </c>
      <c r="H542" s="313">
        <v>0</v>
      </c>
      <c r="I542" s="130">
        <v>0</v>
      </c>
      <c r="J542" s="130"/>
      <c r="K542" s="130"/>
      <c r="L542" s="143">
        <f>CATEGORIAS[[#This Row],[ADICIONALES]]+CATEGORIAS[[#This Row],[POM]]</f>
        <v>0</v>
      </c>
      <c r="M542" s="131">
        <v>0</v>
      </c>
      <c r="N542" s="227">
        <v>0</v>
      </c>
      <c r="O542" s="141">
        <f>CATEGORIAS[[#This Row],[PRODUCCION
PARTIDAS
ORIGINALES
ACTUAL]]+CATEGORIAS[[#This Row],[PRODUCCION
ADICIONALES
ACTUAL]]</f>
        <v>0</v>
      </c>
      <c r="P542" s="132">
        <v>0</v>
      </c>
      <c r="Q542" s="227">
        <v>0</v>
      </c>
      <c r="R542" s="140">
        <f>CATEGORIAS[[#This Row],[PRODUCCION
ANTERIOR]]+CATEGORIAS[[#This Row],[PRODUCCION
ADICIONALES
ANTERIOR]]</f>
        <v>0</v>
      </c>
      <c r="S542" s="133">
        <v>0</v>
      </c>
      <c r="T542" s="133"/>
      <c r="U542" s="133"/>
      <c r="V542" s="141">
        <f>SUM(CATEGORIAS[[#This Row],[COSTO
ACUMULADO  AX]:[PROVISIONES]])</f>
        <v>0</v>
      </c>
      <c r="W542" s="134">
        <v>0</v>
      </c>
      <c r="X542" s="132"/>
      <c r="Y542" s="132"/>
      <c r="Z542" s="140">
        <f>SUM(CATEGORIAS[[#This Row],[COSTO ACUMULADO
ANTERIOR]:[PROVISIONES
ANTERIOR]])</f>
        <v>0</v>
      </c>
      <c r="AA542" s="139">
        <f>CATEGORIAS[[#This Row],[PRESUPUESTO
FINAL
PROYECTADO]]-CATEGORIAS[[#This Row],[TOTAL PRODUCCION
ACTUAL]]</f>
        <v>0</v>
      </c>
      <c r="AB542" s="227">
        <v>0</v>
      </c>
      <c r="AC542" s="132"/>
      <c r="AD542" s="132"/>
      <c r="AE542" s="137">
        <f>SUM(CATEGORIAS[[#This Row],[INVENTARIO]:[PROYECCION
DE COSTO
DEL SALDO]])</f>
        <v>0</v>
      </c>
      <c r="AF542" s="132"/>
      <c r="AG542" s="132">
        <f>+CATEGORIAS[[#This Row],[PRESUPUESTO
FINAL
PROYECTADO]]-CATEGORIAS[[#This Row],[COSTO REAL]]-CATEGORIAS[[#This Row],[PROYECCION
TOTAL DE COSTO]]</f>
        <v>0</v>
      </c>
    </row>
    <row r="543" spans="1:33" x14ac:dyDescent="0.25">
      <c r="A543" s="274" t="str">
        <f>+IFERROR(VLOOKUP(CATEGORIAS[[#This Row],[CATEGORIA2]],[1]HOMOLOGACION!$A$1:$I$571,9,FALSE),0)</f>
        <v>1Z02</v>
      </c>
      <c r="B543" s="274" t="str">
        <f>+IFERROR(VLOOKUP(CATEGORIAS[[#This Row],[CATEGORIA2]],[1]HOMOLOGACION!$A$1:$C$571,3,FALSE),0)</f>
        <v>1I02</v>
      </c>
      <c r="C543" s="274" t="str">
        <f>+IFERROR(VLOOKUP(CATEGORIAS[[#This Row],[CATEGORIA2]],[1]HOMOLOGACION!$A$1:$D$571,4,FALSE),0)</f>
        <v>Otros Gastos Generales</v>
      </c>
      <c r="D543" s="144" t="s">
        <v>2245</v>
      </c>
      <c r="E543" s="275" t="s">
        <v>1373</v>
      </c>
      <c r="F543" s="275" t="s">
        <v>364</v>
      </c>
      <c r="G543" s="314">
        <v>1470322.9617211157</v>
      </c>
      <c r="H543" s="314">
        <v>1470322.9617211157</v>
      </c>
      <c r="I543" s="130">
        <v>0</v>
      </c>
      <c r="J543" s="130"/>
      <c r="K543" s="130"/>
      <c r="L543" s="143">
        <f>CATEGORIAS[[#This Row],[ADICIONALES]]+CATEGORIAS[[#This Row],[POM]]</f>
        <v>1470322.9617211157</v>
      </c>
      <c r="M543" s="131">
        <v>686687.37393820425</v>
      </c>
      <c r="N543" s="227">
        <v>0</v>
      </c>
      <c r="O543" s="141">
        <f>CATEGORIAS[[#This Row],[PRODUCCION
PARTIDAS
ORIGINALES
ACTUAL]]+CATEGORIAS[[#This Row],[PRODUCCION
ADICIONALES
ACTUAL]]</f>
        <v>686687.37393820425</v>
      </c>
      <c r="P543" s="227">
        <v>365765.71461448917</v>
      </c>
      <c r="Q543" s="227">
        <v>0</v>
      </c>
      <c r="R543" s="140">
        <f>CATEGORIAS[[#This Row],[PRODUCCION
ANTERIOR]]+CATEGORIAS[[#This Row],[PRODUCCION
ADICIONALES
ANTERIOR]]</f>
        <v>365765.71461448917</v>
      </c>
      <c r="S543" s="133">
        <v>15254194</v>
      </c>
      <c r="T543" s="133">
        <f>6399217+424150</f>
        <v>6823367</v>
      </c>
      <c r="U543" s="133"/>
      <c r="V543" s="141">
        <f>SUM(CATEGORIAS[[#This Row],[COSTO
ACUMULADO  AX]:[PROVISIONES]])</f>
        <v>22077561</v>
      </c>
      <c r="W543" s="134">
        <v>9544393</v>
      </c>
      <c r="X543" s="132">
        <v>846904</v>
      </c>
      <c r="Y543" s="132"/>
      <c r="Z543" s="140">
        <f>SUM(CATEGORIAS[[#This Row],[COSTO ACUMULADO
ANTERIOR]:[PROVISIONES
ANTERIOR]])</f>
        <v>10391297</v>
      </c>
      <c r="AA543" s="139">
        <f>CATEGORIAS[[#This Row],[PRESUPUESTO
FINAL
PROYECTADO]]-CATEGORIAS[[#This Row],[TOTAL PRODUCCION
ACTUAL]]</f>
        <v>783635.58778291149</v>
      </c>
      <c r="AB543" s="227">
        <v>700000</v>
      </c>
      <c r="AC543" s="132"/>
      <c r="AD543" s="132">
        <v>-21307238.038278885</v>
      </c>
      <c r="AE543" s="137">
        <f>SUM(CATEGORIAS[[#This Row],[INVENTARIO]:[PROYECCION
DE COSTO
DEL SALDO]])</f>
        <v>-20607238.038278885</v>
      </c>
      <c r="AF543" s="132"/>
      <c r="AG543" s="132">
        <f>+CATEGORIAS[[#This Row],[PRESUPUESTO
FINAL
PROYECTADO]]-CATEGORIAS[[#This Row],[COSTO REAL]]-CATEGORIAS[[#This Row],[PROYECCION
TOTAL DE COSTO]]</f>
        <v>0</v>
      </c>
    </row>
    <row r="544" spans="1:33" x14ac:dyDescent="0.25">
      <c r="A544" s="274" t="str">
        <f>+IFERROR(VLOOKUP(CATEGORIAS[[#This Row],[CATEGORIA2]],[1]HOMOLOGACION!$A$1:$I$571,9,FALSE),0)</f>
        <v>1Z02</v>
      </c>
      <c r="B544" s="274" t="str">
        <f>+IFERROR(VLOOKUP(CATEGORIAS[[#This Row],[CATEGORIA2]],[1]HOMOLOGACION!$A$1:$C$571,3,FALSE),0)</f>
        <v>1I02</v>
      </c>
      <c r="C544" s="274" t="str">
        <f>+IFERROR(VLOOKUP(CATEGORIAS[[#This Row],[CATEGORIA2]],[1]HOMOLOGACION!$A$1:$D$571,4,FALSE),0)</f>
        <v>Otros Gastos Generales</v>
      </c>
      <c r="D544" s="144" t="s">
        <v>2246</v>
      </c>
      <c r="E544" s="273" t="s">
        <v>1375</v>
      </c>
      <c r="F544" s="275" t="s">
        <v>361</v>
      </c>
      <c r="G544" s="313">
        <v>0</v>
      </c>
      <c r="H544" s="313">
        <v>0</v>
      </c>
      <c r="I544" s="130">
        <v>0</v>
      </c>
      <c r="J544" s="130"/>
      <c r="K544" s="130"/>
      <c r="L544" s="143">
        <f>CATEGORIAS[[#This Row],[ADICIONALES]]+CATEGORIAS[[#This Row],[POM]]</f>
        <v>0</v>
      </c>
      <c r="M544" s="131">
        <v>0</v>
      </c>
      <c r="N544" s="227">
        <v>0</v>
      </c>
      <c r="O544" s="141">
        <f>CATEGORIAS[[#This Row],[PRODUCCION
PARTIDAS
ORIGINALES
ACTUAL]]+CATEGORIAS[[#This Row],[PRODUCCION
ADICIONALES
ACTUAL]]</f>
        <v>0</v>
      </c>
      <c r="P544" s="227">
        <v>0</v>
      </c>
      <c r="Q544" s="132">
        <v>0</v>
      </c>
      <c r="R544" s="140">
        <f>CATEGORIAS[[#This Row],[PRODUCCION
ANTERIOR]]+CATEGORIAS[[#This Row],[PRODUCCION
ADICIONALES
ANTERIOR]]</f>
        <v>0</v>
      </c>
      <c r="S544" s="133">
        <v>0</v>
      </c>
      <c r="T544" s="133"/>
      <c r="U544" s="133"/>
      <c r="V544" s="141">
        <f>SUM(CATEGORIAS[[#This Row],[COSTO
ACUMULADO  AX]:[PROVISIONES]])</f>
        <v>0</v>
      </c>
      <c r="W544" s="134">
        <v>0</v>
      </c>
      <c r="X544" s="132"/>
      <c r="Y544" s="132"/>
      <c r="Z544" s="140">
        <f>SUM(CATEGORIAS[[#This Row],[COSTO ACUMULADO
ANTERIOR]:[PROVISIONES
ANTERIOR]])</f>
        <v>0</v>
      </c>
      <c r="AA544" s="139">
        <f>CATEGORIAS[[#This Row],[PRESUPUESTO
FINAL
PROYECTADO]]-CATEGORIAS[[#This Row],[TOTAL PRODUCCION
ACTUAL]]</f>
        <v>0</v>
      </c>
      <c r="AB544" s="227">
        <v>0</v>
      </c>
      <c r="AC544" s="132"/>
      <c r="AD544" s="132"/>
      <c r="AE544" s="137">
        <f>SUM(CATEGORIAS[[#This Row],[INVENTARIO]:[PROYECCION
DE COSTO
DEL SALDO]])</f>
        <v>0</v>
      </c>
      <c r="AF544" s="132"/>
      <c r="AG544" s="132">
        <f>+CATEGORIAS[[#This Row],[PRESUPUESTO
FINAL
PROYECTADO]]-CATEGORIAS[[#This Row],[COSTO REAL]]-CATEGORIAS[[#This Row],[PROYECCION
TOTAL DE COSTO]]</f>
        <v>0</v>
      </c>
    </row>
    <row r="545" spans="1:33" x14ac:dyDescent="0.25">
      <c r="A545" s="274" t="str">
        <f>+IFERROR(VLOOKUP(CATEGORIAS[[#This Row],[CATEGORIA2]],[1]HOMOLOGACION!$A$1:$I$571,9,FALSE),0)</f>
        <v>1Z02</v>
      </c>
      <c r="B545" s="274" t="str">
        <f>+IFERROR(VLOOKUP(CATEGORIAS[[#This Row],[CATEGORIA2]],[1]HOMOLOGACION!$A$1:$C$571,3,FALSE),0)</f>
        <v>1I02</v>
      </c>
      <c r="C545" s="274" t="str">
        <f>+IFERROR(VLOOKUP(CATEGORIAS[[#This Row],[CATEGORIA2]],[1]HOMOLOGACION!$A$1:$D$571,4,FALSE),0)</f>
        <v>Otros Gastos Generales</v>
      </c>
      <c r="D545" s="144" t="s">
        <v>2247</v>
      </c>
      <c r="E545" s="273" t="s">
        <v>2309</v>
      </c>
      <c r="F545" s="275" t="s">
        <v>361</v>
      </c>
      <c r="G545" s="313">
        <v>0</v>
      </c>
      <c r="H545" s="313">
        <v>0</v>
      </c>
      <c r="I545" s="130">
        <v>0</v>
      </c>
      <c r="J545" s="130"/>
      <c r="K545" s="130"/>
      <c r="L545" s="143">
        <f>CATEGORIAS[[#This Row],[ADICIONALES]]+CATEGORIAS[[#This Row],[POM]]</f>
        <v>0</v>
      </c>
      <c r="M545" s="131">
        <v>0</v>
      </c>
      <c r="N545" s="227">
        <v>0</v>
      </c>
      <c r="O545" s="141">
        <f>CATEGORIAS[[#This Row],[PRODUCCION
PARTIDAS
ORIGINALES
ACTUAL]]+CATEGORIAS[[#This Row],[PRODUCCION
ADICIONALES
ACTUAL]]</f>
        <v>0</v>
      </c>
      <c r="P545" s="132">
        <v>0</v>
      </c>
      <c r="Q545" s="227">
        <v>0</v>
      </c>
      <c r="R545" s="140">
        <f>CATEGORIAS[[#This Row],[PRODUCCION
ANTERIOR]]+CATEGORIAS[[#This Row],[PRODUCCION
ADICIONALES
ANTERIOR]]</f>
        <v>0</v>
      </c>
      <c r="S545" s="133">
        <v>0</v>
      </c>
      <c r="T545" s="133"/>
      <c r="U545" s="133"/>
      <c r="V545" s="141">
        <f>SUM(CATEGORIAS[[#This Row],[COSTO
ACUMULADO  AX]:[PROVISIONES]])</f>
        <v>0</v>
      </c>
      <c r="W545" s="134">
        <v>0</v>
      </c>
      <c r="X545" s="132"/>
      <c r="Y545" s="132"/>
      <c r="Z545" s="140">
        <f>SUM(CATEGORIAS[[#This Row],[COSTO ACUMULADO
ANTERIOR]:[PROVISIONES
ANTERIOR]])</f>
        <v>0</v>
      </c>
      <c r="AA545" s="139">
        <f>CATEGORIAS[[#This Row],[PRESUPUESTO
FINAL
PROYECTADO]]-CATEGORIAS[[#This Row],[TOTAL PRODUCCION
ACTUAL]]</f>
        <v>0</v>
      </c>
      <c r="AB545" s="227">
        <v>0</v>
      </c>
      <c r="AC545" s="132"/>
      <c r="AD545" s="132"/>
      <c r="AE545" s="137">
        <f>SUM(CATEGORIAS[[#This Row],[INVENTARIO]:[PROYECCION
DE COSTO
DEL SALDO]])</f>
        <v>0</v>
      </c>
      <c r="AF545" s="132"/>
      <c r="AG545" s="132">
        <f>+CATEGORIAS[[#This Row],[PRESUPUESTO
FINAL
PROYECTADO]]-CATEGORIAS[[#This Row],[COSTO REAL]]-CATEGORIAS[[#This Row],[PROYECCION
TOTAL DE COSTO]]</f>
        <v>0</v>
      </c>
    </row>
    <row r="546" spans="1:33" x14ac:dyDescent="0.25">
      <c r="A546" s="274" t="str">
        <f>+IFERROR(VLOOKUP(CATEGORIAS[[#This Row],[CATEGORIA2]],[1]HOMOLOGACION!$A$1:$I$571,9,FALSE),0)</f>
        <v>1Z02</v>
      </c>
      <c r="B546" s="274" t="str">
        <f>+IFERROR(VLOOKUP(CATEGORIAS[[#This Row],[CATEGORIA2]],[1]HOMOLOGACION!$A$1:$C$571,3,FALSE),0)</f>
        <v>1I02</v>
      </c>
      <c r="C546" s="274" t="str">
        <f>+IFERROR(VLOOKUP(CATEGORIAS[[#This Row],[CATEGORIA2]],[1]HOMOLOGACION!$A$1:$D$571,4,FALSE),0)</f>
        <v>Otros Gastos Generales</v>
      </c>
      <c r="D546" s="144" t="s">
        <v>2248</v>
      </c>
      <c r="E546" s="273" t="s">
        <v>2291</v>
      </c>
      <c r="F546" s="275" t="s">
        <v>361</v>
      </c>
      <c r="G546" s="313">
        <v>0</v>
      </c>
      <c r="H546" s="313">
        <v>0</v>
      </c>
      <c r="I546" s="130">
        <v>0</v>
      </c>
      <c r="J546" s="130"/>
      <c r="K546" s="130"/>
      <c r="L546" s="143">
        <f>CATEGORIAS[[#This Row],[ADICIONALES]]+CATEGORIAS[[#This Row],[POM]]</f>
        <v>0</v>
      </c>
      <c r="M546" s="131">
        <v>0</v>
      </c>
      <c r="N546" s="227">
        <v>0</v>
      </c>
      <c r="O546" s="141">
        <f>CATEGORIAS[[#This Row],[PRODUCCION
PARTIDAS
ORIGINALES
ACTUAL]]+CATEGORIAS[[#This Row],[PRODUCCION
ADICIONALES
ACTUAL]]</f>
        <v>0</v>
      </c>
      <c r="P546" s="132">
        <v>0</v>
      </c>
      <c r="Q546" s="132">
        <v>0</v>
      </c>
      <c r="R546" s="140">
        <f>CATEGORIAS[[#This Row],[PRODUCCION
ANTERIOR]]+CATEGORIAS[[#This Row],[PRODUCCION
ADICIONALES
ANTERIOR]]</f>
        <v>0</v>
      </c>
      <c r="S546" s="133">
        <v>0</v>
      </c>
      <c r="T546" s="133"/>
      <c r="U546" s="133"/>
      <c r="V546" s="141">
        <f>SUM(CATEGORIAS[[#This Row],[COSTO
ACUMULADO  AX]:[PROVISIONES]])</f>
        <v>0</v>
      </c>
      <c r="W546" s="134">
        <v>-7476714</v>
      </c>
      <c r="X546" s="132">
        <v>3107757</v>
      </c>
      <c r="Y546" s="132">
        <v>4368957</v>
      </c>
      <c r="Z546" s="140">
        <f>SUM(CATEGORIAS[[#This Row],[COSTO ACUMULADO
ANTERIOR]:[PROVISIONES
ANTERIOR]])</f>
        <v>0</v>
      </c>
      <c r="AA546" s="139">
        <f>CATEGORIAS[[#This Row],[PRESUPUESTO
FINAL
PROYECTADO]]-CATEGORIAS[[#This Row],[TOTAL PRODUCCION
ACTUAL]]</f>
        <v>0</v>
      </c>
      <c r="AB546" s="227">
        <v>0</v>
      </c>
      <c r="AC546" s="132"/>
      <c r="AD546" s="132"/>
      <c r="AE546" s="137">
        <f>SUM(CATEGORIAS[[#This Row],[INVENTARIO]:[PROYECCION
DE COSTO
DEL SALDO]])</f>
        <v>0</v>
      </c>
      <c r="AF546" s="132"/>
      <c r="AG546" s="132">
        <f>+CATEGORIAS[[#This Row],[PRESUPUESTO
FINAL
PROYECTADO]]-CATEGORIAS[[#This Row],[COSTO REAL]]-CATEGORIAS[[#This Row],[PROYECCION
TOTAL DE COSTO]]</f>
        <v>0</v>
      </c>
    </row>
    <row r="547" spans="1:33" x14ac:dyDescent="0.25">
      <c r="A547" s="274" t="str">
        <f>+IFERROR(VLOOKUP(CATEGORIAS[[#This Row],[CATEGORIA2]],[1]HOMOLOGACION!$A$1:$I$571,9,FALSE),0)</f>
        <v>1K01</v>
      </c>
      <c r="B547" s="274" t="str">
        <f>+IFERROR(VLOOKUP(CATEGORIAS[[#This Row],[CATEGORIA2]],[1]HOMOLOGACION!$A$1:$C$571,3,FALSE),0)</f>
        <v>1K01</v>
      </c>
      <c r="C547" s="274" t="str">
        <f>+IFERROR(VLOOKUP(CATEGORIAS[[#This Row],[CATEGORIA2]],[1]HOMOLOGACION!$A$1:$D$571,4,FALSE),0)</f>
        <v xml:space="preserve">Oficina Central </v>
      </c>
      <c r="D547" s="144" t="s">
        <v>2310</v>
      </c>
      <c r="E547" s="273" t="s">
        <v>2311</v>
      </c>
      <c r="F547" s="275" t="s">
        <v>361</v>
      </c>
      <c r="G547" s="313">
        <v>0</v>
      </c>
      <c r="H547" s="313">
        <v>0</v>
      </c>
      <c r="I547" s="130">
        <v>0</v>
      </c>
      <c r="J547" s="130"/>
      <c r="K547" s="130"/>
      <c r="L547" s="143">
        <f>CATEGORIAS[[#This Row],[ADICIONALES]]+CATEGORIAS[[#This Row],[POM]]</f>
        <v>0</v>
      </c>
      <c r="M547" s="131">
        <v>0</v>
      </c>
      <c r="N547" s="227">
        <v>0</v>
      </c>
      <c r="O547" s="141">
        <f>CATEGORIAS[[#This Row],[PRODUCCION
PARTIDAS
ORIGINALES
ACTUAL]]+CATEGORIAS[[#This Row],[PRODUCCION
ADICIONALES
ACTUAL]]</f>
        <v>0</v>
      </c>
      <c r="P547" s="132">
        <v>0</v>
      </c>
      <c r="Q547" s="227">
        <v>0</v>
      </c>
      <c r="R547" s="140">
        <f>CATEGORIAS[[#This Row],[PRODUCCION
ANTERIOR]]+CATEGORIAS[[#This Row],[PRODUCCION
ADICIONALES
ANTERIOR]]</f>
        <v>0</v>
      </c>
      <c r="S547" s="133">
        <v>0</v>
      </c>
      <c r="T547" s="133"/>
      <c r="U547" s="133"/>
      <c r="V547" s="141">
        <f>SUM(CATEGORIAS[[#This Row],[COSTO
ACUMULADO  AX]:[PROVISIONES]])</f>
        <v>0</v>
      </c>
      <c r="W547" s="134">
        <v>0</v>
      </c>
      <c r="X547" s="132"/>
      <c r="Y547" s="132"/>
      <c r="Z547" s="140">
        <f>SUM(CATEGORIAS[[#This Row],[COSTO ACUMULADO
ANTERIOR]:[PROVISIONES
ANTERIOR]])</f>
        <v>0</v>
      </c>
      <c r="AA547" s="139">
        <f>CATEGORIAS[[#This Row],[PRESUPUESTO
FINAL
PROYECTADO]]-CATEGORIAS[[#This Row],[TOTAL PRODUCCION
ACTUAL]]</f>
        <v>0</v>
      </c>
      <c r="AB547" s="227">
        <v>0</v>
      </c>
      <c r="AC547" s="132"/>
      <c r="AD547" s="132"/>
      <c r="AE547" s="137">
        <f>SUM(CATEGORIAS[[#This Row],[INVENTARIO]:[PROYECCION
DE COSTO
DEL SALDO]])</f>
        <v>0</v>
      </c>
      <c r="AF547" s="132"/>
      <c r="AG547" s="132">
        <f>+CATEGORIAS[[#This Row],[PRESUPUESTO
FINAL
PROYECTADO]]-CATEGORIAS[[#This Row],[COSTO REAL]]-CATEGORIAS[[#This Row],[PROYECCION
TOTAL DE COSTO]]</f>
        <v>0</v>
      </c>
    </row>
    <row r="548" spans="1:33" x14ac:dyDescent="0.25">
      <c r="A548" s="274" t="str">
        <f>+IFERROR(VLOOKUP(CATEGORIAS[[#This Row],[CATEGORIA2]],[1]HOMOLOGACION!$A$1:$I$571,9,FALSE),0)</f>
        <v>1Y09</v>
      </c>
      <c r="B548" s="274" t="str">
        <f>+IFERROR(VLOOKUP(CATEGORIAS[[#This Row],[CATEGORIA2]],[1]HOMOLOGACION!$A$1:$C$571,3,FALSE),0)</f>
        <v>1F09</v>
      </c>
      <c r="C548" s="274" t="str">
        <f>+IFERROR(VLOOKUP(CATEGORIAS[[#This Row],[CATEGORIA2]],[1]HOMOLOGACION!$A$1:$D$571,4,FALSE),0)</f>
        <v xml:space="preserve">Movilización </v>
      </c>
      <c r="D548" s="144" t="s">
        <v>2292</v>
      </c>
      <c r="E548" s="275" t="s">
        <v>440</v>
      </c>
      <c r="F548" s="275" t="s">
        <v>364</v>
      </c>
      <c r="G548" s="313">
        <v>50970000.000000015</v>
      </c>
      <c r="H548" s="313">
        <v>50970000.000000015</v>
      </c>
      <c r="I548" s="130">
        <v>0</v>
      </c>
      <c r="J548" s="130"/>
      <c r="K548" s="130"/>
      <c r="L548" s="143">
        <f>CATEGORIAS[[#This Row],[ADICIONALES]]+CATEGORIAS[[#This Row],[POM]]</f>
        <v>50970000.000000015</v>
      </c>
      <c r="M548" s="131">
        <v>23804603.723701492</v>
      </c>
      <c r="N548" s="227">
        <v>0</v>
      </c>
      <c r="O548" s="141">
        <f>CATEGORIAS[[#This Row],[PRODUCCION
PARTIDAS
ORIGINALES
ACTUAL]]+CATEGORIAS[[#This Row],[PRODUCCION
ADICIONALES
ACTUAL]]</f>
        <v>23804603.723701492</v>
      </c>
      <c r="P548" s="132">
        <v>13167480.581450956</v>
      </c>
      <c r="Q548" s="132">
        <v>0</v>
      </c>
      <c r="R548" s="140">
        <f>CATEGORIAS[[#This Row],[PRODUCCION
ANTERIOR]]+CATEGORIAS[[#This Row],[PRODUCCION
ADICIONALES
ANTERIOR]]</f>
        <v>13167480.581450956</v>
      </c>
      <c r="S548" s="133">
        <v>349373</v>
      </c>
      <c r="T548" s="133">
        <v>5764909</v>
      </c>
      <c r="U548" s="133">
        <v>3964000</v>
      </c>
      <c r="V548" s="141">
        <f>SUM(CATEGORIAS[[#This Row],[COSTO
ACUMULADO  AX]:[PROVISIONES]])</f>
        <v>10078282</v>
      </c>
      <c r="W548" s="134">
        <v>28500</v>
      </c>
      <c r="X548" s="132">
        <v>5764909</v>
      </c>
      <c r="Y548" s="132">
        <v>3964000</v>
      </c>
      <c r="Z548" s="140">
        <f>SUM(CATEGORIAS[[#This Row],[COSTO ACUMULADO
ANTERIOR]:[PROVISIONES
ANTERIOR]])</f>
        <v>9757409</v>
      </c>
      <c r="AA548" s="139">
        <f>CATEGORIAS[[#This Row],[PRESUPUESTO
FINAL
PROYECTADO]]-CATEGORIAS[[#This Row],[TOTAL PRODUCCION
ACTUAL]]</f>
        <v>27165396.276298523</v>
      </c>
      <c r="AB548" s="227">
        <v>0</v>
      </c>
      <c r="AC548" s="132"/>
      <c r="AD548" s="132">
        <v>40891718.000000015</v>
      </c>
      <c r="AE548" s="137">
        <f>SUM(CATEGORIAS[[#This Row],[INVENTARIO]:[PROYECCION
DE COSTO
DEL SALDO]])</f>
        <v>40891718.000000015</v>
      </c>
      <c r="AF548" s="132"/>
      <c r="AG548" s="132">
        <f>+CATEGORIAS[[#This Row],[PRESUPUESTO
FINAL
PROYECTADO]]-CATEGORIAS[[#This Row],[COSTO REAL]]-CATEGORIAS[[#This Row],[PROYECCION
TOTAL DE COSTO]]</f>
        <v>0</v>
      </c>
    </row>
    <row r="549" spans="1:33" x14ac:dyDescent="0.25">
      <c r="A549" s="274" t="str">
        <f>+IFERROR(VLOOKUP(CATEGORIAS[[#This Row],[CATEGORIA2]],[1]HOMOLOGACION!$A$1:$I$571,9,FALSE),0)</f>
        <v>1Y09</v>
      </c>
      <c r="B549" s="274" t="str">
        <f>+IFERROR(VLOOKUP(CATEGORIAS[[#This Row],[CATEGORIA2]],[1]HOMOLOGACION!$A$1:$C$571,3,FALSE),0)</f>
        <v>1F09</v>
      </c>
      <c r="C549" s="274" t="str">
        <f>+IFERROR(VLOOKUP(CATEGORIAS[[#This Row],[CATEGORIA2]],[1]HOMOLOGACION!$A$1:$D$571,4,FALSE),0)</f>
        <v xml:space="preserve">Movilización </v>
      </c>
      <c r="D549" s="144" t="s">
        <v>2293</v>
      </c>
      <c r="E549" s="273" t="s">
        <v>442</v>
      </c>
      <c r="F549" s="275" t="s">
        <v>361</v>
      </c>
      <c r="G549" s="313">
        <v>0</v>
      </c>
      <c r="H549" s="313">
        <v>0</v>
      </c>
      <c r="I549" s="130">
        <v>0</v>
      </c>
      <c r="J549" s="130"/>
      <c r="K549" s="130"/>
      <c r="L549" s="143">
        <f>CATEGORIAS[[#This Row],[ADICIONALES]]+CATEGORIAS[[#This Row],[POM]]</f>
        <v>0</v>
      </c>
      <c r="M549" s="131">
        <v>0</v>
      </c>
      <c r="N549" s="227">
        <v>0</v>
      </c>
      <c r="O549" s="141">
        <f>CATEGORIAS[[#This Row],[PRODUCCION
PARTIDAS
ORIGINALES
ACTUAL]]+CATEGORIAS[[#This Row],[PRODUCCION
ADICIONALES
ACTUAL]]</f>
        <v>0</v>
      </c>
      <c r="P549" s="132">
        <v>0</v>
      </c>
      <c r="Q549" s="227">
        <v>0</v>
      </c>
      <c r="R549" s="140">
        <f>CATEGORIAS[[#This Row],[PRODUCCION
ANTERIOR]]+CATEGORIAS[[#This Row],[PRODUCCION
ADICIONALES
ANTERIOR]]</f>
        <v>0</v>
      </c>
      <c r="S549" s="133">
        <v>424150</v>
      </c>
      <c r="T549" s="133">
        <v>-424150</v>
      </c>
      <c r="U549" s="133"/>
      <c r="V549" s="141">
        <f>SUM(CATEGORIAS[[#This Row],[COSTO
ACUMULADO  AX]:[PROVISIONES]])</f>
        <v>0</v>
      </c>
      <c r="W549" s="134">
        <v>0</v>
      </c>
      <c r="X549" s="132"/>
      <c r="Y549" s="132"/>
      <c r="Z549" s="140">
        <f>SUM(CATEGORIAS[[#This Row],[COSTO ACUMULADO
ANTERIOR]:[PROVISIONES
ANTERIOR]])</f>
        <v>0</v>
      </c>
      <c r="AA549" s="139">
        <f>CATEGORIAS[[#This Row],[PRESUPUESTO
FINAL
PROYECTADO]]-CATEGORIAS[[#This Row],[TOTAL PRODUCCION
ACTUAL]]</f>
        <v>0</v>
      </c>
      <c r="AB549" s="227">
        <v>0</v>
      </c>
      <c r="AC549" s="132"/>
      <c r="AD549" s="132"/>
      <c r="AE549" s="137">
        <f>SUM(CATEGORIAS[[#This Row],[INVENTARIO]:[PROYECCION
DE COSTO
DEL SALDO]])</f>
        <v>0</v>
      </c>
      <c r="AF549" s="132"/>
      <c r="AG549" s="132">
        <f>+CATEGORIAS[[#This Row],[PRESUPUESTO
FINAL
PROYECTADO]]-CATEGORIAS[[#This Row],[COSTO REAL]]-CATEGORIAS[[#This Row],[PROYECCION
TOTAL DE COSTO]]</f>
        <v>0</v>
      </c>
    </row>
    <row r="550" spans="1:33" x14ac:dyDescent="0.25">
      <c r="A550" s="274" t="str">
        <f>+IFERROR(VLOOKUP(CATEGORIAS[[#This Row],[CATEGORIA2]],[1]HOMOLOGACION!$A$1:$I$571,9,FALSE),0)</f>
        <v>1Y09</v>
      </c>
      <c r="B550" s="274" t="str">
        <f>+IFERROR(VLOOKUP(CATEGORIAS[[#This Row],[CATEGORIA2]],[1]HOMOLOGACION!$A$1:$C$571,3,FALSE),0)</f>
        <v>1F09</v>
      </c>
      <c r="C550" s="274" t="str">
        <f>+IFERROR(VLOOKUP(CATEGORIAS[[#This Row],[CATEGORIA2]],[1]HOMOLOGACION!$A$1:$D$571,4,FALSE),0)</f>
        <v xml:space="preserve">Movilización </v>
      </c>
      <c r="D550" s="144" t="s">
        <v>2294</v>
      </c>
      <c r="E550" s="273" t="s">
        <v>444</v>
      </c>
      <c r="F550" s="275" t="s">
        <v>361</v>
      </c>
      <c r="G550" s="313">
        <v>0</v>
      </c>
      <c r="H550" s="313">
        <v>0</v>
      </c>
      <c r="I550" s="130">
        <v>0</v>
      </c>
      <c r="J550" s="130"/>
      <c r="K550" s="130"/>
      <c r="L550" s="143">
        <f>CATEGORIAS[[#This Row],[ADICIONALES]]+CATEGORIAS[[#This Row],[POM]]</f>
        <v>0</v>
      </c>
      <c r="M550" s="131">
        <v>0</v>
      </c>
      <c r="N550" s="227">
        <v>0</v>
      </c>
      <c r="O550" s="141">
        <f>CATEGORIAS[[#This Row],[PRODUCCION
PARTIDAS
ORIGINALES
ACTUAL]]+CATEGORIAS[[#This Row],[PRODUCCION
ADICIONALES
ACTUAL]]</f>
        <v>0</v>
      </c>
      <c r="P550" s="132">
        <v>0</v>
      </c>
      <c r="Q550" s="132">
        <v>0</v>
      </c>
      <c r="R550" s="140">
        <f>CATEGORIAS[[#This Row],[PRODUCCION
ANTERIOR]]+CATEGORIAS[[#This Row],[PRODUCCION
ADICIONALES
ANTERIOR]]</f>
        <v>0</v>
      </c>
      <c r="S550" s="133">
        <v>0</v>
      </c>
      <c r="T550" s="133"/>
      <c r="U550" s="133"/>
      <c r="V550" s="141">
        <f>SUM(CATEGORIAS[[#This Row],[COSTO
ACUMULADO  AX]:[PROVISIONES]])</f>
        <v>0</v>
      </c>
      <c r="W550" s="134">
        <v>0</v>
      </c>
      <c r="X550" s="132"/>
      <c r="Y550" s="132"/>
      <c r="Z550" s="140">
        <f>SUM(CATEGORIAS[[#This Row],[COSTO ACUMULADO
ANTERIOR]:[PROVISIONES
ANTERIOR]])</f>
        <v>0</v>
      </c>
      <c r="AA550" s="139">
        <f>CATEGORIAS[[#This Row],[PRESUPUESTO
FINAL
PROYECTADO]]-CATEGORIAS[[#This Row],[TOTAL PRODUCCION
ACTUAL]]</f>
        <v>0</v>
      </c>
      <c r="AB550" s="227">
        <v>0</v>
      </c>
      <c r="AC550" s="132"/>
      <c r="AD550" s="132"/>
      <c r="AE550" s="137">
        <f>SUM(CATEGORIAS[[#This Row],[INVENTARIO]:[PROYECCION
DE COSTO
DEL SALDO]])</f>
        <v>0</v>
      </c>
      <c r="AF550" s="132"/>
      <c r="AG550" s="132">
        <f>+CATEGORIAS[[#This Row],[PRESUPUESTO
FINAL
PROYECTADO]]-CATEGORIAS[[#This Row],[COSTO REAL]]-CATEGORIAS[[#This Row],[PROYECCION
TOTAL DE COSTO]]</f>
        <v>0</v>
      </c>
    </row>
    <row r="551" spans="1:33" x14ac:dyDescent="0.25">
      <c r="A551" s="274" t="str">
        <f>+IFERROR(VLOOKUP(CATEGORIAS[[#This Row],[CATEGORIA2]],[1]HOMOLOGACION!$A$1:$I$571,9,FALSE),0)</f>
        <v>1Y09</v>
      </c>
      <c r="B551" s="274" t="str">
        <f>+IFERROR(VLOOKUP(CATEGORIAS[[#This Row],[CATEGORIA2]],[1]HOMOLOGACION!$A$1:$C$571,3,FALSE),0)</f>
        <v>1F09</v>
      </c>
      <c r="C551" s="274" t="str">
        <f>+IFERROR(VLOOKUP(CATEGORIAS[[#This Row],[CATEGORIA2]],[1]HOMOLOGACION!$A$1:$D$571,4,FALSE),0)</f>
        <v xml:space="preserve">Movilización </v>
      </c>
      <c r="D551" s="144" t="s">
        <v>2295</v>
      </c>
      <c r="E551" s="273" t="s">
        <v>444</v>
      </c>
      <c r="F551" s="275" t="s">
        <v>361</v>
      </c>
      <c r="G551" s="313">
        <v>0</v>
      </c>
      <c r="H551" s="313">
        <v>0</v>
      </c>
      <c r="I551" s="130">
        <v>0</v>
      </c>
      <c r="J551" s="130"/>
      <c r="K551" s="130"/>
      <c r="L551" s="143">
        <f>CATEGORIAS[[#This Row],[ADICIONALES]]+CATEGORIAS[[#This Row],[POM]]</f>
        <v>0</v>
      </c>
      <c r="M551" s="131">
        <v>0</v>
      </c>
      <c r="N551" s="227">
        <v>0</v>
      </c>
      <c r="O551" s="141">
        <f>CATEGORIAS[[#This Row],[PRODUCCION
PARTIDAS
ORIGINALES
ACTUAL]]+CATEGORIAS[[#This Row],[PRODUCCION
ADICIONALES
ACTUAL]]</f>
        <v>0</v>
      </c>
      <c r="P551" s="132">
        <v>0</v>
      </c>
      <c r="Q551" s="227">
        <v>0</v>
      </c>
      <c r="R551" s="140">
        <f>CATEGORIAS[[#This Row],[PRODUCCION
ANTERIOR]]+CATEGORIAS[[#This Row],[PRODUCCION
ADICIONALES
ANTERIOR]]</f>
        <v>0</v>
      </c>
      <c r="S551" s="133">
        <v>0</v>
      </c>
      <c r="T551" s="133"/>
      <c r="U551" s="133"/>
      <c r="V551" s="141">
        <f>SUM(CATEGORIAS[[#This Row],[COSTO
ACUMULADO  AX]:[PROVISIONES]])</f>
        <v>0</v>
      </c>
      <c r="W551" s="134">
        <v>0</v>
      </c>
      <c r="X551" s="132"/>
      <c r="Y551" s="132"/>
      <c r="Z551" s="140">
        <f>SUM(CATEGORIAS[[#This Row],[COSTO ACUMULADO
ANTERIOR]:[PROVISIONES
ANTERIOR]])</f>
        <v>0</v>
      </c>
      <c r="AA551" s="139">
        <f>CATEGORIAS[[#This Row],[PRESUPUESTO
FINAL
PROYECTADO]]-CATEGORIAS[[#This Row],[TOTAL PRODUCCION
ACTUAL]]</f>
        <v>0</v>
      </c>
      <c r="AB551" s="227">
        <v>0</v>
      </c>
      <c r="AC551" s="132"/>
      <c r="AD551" s="132"/>
      <c r="AE551" s="137">
        <f>SUM(CATEGORIAS[[#This Row],[INVENTARIO]:[PROYECCION
DE COSTO
DEL SALDO]])</f>
        <v>0</v>
      </c>
      <c r="AF551" s="132"/>
      <c r="AG551" s="132">
        <f>+CATEGORIAS[[#This Row],[PRESUPUESTO
FINAL
PROYECTADO]]-CATEGORIAS[[#This Row],[COSTO REAL]]-CATEGORIAS[[#This Row],[PROYECCION
TOTAL DE COSTO]]</f>
        <v>0</v>
      </c>
    </row>
    <row r="552" spans="1:33" x14ac:dyDescent="0.25">
      <c r="A552" s="274" t="str">
        <f>+IFERROR(VLOOKUP(CATEGORIAS[[#This Row],[CATEGORIA2]],[1]HOMOLOGACION!$A$1:$I$571,9,FALSE),0)</f>
        <v>1Y10</v>
      </c>
      <c r="B552" s="274" t="str">
        <f>+IFERROR(VLOOKUP(CATEGORIAS[[#This Row],[CATEGORIA2]],[1]HOMOLOGACION!$A$1:$C$571,3,FALSE),0)</f>
        <v>1F10</v>
      </c>
      <c r="C552" s="274" t="str">
        <f>+IFERROR(VLOOKUP(CATEGORIAS[[#This Row],[CATEGORIA2]],[1]HOMOLOGACION!$A$1:$D$571,4,FALSE),0)</f>
        <v>Hotelería</v>
      </c>
      <c r="D552" s="144" t="s">
        <v>2296</v>
      </c>
      <c r="E552" s="273" t="s">
        <v>447</v>
      </c>
      <c r="F552" s="275" t="s">
        <v>361</v>
      </c>
      <c r="G552" s="313">
        <v>0</v>
      </c>
      <c r="H552" s="313">
        <v>0</v>
      </c>
      <c r="I552" s="130">
        <v>0</v>
      </c>
      <c r="J552" s="130"/>
      <c r="K552" s="130"/>
      <c r="L552" s="143">
        <f>CATEGORIAS[[#This Row],[ADICIONALES]]+CATEGORIAS[[#This Row],[POM]]</f>
        <v>0</v>
      </c>
      <c r="M552" s="131">
        <v>0</v>
      </c>
      <c r="N552" s="227">
        <v>0</v>
      </c>
      <c r="O552" s="141">
        <f>CATEGORIAS[[#This Row],[PRODUCCION
PARTIDAS
ORIGINALES
ACTUAL]]+CATEGORIAS[[#This Row],[PRODUCCION
ADICIONALES
ACTUAL]]</f>
        <v>0</v>
      </c>
      <c r="P552" s="227">
        <v>0</v>
      </c>
      <c r="Q552" s="227">
        <v>0</v>
      </c>
      <c r="R552" s="297">
        <f>CATEGORIAS[[#This Row],[PRODUCCION
ANTERIOR]]+CATEGORIAS[[#This Row],[PRODUCCION
ADICIONALES
ANTERIOR]]</f>
        <v>0</v>
      </c>
      <c r="S552" s="133">
        <v>0</v>
      </c>
      <c r="T552" s="298"/>
      <c r="U552" s="133"/>
      <c r="V552" s="296">
        <f>SUM(CATEGORIAS[[#This Row],[COSTO
ACUMULADO  AX]:[PROVISIONES]])</f>
        <v>0</v>
      </c>
      <c r="W552" s="298">
        <v>0</v>
      </c>
      <c r="X552" s="227"/>
      <c r="Y552" s="227"/>
      <c r="Z552" s="297">
        <f>SUM(CATEGORIAS[[#This Row],[COSTO ACUMULADO
ANTERIOR]:[PROVISIONES
ANTERIOR]])</f>
        <v>0</v>
      </c>
      <c r="AA552" s="139">
        <f>CATEGORIAS[[#This Row],[PRESUPUESTO
FINAL
PROYECTADO]]-CATEGORIAS[[#This Row],[TOTAL PRODUCCION
ACTUAL]]</f>
        <v>0</v>
      </c>
      <c r="AB552" s="227">
        <v>0</v>
      </c>
      <c r="AC552" s="132"/>
      <c r="AD552" s="132"/>
      <c r="AE552" s="226">
        <f>SUM(CATEGORIAS[[#This Row],[INVENTARIO]:[PROYECCION
DE COSTO
DEL SALDO]])</f>
        <v>0</v>
      </c>
      <c r="AF552" s="132"/>
      <c r="AG552" s="132">
        <f>+CATEGORIAS[[#This Row],[PRESUPUESTO
FINAL
PROYECTADO]]-CATEGORIAS[[#This Row],[COSTO REAL]]-CATEGORIAS[[#This Row],[PROYECCION
TOTAL DE COSTO]]</f>
        <v>0</v>
      </c>
    </row>
    <row r="553" spans="1:33" x14ac:dyDescent="0.25">
      <c r="A553" s="274" t="str">
        <f>+IFERROR(VLOOKUP(CATEGORIAS[[#This Row],[CATEGORIA2]],[1]HOMOLOGACION!$A$1:$I$571,9,FALSE),0)</f>
        <v>1Y10</v>
      </c>
      <c r="B553" s="274" t="str">
        <f>+IFERROR(VLOOKUP(CATEGORIAS[[#This Row],[CATEGORIA2]],[1]HOMOLOGACION!$A$1:$C$571,3,FALSE),0)</f>
        <v>1F10</v>
      </c>
      <c r="C553" s="274" t="str">
        <f>+IFERROR(VLOOKUP(CATEGORIAS[[#This Row],[CATEGORIA2]],[1]HOMOLOGACION!$A$1:$D$571,4,FALSE),0)</f>
        <v>Hotelería</v>
      </c>
      <c r="D553" s="144" t="s">
        <v>2297</v>
      </c>
      <c r="E553" s="273" t="s">
        <v>449</v>
      </c>
      <c r="F553" s="275" t="s">
        <v>361</v>
      </c>
      <c r="G553" s="313">
        <v>0</v>
      </c>
      <c r="H553" s="313">
        <v>0</v>
      </c>
      <c r="I553" s="130">
        <v>0</v>
      </c>
      <c r="J553" s="130"/>
      <c r="K553" s="130"/>
      <c r="L553" s="143">
        <f>CATEGORIAS[[#This Row],[ADICIONALES]]+CATEGORIAS[[#This Row],[POM]]</f>
        <v>0</v>
      </c>
      <c r="M553" s="131">
        <v>0</v>
      </c>
      <c r="N553" s="227">
        <v>0</v>
      </c>
      <c r="O553" s="141">
        <f>CATEGORIAS[[#This Row],[PRODUCCION
PARTIDAS
ORIGINALES
ACTUAL]]+CATEGORIAS[[#This Row],[PRODUCCION
ADICIONALES
ACTUAL]]</f>
        <v>0</v>
      </c>
      <c r="P553" s="132">
        <v>0</v>
      </c>
      <c r="Q553" s="132">
        <v>0</v>
      </c>
      <c r="R553" s="140">
        <f>CATEGORIAS[[#This Row],[PRODUCCION
ANTERIOR]]+CATEGORIAS[[#This Row],[PRODUCCION
ADICIONALES
ANTERIOR]]</f>
        <v>0</v>
      </c>
      <c r="S553" s="133">
        <v>0</v>
      </c>
      <c r="T553" s="133"/>
      <c r="U553" s="133"/>
      <c r="V553" s="141">
        <f>SUM(CATEGORIAS[[#This Row],[COSTO
ACUMULADO  AX]:[PROVISIONES]])</f>
        <v>0</v>
      </c>
      <c r="W553" s="134">
        <v>0</v>
      </c>
      <c r="X553" s="132"/>
      <c r="Y553" s="132"/>
      <c r="Z553" s="140">
        <f>SUM(CATEGORIAS[[#This Row],[COSTO ACUMULADO
ANTERIOR]:[PROVISIONES
ANTERIOR]])</f>
        <v>0</v>
      </c>
      <c r="AA553" s="139">
        <f>CATEGORIAS[[#This Row],[PRESUPUESTO
FINAL
PROYECTADO]]-CATEGORIAS[[#This Row],[TOTAL PRODUCCION
ACTUAL]]</f>
        <v>0</v>
      </c>
      <c r="AB553" s="227">
        <v>0</v>
      </c>
      <c r="AC553" s="132"/>
      <c r="AD553" s="132"/>
      <c r="AE553" s="137">
        <f>SUM(CATEGORIAS[[#This Row],[INVENTARIO]:[PROYECCION
DE COSTO
DEL SALDO]])</f>
        <v>0</v>
      </c>
      <c r="AF553" s="132"/>
      <c r="AG553" s="132">
        <f>+CATEGORIAS[[#This Row],[PRESUPUESTO
FINAL
PROYECTADO]]-CATEGORIAS[[#This Row],[COSTO REAL]]-CATEGORIAS[[#This Row],[PROYECCION
TOTAL DE COSTO]]</f>
        <v>0</v>
      </c>
    </row>
    <row r="554" spans="1:33" x14ac:dyDescent="0.25">
      <c r="A554" s="274" t="str">
        <f>+IFERROR(VLOOKUP(CATEGORIAS[[#This Row],[CATEGORIA2]],[1]HOMOLOGACION!$A$1:$I$571,9,FALSE),0)</f>
        <v>1Y10</v>
      </c>
      <c r="B554" s="274" t="str">
        <f>+IFERROR(VLOOKUP(CATEGORIAS[[#This Row],[CATEGORIA2]],[1]HOMOLOGACION!$A$1:$C$571,3,FALSE),0)</f>
        <v>1F10</v>
      </c>
      <c r="C554" s="274" t="str">
        <f>+IFERROR(VLOOKUP(CATEGORIAS[[#This Row],[CATEGORIA2]],[1]HOMOLOGACION!$A$1:$D$571,4,FALSE),0)</f>
        <v>Hotelería</v>
      </c>
      <c r="D554" s="144" t="s">
        <v>2298</v>
      </c>
      <c r="E554" s="273" t="s">
        <v>453</v>
      </c>
      <c r="F554" s="275" t="s">
        <v>361</v>
      </c>
      <c r="G554" s="313">
        <v>0</v>
      </c>
      <c r="H554" s="313">
        <v>0</v>
      </c>
      <c r="I554" s="130">
        <v>0</v>
      </c>
      <c r="J554" s="130"/>
      <c r="K554" s="130"/>
      <c r="L554" s="143">
        <f>CATEGORIAS[[#This Row],[ADICIONALES]]+CATEGORIAS[[#This Row],[POM]]</f>
        <v>0</v>
      </c>
      <c r="M554" s="131">
        <v>0</v>
      </c>
      <c r="N554" s="227">
        <v>0</v>
      </c>
      <c r="O554" s="141">
        <f>CATEGORIAS[[#This Row],[PRODUCCION
PARTIDAS
ORIGINALES
ACTUAL]]+CATEGORIAS[[#This Row],[PRODUCCION
ADICIONALES
ACTUAL]]</f>
        <v>0</v>
      </c>
      <c r="P554" s="132">
        <v>0</v>
      </c>
      <c r="Q554" s="227">
        <v>0</v>
      </c>
      <c r="R554" s="140">
        <f>CATEGORIAS[[#This Row],[PRODUCCION
ANTERIOR]]+CATEGORIAS[[#This Row],[PRODUCCION
ADICIONALES
ANTERIOR]]</f>
        <v>0</v>
      </c>
      <c r="S554" s="133">
        <v>0</v>
      </c>
      <c r="T554" s="133"/>
      <c r="U554" s="133"/>
      <c r="V554" s="141">
        <f>SUM(CATEGORIAS[[#This Row],[COSTO
ACUMULADO  AX]:[PROVISIONES]])</f>
        <v>0</v>
      </c>
      <c r="W554" s="134">
        <v>0</v>
      </c>
      <c r="X554" s="132"/>
      <c r="Y554" s="132"/>
      <c r="Z554" s="140">
        <f>SUM(CATEGORIAS[[#This Row],[COSTO ACUMULADO
ANTERIOR]:[PROVISIONES
ANTERIOR]])</f>
        <v>0</v>
      </c>
      <c r="AA554" s="139">
        <f>CATEGORIAS[[#This Row],[PRESUPUESTO
FINAL
PROYECTADO]]-CATEGORIAS[[#This Row],[TOTAL PRODUCCION
ACTUAL]]</f>
        <v>0</v>
      </c>
      <c r="AB554" s="227">
        <v>0</v>
      </c>
      <c r="AC554" s="132"/>
      <c r="AD554" s="132"/>
      <c r="AE554" s="137">
        <f>SUM(CATEGORIAS[[#This Row],[INVENTARIO]:[PROYECCION
DE COSTO
DEL SALDO]])</f>
        <v>0</v>
      </c>
      <c r="AF554" s="132"/>
      <c r="AG554" s="132">
        <f>+CATEGORIAS[[#This Row],[PRESUPUESTO
FINAL
PROYECTADO]]-CATEGORIAS[[#This Row],[COSTO REAL]]-CATEGORIAS[[#This Row],[PROYECCION
TOTAL DE COSTO]]</f>
        <v>0</v>
      </c>
    </row>
    <row r="555" spans="1:33" x14ac:dyDescent="0.25">
      <c r="A555" s="274" t="str">
        <f>+IFERROR(VLOOKUP(CATEGORIAS[[#This Row],[CATEGORIA2]],[1]HOMOLOGACION!$A$1:$I$571,9,FALSE),0)</f>
        <v>1Y10</v>
      </c>
      <c r="B555" s="274" t="str">
        <f>+IFERROR(VLOOKUP(CATEGORIAS[[#This Row],[CATEGORIA2]],[1]HOMOLOGACION!$A$1:$C$571,3,FALSE),0)</f>
        <v>1F10</v>
      </c>
      <c r="C555" s="274" t="str">
        <f>+IFERROR(VLOOKUP(CATEGORIAS[[#This Row],[CATEGORIA2]],[1]HOMOLOGACION!$A$1:$D$571,4,FALSE),0)</f>
        <v>Hotelería</v>
      </c>
      <c r="D555" s="144" t="s">
        <v>2299</v>
      </c>
      <c r="E555" s="273" t="s">
        <v>453</v>
      </c>
      <c r="F555" s="275" t="s">
        <v>361</v>
      </c>
      <c r="G555" s="313">
        <v>0</v>
      </c>
      <c r="H555" s="313">
        <v>0</v>
      </c>
      <c r="I555" s="130">
        <v>0</v>
      </c>
      <c r="J555" s="130"/>
      <c r="K555" s="130"/>
      <c r="L555" s="143">
        <f>CATEGORIAS[[#This Row],[ADICIONALES]]+CATEGORIAS[[#This Row],[POM]]</f>
        <v>0</v>
      </c>
      <c r="M555" s="131">
        <v>0</v>
      </c>
      <c r="N555" s="227">
        <v>0</v>
      </c>
      <c r="O555" s="141">
        <f>CATEGORIAS[[#This Row],[PRODUCCION
PARTIDAS
ORIGINALES
ACTUAL]]+CATEGORIAS[[#This Row],[PRODUCCION
ADICIONALES
ACTUAL]]</f>
        <v>0</v>
      </c>
      <c r="P555" s="132">
        <v>0</v>
      </c>
      <c r="Q555" s="132">
        <v>0</v>
      </c>
      <c r="R555" s="140">
        <f>CATEGORIAS[[#This Row],[PRODUCCION
ANTERIOR]]+CATEGORIAS[[#This Row],[PRODUCCION
ADICIONALES
ANTERIOR]]</f>
        <v>0</v>
      </c>
      <c r="S555" s="133">
        <v>0</v>
      </c>
      <c r="T555" s="133"/>
      <c r="U555" s="133"/>
      <c r="V555" s="141">
        <f>SUM(CATEGORIAS[[#This Row],[COSTO
ACUMULADO  AX]:[PROVISIONES]])</f>
        <v>0</v>
      </c>
      <c r="W555" s="134">
        <v>0</v>
      </c>
      <c r="X555" s="132"/>
      <c r="Y555" s="132"/>
      <c r="Z555" s="140">
        <f>SUM(CATEGORIAS[[#This Row],[COSTO ACUMULADO
ANTERIOR]:[PROVISIONES
ANTERIOR]])</f>
        <v>0</v>
      </c>
      <c r="AA555" s="139">
        <f>CATEGORIAS[[#This Row],[PRESUPUESTO
FINAL
PROYECTADO]]-CATEGORIAS[[#This Row],[TOTAL PRODUCCION
ACTUAL]]</f>
        <v>0</v>
      </c>
      <c r="AB555" s="227">
        <v>0</v>
      </c>
      <c r="AC555" s="132"/>
      <c r="AD555" s="132"/>
      <c r="AE555" s="137">
        <f>SUM(CATEGORIAS[[#This Row],[INVENTARIO]:[PROYECCION
DE COSTO
DEL SALDO]])</f>
        <v>0</v>
      </c>
      <c r="AF555" s="132"/>
      <c r="AG555" s="132">
        <f>+CATEGORIAS[[#This Row],[PRESUPUESTO
FINAL
PROYECTADO]]-CATEGORIAS[[#This Row],[COSTO REAL]]-CATEGORIAS[[#This Row],[PROYECCION
TOTAL DE COSTO]]</f>
        <v>0</v>
      </c>
    </row>
    <row r="556" spans="1:33" x14ac:dyDescent="0.25">
      <c r="A556" s="274" t="str">
        <f>+IFERROR(VLOOKUP(CATEGORIAS[[#This Row],[CATEGORIA2]],[1]HOMOLOGACION!$A$1:$I$571,9,FALSE),0)</f>
        <v>1Y10</v>
      </c>
      <c r="B556" s="274" t="str">
        <f>+IFERROR(VLOOKUP(CATEGORIAS[[#This Row],[CATEGORIA2]],[1]HOMOLOGACION!$A$1:$C$571,3,FALSE),0)</f>
        <v>1F11</v>
      </c>
      <c r="C556" s="274" t="str">
        <f>+IFERROR(VLOOKUP(CATEGORIAS[[#This Row],[CATEGORIA2]],[1]HOMOLOGACION!$A$1:$D$571,4,FALSE),0)</f>
        <v>Alojamiento y Alimentación</v>
      </c>
      <c r="D556" s="144" t="s">
        <v>2300</v>
      </c>
      <c r="E556" s="275" t="s">
        <v>456</v>
      </c>
      <c r="F556" s="275" t="s">
        <v>364</v>
      </c>
      <c r="G556" s="313">
        <v>127606714.28571428</v>
      </c>
      <c r="H556" s="313">
        <v>127606714.28571428</v>
      </c>
      <c r="I556" s="130">
        <v>0</v>
      </c>
      <c r="J556" s="130"/>
      <c r="K556" s="130"/>
      <c r="L556" s="143">
        <f>CATEGORIAS[[#This Row],[ADICIONALES]]+CATEGORIAS[[#This Row],[POM]]</f>
        <v>127606714.28571428</v>
      </c>
      <c r="M556" s="131">
        <v>59596375.633804724</v>
      </c>
      <c r="N556" s="227">
        <v>0</v>
      </c>
      <c r="O556" s="141">
        <f>CATEGORIAS[[#This Row],[PRODUCCION
PARTIDAS
ORIGINALES
ACTUAL]]+CATEGORIAS[[#This Row],[PRODUCCION
ADICIONALES
ACTUAL]]</f>
        <v>59596375.633804724</v>
      </c>
      <c r="P556" s="132">
        <v>40676625.709631212</v>
      </c>
      <c r="Q556" s="227">
        <v>0</v>
      </c>
      <c r="R556" s="140">
        <f>CATEGORIAS[[#This Row],[PRODUCCION
ANTERIOR]]+CATEGORIAS[[#This Row],[PRODUCCION
ADICIONALES
ANTERIOR]]</f>
        <v>40676625.709631212</v>
      </c>
      <c r="S556" s="133">
        <v>1218748</v>
      </c>
      <c r="T556" s="133">
        <f>2779618+11424860</f>
        <v>14204478</v>
      </c>
      <c r="U556" s="133">
        <v>3995360</v>
      </c>
      <c r="V556" s="141">
        <f>SUM(CATEGORIAS[[#This Row],[COSTO
ACUMULADO  AX]:[PROVISIONES]])</f>
        <v>19418586</v>
      </c>
      <c r="W556" s="134">
        <v>915235</v>
      </c>
      <c r="X556" s="132">
        <v>9190314</v>
      </c>
      <c r="Y556" s="132">
        <v>3627640</v>
      </c>
      <c r="Z556" s="140">
        <f>SUM(CATEGORIAS[[#This Row],[COSTO ACUMULADO
ANTERIOR]:[PROVISIONES
ANTERIOR]])</f>
        <v>13733189</v>
      </c>
      <c r="AA556" s="139">
        <f>CATEGORIAS[[#This Row],[PRESUPUESTO
FINAL
PROYECTADO]]-CATEGORIAS[[#This Row],[TOTAL PRODUCCION
ACTUAL]]</f>
        <v>68010338.65190956</v>
      </c>
      <c r="AB556" s="227">
        <v>0</v>
      </c>
      <c r="AC556" s="132"/>
      <c r="AD556" s="132">
        <v>108188128.28571428</v>
      </c>
      <c r="AE556" s="137">
        <f>SUM(CATEGORIAS[[#This Row],[INVENTARIO]:[PROYECCION
DE COSTO
DEL SALDO]])</f>
        <v>108188128.28571428</v>
      </c>
      <c r="AF556" s="132"/>
      <c r="AG556" s="132">
        <f>+CATEGORIAS[[#This Row],[PRESUPUESTO
FINAL
PROYECTADO]]-CATEGORIAS[[#This Row],[COSTO REAL]]-CATEGORIAS[[#This Row],[PROYECCION
TOTAL DE COSTO]]</f>
        <v>0</v>
      </c>
    </row>
    <row r="557" spans="1:33" x14ac:dyDescent="0.25">
      <c r="A557" s="274" t="str">
        <f>+IFERROR(VLOOKUP(CATEGORIAS[[#This Row],[CATEGORIA2]],[1]HOMOLOGACION!$A$1:$I$571,9,FALSE),0)</f>
        <v>1Y10</v>
      </c>
      <c r="B557" s="274" t="str">
        <f>+IFERROR(VLOOKUP(CATEGORIAS[[#This Row],[CATEGORIA2]],[1]HOMOLOGACION!$A$1:$C$571,3,FALSE),0)</f>
        <v>1F11</v>
      </c>
      <c r="C557" s="274" t="str">
        <f>+IFERROR(VLOOKUP(CATEGORIAS[[#This Row],[CATEGORIA2]],[1]HOMOLOGACION!$A$1:$D$571,4,FALSE),0)</f>
        <v>Alojamiento y Alimentación</v>
      </c>
      <c r="D557" s="144" t="s">
        <v>2301</v>
      </c>
      <c r="E557" s="273" t="s">
        <v>458</v>
      </c>
      <c r="F557" s="275" t="s">
        <v>361</v>
      </c>
      <c r="G557" s="313">
        <v>0</v>
      </c>
      <c r="H557" s="313">
        <v>0</v>
      </c>
      <c r="I557" s="130">
        <v>0</v>
      </c>
      <c r="J557" s="130"/>
      <c r="K557" s="130"/>
      <c r="L557" s="143">
        <f>CATEGORIAS[[#This Row],[ADICIONALES]]+CATEGORIAS[[#This Row],[POM]]</f>
        <v>0</v>
      </c>
      <c r="M557" s="131">
        <v>0</v>
      </c>
      <c r="N557" s="227">
        <v>0</v>
      </c>
      <c r="O557" s="141">
        <f>CATEGORIAS[[#This Row],[PRODUCCION
PARTIDAS
ORIGINALES
ACTUAL]]+CATEGORIAS[[#This Row],[PRODUCCION
ADICIONALES
ACTUAL]]</f>
        <v>0</v>
      </c>
      <c r="P557" s="227">
        <v>0</v>
      </c>
      <c r="Q557" s="227">
        <v>0</v>
      </c>
      <c r="R557" s="140">
        <f>CATEGORIAS[[#This Row],[PRODUCCION
ANTERIOR]]+CATEGORIAS[[#This Row],[PRODUCCION
ADICIONALES
ANTERIOR]]</f>
        <v>0</v>
      </c>
      <c r="S557" s="133">
        <v>0</v>
      </c>
      <c r="T557" s="133"/>
      <c r="U557" s="133"/>
      <c r="V557" s="141">
        <f>SUM(CATEGORIAS[[#This Row],[COSTO
ACUMULADO  AX]:[PROVISIONES]])</f>
        <v>0</v>
      </c>
      <c r="W557" s="134">
        <v>0</v>
      </c>
      <c r="X557" s="132"/>
      <c r="Y557" s="132"/>
      <c r="Z557" s="140">
        <f>SUM(CATEGORIAS[[#This Row],[COSTO ACUMULADO
ANTERIOR]:[PROVISIONES
ANTERIOR]])</f>
        <v>0</v>
      </c>
      <c r="AA557" s="139">
        <f>CATEGORIAS[[#This Row],[PRESUPUESTO
FINAL
PROYECTADO]]-CATEGORIAS[[#This Row],[TOTAL PRODUCCION
ACTUAL]]</f>
        <v>0</v>
      </c>
      <c r="AB557" s="227">
        <v>0</v>
      </c>
      <c r="AC557" s="132"/>
      <c r="AD557" s="132"/>
      <c r="AE557" s="137">
        <f>SUM(CATEGORIAS[[#This Row],[INVENTARIO]:[PROYECCION
DE COSTO
DEL SALDO]])</f>
        <v>0</v>
      </c>
      <c r="AF557" s="132"/>
      <c r="AG557" s="132">
        <f>+CATEGORIAS[[#This Row],[PRESUPUESTO
FINAL
PROYECTADO]]-CATEGORIAS[[#This Row],[COSTO REAL]]-CATEGORIAS[[#This Row],[PROYECCION
TOTAL DE COSTO]]</f>
        <v>0</v>
      </c>
    </row>
    <row r="558" spans="1:33" x14ac:dyDescent="0.25">
      <c r="A558" s="274" t="str">
        <f>+IFERROR(VLOOKUP(CATEGORIAS[[#This Row],[CATEGORIA2]],[1]HOMOLOGACION!$A$1:$I$571,9,FALSE),0)</f>
        <v>1Z03</v>
      </c>
      <c r="B558" s="274" t="str">
        <f>+IFERROR(VLOOKUP(CATEGORIAS[[#This Row],[CATEGORIA2]],[1]HOMOLOGACION!$A$1:$C$571,3,FALSE),0)</f>
        <v>1J03</v>
      </c>
      <c r="C558" s="274" t="str">
        <f>+IFERROR(VLOOKUP(CATEGORIAS[[#This Row],[CATEGORIA2]],[1]HOMOLOGACION!$A$1:$D$571,4,FALSE),0)</f>
        <v>Gastos Financieros</v>
      </c>
      <c r="D558" s="144" t="s">
        <v>2312</v>
      </c>
      <c r="E558" s="273" t="s">
        <v>2302</v>
      </c>
      <c r="F558" s="275" t="s">
        <v>361</v>
      </c>
      <c r="G558" s="313">
        <v>0</v>
      </c>
      <c r="H558" s="313">
        <v>0</v>
      </c>
      <c r="I558" s="130">
        <v>0</v>
      </c>
      <c r="J558" s="130"/>
      <c r="K558" s="130"/>
      <c r="L558" s="143">
        <f>CATEGORIAS[[#This Row],[ADICIONALES]]+CATEGORIAS[[#This Row],[POM]]</f>
        <v>0</v>
      </c>
      <c r="M558" s="131">
        <v>0</v>
      </c>
      <c r="N558" s="227">
        <v>0</v>
      </c>
      <c r="O558" s="141">
        <f>CATEGORIAS[[#This Row],[PRODUCCION
PARTIDAS
ORIGINALES
ACTUAL]]+CATEGORIAS[[#This Row],[PRODUCCION
ADICIONALES
ACTUAL]]</f>
        <v>0</v>
      </c>
      <c r="P558" s="132">
        <v>0</v>
      </c>
      <c r="Q558" s="132">
        <v>0</v>
      </c>
      <c r="R558" s="140">
        <f>CATEGORIAS[[#This Row],[PRODUCCION
ANTERIOR]]+CATEGORIAS[[#This Row],[PRODUCCION
ADICIONALES
ANTERIOR]]</f>
        <v>0</v>
      </c>
      <c r="S558" s="133">
        <v>0</v>
      </c>
      <c r="T558" s="133"/>
      <c r="U558" s="133"/>
      <c r="V558" s="141">
        <f>SUM(CATEGORIAS[[#This Row],[COSTO
ACUMULADO  AX]:[PROVISIONES]])</f>
        <v>0</v>
      </c>
      <c r="W558" s="134">
        <v>0</v>
      </c>
      <c r="X558" s="132"/>
      <c r="Y558" s="132"/>
      <c r="Z558" s="140">
        <f>SUM(CATEGORIAS[[#This Row],[COSTO ACUMULADO
ANTERIOR]:[PROVISIONES
ANTERIOR]])</f>
        <v>0</v>
      </c>
      <c r="AA558" s="139">
        <f>CATEGORIAS[[#This Row],[PRESUPUESTO
FINAL
PROYECTADO]]-CATEGORIAS[[#This Row],[TOTAL PRODUCCION
ACTUAL]]</f>
        <v>0</v>
      </c>
      <c r="AB558" s="227">
        <v>0</v>
      </c>
      <c r="AC558" s="132"/>
      <c r="AD558" s="132"/>
      <c r="AE558" s="137">
        <f>SUM(CATEGORIAS[[#This Row],[INVENTARIO]:[PROYECCION
DE COSTO
DEL SALDO]])</f>
        <v>0</v>
      </c>
      <c r="AF558" s="132"/>
      <c r="AG558" s="132">
        <f>+CATEGORIAS[[#This Row],[PRESUPUESTO
FINAL
PROYECTADO]]-CATEGORIAS[[#This Row],[COSTO REAL]]-CATEGORIAS[[#This Row],[PROYECCION
TOTAL DE COSTO]]</f>
        <v>0</v>
      </c>
    </row>
    <row r="559" spans="1:33" x14ac:dyDescent="0.25">
      <c r="A559" s="274" t="str">
        <f>+IFERROR(VLOOKUP(CATEGORIAS[[#This Row],[CATEGORIA2]],[1]HOMOLOGACION!$A$1:$I$571,9,FALSE),0)</f>
        <v>1Z03</v>
      </c>
      <c r="B559" s="274" t="str">
        <f>+IFERROR(VLOOKUP(CATEGORIAS[[#This Row],[CATEGORIA2]],[1]HOMOLOGACION!$A$1:$C$571,3,FALSE),0)</f>
        <v>1J03</v>
      </c>
      <c r="C559" s="274" t="str">
        <f>+IFERROR(VLOOKUP(CATEGORIAS[[#This Row],[CATEGORIA2]],[1]HOMOLOGACION!$A$1:$D$571,4,FALSE),0)</f>
        <v>Gastos Financieros</v>
      </c>
      <c r="D559" s="144" t="s">
        <v>2313</v>
      </c>
      <c r="E559" s="273" t="s">
        <v>2314</v>
      </c>
      <c r="F559" s="275" t="s">
        <v>361</v>
      </c>
      <c r="G559" s="313">
        <v>0</v>
      </c>
      <c r="H559" s="313">
        <v>0</v>
      </c>
      <c r="I559" s="130">
        <v>0</v>
      </c>
      <c r="J559" s="130"/>
      <c r="K559" s="130"/>
      <c r="L559" s="143">
        <f>CATEGORIAS[[#This Row],[ADICIONALES]]+CATEGORIAS[[#This Row],[POM]]</f>
        <v>0</v>
      </c>
      <c r="M559" s="131">
        <v>0</v>
      </c>
      <c r="N559" s="227">
        <v>0</v>
      </c>
      <c r="O559" s="141">
        <f>CATEGORIAS[[#This Row],[PRODUCCION
PARTIDAS
ORIGINALES
ACTUAL]]+CATEGORIAS[[#This Row],[PRODUCCION
ADICIONALES
ACTUAL]]</f>
        <v>0</v>
      </c>
      <c r="P559" s="227">
        <v>0</v>
      </c>
      <c r="Q559" s="227">
        <v>0</v>
      </c>
      <c r="R559" s="297">
        <f>CATEGORIAS[[#This Row],[PRODUCCION
ANTERIOR]]+CATEGORIAS[[#This Row],[PRODUCCION
ADICIONALES
ANTERIOR]]</f>
        <v>0</v>
      </c>
      <c r="S559" s="133">
        <v>0</v>
      </c>
      <c r="T559" s="298"/>
      <c r="U559" s="133"/>
      <c r="V559" s="296">
        <f>SUM(CATEGORIAS[[#This Row],[COSTO
ACUMULADO  AX]:[PROVISIONES]])</f>
        <v>0</v>
      </c>
      <c r="W559" s="298">
        <v>0</v>
      </c>
      <c r="X559" s="227"/>
      <c r="Y559" s="227"/>
      <c r="Z559" s="297">
        <f>SUM(CATEGORIAS[[#This Row],[COSTO ACUMULADO
ANTERIOR]:[PROVISIONES
ANTERIOR]])</f>
        <v>0</v>
      </c>
      <c r="AA559" s="299">
        <f>CATEGORIAS[[#This Row],[PRESUPUESTO
FINAL
PROYECTADO]]-CATEGORIAS[[#This Row],[TOTAL PRODUCCION
ACTUAL]]</f>
        <v>0</v>
      </c>
      <c r="AB559" s="227">
        <v>0</v>
      </c>
      <c r="AC559" s="132"/>
      <c r="AD559" s="132"/>
      <c r="AE559" s="226">
        <f>SUM(CATEGORIAS[[#This Row],[INVENTARIO]:[PROYECCION
DE COSTO
DEL SALDO]])</f>
        <v>0</v>
      </c>
      <c r="AF559" s="132"/>
      <c r="AG559" s="132">
        <f>+CATEGORIAS[[#This Row],[PRESUPUESTO
FINAL
PROYECTADO]]-CATEGORIAS[[#This Row],[COSTO REAL]]-CATEGORIAS[[#This Row],[PROYECCION
TOTAL DE COSTO]]</f>
        <v>0</v>
      </c>
    </row>
    <row r="560" spans="1:33" x14ac:dyDescent="0.25">
      <c r="A560" s="274" t="str">
        <f>+IFERROR(VLOOKUP(CATEGORIAS[[#This Row],[CATEGORIA2]],[1]HOMOLOGACION!$A$1:$I$571,9,FALSE),0)</f>
        <v>1Z03</v>
      </c>
      <c r="B560" s="274" t="str">
        <f>+IFERROR(VLOOKUP(CATEGORIAS[[#This Row],[CATEGORIA2]],[1]HOMOLOGACION!$A$1:$C$571,3,FALSE),0)</f>
        <v>1J03</v>
      </c>
      <c r="C560" s="274" t="str">
        <f>+IFERROR(VLOOKUP(CATEGORIAS[[#This Row],[CATEGORIA2]],[1]HOMOLOGACION!$A$1:$D$571,4,FALSE),0)</f>
        <v>Gastos Financieros</v>
      </c>
      <c r="D560" s="144" t="s">
        <v>2249</v>
      </c>
      <c r="E560" s="273" t="s">
        <v>1385</v>
      </c>
      <c r="F560" s="275" t="s">
        <v>361</v>
      </c>
      <c r="G560" s="314">
        <v>0</v>
      </c>
      <c r="H560" s="314">
        <v>0</v>
      </c>
      <c r="I560" s="130">
        <v>0</v>
      </c>
      <c r="J560" s="130"/>
      <c r="K560" s="130"/>
      <c r="L560" s="143">
        <f>CATEGORIAS[[#This Row],[ADICIONALES]]+CATEGORIAS[[#This Row],[POM]]</f>
        <v>0</v>
      </c>
      <c r="M560" s="131">
        <v>0</v>
      </c>
      <c r="N560" s="227">
        <v>0</v>
      </c>
      <c r="O560" s="141">
        <f>CATEGORIAS[[#This Row],[PRODUCCION
PARTIDAS
ORIGINALES
ACTUAL]]+CATEGORIAS[[#This Row],[PRODUCCION
ADICIONALES
ACTUAL]]</f>
        <v>0</v>
      </c>
      <c r="P560" s="227">
        <v>0</v>
      </c>
      <c r="Q560" s="227">
        <v>0</v>
      </c>
      <c r="R560" s="140">
        <f>CATEGORIAS[[#This Row],[PRODUCCION
ANTERIOR]]+CATEGORIAS[[#This Row],[PRODUCCION
ADICIONALES
ANTERIOR]]</f>
        <v>0</v>
      </c>
      <c r="S560" s="331">
        <v>0</v>
      </c>
      <c r="T560" s="133"/>
      <c r="U560" s="133"/>
      <c r="V560" s="141">
        <f>SUM(CATEGORIAS[[#This Row],[COSTO
ACUMULADO  AX]:[PROVISIONES]])</f>
        <v>0</v>
      </c>
      <c r="W560" s="134">
        <v>100254</v>
      </c>
      <c r="X560" s="132">
        <v>-100254</v>
      </c>
      <c r="Y560" s="132"/>
      <c r="Z560" s="140">
        <f>SUM(CATEGORIAS[[#This Row],[COSTO ACUMULADO
ANTERIOR]:[PROVISIONES
ANTERIOR]])</f>
        <v>0</v>
      </c>
      <c r="AA560" s="139">
        <f>CATEGORIAS[[#This Row],[PRESUPUESTO
FINAL
PROYECTADO]]-CATEGORIAS[[#This Row],[TOTAL PRODUCCION
ACTUAL]]</f>
        <v>0</v>
      </c>
      <c r="AB560" s="227">
        <v>0</v>
      </c>
      <c r="AC560" s="132"/>
      <c r="AD560" s="132"/>
      <c r="AE560" s="137">
        <f>SUM(CATEGORIAS[[#This Row],[INVENTARIO]:[PROYECCION
DE COSTO
DEL SALDO]])</f>
        <v>0</v>
      </c>
      <c r="AF560" s="132"/>
      <c r="AG560" s="132">
        <f>+CATEGORIAS[[#This Row],[PRESUPUESTO
FINAL
PROYECTADO]]-CATEGORIAS[[#This Row],[COSTO REAL]]-CATEGORIAS[[#This Row],[PROYECCION
TOTAL DE COSTO]]</f>
        <v>0</v>
      </c>
    </row>
    <row r="561" spans="1:33" x14ac:dyDescent="0.25">
      <c r="A561" s="274" t="str">
        <f>+IFERROR(VLOOKUP(CATEGORIAS[[#This Row],[CATEGORIA2]],[1]HOMOLOGACION!$A$1:$I$571,9,FALSE),0)</f>
        <v>1Z03</v>
      </c>
      <c r="B561" s="274" t="str">
        <f>+IFERROR(VLOOKUP(CATEGORIAS[[#This Row],[CATEGORIA2]],[1]HOMOLOGACION!$A$1:$C$571,3,FALSE),0)</f>
        <v>1J03</v>
      </c>
      <c r="C561" s="274" t="str">
        <f>+IFERROR(VLOOKUP(CATEGORIAS[[#This Row],[CATEGORIA2]],[1]HOMOLOGACION!$A$1:$D$571,4,FALSE),0)</f>
        <v>Gastos Financieros</v>
      </c>
      <c r="D561" s="144" t="s">
        <v>2250</v>
      </c>
      <c r="E561" s="273" t="s">
        <v>2251</v>
      </c>
      <c r="F561" s="275" t="s">
        <v>361</v>
      </c>
      <c r="G561" s="313">
        <v>0</v>
      </c>
      <c r="H561" s="313">
        <v>0</v>
      </c>
      <c r="I561" s="130">
        <v>0</v>
      </c>
      <c r="J561" s="130"/>
      <c r="K561" s="130"/>
      <c r="L561" s="143">
        <f>CATEGORIAS[[#This Row],[ADICIONALES]]+CATEGORIAS[[#This Row],[POM]]</f>
        <v>0</v>
      </c>
      <c r="M561" s="131">
        <v>0</v>
      </c>
      <c r="N561" s="227">
        <v>0</v>
      </c>
      <c r="O561" s="141">
        <f>CATEGORIAS[[#This Row],[PRODUCCION
PARTIDAS
ORIGINALES
ACTUAL]]+CATEGORIAS[[#This Row],[PRODUCCION
ADICIONALES
ACTUAL]]</f>
        <v>0</v>
      </c>
      <c r="P561" s="132">
        <v>0</v>
      </c>
      <c r="Q561" s="227">
        <v>0</v>
      </c>
      <c r="R561" s="140">
        <f>CATEGORIAS[[#This Row],[PRODUCCION
ANTERIOR]]+CATEGORIAS[[#This Row],[PRODUCCION
ADICIONALES
ANTERIOR]]</f>
        <v>0</v>
      </c>
      <c r="S561" s="331">
        <v>0</v>
      </c>
      <c r="T561" s="133"/>
      <c r="U561" s="133"/>
      <c r="V561" s="141">
        <f>SUM(CATEGORIAS[[#This Row],[COSTO
ACUMULADO  AX]:[PROVISIONES]])</f>
        <v>0</v>
      </c>
      <c r="W561" s="134">
        <v>0</v>
      </c>
      <c r="X561" s="132"/>
      <c r="Y561" s="132"/>
      <c r="Z561" s="140">
        <f>SUM(CATEGORIAS[[#This Row],[COSTO ACUMULADO
ANTERIOR]:[PROVISIONES
ANTERIOR]])</f>
        <v>0</v>
      </c>
      <c r="AA561" s="139">
        <f>CATEGORIAS[[#This Row],[PRESUPUESTO
FINAL
PROYECTADO]]-CATEGORIAS[[#This Row],[TOTAL PRODUCCION
ACTUAL]]</f>
        <v>0</v>
      </c>
      <c r="AB561" s="227">
        <v>0</v>
      </c>
      <c r="AC561" s="132"/>
      <c r="AD561" s="132"/>
      <c r="AE561" s="137">
        <f>SUM(CATEGORIAS[[#This Row],[INVENTARIO]:[PROYECCION
DE COSTO
DEL SALDO]])</f>
        <v>0</v>
      </c>
      <c r="AF561" s="132"/>
      <c r="AG561" s="132">
        <f>+CATEGORIAS[[#This Row],[PRESUPUESTO
FINAL
PROYECTADO]]-CATEGORIAS[[#This Row],[COSTO REAL]]-CATEGORIAS[[#This Row],[PROYECCION
TOTAL DE COSTO]]</f>
        <v>0</v>
      </c>
    </row>
    <row r="562" spans="1:33" x14ac:dyDescent="0.25">
      <c r="A562" s="274" t="str">
        <f>+IFERROR(VLOOKUP(CATEGORIAS[[#This Row],[CATEGORIA2]],[1]HOMOLOGACION!$A$1:$I$571,9,FALSE),0)</f>
        <v>1Z02</v>
      </c>
      <c r="B562" s="274" t="str">
        <f>+IFERROR(VLOOKUP(CATEGORIAS[[#This Row],[CATEGORIA2]],[1]HOMOLOGACION!$A$1:$C$571,3,FALSE),0)</f>
        <v>1I07</v>
      </c>
      <c r="C562" s="274" t="str">
        <f>+IFERROR(VLOOKUP(CATEGORIAS[[#This Row],[CATEGORIA2]],[1]HOMOLOGACION!$A$1:$D$571,4,FALSE),0)</f>
        <v>Gastos Oficina</v>
      </c>
      <c r="D562" s="144" t="s">
        <v>2252</v>
      </c>
      <c r="E562" s="273" t="s">
        <v>1388</v>
      </c>
      <c r="F562" s="275" t="s">
        <v>361</v>
      </c>
      <c r="G562" s="314">
        <v>0</v>
      </c>
      <c r="H562" s="314">
        <v>0</v>
      </c>
      <c r="I562" s="130">
        <v>0</v>
      </c>
      <c r="J562" s="130"/>
      <c r="K562" s="130"/>
      <c r="L562" s="143">
        <f>CATEGORIAS[[#This Row],[ADICIONALES]]+CATEGORIAS[[#This Row],[POM]]</f>
        <v>0</v>
      </c>
      <c r="M562" s="131">
        <v>0</v>
      </c>
      <c r="N562" s="227">
        <v>0</v>
      </c>
      <c r="O562" s="141">
        <f>CATEGORIAS[[#This Row],[PRODUCCION
PARTIDAS
ORIGINALES
ACTUAL]]+CATEGORIAS[[#This Row],[PRODUCCION
ADICIONALES
ACTUAL]]</f>
        <v>0</v>
      </c>
      <c r="P562" s="227">
        <v>0</v>
      </c>
      <c r="Q562" s="227">
        <v>0</v>
      </c>
      <c r="R562" s="140">
        <f>CATEGORIAS[[#This Row],[PRODUCCION
ANTERIOR]]+CATEGORIAS[[#This Row],[PRODUCCION
ADICIONALES
ANTERIOR]]</f>
        <v>0</v>
      </c>
      <c r="S562" s="133">
        <v>0</v>
      </c>
      <c r="T562" s="133"/>
      <c r="U562" s="133"/>
      <c r="V562" s="141">
        <f>SUM(CATEGORIAS[[#This Row],[COSTO
ACUMULADO  AX]:[PROVISIONES]])</f>
        <v>0</v>
      </c>
      <c r="W562" s="134">
        <v>0</v>
      </c>
      <c r="X562" s="132"/>
      <c r="Y562" s="132"/>
      <c r="Z562" s="140">
        <f>SUM(CATEGORIAS[[#This Row],[COSTO ACUMULADO
ANTERIOR]:[PROVISIONES
ANTERIOR]])</f>
        <v>0</v>
      </c>
      <c r="AA562" s="139">
        <f>CATEGORIAS[[#This Row],[PRESUPUESTO
FINAL
PROYECTADO]]-CATEGORIAS[[#This Row],[TOTAL PRODUCCION
ACTUAL]]</f>
        <v>0</v>
      </c>
      <c r="AB562" s="227">
        <v>0</v>
      </c>
      <c r="AC562" s="132"/>
      <c r="AD562" s="132"/>
      <c r="AE562" s="137">
        <f>SUM(CATEGORIAS[[#This Row],[INVENTARIO]:[PROYECCION
DE COSTO
DEL SALDO]])</f>
        <v>0</v>
      </c>
      <c r="AF562" s="132"/>
      <c r="AG562" s="132">
        <f>+CATEGORIAS[[#This Row],[PRESUPUESTO
FINAL
PROYECTADO]]-CATEGORIAS[[#This Row],[COSTO REAL]]-CATEGORIAS[[#This Row],[PROYECCION
TOTAL DE COSTO]]</f>
        <v>0</v>
      </c>
    </row>
    <row r="563" spans="1:33" x14ac:dyDescent="0.25">
      <c r="A563" s="274" t="str">
        <f>+IFERROR(VLOOKUP(CATEGORIAS[[#This Row],[CATEGORIA2]],[1]HOMOLOGACION!$A$1:$I$571,9,FALSE),0)</f>
        <v>1Z03</v>
      </c>
      <c r="B563" s="274" t="str">
        <f>+IFERROR(VLOOKUP(CATEGORIAS[[#This Row],[CATEGORIA2]],[1]HOMOLOGACION!$A$1:$C$571,3,FALSE),0)</f>
        <v>1J03</v>
      </c>
      <c r="C563" s="274" t="str">
        <f>+IFERROR(VLOOKUP(CATEGORIAS[[#This Row],[CATEGORIA2]],[1]HOMOLOGACION!$A$1:$D$571,4,FALSE),0)</f>
        <v>Gastos Financieros</v>
      </c>
      <c r="D563" s="144" t="s">
        <v>2253</v>
      </c>
      <c r="E563" s="273" t="s">
        <v>1391</v>
      </c>
      <c r="F563" s="275" t="s">
        <v>364</v>
      </c>
      <c r="G563" s="313">
        <v>27821678.791098461</v>
      </c>
      <c r="H563" s="313">
        <v>27821678.791098461</v>
      </c>
      <c r="I563" s="130">
        <v>0</v>
      </c>
      <c r="J563" s="130"/>
      <c r="K563" s="130"/>
      <c r="L563" s="143">
        <f>CATEGORIAS[[#This Row],[ADICIONALES]]+CATEGORIAS[[#This Row],[POM]]</f>
        <v>27821678.791098461</v>
      </c>
      <c r="M563" s="131">
        <v>12993604.837163217</v>
      </c>
      <c r="N563" s="227">
        <v>0</v>
      </c>
      <c r="O563" s="141">
        <f>CATEGORIAS[[#This Row],[PRODUCCION
PARTIDAS
ORIGINALES
ACTUAL]]+CATEGORIAS[[#This Row],[PRODUCCION
ADICIONALES
ACTUAL]]</f>
        <v>12993604.837163217</v>
      </c>
      <c r="P563" s="132">
        <v>6921075.4981945828</v>
      </c>
      <c r="Q563" s="132">
        <v>0</v>
      </c>
      <c r="R563" s="140">
        <f>CATEGORIAS[[#This Row],[PRODUCCION
ANTERIOR]]+CATEGORIAS[[#This Row],[PRODUCCION
ADICIONALES
ANTERIOR]]</f>
        <v>6921075.4981945828</v>
      </c>
      <c r="S563" s="133">
        <v>-1036152</v>
      </c>
      <c r="T563" s="133"/>
      <c r="U563" s="133">
        <f>12993604.8371632+1036152</f>
        <v>14029756.837163201</v>
      </c>
      <c r="V563" s="141">
        <f>SUM(CATEGORIAS[[#This Row],[COSTO
ACUMULADO  AX]:[PROVISIONES]])</f>
        <v>12993604.837163201</v>
      </c>
      <c r="W563" s="134">
        <v>0</v>
      </c>
      <c r="X563" s="132">
        <v>2976321</v>
      </c>
      <c r="Y563" s="132">
        <v>3944754.49819458</v>
      </c>
      <c r="Z563" s="140">
        <f>SUM(CATEGORIAS[[#This Row],[COSTO ACUMULADO
ANTERIOR]:[PROVISIONES
ANTERIOR]])</f>
        <v>6921075.49819458</v>
      </c>
      <c r="AA563" s="139">
        <f>CATEGORIAS[[#This Row],[PRESUPUESTO
FINAL
PROYECTADO]]-CATEGORIAS[[#This Row],[TOTAL PRODUCCION
ACTUAL]]</f>
        <v>14828073.953935243</v>
      </c>
      <c r="AB563" s="227">
        <v>0</v>
      </c>
      <c r="AC563" s="132"/>
      <c r="AD563" s="132">
        <v>14828073.95393526</v>
      </c>
      <c r="AE563" s="137">
        <f>SUM(CATEGORIAS[[#This Row],[INVENTARIO]:[PROYECCION
DE COSTO
DEL SALDO]])</f>
        <v>14828073.95393526</v>
      </c>
      <c r="AF563" s="132"/>
      <c r="AG563" s="132">
        <f>+CATEGORIAS[[#This Row],[PRESUPUESTO
FINAL
PROYECTADO]]-CATEGORIAS[[#This Row],[COSTO REAL]]-CATEGORIAS[[#This Row],[PROYECCION
TOTAL DE COSTO]]</f>
        <v>0</v>
      </c>
    </row>
    <row r="564" spans="1:33" x14ac:dyDescent="0.25">
      <c r="A564" s="274" t="str">
        <f>+IFERROR(VLOOKUP(CATEGORIAS[[#This Row],[CATEGORIA2]],[1]HOMOLOGACION!$A$1:$I$571,9,FALSE),0)</f>
        <v>1Z03</v>
      </c>
      <c r="B564" s="274" t="str">
        <f>+IFERROR(VLOOKUP(CATEGORIAS[[#This Row],[CATEGORIA2]],[1]HOMOLOGACION!$A$1:$C$571,3,FALSE),0)</f>
        <v>1J03</v>
      </c>
      <c r="C564" s="274" t="str">
        <f>+IFERROR(VLOOKUP(CATEGORIAS[[#This Row],[CATEGORIA2]],[1]HOMOLOGACION!$A$1:$D$571,4,FALSE),0)</f>
        <v>Gastos Financieros</v>
      </c>
      <c r="D564" s="144" t="s">
        <v>2254</v>
      </c>
      <c r="E564" s="273" t="s">
        <v>1393</v>
      </c>
      <c r="F564" s="275" t="s">
        <v>361</v>
      </c>
      <c r="G564" s="314">
        <v>0</v>
      </c>
      <c r="H564" s="314">
        <v>0</v>
      </c>
      <c r="I564" s="130">
        <v>0</v>
      </c>
      <c r="J564" s="130"/>
      <c r="K564" s="130"/>
      <c r="L564" s="143">
        <f>CATEGORIAS[[#This Row],[ADICIONALES]]+CATEGORIAS[[#This Row],[POM]]</f>
        <v>0</v>
      </c>
      <c r="M564" s="131">
        <v>0</v>
      </c>
      <c r="N564" s="227">
        <v>0</v>
      </c>
      <c r="O564" s="141">
        <f>CATEGORIAS[[#This Row],[PRODUCCION
PARTIDAS
ORIGINALES
ACTUAL]]+CATEGORIAS[[#This Row],[PRODUCCION
ADICIONALES
ACTUAL]]</f>
        <v>0</v>
      </c>
      <c r="P564" s="227">
        <v>0</v>
      </c>
      <c r="Q564" s="227">
        <v>0</v>
      </c>
      <c r="R564" s="140">
        <f>CATEGORIAS[[#This Row],[PRODUCCION
ANTERIOR]]+CATEGORIAS[[#This Row],[PRODUCCION
ADICIONALES
ANTERIOR]]</f>
        <v>0</v>
      </c>
      <c r="S564" s="331">
        <v>0</v>
      </c>
      <c r="T564" s="133"/>
      <c r="U564" s="133"/>
      <c r="V564" s="141">
        <f>SUM(CATEGORIAS[[#This Row],[COSTO
ACUMULADO  AX]:[PROVISIONES]])</f>
        <v>0</v>
      </c>
      <c r="W564" s="134">
        <v>0</v>
      </c>
      <c r="X564" s="132"/>
      <c r="Y564" s="132"/>
      <c r="Z564" s="140">
        <f>SUM(CATEGORIAS[[#This Row],[COSTO ACUMULADO
ANTERIOR]:[PROVISIONES
ANTERIOR]])</f>
        <v>0</v>
      </c>
      <c r="AA564" s="139">
        <f>CATEGORIAS[[#This Row],[PRESUPUESTO
FINAL
PROYECTADO]]-CATEGORIAS[[#This Row],[TOTAL PRODUCCION
ACTUAL]]</f>
        <v>0</v>
      </c>
      <c r="AB564" s="227">
        <v>0</v>
      </c>
      <c r="AC564" s="132"/>
      <c r="AD564" s="132"/>
      <c r="AE564" s="137">
        <f>SUM(CATEGORIAS[[#This Row],[INVENTARIO]:[PROYECCION
DE COSTO
DEL SALDO]])</f>
        <v>0</v>
      </c>
      <c r="AF564" s="132"/>
      <c r="AG564" s="132">
        <f>+CATEGORIAS[[#This Row],[PRESUPUESTO
FINAL
PROYECTADO]]-CATEGORIAS[[#This Row],[COSTO REAL]]-CATEGORIAS[[#This Row],[PROYECCION
TOTAL DE COSTO]]</f>
        <v>0</v>
      </c>
    </row>
    <row r="565" spans="1:33" x14ac:dyDescent="0.25">
      <c r="A565" s="274" t="str">
        <f>+IFERROR(VLOOKUP(CATEGORIAS[[#This Row],[CATEGORIA2]],[1]HOMOLOGACION!$A$1:$I$571,9,FALSE),0)</f>
        <v>1Z04</v>
      </c>
      <c r="B565" s="274" t="str">
        <f>+IFERROR(VLOOKUP(CATEGORIAS[[#This Row],[CATEGORIA2]],[1]HOMOLOGACION!$A$1:$C$571,3,FALSE),0)</f>
        <v>1J01</v>
      </c>
      <c r="C565" s="274" t="str">
        <f>+IFERROR(VLOOKUP(CATEGORIAS[[#This Row],[CATEGORIA2]],[1]HOMOLOGACION!$A$1:$D$571,4,FALSE),0)</f>
        <v>Boletas de Garantia</v>
      </c>
      <c r="D565" s="144" t="s">
        <v>2255</v>
      </c>
      <c r="E565" s="273" t="s">
        <v>1396</v>
      </c>
      <c r="F565" s="275" t="s">
        <v>364</v>
      </c>
      <c r="G565" s="313">
        <v>27257060.439430937</v>
      </c>
      <c r="H565" s="313">
        <v>27257060.439430937</v>
      </c>
      <c r="I565" s="130">
        <v>0</v>
      </c>
      <c r="J565" s="130"/>
      <c r="K565" s="130"/>
      <c r="L565" s="143">
        <f>CATEGORIAS[[#This Row],[ADICIONALES]]+CATEGORIAS[[#This Row],[POM]]</f>
        <v>27257060.439430937</v>
      </c>
      <c r="M565" s="131">
        <v>12729910.190967908</v>
      </c>
      <c r="N565" s="227">
        <v>0</v>
      </c>
      <c r="O565" s="141">
        <f>CATEGORIAS[[#This Row],[PRODUCCION
PARTIDAS
ORIGINALES
ACTUAL]]+CATEGORIAS[[#This Row],[PRODUCCION
ADICIONALES
ACTUAL]]</f>
        <v>12729910.190967908</v>
      </c>
      <c r="P565" s="132">
        <v>6780617.8978858842</v>
      </c>
      <c r="Q565" s="227">
        <v>0</v>
      </c>
      <c r="R565" s="140">
        <f>CATEGORIAS[[#This Row],[PRODUCCION
ANTERIOR]]+CATEGORIAS[[#This Row],[PRODUCCION
ADICIONALES
ANTERIOR]]</f>
        <v>6780617.8978858842</v>
      </c>
      <c r="S565" s="133">
        <v>9880369</v>
      </c>
      <c r="T565" s="133"/>
      <c r="U565" s="133">
        <f>12729910.1909679-9880369</f>
        <v>2849541.1909679007</v>
      </c>
      <c r="V565" s="141">
        <f>SUM(CATEGORIAS[[#This Row],[COSTO
ACUMULADO  AX]:[PROVISIONES]])</f>
        <v>12729910.190967901</v>
      </c>
      <c r="W565" s="134">
        <v>9756939</v>
      </c>
      <c r="X565" s="132">
        <v>-2976321.10211412</v>
      </c>
      <c r="Y565" s="132"/>
      <c r="Z565" s="140">
        <f>SUM(CATEGORIAS[[#This Row],[COSTO ACUMULADO
ANTERIOR]:[PROVISIONES
ANTERIOR]])</f>
        <v>6780617.8978858795</v>
      </c>
      <c r="AA565" s="139">
        <f>CATEGORIAS[[#This Row],[PRESUPUESTO
FINAL
PROYECTADO]]-CATEGORIAS[[#This Row],[TOTAL PRODUCCION
ACTUAL]]</f>
        <v>14527150.248463029</v>
      </c>
      <c r="AB565" s="227">
        <v>0</v>
      </c>
      <c r="AC565" s="132"/>
      <c r="AD565" s="137">
        <v>14527150.248463036</v>
      </c>
      <c r="AE565" s="137">
        <f>SUM(CATEGORIAS[[#This Row],[INVENTARIO]:[PROYECCION
DE COSTO
DEL SALDO]])</f>
        <v>14527150.248463036</v>
      </c>
      <c r="AF565" s="132"/>
      <c r="AG565" s="132">
        <f>+CATEGORIAS[[#This Row],[PRESUPUESTO
FINAL
PROYECTADO]]-CATEGORIAS[[#This Row],[COSTO REAL]]-CATEGORIAS[[#This Row],[PROYECCION
TOTAL DE COSTO]]</f>
        <v>0</v>
      </c>
    </row>
    <row r="566" spans="1:33" x14ac:dyDescent="0.25">
      <c r="A566" s="274" t="str">
        <f>+IFERROR(VLOOKUP(CATEGORIAS[[#This Row],[CATEGORIA2]],[1]HOMOLOGACION!$A$1:$I$571,9,FALSE),0)</f>
        <v>1Z04</v>
      </c>
      <c r="B566" s="274" t="str">
        <f>+IFERROR(VLOOKUP(CATEGORIAS[[#This Row],[CATEGORIA2]],[1]HOMOLOGACION!$A$1:$C$571,3,FALSE),0)</f>
        <v>1J02</v>
      </c>
      <c r="C566" s="274" t="str">
        <f>+IFERROR(VLOOKUP(CATEGORIAS[[#This Row],[CATEGORIA2]],[1]HOMOLOGACION!$A$1:$D$571,4,FALSE),0)</f>
        <v>Seguros</v>
      </c>
      <c r="D566" s="144" t="s">
        <v>2256</v>
      </c>
      <c r="E566" s="273" t="s">
        <v>1398</v>
      </c>
      <c r="F566" s="275" t="s">
        <v>361</v>
      </c>
      <c r="G566" s="314">
        <v>0</v>
      </c>
      <c r="H566" s="314">
        <v>0</v>
      </c>
      <c r="I566" s="130">
        <v>0</v>
      </c>
      <c r="J566" s="130"/>
      <c r="K566" s="130"/>
      <c r="L566" s="143">
        <f>CATEGORIAS[[#This Row],[ADICIONALES]]+CATEGORIAS[[#This Row],[POM]]</f>
        <v>0</v>
      </c>
      <c r="M566" s="131">
        <v>0</v>
      </c>
      <c r="N566" s="227">
        <v>0</v>
      </c>
      <c r="O566" s="141">
        <f>CATEGORIAS[[#This Row],[PRODUCCION
PARTIDAS
ORIGINALES
ACTUAL]]+CATEGORIAS[[#This Row],[PRODUCCION
ADICIONALES
ACTUAL]]</f>
        <v>0</v>
      </c>
      <c r="P566" s="227">
        <v>0</v>
      </c>
      <c r="Q566" s="227">
        <v>0</v>
      </c>
      <c r="R566" s="140">
        <f>CATEGORIAS[[#This Row],[PRODUCCION
ANTERIOR]]+CATEGORIAS[[#This Row],[PRODUCCION
ADICIONALES
ANTERIOR]]</f>
        <v>0</v>
      </c>
      <c r="S566" s="133">
        <v>0</v>
      </c>
      <c r="T566" s="133"/>
      <c r="U566" s="133"/>
      <c r="V566" s="141">
        <f>SUM(CATEGORIAS[[#This Row],[COSTO
ACUMULADO  AX]:[PROVISIONES]])</f>
        <v>0</v>
      </c>
      <c r="W566" s="134">
        <v>0</v>
      </c>
      <c r="X566" s="132"/>
      <c r="Y566" s="132"/>
      <c r="Z566" s="140">
        <f>SUM(CATEGORIAS[[#This Row],[COSTO ACUMULADO
ANTERIOR]:[PROVISIONES
ANTERIOR]])</f>
        <v>0</v>
      </c>
      <c r="AA566" s="139">
        <f>CATEGORIAS[[#This Row],[PRESUPUESTO
FINAL
PROYECTADO]]-CATEGORIAS[[#This Row],[TOTAL PRODUCCION
ACTUAL]]</f>
        <v>0</v>
      </c>
      <c r="AB566" s="227">
        <v>0</v>
      </c>
      <c r="AC566" s="132"/>
      <c r="AD566" s="132"/>
      <c r="AE566" s="137">
        <f>SUM(CATEGORIAS[[#This Row],[INVENTARIO]:[PROYECCION
DE COSTO
DEL SALDO]])</f>
        <v>0</v>
      </c>
      <c r="AF566" s="132"/>
      <c r="AG566" s="132">
        <f>+CATEGORIAS[[#This Row],[PRESUPUESTO
FINAL
PROYECTADO]]-CATEGORIAS[[#This Row],[COSTO REAL]]-CATEGORIAS[[#This Row],[PROYECCION
TOTAL DE COSTO]]</f>
        <v>0</v>
      </c>
    </row>
    <row r="567" spans="1:33" x14ac:dyDescent="0.25">
      <c r="A567" s="274" t="str">
        <f>+IFERROR(VLOOKUP(CATEGORIAS[[#This Row],[CATEGORIA2]],[1]HOMOLOGACION!$A$1:$I$571,9,FALSE),0)</f>
        <v>1Z04</v>
      </c>
      <c r="B567" s="274" t="str">
        <f>+IFERROR(VLOOKUP(CATEGORIAS[[#This Row],[CATEGORIA2]],[1]HOMOLOGACION!$A$1:$C$571,3,FALSE),0)</f>
        <v>1J02</v>
      </c>
      <c r="C567" s="274" t="str">
        <f>+IFERROR(VLOOKUP(CATEGORIAS[[#This Row],[CATEGORIA2]],[1]HOMOLOGACION!$A$1:$D$571,4,FALSE),0)</f>
        <v>Seguros</v>
      </c>
      <c r="D567" s="144" t="s">
        <v>2257</v>
      </c>
      <c r="E567" s="273" t="s">
        <v>1400</v>
      </c>
      <c r="F567" s="275" t="s">
        <v>364</v>
      </c>
      <c r="G567" s="313">
        <v>26265253.552345507</v>
      </c>
      <c r="H567" s="313">
        <v>26265253.552345507</v>
      </c>
      <c r="I567" s="130">
        <v>0</v>
      </c>
      <c r="J567" s="130"/>
      <c r="K567" s="130"/>
      <c r="L567" s="143">
        <f>CATEGORIAS[[#This Row],[ADICIONALES]]+CATEGORIAS[[#This Row],[POM]]</f>
        <v>26265253.552345507</v>
      </c>
      <c r="M567" s="131">
        <v>12266704.973830247</v>
      </c>
      <c r="N567" s="227">
        <v>0</v>
      </c>
      <c r="O567" s="141">
        <f>CATEGORIAS[[#This Row],[PRODUCCION
PARTIDAS
ORIGINALES
ACTUAL]]+CATEGORIAS[[#This Row],[PRODUCCION
ADICIONALES
ACTUAL]]</f>
        <v>12266704.973830247</v>
      </c>
      <c r="P567" s="132">
        <v>6533890.5024368409</v>
      </c>
      <c r="Q567" s="132">
        <v>0</v>
      </c>
      <c r="R567" s="140">
        <f>CATEGORIAS[[#This Row],[PRODUCCION
ANTERIOR]]+CATEGORIAS[[#This Row],[PRODUCCION
ADICIONALES
ANTERIOR]]</f>
        <v>6533890.5024368409</v>
      </c>
      <c r="S567" s="133">
        <v>990070</v>
      </c>
      <c r="T567" s="298"/>
      <c r="U567" s="332">
        <f>12266704.9738302-990070</f>
        <v>11276634.973830201</v>
      </c>
      <c r="V567" s="193">
        <f>SUM(CATEGORIAS[[#This Row],[COSTO
ACUMULADO  AX]:[PROVISIONES]])</f>
        <v>12266704.973830201</v>
      </c>
      <c r="W567" s="134">
        <v>567079</v>
      </c>
      <c r="X567" s="132"/>
      <c r="Y567" s="132">
        <v>5966811.50243684</v>
      </c>
      <c r="Z567" s="140">
        <f>SUM(CATEGORIAS[[#This Row],[COSTO ACUMULADO
ANTERIOR]:[PROVISIONES
ANTERIOR]])</f>
        <v>6533890.50243684</v>
      </c>
      <c r="AA567" s="194">
        <f>CATEGORIAS[[#This Row],[PRESUPUESTO
FINAL
PROYECTADO]]-CATEGORIAS[[#This Row],[TOTAL PRODUCCION
ACTUAL]]</f>
        <v>13998548.57851526</v>
      </c>
      <c r="AB567" s="227">
        <v>0</v>
      </c>
      <c r="AC567" s="132"/>
      <c r="AD567" s="132">
        <v>13998548.578515306</v>
      </c>
      <c r="AE567" s="137">
        <f>SUM(CATEGORIAS[[#This Row],[INVENTARIO]:[PROYECCION
DE COSTO
DEL SALDO]])</f>
        <v>13998548.578515306</v>
      </c>
      <c r="AF567" s="132"/>
      <c r="AG567" s="132">
        <f>+CATEGORIAS[[#This Row],[PRESUPUESTO
FINAL
PROYECTADO]]-CATEGORIAS[[#This Row],[COSTO REAL]]-CATEGORIAS[[#This Row],[PROYECCION
TOTAL DE COSTO]]</f>
        <v>0</v>
      </c>
    </row>
    <row r="568" spans="1:33" x14ac:dyDescent="0.25">
      <c r="A568" s="274" t="str">
        <f>+IFERROR(VLOOKUP(CATEGORIAS[[#This Row],[CATEGORIA2]],[1]HOMOLOGACION!$A$1:$I$571,9,FALSE),0)</f>
        <v>1K01</v>
      </c>
      <c r="B568" s="274" t="str">
        <f>+IFERROR(VLOOKUP(CATEGORIAS[[#This Row],[CATEGORIA2]],[1]HOMOLOGACION!$A$1:$C$571,3,FALSE),0)</f>
        <v>1K01</v>
      </c>
      <c r="C568" s="274" t="str">
        <f>+IFERROR(VLOOKUP(CATEGORIAS[[#This Row],[CATEGORIA2]],[1]HOMOLOGACION!$A$1:$D$571,4,FALSE),0)</f>
        <v xml:space="preserve">Oficina Central </v>
      </c>
      <c r="D568" s="144" t="s">
        <v>2258</v>
      </c>
      <c r="E568" s="273" t="s">
        <v>1402</v>
      </c>
      <c r="F568" s="275" t="s">
        <v>361</v>
      </c>
      <c r="G568" s="314">
        <v>0</v>
      </c>
      <c r="H568" s="314">
        <v>0</v>
      </c>
      <c r="I568" s="130">
        <v>0</v>
      </c>
      <c r="J568" s="130"/>
      <c r="K568" s="130"/>
      <c r="L568" s="143">
        <f>CATEGORIAS[[#This Row],[ADICIONALES]]+CATEGORIAS[[#This Row],[POM]]</f>
        <v>0</v>
      </c>
      <c r="M568" s="131">
        <v>0</v>
      </c>
      <c r="N568" s="227">
        <v>0</v>
      </c>
      <c r="O568" s="141">
        <f>CATEGORIAS[[#This Row],[PRODUCCION
PARTIDAS
ORIGINALES
ACTUAL]]+CATEGORIAS[[#This Row],[PRODUCCION
ADICIONALES
ACTUAL]]</f>
        <v>0</v>
      </c>
      <c r="P568" s="132">
        <v>0</v>
      </c>
      <c r="Q568" s="227">
        <v>0</v>
      </c>
      <c r="R568" s="140">
        <f>CATEGORIAS[[#This Row],[PRODUCCION
ANTERIOR]]+CATEGORIAS[[#This Row],[PRODUCCION
ADICIONALES
ANTERIOR]]</f>
        <v>0</v>
      </c>
      <c r="S568" s="133">
        <v>0</v>
      </c>
      <c r="T568" s="133"/>
      <c r="U568" s="133"/>
      <c r="V568" s="141">
        <f>SUM(CATEGORIAS[[#This Row],[COSTO
ACUMULADO  AX]:[PROVISIONES]])</f>
        <v>0</v>
      </c>
      <c r="W568" s="134">
        <v>0</v>
      </c>
      <c r="X568" s="132"/>
      <c r="Y568" s="132"/>
      <c r="Z568" s="140">
        <f>SUM(CATEGORIAS[[#This Row],[COSTO ACUMULADO
ANTERIOR]:[PROVISIONES
ANTERIOR]])</f>
        <v>0</v>
      </c>
      <c r="AA568" s="139">
        <f>CATEGORIAS[[#This Row],[PRESUPUESTO
FINAL
PROYECTADO]]-CATEGORIAS[[#This Row],[TOTAL PRODUCCION
ACTUAL]]</f>
        <v>0</v>
      </c>
      <c r="AB568" s="227">
        <v>0</v>
      </c>
      <c r="AC568" s="132"/>
      <c r="AD568" s="132"/>
      <c r="AE568" s="137">
        <f>SUM(CATEGORIAS[[#This Row],[INVENTARIO]:[PROYECCION
DE COSTO
DEL SALDO]])</f>
        <v>0</v>
      </c>
      <c r="AF568" s="132"/>
      <c r="AG568" s="132">
        <f>+CATEGORIAS[[#This Row],[PRESUPUESTO
FINAL
PROYECTADO]]-CATEGORIAS[[#This Row],[COSTO REAL]]-CATEGORIAS[[#This Row],[PROYECCION
TOTAL DE COSTO]]</f>
        <v>0</v>
      </c>
    </row>
    <row r="569" spans="1:33" x14ac:dyDescent="0.25">
      <c r="A569" s="274" t="str">
        <f>+IFERROR(VLOOKUP(CATEGORIAS[[#This Row],[CATEGORIA2]],[1]HOMOLOGACION!$A$1:$I$571,9,FALSE),0)</f>
        <v>1K01</v>
      </c>
      <c r="B569" s="274" t="str">
        <f>+IFERROR(VLOOKUP(CATEGORIAS[[#This Row],[CATEGORIA2]],[1]HOMOLOGACION!$A$1:$C$571,3,FALSE),0)</f>
        <v>1K01</v>
      </c>
      <c r="C569" s="274" t="str">
        <f>+IFERROR(VLOOKUP(CATEGORIAS[[#This Row],[CATEGORIA2]],[1]HOMOLOGACION!$A$1:$D$571,4,FALSE),0)</f>
        <v xml:space="preserve">Oficina Central </v>
      </c>
      <c r="D569" s="144" t="s">
        <v>2259</v>
      </c>
      <c r="E569" s="275" t="s">
        <v>1404</v>
      </c>
      <c r="F569" s="275" t="s">
        <v>364</v>
      </c>
      <c r="G569" s="313">
        <v>212392678.74881247</v>
      </c>
      <c r="H569" s="313">
        <v>212392678.74881247</v>
      </c>
      <c r="I569" s="130">
        <v>0</v>
      </c>
      <c r="J569" s="130"/>
      <c r="K569" s="130"/>
      <c r="L569" s="143">
        <f>CATEGORIAS[[#This Row],[ADICIONALES]]+CATEGORIAS[[#This Row],[POM]]</f>
        <v>212392678.74881247</v>
      </c>
      <c r="M569" s="131">
        <v>99194105.384165511</v>
      </c>
      <c r="N569" s="227">
        <v>0</v>
      </c>
      <c r="O569" s="141">
        <f>CATEGORIAS[[#This Row],[PRODUCCION
PARTIDAS
ORIGINALES
ACTUAL]]+CATEGORIAS[[#This Row],[PRODUCCION
ADICIONALES
ACTUAL]]</f>
        <v>99194105.384165511</v>
      </c>
      <c r="P569" s="227">
        <v>52835983.619889997</v>
      </c>
      <c r="Q569" s="227">
        <v>0</v>
      </c>
      <c r="R569" s="297">
        <f>CATEGORIAS[[#This Row],[PRODUCCION
ANTERIOR]]+CATEGORIAS[[#This Row],[PRODUCCION
ADICIONALES
ANTERIOR]]</f>
        <v>52835983.619889997</v>
      </c>
      <c r="S569" s="133">
        <v>0</v>
      </c>
      <c r="T569" s="298"/>
      <c r="U569" s="298">
        <v>99194105.384165511</v>
      </c>
      <c r="V569" s="296">
        <f>SUM(CATEGORIAS[[#This Row],[COSTO
ACUMULADO  AX]:[PROVISIONES]])</f>
        <v>99194105.384165511</v>
      </c>
      <c r="W569" s="298">
        <v>0</v>
      </c>
      <c r="X569" s="227"/>
      <c r="Y569" s="227">
        <v>52835983.619889997</v>
      </c>
      <c r="Z569" s="297">
        <f>SUM(CATEGORIAS[[#This Row],[COSTO ACUMULADO
ANTERIOR]:[PROVISIONES
ANTERIOR]])</f>
        <v>52835983.619889997</v>
      </c>
      <c r="AA569" s="299">
        <f>CATEGORIAS[[#This Row],[PRESUPUESTO
FINAL
PROYECTADO]]-CATEGORIAS[[#This Row],[TOTAL PRODUCCION
ACTUAL]]</f>
        <v>113198573.36464696</v>
      </c>
      <c r="AB569" s="227">
        <v>0</v>
      </c>
      <c r="AC569" s="132"/>
      <c r="AD569" s="227">
        <v>113198573.36464696</v>
      </c>
      <c r="AE569" s="226">
        <f>SUM(CATEGORIAS[[#This Row],[INVENTARIO]:[PROYECCION
DE COSTO
DEL SALDO]])</f>
        <v>113198573.36464696</v>
      </c>
      <c r="AF569" s="132"/>
      <c r="AG569" s="132">
        <f>+CATEGORIAS[[#This Row],[PRESUPUESTO
FINAL
PROYECTADO]]-CATEGORIAS[[#This Row],[COSTO REAL]]-CATEGORIAS[[#This Row],[PROYECCION
TOTAL DE COSTO]]</f>
        <v>0</v>
      </c>
    </row>
    <row r="570" spans="1:33" x14ac:dyDescent="0.25">
      <c r="A570" s="274" t="str">
        <f>+IFERROR(VLOOKUP(CATEGORIAS[[#This Row],[CATEGORIA2]],[1]HOMOLOGACION!$A$1:$I$571,9,FALSE),0)</f>
        <v>1K02</v>
      </c>
      <c r="B570" s="274" t="str">
        <f>+IFERROR(VLOOKUP(CATEGORIAS[[#This Row],[CATEGORIA2]],[1]HOMOLOGACION!$A$1:$C$571,3,FALSE),0)</f>
        <v>1K02</v>
      </c>
      <c r="C570" s="274" t="str">
        <f>+IFERROR(VLOOKUP(CATEGORIAS[[#This Row],[CATEGORIA2]],[1]HOMOLOGACION!$A$1:$D$571,4,FALSE),0)</f>
        <v xml:space="preserve">Imprevistos </v>
      </c>
      <c r="D570" s="144" t="s">
        <v>2260</v>
      </c>
      <c r="E570" s="273" t="s">
        <v>1406</v>
      </c>
      <c r="F570" s="275" t="s">
        <v>361</v>
      </c>
      <c r="G570" s="313">
        <v>0</v>
      </c>
      <c r="H570" s="313">
        <v>0</v>
      </c>
      <c r="I570" s="130">
        <v>0</v>
      </c>
      <c r="J570" s="130"/>
      <c r="K570" s="130"/>
      <c r="L570" s="143">
        <f>CATEGORIAS[[#This Row],[ADICIONALES]]+CATEGORIAS[[#This Row],[POM]]</f>
        <v>0</v>
      </c>
      <c r="M570" s="131">
        <v>0</v>
      </c>
      <c r="N570" s="227">
        <v>0</v>
      </c>
      <c r="O570" s="141">
        <f>CATEGORIAS[[#This Row],[PRODUCCION
PARTIDAS
ORIGINALES
ACTUAL]]+CATEGORIAS[[#This Row],[PRODUCCION
ADICIONALES
ACTUAL]]</f>
        <v>0</v>
      </c>
      <c r="P570" s="227">
        <v>0</v>
      </c>
      <c r="Q570" s="227">
        <v>0</v>
      </c>
      <c r="R570" s="297">
        <f>CATEGORIAS[[#This Row],[PRODUCCION
ANTERIOR]]+CATEGORIAS[[#This Row],[PRODUCCION
ADICIONALES
ANTERIOR]]</f>
        <v>0</v>
      </c>
      <c r="S570" s="133">
        <v>0</v>
      </c>
      <c r="T570" s="298"/>
      <c r="U570" s="298"/>
      <c r="V570" s="296">
        <f>SUM(CATEGORIAS[[#This Row],[COSTO
ACUMULADO  AX]:[PROVISIONES]])</f>
        <v>0</v>
      </c>
      <c r="W570" s="298">
        <v>0</v>
      </c>
      <c r="X570" s="227"/>
      <c r="Y570" s="227"/>
      <c r="Z570" s="297">
        <f>SUM(CATEGORIAS[[#This Row],[COSTO ACUMULADO
ANTERIOR]:[PROVISIONES
ANTERIOR]])</f>
        <v>0</v>
      </c>
      <c r="AA570" s="299">
        <f>CATEGORIAS[[#This Row],[PRESUPUESTO
FINAL
PROYECTADO]]-CATEGORIAS[[#This Row],[TOTAL PRODUCCION
ACTUAL]]</f>
        <v>0</v>
      </c>
      <c r="AB570" s="227">
        <v>0</v>
      </c>
      <c r="AC570" s="132"/>
      <c r="AD570" s="227"/>
      <c r="AE570" s="226">
        <f>SUM(CATEGORIAS[[#This Row],[INVENTARIO]:[PROYECCION
DE COSTO
DEL SALDO]])</f>
        <v>0</v>
      </c>
      <c r="AF570" s="132"/>
      <c r="AG570" s="132">
        <f>+CATEGORIAS[[#This Row],[PRESUPUESTO
FINAL
PROYECTADO]]-CATEGORIAS[[#This Row],[COSTO REAL]]-CATEGORIAS[[#This Row],[PROYECCION
TOTAL DE COSTO]]</f>
        <v>0</v>
      </c>
    </row>
    <row r="571" spans="1:33" x14ac:dyDescent="0.25">
      <c r="A571" s="274" t="str">
        <f>+IFERROR(VLOOKUP(CATEGORIAS[[#This Row],[CATEGORIA2]],[1]HOMOLOGACION!$A$1:$I$571,9,FALSE),0)</f>
        <v>1K02</v>
      </c>
      <c r="B571" s="274" t="str">
        <f>+IFERROR(VLOOKUP(CATEGORIAS[[#This Row],[CATEGORIA2]],[1]HOMOLOGACION!$A$1:$C$571,3,FALSE),0)</f>
        <v>1K02</v>
      </c>
      <c r="C571" s="274" t="str">
        <f>+IFERROR(VLOOKUP(CATEGORIAS[[#This Row],[CATEGORIA2]],[1]HOMOLOGACION!$A$1:$D$571,4,FALSE),0)</f>
        <v xml:space="preserve">Imprevistos </v>
      </c>
      <c r="D571" s="144" t="s">
        <v>2261</v>
      </c>
      <c r="E571" s="273" t="s">
        <v>1408</v>
      </c>
      <c r="F571" s="275" t="s">
        <v>364</v>
      </c>
      <c r="G571" s="313">
        <v>106196339.37440623</v>
      </c>
      <c r="H571" s="313">
        <v>106196339.37440623</v>
      </c>
      <c r="I571" s="130">
        <v>0</v>
      </c>
      <c r="J571" s="130"/>
      <c r="K571" s="130"/>
      <c r="L571" s="143">
        <f>CATEGORIAS[[#This Row],[ADICIONALES]]+CATEGORIAS[[#This Row],[POM]]</f>
        <v>106196339.37440623</v>
      </c>
      <c r="M571" s="131">
        <v>49597052.692082755</v>
      </c>
      <c r="N571" s="227">
        <v>0</v>
      </c>
      <c r="O571" s="141">
        <f>CATEGORIAS[[#This Row],[PRODUCCION
PARTIDAS
ORIGINALES
ACTUAL]]+CATEGORIAS[[#This Row],[PRODUCCION
ADICIONALES
ACTUAL]]</f>
        <v>49597052.692082755</v>
      </c>
      <c r="P571" s="227">
        <v>26417991.809944998</v>
      </c>
      <c r="Q571" s="227">
        <v>0</v>
      </c>
      <c r="R571" s="297">
        <f>CATEGORIAS[[#This Row],[PRODUCCION
ANTERIOR]]+CATEGORIAS[[#This Row],[PRODUCCION
ADICIONALES
ANTERIOR]]</f>
        <v>26417991.809944998</v>
      </c>
      <c r="S571" s="133">
        <v>0</v>
      </c>
      <c r="T571" s="298"/>
      <c r="U571" s="298">
        <v>49597052.692082755</v>
      </c>
      <c r="V571" s="296">
        <f>SUM(CATEGORIAS[[#This Row],[COSTO
ACUMULADO  AX]:[PROVISIONES]])</f>
        <v>49597052.692082755</v>
      </c>
      <c r="W571" s="298">
        <v>0</v>
      </c>
      <c r="X571" s="227"/>
      <c r="Y571" s="227">
        <v>26417991.809944998</v>
      </c>
      <c r="Z571" s="297">
        <f>SUM(CATEGORIAS[[#This Row],[COSTO ACUMULADO
ANTERIOR]:[PROVISIONES
ANTERIOR]])</f>
        <v>26417991.809944998</v>
      </c>
      <c r="AA571" s="299">
        <f>CATEGORIAS[[#This Row],[PRESUPUESTO
FINAL
PROYECTADO]]-CATEGORIAS[[#This Row],[TOTAL PRODUCCION
ACTUAL]]</f>
        <v>56599286.682323478</v>
      </c>
      <c r="AB571" s="227">
        <v>0</v>
      </c>
      <c r="AC571" s="132"/>
      <c r="AD571" s="227">
        <v>56599286.682323478</v>
      </c>
      <c r="AE571" s="226">
        <f>SUM(CATEGORIAS[[#This Row],[INVENTARIO]:[PROYECCION
DE COSTO
DEL SALDO]])</f>
        <v>56599286.682323478</v>
      </c>
      <c r="AF571" s="132"/>
      <c r="AG571" s="132">
        <f>+CATEGORIAS[[#This Row],[PRESUPUESTO
FINAL
PROYECTADO]]-CATEGORIAS[[#This Row],[COSTO REAL]]-CATEGORIAS[[#This Row],[PROYECCION
TOTAL DE COSTO]]</f>
        <v>0</v>
      </c>
    </row>
    <row r="572" spans="1:33" x14ac:dyDescent="0.25">
      <c r="A572" s="274" t="str">
        <f>+IFERROR(VLOOKUP(CATEGORIAS[[#This Row],[CATEGORIA2]],[1]HOMOLOGACION!$A$1:$I$571,9,FALSE),0)</f>
        <v>1K03</v>
      </c>
      <c r="B572" s="274" t="str">
        <f>+IFERROR(VLOOKUP(CATEGORIAS[[#This Row],[CATEGORIA2]],[1]HOMOLOGACION!$A$1:$C$571,3,FALSE),0)</f>
        <v>1K03</v>
      </c>
      <c r="C572" s="274" t="str">
        <f>+IFERROR(VLOOKUP(CATEGORIAS[[#This Row],[CATEGORIA2]],[1]HOMOLOGACION!$A$1:$D$571,4,FALSE),0)</f>
        <v xml:space="preserve">Utilidades </v>
      </c>
      <c r="D572" s="144" t="s">
        <v>2262</v>
      </c>
      <c r="E572" s="273" t="s">
        <v>1410</v>
      </c>
      <c r="F572" s="275" t="s">
        <v>361</v>
      </c>
      <c r="G572" s="313">
        <v>0</v>
      </c>
      <c r="H572" s="313">
        <v>0</v>
      </c>
      <c r="I572" s="130">
        <v>0</v>
      </c>
      <c r="J572" s="130"/>
      <c r="K572" s="130"/>
      <c r="L572" s="143">
        <f>CATEGORIAS[[#This Row],[ADICIONALES]]+CATEGORIAS[[#This Row],[POM]]</f>
        <v>0</v>
      </c>
      <c r="M572" s="131">
        <v>0</v>
      </c>
      <c r="N572" s="227">
        <v>0</v>
      </c>
      <c r="O572" s="141">
        <f>CATEGORIAS[[#This Row],[PRODUCCION
PARTIDAS
ORIGINALES
ACTUAL]]+CATEGORIAS[[#This Row],[PRODUCCION
ADICIONALES
ACTUAL]]</f>
        <v>0</v>
      </c>
      <c r="P572" s="132">
        <v>0</v>
      </c>
      <c r="Q572" s="132">
        <v>0</v>
      </c>
      <c r="R572" s="140">
        <f>CATEGORIAS[[#This Row],[PRODUCCION
ANTERIOR]]+CATEGORIAS[[#This Row],[PRODUCCION
ADICIONALES
ANTERIOR]]</f>
        <v>0</v>
      </c>
      <c r="S572" s="133">
        <v>0</v>
      </c>
      <c r="T572" s="133"/>
      <c r="U572" s="298"/>
      <c r="V572" s="141">
        <f>SUM(CATEGORIAS[[#This Row],[COSTO
ACUMULADO  AX]:[PROVISIONES]])</f>
        <v>0</v>
      </c>
      <c r="W572" s="134">
        <v>0</v>
      </c>
      <c r="X572" s="132"/>
      <c r="Y572" s="132"/>
      <c r="Z572" s="140">
        <f>SUM(CATEGORIAS[[#This Row],[COSTO ACUMULADO
ANTERIOR]:[PROVISIONES
ANTERIOR]])</f>
        <v>0</v>
      </c>
      <c r="AA572" s="139">
        <f>CATEGORIAS[[#This Row],[PRESUPUESTO
FINAL
PROYECTADO]]-CATEGORIAS[[#This Row],[TOTAL PRODUCCION
ACTUAL]]</f>
        <v>0</v>
      </c>
      <c r="AB572" s="227">
        <v>0</v>
      </c>
      <c r="AC572" s="132"/>
      <c r="AD572" s="227"/>
      <c r="AE572" s="137">
        <f>SUM(CATEGORIAS[[#This Row],[INVENTARIO]:[PROYECCION
DE COSTO
DEL SALDO]])</f>
        <v>0</v>
      </c>
      <c r="AF572" s="132"/>
      <c r="AG572" s="132">
        <f>+CATEGORIAS[[#This Row],[PRESUPUESTO
FINAL
PROYECTADO]]-CATEGORIAS[[#This Row],[COSTO REAL]]-CATEGORIAS[[#This Row],[PROYECCION
TOTAL DE COSTO]]</f>
        <v>0</v>
      </c>
    </row>
    <row r="573" spans="1:33" x14ac:dyDescent="0.25">
      <c r="A573" s="274" t="str">
        <f>+IFERROR(VLOOKUP(CATEGORIAS[[#This Row],[CATEGORIA2]],[1]HOMOLOGACION!$A$1:$I$571,9,FALSE),0)</f>
        <v>1K03</v>
      </c>
      <c r="B573" s="274" t="str">
        <f>+IFERROR(VLOOKUP(CATEGORIAS[[#This Row],[CATEGORIA2]],[1]HOMOLOGACION!$A$1:$C$571,3,FALSE),0)</f>
        <v>1K03</v>
      </c>
      <c r="C573" s="274" t="str">
        <f>+IFERROR(VLOOKUP(CATEGORIAS[[#This Row],[CATEGORIA2]],[1]HOMOLOGACION!$A$1:$D$571,4,FALSE),0)</f>
        <v xml:space="preserve">Utilidades </v>
      </c>
      <c r="D573" s="144" t="s">
        <v>2263</v>
      </c>
      <c r="E573" s="273" t="s">
        <v>1412</v>
      </c>
      <c r="F573" s="275" t="s">
        <v>364</v>
      </c>
      <c r="G573" s="313">
        <v>212392678.74881247</v>
      </c>
      <c r="H573" s="313">
        <v>212392678.74881247</v>
      </c>
      <c r="I573" s="130">
        <v>0</v>
      </c>
      <c r="J573" s="130"/>
      <c r="K573" s="130"/>
      <c r="L573" s="143">
        <f>CATEGORIAS[[#This Row],[ADICIONALES]]+CATEGORIAS[[#This Row],[POM]]</f>
        <v>212392678.74881247</v>
      </c>
      <c r="M573" s="131">
        <v>99194105.384165511</v>
      </c>
      <c r="N573" s="227">
        <v>0</v>
      </c>
      <c r="O573" s="141">
        <f>CATEGORIAS[[#This Row],[PRODUCCION
PARTIDAS
ORIGINALES
ACTUAL]]+CATEGORIAS[[#This Row],[PRODUCCION
ADICIONALES
ACTUAL]]</f>
        <v>99194105.384165511</v>
      </c>
      <c r="P573" s="227">
        <v>52835983.619889997</v>
      </c>
      <c r="Q573" s="227">
        <v>0</v>
      </c>
      <c r="R573" s="140">
        <f>CATEGORIAS[[#This Row],[PRODUCCION
ANTERIOR]]+CATEGORIAS[[#This Row],[PRODUCCION
ADICIONALES
ANTERIOR]]</f>
        <v>52835983.619889997</v>
      </c>
      <c r="S573" s="133">
        <v>0</v>
      </c>
      <c r="T573" s="133"/>
      <c r="U573" s="298">
        <v>99194105.384165511</v>
      </c>
      <c r="V573" s="141">
        <f>SUM(CATEGORIAS[[#This Row],[COSTO
ACUMULADO  AX]:[PROVISIONES]])</f>
        <v>99194105.384165511</v>
      </c>
      <c r="W573" s="134">
        <v>0</v>
      </c>
      <c r="X573" s="132"/>
      <c r="Y573" s="132">
        <v>52835983.619889997</v>
      </c>
      <c r="Z573" s="140">
        <f>SUM(CATEGORIAS[[#This Row],[COSTO ACUMULADO
ANTERIOR]:[PROVISIONES
ANTERIOR]])</f>
        <v>52835983.619889997</v>
      </c>
      <c r="AA573" s="139">
        <f>CATEGORIAS[[#This Row],[PRESUPUESTO
FINAL
PROYECTADO]]-CATEGORIAS[[#This Row],[TOTAL PRODUCCION
ACTUAL]]</f>
        <v>113198573.36464696</v>
      </c>
      <c r="AB573" s="227">
        <v>0</v>
      </c>
      <c r="AC573" s="132"/>
      <c r="AD573" s="227">
        <v>113198573.36464696</v>
      </c>
      <c r="AE573" s="137">
        <f>SUM(CATEGORIAS[[#This Row],[INVENTARIO]:[PROYECCION
DE COSTO
DEL SALDO]])</f>
        <v>113198573.36464696</v>
      </c>
      <c r="AF573" s="132"/>
      <c r="AG573" s="132">
        <f>+CATEGORIAS[[#This Row],[PRESUPUESTO
FINAL
PROYECTADO]]-CATEGORIAS[[#This Row],[COSTO REAL]]-CATEGORIAS[[#This Row],[PROYECCION
TOTAL DE COSTO]]</f>
        <v>0</v>
      </c>
    </row>
    <row r="574" spans="1:33" x14ac:dyDescent="0.25">
      <c r="A574" s="274" t="str">
        <f>+IFERROR(VLOOKUP(CATEGORIAS[[#This Row],[CATEGORIA2]],[1]HOMOLOGACION!$A$1:$I$571,9,FALSE),0)</f>
        <v>1K01</v>
      </c>
      <c r="B574" s="274" t="str">
        <f>+IFERROR(VLOOKUP(CATEGORIAS[[#This Row],[CATEGORIA2]],[1]HOMOLOGACION!$A$1:$C$571,3,FALSE),0)</f>
        <v>1K01</v>
      </c>
      <c r="C574" s="274" t="str">
        <f>+IFERROR(VLOOKUP(CATEGORIAS[[#This Row],[CATEGORIA2]],[1]HOMOLOGACION!$A$1:$D$571,4,FALSE),0)</f>
        <v xml:space="preserve">Oficina Central </v>
      </c>
      <c r="D574" s="144" t="s">
        <v>2264</v>
      </c>
      <c r="E574" s="273" t="s">
        <v>1415</v>
      </c>
      <c r="F574" s="275" t="s">
        <v>361</v>
      </c>
      <c r="G574" s="313">
        <v>0</v>
      </c>
      <c r="H574" s="313">
        <v>0</v>
      </c>
      <c r="I574" s="130"/>
      <c r="J574" s="130"/>
      <c r="K574" s="130"/>
      <c r="L574" s="143">
        <f>CATEGORIAS[[#This Row],[ADICIONALES]]+CATEGORIAS[[#This Row],[POM]]</f>
        <v>0</v>
      </c>
      <c r="M574" s="131">
        <v>0</v>
      </c>
      <c r="N574" s="227">
        <v>0</v>
      </c>
      <c r="O574" s="141">
        <f>CATEGORIAS[[#This Row],[PRODUCCION
PARTIDAS
ORIGINALES
ACTUAL]]+CATEGORIAS[[#This Row],[PRODUCCION
ADICIONALES
ACTUAL]]</f>
        <v>0</v>
      </c>
      <c r="P574" s="132">
        <v>0</v>
      </c>
      <c r="Q574" s="227"/>
      <c r="R574" s="140">
        <f>CATEGORIAS[[#This Row],[PRODUCCION
ANTERIOR]]+CATEGORIAS[[#This Row],[PRODUCCION
ADICIONALES
ANTERIOR]]</f>
        <v>0</v>
      </c>
      <c r="S574" s="133">
        <v>0</v>
      </c>
      <c r="T574" s="133"/>
      <c r="U574" s="298"/>
      <c r="V574" s="141">
        <f>SUM(CATEGORIAS[[#This Row],[COSTO
ACUMULADO  AX]:[PROVISIONES]])</f>
        <v>0</v>
      </c>
      <c r="W574" s="134">
        <v>0</v>
      </c>
      <c r="X574" s="132"/>
      <c r="Y574" s="132"/>
      <c r="Z574" s="140">
        <f>SUM(CATEGORIAS[[#This Row],[COSTO ACUMULADO
ANTERIOR]:[PROVISIONES
ANTERIOR]])</f>
        <v>0</v>
      </c>
      <c r="AA574" s="139">
        <f>CATEGORIAS[[#This Row],[PRESUPUESTO
FINAL
PROYECTADO]]-CATEGORIAS[[#This Row],[TOTAL PRODUCCION
ACTUAL]]</f>
        <v>0</v>
      </c>
      <c r="AB574" s="227">
        <v>0</v>
      </c>
      <c r="AC574" s="132"/>
      <c r="AD574" s="227"/>
      <c r="AE574" s="137">
        <f>SUM(CATEGORIAS[[#This Row],[INVENTARIO]:[PROYECCION
DE COSTO
DEL SALDO]])</f>
        <v>0</v>
      </c>
      <c r="AF574" s="132"/>
      <c r="AG574" s="132">
        <f>+CATEGORIAS[[#This Row],[PRESUPUESTO
FINAL
PROYECTADO]]-CATEGORIAS[[#This Row],[COSTO REAL]]-CATEGORIAS[[#This Row],[PROYECCION
TOTAL DE COSTO]]</f>
        <v>0</v>
      </c>
    </row>
    <row r="575" spans="1:33" x14ac:dyDescent="0.25">
      <c r="A575" s="274" t="str">
        <f>+IFERROR(VLOOKUP(CATEGORIAS[[#This Row],[CATEGORIA2]],[1]HOMOLOGACION!$A$1:$I$571,9,FALSE),0)</f>
        <v>1K01</v>
      </c>
      <c r="B575" s="274" t="str">
        <f>+IFERROR(VLOOKUP(CATEGORIAS[[#This Row],[CATEGORIA2]],[1]HOMOLOGACION!$A$1:$C$571,3,FALSE),0)</f>
        <v>1K01</v>
      </c>
      <c r="C575" s="274" t="str">
        <f>+IFERROR(VLOOKUP(CATEGORIAS[[#This Row],[CATEGORIA2]],[1]HOMOLOGACION!$A$1:$D$571,4,FALSE),0)</f>
        <v xml:space="preserve">Oficina Central </v>
      </c>
      <c r="D575" s="144" t="s">
        <v>2265</v>
      </c>
      <c r="E575" s="273" t="s">
        <v>1417</v>
      </c>
      <c r="F575" s="275" t="s">
        <v>361</v>
      </c>
      <c r="G575" s="313">
        <v>0</v>
      </c>
      <c r="H575" s="313">
        <v>0</v>
      </c>
      <c r="I575" s="130"/>
      <c r="J575" s="130"/>
      <c r="K575" s="130"/>
      <c r="L575" s="143">
        <f>CATEGORIAS[[#This Row],[ADICIONALES]]+CATEGORIAS[[#This Row],[POM]]</f>
        <v>0</v>
      </c>
      <c r="M575" s="131">
        <v>0</v>
      </c>
      <c r="N575" s="227">
        <v>0</v>
      </c>
      <c r="O575" s="141">
        <f>CATEGORIAS[[#This Row],[PRODUCCION
PARTIDAS
ORIGINALES
ACTUAL]]+CATEGORIAS[[#This Row],[PRODUCCION
ADICIONALES
ACTUAL]]</f>
        <v>0</v>
      </c>
      <c r="P575" s="227">
        <v>0</v>
      </c>
      <c r="Q575" s="227"/>
      <c r="R575" s="297">
        <f>CATEGORIAS[[#This Row],[PRODUCCION
ANTERIOR]]+CATEGORIAS[[#This Row],[PRODUCCION
ADICIONALES
ANTERIOR]]</f>
        <v>0</v>
      </c>
      <c r="S575" s="133">
        <v>0</v>
      </c>
      <c r="T575" s="298"/>
      <c r="U575" s="298"/>
      <c r="V575" s="296">
        <f>SUM(CATEGORIAS[[#This Row],[COSTO
ACUMULADO  AX]:[PROVISIONES]])</f>
        <v>0</v>
      </c>
      <c r="W575" s="298">
        <v>0</v>
      </c>
      <c r="X575" s="227"/>
      <c r="Y575" s="227"/>
      <c r="Z575" s="297">
        <f>SUM(CATEGORIAS[[#This Row],[COSTO ACUMULADO
ANTERIOR]:[PROVISIONES
ANTERIOR]])</f>
        <v>0</v>
      </c>
      <c r="AA575" s="299">
        <f>CATEGORIAS[[#This Row],[PRESUPUESTO
FINAL
PROYECTADO]]-CATEGORIAS[[#This Row],[TOTAL PRODUCCION
ACTUAL]]</f>
        <v>0</v>
      </c>
      <c r="AB575" s="227">
        <v>0</v>
      </c>
      <c r="AC575" s="132"/>
      <c r="AD575" s="227"/>
      <c r="AE575" s="226">
        <f>SUM(CATEGORIAS[[#This Row],[INVENTARIO]:[PROYECCION
DE COSTO
DEL SALDO]])</f>
        <v>0</v>
      </c>
      <c r="AF575" s="132"/>
      <c r="AG575" s="132">
        <f>+CATEGORIAS[[#This Row],[PRESUPUESTO
FINAL
PROYECTADO]]-CATEGORIAS[[#This Row],[COSTO REAL]]-CATEGORIAS[[#This Row],[PROYECCION
TOTAL DE COSTO]]</f>
        <v>0</v>
      </c>
    </row>
    <row r="576" spans="1:33" x14ac:dyDescent="0.25">
      <c r="A576" s="274" t="str">
        <f>+IFERROR(VLOOKUP(CATEGORIAS[[#This Row],[CATEGORIA2]],[1]HOMOLOGACION!$A$1:$I$571,9,FALSE),0)</f>
        <v>1Z05</v>
      </c>
      <c r="B576" s="274" t="str">
        <f>+IFERROR(VLOOKUP(CATEGORIAS[[#This Row],[CATEGORIA2]],[1]HOMOLOGACION!$A$1:$C$571,3,FALSE),0)</f>
        <v>1J03</v>
      </c>
      <c r="C576" s="274" t="str">
        <f>+IFERROR(VLOOKUP(CATEGORIAS[[#This Row],[CATEGORIA2]],[1]HOMOLOGACION!$A$1:$D$571,4,FALSE),0)</f>
        <v>Gastos Financieros</v>
      </c>
      <c r="D576" s="144" t="s">
        <v>2266</v>
      </c>
      <c r="E576" s="273" t="s">
        <v>1418</v>
      </c>
      <c r="F576" s="275" t="s">
        <v>361</v>
      </c>
      <c r="G576" s="313">
        <v>0</v>
      </c>
      <c r="H576" s="313">
        <v>0</v>
      </c>
      <c r="I576" s="130"/>
      <c r="J576" s="130"/>
      <c r="K576" s="130"/>
      <c r="L576" s="143">
        <f>CATEGORIAS[[#This Row],[ADICIONALES]]+CATEGORIAS[[#This Row],[POM]]</f>
        <v>0</v>
      </c>
      <c r="M576" s="131">
        <v>0</v>
      </c>
      <c r="N576" s="227">
        <v>0</v>
      </c>
      <c r="O576" s="141">
        <f>CATEGORIAS[[#This Row],[PRODUCCION
PARTIDAS
ORIGINALES
ACTUAL]]+CATEGORIAS[[#This Row],[PRODUCCION
ADICIONALES
ACTUAL]]</f>
        <v>0</v>
      </c>
      <c r="P576" s="227">
        <v>0</v>
      </c>
      <c r="Q576" s="227"/>
      <c r="R576" s="297">
        <f>CATEGORIAS[[#This Row],[PRODUCCION
ANTERIOR]]+CATEGORIAS[[#This Row],[PRODUCCION
ADICIONALES
ANTERIOR]]</f>
        <v>0</v>
      </c>
      <c r="S576" s="133">
        <v>0</v>
      </c>
      <c r="T576" s="298"/>
      <c r="U576" s="298"/>
      <c r="V576" s="296">
        <f>SUM(CATEGORIAS[[#This Row],[COSTO
ACUMULADO  AX]:[PROVISIONES]])</f>
        <v>0</v>
      </c>
      <c r="W576" s="298">
        <v>0</v>
      </c>
      <c r="X576" s="227"/>
      <c r="Y576" s="227"/>
      <c r="Z576" s="297">
        <f>SUM(CATEGORIAS[[#This Row],[COSTO ACUMULADO
ANTERIOR]:[PROVISIONES
ANTERIOR]])</f>
        <v>0</v>
      </c>
      <c r="AA576" s="299">
        <f>CATEGORIAS[[#This Row],[PRESUPUESTO
FINAL
PROYECTADO]]-CATEGORIAS[[#This Row],[TOTAL PRODUCCION
ACTUAL]]</f>
        <v>0</v>
      </c>
      <c r="AB576" s="227">
        <v>0</v>
      </c>
      <c r="AC576" s="132"/>
      <c r="AD576" s="227"/>
      <c r="AE576" s="226">
        <f>SUM(CATEGORIAS[[#This Row],[INVENTARIO]:[PROYECCION
DE COSTO
DEL SALDO]])</f>
        <v>0</v>
      </c>
      <c r="AF576" s="132"/>
      <c r="AG576" s="132">
        <f>+CATEGORIAS[[#This Row],[PRESUPUESTO
FINAL
PROYECTADO]]-CATEGORIAS[[#This Row],[COSTO REAL]]-CATEGORIAS[[#This Row],[PROYECCION
TOTAL DE COSTO]]</f>
        <v>0</v>
      </c>
    </row>
    <row r="577" spans="1:33" x14ac:dyDescent="0.25">
      <c r="A577" s="274" t="str">
        <f>+IFERROR(VLOOKUP(CATEGORIAS[[#This Row],[CATEGORIA2]],[1]HOMOLOGACION!$A$1:$I$571,9,FALSE),0)</f>
        <v>1K01</v>
      </c>
      <c r="B577" s="274" t="str">
        <f>+IFERROR(VLOOKUP(CATEGORIAS[[#This Row],[CATEGORIA2]],[1]HOMOLOGACION!$A$1:$C$571,3,FALSE),0)</f>
        <v>1K01</v>
      </c>
      <c r="C577" s="274" t="str">
        <f>+IFERROR(VLOOKUP(CATEGORIAS[[#This Row],[CATEGORIA2]],[1]HOMOLOGACION!$A$1:$D$571,4,FALSE),0)</f>
        <v xml:space="preserve">Oficina Central </v>
      </c>
      <c r="D577" s="144" t="s">
        <v>2267</v>
      </c>
      <c r="E577" s="273" t="s">
        <v>1420</v>
      </c>
      <c r="F577" s="275" t="s">
        <v>361</v>
      </c>
      <c r="G577" s="313">
        <v>0</v>
      </c>
      <c r="H577" s="313">
        <v>0</v>
      </c>
      <c r="I577" s="130"/>
      <c r="J577" s="130"/>
      <c r="K577" s="130"/>
      <c r="L577" s="143">
        <f>CATEGORIAS[[#This Row],[ADICIONALES]]+CATEGORIAS[[#This Row],[POM]]</f>
        <v>0</v>
      </c>
      <c r="M577" s="131">
        <v>0</v>
      </c>
      <c r="N577" s="227">
        <v>0</v>
      </c>
      <c r="O577" s="141">
        <f>CATEGORIAS[[#This Row],[PRODUCCION
PARTIDAS
ORIGINALES
ACTUAL]]+CATEGORIAS[[#This Row],[PRODUCCION
ADICIONALES
ACTUAL]]</f>
        <v>0</v>
      </c>
      <c r="P577" s="227">
        <v>0</v>
      </c>
      <c r="Q577" s="227"/>
      <c r="R577" s="297">
        <f>CATEGORIAS[[#This Row],[PRODUCCION
ANTERIOR]]+CATEGORIAS[[#This Row],[PRODUCCION
ADICIONALES
ANTERIOR]]</f>
        <v>0</v>
      </c>
      <c r="S577" s="133">
        <v>0</v>
      </c>
      <c r="T577" s="298"/>
      <c r="U577" s="298"/>
      <c r="V577" s="296">
        <f>SUM(CATEGORIAS[[#This Row],[COSTO
ACUMULADO  AX]:[PROVISIONES]])</f>
        <v>0</v>
      </c>
      <c r="W577" s="298">
        <v>0</v>
      </c>
      <c r="X577" s="227"/>
      <c r="Y577" s="227"/>
      <c r="Z577" s="297">
        <f>SUM(CATEGORIAS[[#This Row],[COSTO ACUMULADO
ANTERIOR]:[PROVISIONES
ANTERIOR]])</f>
        <v>0</v>
      </c>
      <c r="AA577" s="299">
        <f>CATEGORIAS[[#This Row],[PRESUPUESTO
FINAL
PROYECTADO]]-CATEGORIAS[[#This Row],[TOTAL PRODUCCION
ACTUAL]]</f>
        <v>0</v>
      </c>
      <c r="AB577" s="227">
        <v>0</v>
      </c>
      <c r="AC577" s="132"/>
      <c r="AD577" s="227"/>
      <c r="AE577" s="226">
        <f>SUM(CATEGORIAS[[#This Row],[INVENTARIO]:[PROYECCION
DE COSTO
DEL SALDO]])</f>
        <v>0</v>
      </c>
      <c r="AF577" s="132"/>
      <c r="AG577" s="132">
        <f>+CATEGORIAS[[#This Row],[PRESUPUESTO
FINAL
PROYECTADO]]-CATEGORIAS[[#This Row],[COSTO REAL]]-CATEGORIAS[[#This Row],[PROYECCION
TOTAL DE COSTO]]</f>
        <v>0</v>
      </c>
    </row>
    <row r="578" spans="1:33" x14ac:dyDescent="0.25">
      <c r="A578" s="274" t="str">
        <f>+IFERROR(VLOOKUP(CATEGORIAS[[#This Row],[CATEGORIA2]],[1]HOMOLOGACION!$A$1:$I$571,9,FALSE),0)</f>
        <v>1Z03</v>
      </c>
      <c r="B578" s="274" t="str">
        <f>+IFERROR(VLOOKUP(CATEGORIAS[[#This Row],[CATEGORIA2]],[1]HOMOLOGACION!$A$1:$C$571,3,FALSE),0)</f>
        <v>1J03</v>
      </c>
      <c r="C578" s="274" t="str">
        <f>+IFERROR(VLOOKUP(CATEGORIAS[[#This Row],[CATEGORIA2]],[1]HOMOLOGACION!$A$1:$D$571,4,FALSE),0)</f>
        <v>Gastos Financieros</v>
      </c>
      <c r="D578" s="144" t="s">
        <v>2315</v>
      </c>
      <c r="E578" s="273" t="s">
        <v>2316</v>
      </c>
      <c r="F578" s="275" t="s">
        <v>361</v>
      </c>
      <c r="G578" s="313">
        <v>0</v>
      </c>
      <c r="H578" s="313">
        <v>0</v>
      </c>
      <c r="I578" s="130"/>
      <c r="J578" s="130"/>
      <c r="K578" s="130"/>
      <c r="L578" s="143">
        <f>CATEGORIAS[[#This Row],[ADICIONALES]]+CATEGORIAS[[#This Row],[POM]]</f>
        <v>0</v>
      </c>
      <c r="M578" s="131">
        <v>0</v>
      </c>
      <c r="N578" s="227">
        <v>0</v>
      </c>
      <c r="O578" s="141">
        <f>CATEGORIAS[[#This Row],[PRODUCCION
PARTIDAS
ORIGINALES
ACTUAL]]+CATEGORIAS[[#This Row],[PRODUCCION
ADICIONALES
ACTUAL]]</f>
        <v>0</v>
      </c>
      <c r="P578" s="227">
        <v>0</v>
      </c>
      <c r="Q578" s="227"/>
      <c r="R578" s="297">
        <f>CATEGORIAS[[#This Row],[PRODUCCION
ANTERIOR]]+CATEGORIAS[[#This Row],[PRODUCCION
ADICIONALES
ANTERIOR]]</f>
        <v>0</v>
      </c>
      <c r="S578" s="331">
        <v>0</v>
      </c>
      <c r="T578" s="298"/>
      <c r="U578" s="298"/>
      <c r="V578" s="296">
        <f>SUM(CATEGORIAS[[#This Row],[COSTO
ACUMULADO  AX]:[PROVISIONES]])</f>
        <v>0</v>
      </c>
      <c r="W578" s="298">
        <v>-473387</v>
      </c>
      <c r="X578" s="227">
        <v>473387</v>
      </c>
      <c r="Y578" s="227"/>
      <c r="Z578" s="297">
        <f>SUM(CATEGORIAS[[#This Row],[COSTO ACUMULADO
ANTERIOR]:[PROVISIONES
ANTERIOR]])</f>
        <v>0</v>
      </c>
      <c r="AA578" s="299">
        <f>CATEGORIAS[[#This Row],[PRESUPUESTO
FINAL
PROYECTADO]]-CATEGORIAS[[#This Row],[TOTAL PRODUCCION
ACTUAL]]</f>
        <v>0</v>
      </c>
      <c r="AB578" s="227">
        <v>0</v>
      </c>
      <c r="AC578" s="132"/>
      <c r="AD578" s="227"/>
      <c r="AE578" s="226">
        <f>SUM(CATEGORIAS[[#This Row],[INVENTARIO]:[PROYECCION
DE COSTO
DEL SALDO]])</f>
        <v>0</v>
      </c>
      <c r="AF578" s="132"/>
      <c r="AG578" s="132">
        <f>+CATEGORIAS[[#This Row],[PRESUPUESTO
FINAL
PROYECTADO]]-CATEGORIAS[[#This Row],[COSTO REAL]]-CATEGORIAS[[#This Row],[PROYECCION
TOTAL DE COSTO]]</f>
        <v>0</v>
      </c>
    </row>
    <row r="579" spans="1:33" x14ac:dyDescent="0.25">
      <c r="A579" s="274" t="str">
        <f>+IFERROR(VLOOKUP(CATEGORIAS[[#This Row],[CATEGORIA2]],[1]HOMOLOGACION!$A$1:$I$571,9,FALSE),0)</f>
        <v>1Z05</v>
      </c>
      <c r="B579" s="274" t="str">
        <f>+IFERROR(VLOOKUP(CATEGORIAS[[#This Row],[CATEGORIA2]],[1]HOMOLOGACION!$A$1:$C$571,3,FALSE),0)</f>
        <v>1J03</v>
      </c>
      <c r="C579" s="274" t="str">
        <f>+IFERROR(VLOOKUP(CATEGORIAS[[#This Row],[CATEGORIA2]],[1]HOMOLOGACION!$A$1:$D$571,4,FALSE),0)</f>
        <v>Gastos Financieros</v>
      </c>
      <c r="D579" s="144" t="s">
        <v>2317</v>
      </c>
      <c r="E579" s="273" t="s">
        <v>2318</v>
      </c>
      <c r="F579" s="275" t="s">
        <v>361</v>
      </c>
      <c r="G579" s="313">
        <v>0</v>
      </c>
      <c r="H579" s="313">
        <v>0</v>
      </c>
      <c r="I579" s="130"/>
      <c r="J579" s="130"/>
      <c r="K579" s="130"/>
      <c r="L579" s="143">
        <f>CATEGORIAS[[#This Row],[ADICIONALES]]+CATEGORIAS[[#This Row],[POM]]</f>
        <v>0</v>
      </c>
      <c r="M579" s="131">
        <v>0</v>
      </c>
      <c r="N579" s="227">
        <v>0</v>
      </c>
      <c r="O579" s="141">
        <f>CATEGORIAS[[#This Row],[PRODUCCION
PARTIDAS
ORIGINALES
ACTUAL]]+CATEGORIAS[[#This Row],[PRODUCCION
ADICIONALES
ACTUAL]]</f>
        <v>0</v>
      </c>
      <c r="P579" s="132">
        <v>0</v>
      </c>
      <c r="Q579" s="132"/>
      <c r="R579" s="140">
        <f>CATEGORIAS[[#This Row],[PRODUCCION
ANTERIOR]]+CATEGORIAS[[#This Row],[PRODUCCION
ADICIONALES
ANTERIOR]]</f>
        <v>0</v>
      </c>
      <c r="S579" s="331">
        <v>0</v>
      </c>
      <c r="T579" s="133"/>
      <c r="U579" s="298"/>
      <c r="V579" s="141">
        <f>SUM(CATEGORIAS[[#This Row],[COSTO
ACUMULADO  AX]:[PROVISIONES]])</f>
        <v>0</v>
      </c>
      <c r="W579" s="134">
        <v>-480154</v>
      </c>
      <c r="X579" s="132">
        <v>480154</v>
      </c>
      <c r="Y579" s="132"/>
      <c r="Z579" s="140">
        <f>SUM(CATEGORIAS[[#This Row],[COSTO ACUMULADO
ANTERIOR]:[PROVISIONES
ANTERIOR]])</f>
        <v>0</v>
      </c>
      <c r="AA579" s="139">
        <f>CATEGORIAS[[#This Row],[PRESUPUESTO
FINAL
PROYECTADO]]-CATEGORIAS[[#This Row],[TOTAL PRODUCCION
ACTUAL]]</f>
        <v>0</v>
      </c>
      <c r="AB579" s="227">
        <v>0</v>
      </c>
      <c r="AC579" s="132"/>
      <c r="AD579" s="227"/>
      <c r="AE579" s="137">
        <f>SUM(CATEGORIAS[[#This Row],[INVENTARIO]:[PROYECCION
DE COSTO
DEL SALDO]])</f>
        <v>0</v>
      </c>
      <c r="AF579" s="132"/>
      <c r="AG579" s="132">
        <f>+CATEGORIAS[[#This Row],[PRESUPUESTO
FINAL
PROYECTADO]]-CATEGORIAS[[#This Row],[COSTO REAL]]-CATEGORIAS[[#This Row],[PROYECCION
TOTAL DE COSTO]]</f>
        <v>0</v>
      </c>
    </row>
    <row r="580" spans="1:33" x14ac:dyDescent="0.25">
      <c r="A580" s="274" t="str">
        <f>+IFERROR(VLOOKUP(CATEGORIAS[[#This Row],[CATEGORIA2]],[1]HOMOLOGACION!$A$1:$I$571,9,FALSE),0)</f>
        <v>1Z05</v>
      </c>
      <c r="B580" s="274" t="str">
        <f>+IFERROR(VLOOKUP(CATEGORIAS[[#This Row],[CATEGORIA2]],[1]HOMOLOGACION!$A$1:$C$571,3,FALSE),0)</f>
        <v>1J03</v>
      </c>
      <c r="C580" s="274" t="str">
        <f>+IFERROR(VLOOKUP(CATEGORIAS[[#This Row],[CATEGORIA2]],[1]HOMOLOGACION!$A$1:$D$571,4,FALSE),0)</f>
        <v>Gastos Financieros</v>
      </c>
      <c r="D580" s="144" t="s">
        <v>2268</v>
      </c>
      <c r="E580" s="273" t="s">
        <v>2319</v>
      </c>
      <c r="F580" s="275" t="s">
        <v>361</v>
      </c>
      <c r="G580" s="313">
        <v>0</v>
      </c>
      <c r="H580" s="313">
        <v>0</v>
      </c>
      <c r="I580" s="130"/>
      <c r="J580" s="130"/>
      <c r="K580" s="130"/>
      <c r="L580" s="143">
        <f>CATEGORIAS[[#This Row],[ADICIONALES]]+CATEGORIAS[[#This Row],[POM]]</f>
        <v>0</v>
      </c>
      <c r="M580" s="131">
        <v>0</v>
      </c>
      <c r="N580" s="227">
        <v>0</v>
      </c>
      <c r="O580" s="141">
        <f>CATEGORIAS[[#This Row],[PRODUCCION
PARTIDAS
ORIGINALES
ACTUAL]]+CATEGORIAS[[#This Row],[PRODUCCION
ADICIONALES
ACTUAL]]</f>
        <v>0</v>
      </c>
      <c r="P580" s="227">
        <v>0</v>
      </c>
      <c r="Q580" s="227"/>
      <c r="R580" s="297">
        <f>CATEGORIAS[[#This Row],[PRODUCCION
ANTERIOR]]+CATEGORIAS[[#This Row],[PRODUCCION
ADICIONALES
ANTERIOR]]</f>
        <v>0</v>
      </c>
      <c r="S580" s="331">
        <v>0</v>
      </c>
      <c r="T580" s="298"/>
      <c r="U580" s="298"/>
      <c r="V580" s="296">
        <f>SUM(CATEGORIAS[[#This Row],[COSTO
ACUMULADO  AX]:[PROVISIONES]])</f>
        <v>0</v>
      </c>
      <c r="W580" s="298">
        <v>0</v>
      </c>
      <c r="X580" s="227"/>
      <c r="Y580" s="227"/>
      <c r="Z580" s="297">
        <f>SUM(CATEGORIAS[[#This Row],[COSTO ACUMULADO
ANTERIOR]:[PROVISIONES
ANTERIOR]])</f>
        <v>0</v>
      </c>
      <c r="AA580" s="299">
        <f>CATEGORIAS[[#This Row],[PRESUPUESTO
FINAL
PROYECTADO]]-CATEGORIAS[[#This Row],[TOTAL PRODUCCION
ACTUAL]]</f>
        <v>0</v>
      </c>
      <c r="AB580" s="227">
        <v>0</v>
      </c>
      <c r="AC580" s="132"/>
      <c r="AD580" s="227"/>
      <c r="AE580" s="226">
        <f>SUM(CATEGORIAS[[#This Row],[INVENTARIO]:[PROYECCION
DE COSTO
DEL SALDO]])</f>
        <v>0</v>
      </c>
      <c r="AF580" s="132"/>
      <c r="AG580" s="132">
        <f>+CATEGORIAS[[#This Row],[PRESUPUESTO
FINAL
PROYECTADO]]-CATEGORIAS[[#This Row],[COSTO REAL]]-CATEGORIAS[[#This Row],[PROYECCION
TOTAL DE COSTO]]</f>
        <v>0</v>
      </c>
    </row>
    <row r="581" spans="1:33" x14ac:dyDescent="0.25">
      <c r="A581" s="274" t="str">
        <f>+IFERROR(VLOOKUP(CATEGORIAS[[#This Row],[CATEGORIA2]],[1]HOMOLOGACION!$A$1:$I$571,9,FALSE),0)</f>
        <v>1K01</v>
      </c>
      <c r="B581" s="274" t="str">
        <f>+IFERROR(VLOOKUP(CATEGORIAS[[#This Row],[CATEGORIA2]],[1]HOMOLOGACION!$A$1:$C$571,3,FALSE),0)</f>
        <v>1K01</v>
      </c>
      <c r="C581" s="274" t="str">
        <f>+IFERROR(VLOOKUP(CATEGORIAS[[#This Row],[CATEGORIA2]],[1]HOMOLOGACION!$A$1:$D$571,4,FALSE),0)</f>
        <v xml:space="preserve">Oficina Central </v>
      </c>
      <c r="D581" s="144" t="s">
        <v>2269</v>
      </c>
      <c r="E581" s="273" t="s">
        <v>1422</v>
      </c>
      <c r="F581" s="275" t="s">
        <v>361</v>
      </c>
      <c r="G581" s="313">
        <v>0</v>
      </c>
      <c r="H581" s="313">
        <v>0</v>
      </c>
      <c r="I581" s="130"/>
      <c r="J581" s="130"/>
      <c r="K581" s="130"/>
      <c r="L581" s="143">
        <f>CATEGORIAS[[#This Row],[ADICIONALES]]+CATEGORIAS[[#This Row],[POM]]</f>
        <v>0</v>
      </c>
      <c r="M581" s="131">
        <v>0</v>
      </c>
      <c r="N581" s="227">
        <v>0</v>
      </c>
      <c r="O581" s="141">
        <f>CATEGORIAS[[#This Row],[PRODUCCION
PARTIDAS
ORIGINALES
ACTUAL]]+CATEGORIAS[[#This Row],[PRODUCCION
ADICIONALES
ACTUAL]]</f>
        <v>0</v>
      </c>
      <c r="P581" s="132">
        <v>0</v>
      </c>
      <c r="Q581" s="227"/>
      <c r="R581" s="140">
        <f>CATEGORIAS[[#This Row],[PRODUCCION
ANTERIOR]]+CATEGORIAS[[#This Row],[PRODUCCION
ADICIONALES
ANTERIOR]]</f>
        <v>0</v>
      </c>
      <c r="S581" s="133">
        <v>0</v>
      </c>
      <c r="T581" s="133"/>
      <c r="U581" s="298"/>
      <c r="V581" s="141">
        <f>SUM(CATEGORIAS[[#This Row],[COSTO
ACUMULADO  AX]:[PROVISIONES]])</f>
        <v>0</v>
      </c>
      <c r="W581" s="134">
        <v>0</v>
      </c>
      <c r="X581" s="132"/>
      <c r="Y581" s="132"/>
      <c r="Z581" s="140">
        <f>SUM(CATEGORIAS[[#This Row],[COSTO ACUMULADO
ANTERIOR]:[PROVISIONES
ANTERIOR]])</f>
        <v>0</v>
      </c>
      <c r="AA581" s="139">
        <f>CATEGORIAS[[#This Row],[PRESUPUESTO
FINAL
PROYECTADO]]-CATEGORIAS[[#This Row],[TOTAL PRODUCCION
ACTUAL]]</f>
        <v>0</v>
      </c>
      <c r="AB581" s="227"/>
      <c r="AC581" s="132"/>
      <c r="AD581" s="227"/>
      <c r="AE581" s="137">
        <f>SUM(CATEGORIAS[[#This Row],[INVENTARIO]:[PROYECCION
DE COSTO
DEL SALDO]])</f>
        <v>0</v>
      </c>
      <c r="AF581" s="132"/>
      <c r="AG581" s="132">
        <f>+CATEGORIAS[[#This Row],[PRESUPUESTO
FINAL
PROYECTADO]]-CATEGORIAS[[#This Row],[COSTO REAL]]-CATEGORIAS[[#This Row],[PROYECCION
TOTAL DE COSTO]]</f>
        <v>0</v>
      </c>
    </row>
    <row r="582" spans="1:33" x14ac:dyDescent="0.25">
      <c r="A582" s="274" t="str">
        <f>+IFERROR(VLOOKUP(CATEGORIAS[[#This Row],[CATEGORIA2]],[1]HOMOLOGACION!$A$1:$I$571,9,FALSE),0)</f>
        <v>1K01</v>
      </c>
      <c r="B582" s="274" t="str">
        <f>+IFERROR(VLOOKUP(CATEGORIAS[[#This Row],[CATEGORIA2]],[1]HOMOLOGACION!$A$1:$C$571,3,FALSE),0)</f>
        <v>1K01</v>
      </c>
      <c r="C582" s="274" t="str">
        <f>+IFERROR(VLOOKUP(CATEGORIAS[[#This Row],[CATEGORIA2]],[1]HOMOLOGACION!$A$1:$D$571,4,FALSE),0)</f>
        <v xml:space="preserve">Oficina Central </v>
      </c>
      <c r="D582" s="144" t="s">
        <v>2303</v>
      </c>
      <c r="E582" s="273" t="s">
        <v>1424</v>
      </c>
      <c r="F582" s="275" t="s">
        <v>361</v>
      </c>
      <c r="G582" s="313">
        <v>0</v>
      </c>
      <c r="H582" s="313">
        <v>0</v>
      </c>
      <c r="I582" s="130"/>
      <c r="J582" s="130"/>
      <c r="K582" s="130"/>
      <c r="L582" s="143">
        <f>CATEGORIAS[[#This Row],[ADICIONALES]]+CATEGORIAS[[#This Row],[POM]]</f>
        <v>0</v>
      </c>
      <c r="M582" s="131">
        <v>0</v>
      </c>
      <c r="N582" s="227">
        <v>0</v>
      </c>
      <c r="O582" s="141">
        <f>CATEGORIAS[[#This Row],[PRODUCCION
PARTIDAS
ORIGINALES
ACTUAL]]+CATEGORIAS[[#This Row],[PRODUCCION
ADICIONALES
ACTUAL]]</f>
        <v>0</v>
      </c>
      <c r="P582" s="227">
        <v>0</v>
      </c>
      <c r="Q582" s="227"/>
      <c r="R582" s="297">
        <f>CATEGORIAS[[#This Row],[PRODUCCION
ANTERIOR]]+CATEGORIAS[[#This Row],[PRODUCCION
ADICIONALES
ANTERIOR]]</f>
        <v>0</v>
      </c>
      <c r="S582" s="133">
        <v>0</v>
      </c>
      <c r="T582" s="298"/>
      <c r="U582" s="298"/>
      <c r="V582" s="296">
        <f>SUM(CATEGORIAS[[#This Row],[COSTO
ACUMULADO  AX]:[PROVISIONES]])</f>
        <v>0</v>
      </c>
      <c r="W582" s="298">
        <v>0</v>
      </c>
      <c r="X582" s="227"/>
      <c r="Y582" s="227"/>
      <c r="Z582" s="297">
        <f>SUM(CATEGORIAS[[#This Row],[COSTO ACUMULADO
ANTERIOR]:[PROVISIONES
ANTERIOR]])</f>
        <v>0</v>
      </c>
      <c r="AA582" s="299">
        <f>CATEGORIAS[[#This Row],[PRESUPUESTO
FINAL
PROYECTADO]]-CATEGORIAS[[#This Row],[TOTAL PRODUCCION
ACTUAL]]</f>
        <v>0</v>
      </c>
      <c r="AB582" s="227"/>
      <c r="AC582" s="132"/>
      <c r="AD582" s="227"/>
      <c r="AE582" s="226">
        <f>SUM(CATEGORIAS[[#This Row],[INVENTARIO]:[PROYECCION
DE COSTO
DEL SALDO]])</f>
        <v>0</v>
      </c>
      <c r="AF582" s="132"/>
      <c r="AG582" s="132">
        <f>+CATEGORIAS[[#This Row],[PRESUPUESTO
FINAL
PROYECTADO]]-CATEGORIAS[[#This Row],[COSTO REAL]]-CATEGORIAS[[#This Row],[PROYECCION
TOTAL DE COSTO]]</f>
        <v>0</v>
      </c>
    </row>
    <row r="583" spans="1:33" x14ac:dyDescent="0.25">
      <c r="A583" s="274" t="str">
        <f>+IFERROR(VLOOKUP(CATEGORIAS[[#This Row],[CATEGORIA2]],[1]HOMOLOGACION!$A$1:$I$571,9,FALSE),0)</f>
        <v>1K01</v>
      </c>
      <c r="B583" s="274" t="str">
        <f>+IFERROR(VLOOKUP(CATEGORIAS[[#This Row],[CATEGORIA2]],[1]HOMOLOGACION!$A$1:$C$571,3,FALSE),0)</f>
        <v>1K01</v>
      </c>
      <c r="C583" s="274" t="str">
        <f>+IFERROR(VLOOKUP(CATEGORIAS[[#This Row],[CATEGORIA2]],[1]HOMOLOGACION!$A$1:$D$571,4,FALSE),0)</f>
        <v xml:space="preserve">Oficina Central </v>
      </c>
      <c r="D583" s="144" t="s">
        <v>2304</v>
      </c>
      <c r="E583" s="273" t="s">
        <v>1428</v>
      </c>
      <c r="F583" s="275" t="s">
        <v>361</v>
      </c>
      <c r="G583" s="313">
        <v>0</v>
      </c>
      <c r="H583" s="313">
        <v>0</v>
      </c>
      <c r="I583" s="130"/>
      <c r="J583" s="130"/>
      <c r="K583" s="130"/>
      <c r="L583" s="143">
        <f>CATEGORIAS[[#This Row],[ADICIONALES]]+CATEGORIAS[[#This Row],[POM]]</f>
        <v>0</v>
      </c>
      <c r="M583" s="131">
        <v>0</v>
      </c>
      <c r="N583" s="227">
        <v>0</v>
      </c>
      <c r="O583" s="141">
        <f>CATEGORIAS[[#This Row],[PRODUCCION
PARTIDAS
ORIGINALES
ACTUAL]]+CATEGORIAS[[#This Row],[PRODUCCION
ADICIONALES
ACTUAL]]</f>
        <v>0</v>
      </c>
      <c r="P583" s="227">
        <v>0</v>
      </c>
      <c r="Q583" s="227"/>
      <c r="R583" s="297">
        <f>CATEGORIAS[[#This Row],[PRODUCCION
ANTERIOR]]+CATEGORIAS[[#This Row],[PRODUCCION
ADICIONALES
ANTERIOR]]</f>
        <v>0</v>
      </c>
      <c r="S583" s="133">
        <v>0</v>
      </c>
      <c r="T583" s="298"/>
      <c r="U583" s="298"/>
      <c r="V583" s="296">
        <f>SUM(CATEGORIAS[[#This Row],[COSTO
ACUMULADO  AX]:[PROVISIONES]])</f>
        <v>0</v>
      </c>
      <c r="W583" s="298">
        <v>0</v>
      </c>
      <c r="X583" s="227"/>
      <c r="Y583" s="227"/>
      <c r="Z583" s="297">
        <f>SUM(CATEGORIAS[[#This Row],[COSTO ACUMULADO
ANTERIOR]:[PROVISIONES
ANTERIOR]])</f>
        <v>0</v>
      </c>
      <c r="AA583" s="299">
        <f>CATEGORIAS[[#This Row],[PRESUPUESTO
FINAL
PROYECTADO]]-CATEGORIAS[[#This Row],[TOTAL PRODUCCION
ACTUAL]]</f>
        <v>0</v>
      </c>
      <c r="AB583" s="227"/>
      <c r="AC583" s="132"/>
      <c r="AD583" s="227"/>
      <c r="AE583" s="226">
        <f>SUM(CATEGORIAS[[#This Row],[INVENTARIO]:[PROYECCION
DE COSTO
DEL SALDO]])</f>
        <v>0</v>
      </c>
      <c r="AF583" s="132"/>
      <c r="AG583" s="132">
        <f>+CATEGORIAS[[#This Row],[PRESUPUESTO
FINAL
PROYECTADO]]-CATEGORIAS[[#This Row],[COSTO REAL]]-CATEGORIAS[[#This Row],[PROYECCION
TOTAL DE COSTO]]</f>
        <v>0</v>
      </c>
    </row>
    <row r="584" spans="1:33" x14ac:dyDescent="0.25">
      <c r="A584" s="274" t="str">
        <f>+IFERROR(VLOOKUP(CATEGORIAS[[#This Row],[CATEGORIA2]],[1]HOMOLOGACION!$A$1:$I$571,9,FALSE),0)</f>
        <v>1K01</v>
      </c>
      <c r="B584" s="274" t="str">
        <f>+IFERROR(VLOOKUP(CATEGORIAS[[#This Row],[CATEGORIA2]],[1]HOMOLOGACION!$A$1:$C$571,3,FALSE),0)</f>
        <v>1K01</v>
      </c>
      <c r="C584" s="274" t="str">
        <f>+IFERROR(VLOOKUP(CATEGORIAS[[#This Row],[CATEGORIA2]],[1]HOMOLOGACION!$A$1:$D$571,4,FALSE),0)</f>
        <v xml:space="preserve">Oficina Central </v>
      </c>
      <c r="D584" s="144" t="s">
        <v>2305</v>
      </c>
      <c r="E584" s="273" t="s">
        <v>1423</v>
      </c>
      <c r="F584" s="275" t="s">
        <v>361</v>
      </c>
      <c r="G584" s="313">
        <v>0</v>
      </c>
      <c r="H584" s="313">
        <v>0</v>
      </c>
      <c r="I584" s="130"/>
      <c r="J584" s="130"/>
      <c r="K584" s="130"/>
      <c r="L584" s="143">
        <f>CATEGORIAS[[#This Row],[ADICIONALES]]+CATEGORIAS[[#This Row],[POM]]</f>
        <v>0</v>
      </c>
      <c r="M584" s="131">
        <v>0</v>
      </c>
      <c r="N584" s="227">
        <v>0</v>
      </c>
      <c r="O584" s="141">
        <f>CATEGORIAS[[#This Row],[PRODUCCION
PARTIDAS
ORIGINALES
ACTUAL]]+CATEGORIAS[[#This Row],[PRODUCCION
ADICIONALES
ACTUAL]]</f>
        <v>0</v>
      </c>
      <c r="P584" s="227">
        <v>0</v>
      </c>
      <c r="Q584" s="227"/>
      <c r="R584" s="297">
        <f>CATEGORIAS[[#This Row],[PRODUCCION
ANTERIOR]]+CATEGORIAS[[#This Row],[PRODUCCION
ADICIONALES
ANTERIOR]]</f>
        <v>0</v>
      </c>
      <c r="S584" s="133">
        <v>0</v>
      </c>
      <c r="T584" s="298"/>
      <c r="U584" s="298"/>
      <c r="V584" s="296">
        <f>SUM(CATEGORIAS[[#This Row],[COSTO
ACUMULADO  AX]:[PROVISIONES]])</f>
        <v>0</v>
      </c>
      <c r="W584" s="298">
        <v>0</v>
      </c>
      <c r="X584" s="227"/>
      <c r="Y584" s="227"/>
      <c r="Z584" s="297">
        <f>SUM(CATEGORIAS[[#This Row],[COSTO ACUMULADO
ANTERIOR]:[PROVISIONES
ANTERIOR]])</f>
        <v>0</v>
      </c>
      <c r="AA584" s="299">
        <f>CATEGORIAS[[#This Row],[PRESUPUESTO
FINAL
PROYECTADO]]-CATEGORIAS[[#This Row],[TOTAL PRODUCCION
ACTUAL]]</f>
        <v>0</v>
      </c>
      <c r="AB584" s="227"/>
      <c r="AC584" s="132"/>
      <c r="AD584" s="227"/>
      <c r="AE584" s="226">
        <f>SUM(CATEGORIAS[[#This Row],[INVENTARIO]:[PROYECCION
DE COSTO
DEL SALDO]])</f>
        <v>0</v>
      </c>
      <c r="AF584" s="132"/>
      <c r="AG584" s="132">
        <f>+CATEGORIAS[[#This Row],[PRESUPUESTO
FINAL
PROYECTADO]]-CATEGORIAS[[#This Row],[COSTO REAL]]-CATEGORIAS[[#This Row],[PROYECCION
TOTAL DE COSTO]]</f>
        <v>0</v>
      </c>
    </row>
    <row r="585" spans="1:33" x14ac:dyDescent="0.25">
      <c r="A585" s="274" t="str">
        <f>+IFERROR(VLOOKUP(CATEGORIAS[[#This Row],[CATEGORIA2]],[1]HOMOLOGACION!$A$1:$I$571,9,FALSE),0)</f>
        <v>1K01</v>
      </c>
      <c r="B585" s="274" t="str">
        <f>+IFERROR(VLOOKUP(CATEGORIAS[[#This Row],[CATEGORIA2]],[1]HOMOLOGACION!$A$1:$C$571,3,FALSE),0)</f>
        <v>1K01</v>
      </c>
      <c r="C585" s="274" t="str">
        <f>+IFERROR(VLOOKUP(CATEGORIAS[[#This Row],[CATEGORIA2]],[1]HOMOLOGACION!$A$1:$D$571,4,FALSE),0)</f>
        <v xml:space="preserve">Oficina Central </v>
      </c>
      <c r="D585" s="144" t="s">
        <v>2306</v>
      </c>
      <c r="E585" s="273" t="s">
        <v>2320</v>
      </c>
      <c r="F585" s="275" t="s">
        <v>361</v>
      </c>
      <c r="G585" s="313">
        <v>0</v>
      </c>
      <c r="H585" s="313">
        <v>0</v>
      </c>
      <c r="I585" s="130"/>
      <c r="J585" s="130"/>
      <c r="K585" s="130"/>
      <c r="L585" s="143">
        <f>CATEGORIAS[[#This Row],[ADICIONALES]]+CATEGORIAS[[#This Row],[POM]]</f>
        <v>0</v>
      </c>
      <c r="M585" s="131">
        <v>0</v>
      </c>
      <c r="N585" s="227">
        <v>0</v>
      </c>
      <c r="O585" s="141">
        <f>CATEGORIAS[[#This Row],[PRODUCCION
PARTIDAS
ORIGINALES
ACTUAL]]+CATEGORIAS[[#This Row],[PRODUCCION
ADICIONALES
ACTUAL]]</f>
        <v>0</v>
      </c>
      <c r="P585" s="227">
        <v>0</v>
      </c>
      <c r="Q585" s="227"/>
      <c r="R585" s="297">
        <f>CATEGORIAS[[#This Row],[PRODUCCION
ANTERIOR]]+CATEGORIAS[[#This Row],[PRODUCCION
ADICIONALES
ANTERIOR]]</f>
        <v>0</v>
      </c>
      <c r="S585" s="133">
        <v>0</v>
      </c>
      <c r="T585" s="298"/>
      <c r="U585" s="298"/>
      <c r="V585" s="296">
        <f>SUM(CATEGORIAS[[#This Row],[COSTO
ACUMULADO  AX]:[PROVISIONES]])</f>
        <v>0</v>
      </c>
      <c r="W585" s="298">
        <v>0</v>
      </c>
      <c r="X585" s="227"/>
      <c r="Y585" s="227"/>
      <c r="Z585" s="297">
        <f>SUM(CATEGORIAS[[#This Row],[COSTO ACUMULADO
ANTERIOR]:[PROVISIONES
ANTERIOR]])</f>
        <v>0</v>
      </c>
      <c r="AA585" s="299">
        <f>CATEGORIAS[[#This Row],[PRESUPUESTO
FINAL
PROYECTADO]]-CATEGORIAS[[#This Row],[TOTAL PRODUCCION
ACTUAL]]</f>
        <v>0</v>
      </c>
      <c r="AB585" s="227"/>
      <c r="AC585" s="132"/>
      <c r="AD585" s="227"/>
      <c r="AE585" s="226">
        <f>SUM(CATEGORIAS[[#This Row],[INVENTARIO]:[PROYECCION
DE COSTO
DEL SALDO]])</f>
        <v>0</v>
      </c>
      <c r="AF585" s="132"/>
      <c r="AG585" s="132">
        <f>+CATEGORIAS[[#This Row],[PRESUPUESTO
FINAL
PROYECTADO]]-CATEGORIAS[[#This Row],[COSTO REAL]]-CATEGORIAS[[#This Row],[PROYECCION
TOTAL DE COSTO]]</f>
        <v>0</v>
      </c>
    </row>
    <row r="586" spans="1:33" x14ac:dyDescent="0.25">
      <c r="A586" s="274" t="str">
        <f>+IFERROR(VLOOKUP(CATEGORIAS[[#This Row],[CATEGORIA2]],[1]HOMOLOGACION!$A$1:$I$571,9,FALSE),0)</f>
        <v>1K01</v>
      </c>
      <c r="B586" s="274" t="str">
        <f>+IFERROR(VLOOKUP(CATEGORIAS[[#This Row],[CATEGORIA2]],[1]HOMOLOGACION!$A$1:$C$571,3,FALSE),0)</f>
        <v>1K01</v>
      </c>
      <c r="C586" s="274" t="str">
        <f>+IFERROR(VLOOKUP(CATEGORIAS[[#This Row],[CATEGORIA2]],[1]HOMOLOGACION!$A$1:$D$571,4,FALSE),0)</f>
        <v xml:space="preserve">Oficina Central </v>
      </c>
      <c r="D586" s="144" t="s">
        <v>2307</v>
      </c>
      <c r="E586" s="273" t="s">
        <v>1425</v>
      </c>
      <c r="F586" s="275" t="s">
        <v>361</v>
      </c>
      <c r="G586" s="313">
        <v>0</v>
      </c>
      <c r="H586" s="313">
        <v>0</v>
      </c>
      <c r="I586" s="130"/>
      <c r="J586" s="130"/>
      <c r="K586" s="130"/>
      <c r="L586" s="143">
        <f>CATEGORIAS[[#This Row],[ADICIONALES]]+CATEGORIAS[[#This Row],[POM]]</f>
        <v>0</v>
      </c>
      <c r="M586" s="131">
        <v>0</v>
      </c>
      <c r="N586" s="227">
        <v>0</v>
      </c>
      <c r="O586" s="141">
        <f>CATEGORIAS[[#This Row],[PRODUCCION
PARTIDAS
ORIGINALES
ACTUAL]]+CATEGORIAS[[#This Row],[PRODUCCION
ADICIONALES
ACTUAL]]</f>
        <v>0</v>
      </c>
      <c r="P586" s="227">
        <v>0</v>
      </c>
      <c r="Q586" s="227"/>
      <c r="R586" s="297">
        <f>CATEGORIAS[[#This Row],[PRODUCCION
ANTERIOR]]+CATEGORIAS[[#This Row],[PRODUCCION
ADICIONALES
ANTERIOR]]</f>
        <v>0</v>
      </c>
      <c r="S586" s="133">
        <v>0</v>
      </c>
      <c r="T586" s="298"/>
      <c r="U586" s="298"/>
      <c r="V586" s="296">
        <f>SUM(CATEGORIAS[[#This Row],[COSTO
ACUMULADO  AX]:[PROVISIONES]])</f>
        <v>0</v>
      </c>
      <c r="W586" s="298">
        <v>0</v>
      </c>
      <c r="X586" s="227"/>
      <c r="Y586" s="227"/>
      <c r="Z586" s="297">
        <f>SUM(CATEGORIAS[[#This Row],[COSTO ACUMULADO
ANTERIOR]:[PROVISIONES
ANTERIOR]])</f>
        <v>0</v>
      </c>
      <c r="AA586" s="299">
        <f>CATEGORIAS[[#This Row],[PRESUPUESTO
FINAL
PROYECTADO]]-CATEGORIAS[[#This Row],[TOTAL PRODUCCION
ACTUAL]]</f>
        <v>0</v>
      </c>
      <c r="AB586" s="227"/>
      <c r="AC586" s="132"/>
      <c r="AD586" s="227"/>
      <c r="AE586" s="226">
        <f>SUM(CATEGORIAS[[#This Row],[INVENTARIO]:[PROYECCION
DE COSTO
DEL SALDO]])</f>
        <v>0</v>
      </c>
      <c r="AF586" s="132"/>
      <c r="AG586" s="132">
        <f>+CATEGORIAS[[#This Row],[PRESUPUESTO
FINAL
PROYECTADO]]-CATEGORIAS[[#This Row],[COSTO REAL]]-CATEGORIAS[[#This Row],[PROYECCION
TOTAL DE COSTO]]</f>
        <v>0</v>
      </c>
    </row>
    <row r="587" spans="1:33" x14ac:dyDescent="0.25">
      <c r="A587" s="274" t="str">
        <f>+IFERROR(VLOOKUP(CATEGORIAS[[#This Row],[CATEGORIA2]],[1]HOMOLOGACION!$A$1:$I$571,9,FALSE),0)</f>
        <v>1K01</v>
      </c>
      <c r="B587" s="274" t="str">
        <f>+IFERROR(VLOOKUP(CATEGORIAS[[#This Row],[CATEGORIA2]],[1]HOMOLOGACION!$A$1:$C$571,3,FALSE),0)</f>
        <v>1K01</v>
      </c>
      <c r="C587" s="274" t="str">
        <f>+IFERROR(VLOOKUP(CATEGORIAS[[#This Row],[CATEGORIA2]],[1]HOMOLOGACION!$A$1:$D$571,4,FALSE),0)</f>
        <v xml:space="preserve">Oficina Central </v>
      </c>
      <c r="D587" s="144" t="s">
        <v>2308</v>
      </c>
      <c r="E587" s="273" t="s">
        <v>1426</v>
      </c>
      <c r="F587" s="275" t="s">
        <v>361</v>
      </c>
      <c r="G587" s="313">
        <v>0</v>
      </c>
      <c r="H587" s="313">
        <v>0</v>
      </c>
      <c r="I587" s="130"/>
      <c r="J587" s="130"/>
      <c r="K587" s="130"/>
      <c r="L587" s="143">
        <f>CATEGORIAS[[#This Row],[ADICIONALES]]+CATEGORIAS[[#This Row],[POM]]</f>
        <v>0</v>
      </c>
      <c r="M587" s="131">
        <v>0</v>
      </c>
      <c r="N587" s="227">
        <v>0</v>
      </c>
      <c r="O587" s="141">
        <f>CATEGORIAS[[#This Row],[PRODUCCION
PARTIDAS
ORIGINALES
ACTUAL]]+CATEGORIAS[[#This Row],[PRODUCCION
ADICIONALES
ACTUAL]]</f>
        <v>0</v>
      </c>
      <c r="P587" s="227">
        <v>0</v>
      </c>
      <c r="Q587" s="227"/>
      <c r="R587" s="297">
        <f>CATEGORIAS[[#This Row],[PRODUCCION
ANTERIOR]]+CATEGORIAS[[#This Row],[PRODUCCION
ADICIONALES
ANTERIOR]]</f>
        <v>0</v>
      </c>
      <c r="S587" s="133">
        <v>0</v>
      </c>
      <c r="T587" s="298"/>
      <c r="U587" s="298"/>
      <c r="V587" s="296">
        <f>SUM(CATEGORIAS[[#This Row],[COSTO
ACUMULADO  AX]:[PROVISIONES]])</f>
        <v>0</v>
      </c>
      <c r="W587" s="298">
        <v>0</v>
      </c>
      <c r="X587" s="227"/>
      <c r="Y587" s="227"/>
      <c r="Z587" s="297">
        <f>SUM(CATEGORIAS[[#This Row],[COSTO ACUMULADO
ANTERIOR]:[PROVISIONES
ANTERIOR]])</f>
        <v>0</v>
      </c>
      <c r="AA587" s="299">
        <f>CATEGORIAS[[#This Row],[PRESUPUESTO
FINAL
PROYECTADO]]-CATEGORIAS[[#This Row],[TOTAL PRODUCCION
ACTUAL]]</f>
        <v>0</v>
      </c>
      <c r="AB587" s="227"/>
      <c r="AC587" s="132"/>
      <c r="AD587" s="227"/>
      <c r="AE587" s="226">
        <f>SUM(CATEGORIAS[[#This Row],[INVENTARIO]:[PROYECCION
DE COSTO
DEL SALDO]])</f>
        <v>0</v>
      </c>
      <c r="AF587" s="132"/>
      <c r="AG587" s="132">
        <f>+CATEGORIAS[[#This Row],[PRESUPUESTO
FINAL
PROYECTADO]]-CATEGORIAS[[#This Row],[COSTO REAL]]-CATEGORIAS[[#This Row],[PROYECCION
TOTAL DE COSTO]]</f>
        <v>0</v>
      </c>
    </row>
    <row r="588" spans="1:33" x14ac:dyDescent="0.25">
      <c r="A588" s="274" t="str">
        <f>+IFERROR(VLOOKUP(CATEGORIAS[[#This Row],[CATEGORIA2]],[1]HOMOLOGACION!$A$1:$I$571,9,FALSE),0)</f>
        <v>1K01</v>
      </c>
      <c r="B588" s="274" t="str">
        <f>+IFERROR(VLOOKUP(CATEGORIAS[[#This Row],[CATEGORIA2]],[1]HOMOLOGACION!$A$1:$C$571,3,FALSE),0)</f>
        <v>1K01</v>
      </c>
      <c r="C588" s="274" t="str">
        <f>+IFERROR(VLOOKUP(CATEGORIAS[[#This Row],[CATEGORIA2]],[1]HOMOLOGACION!$A$1:$D$571,4,FALSE),0)</f>
        <v xml:space="preserve">Oficina Central </v>
      </c>
      <c r="D588" s="144" t="s">
        <v>2321</v>
      </c>
      <c r="E588" s="273" t="s">
        <v>1427</v>
      </c>
      <c r="F588" s="275" t="s">
        <v>361</v>
      </c>
      <c r="G588" s="313">
        <v>0</v>
      </c>
      <c r="H588" s="313">
        <v>0</v>
      </c>
      <c r="I588" s="130"/>
      <c r="J588" s="130"/>
      <c r="K588" s="130"/>
      <c r="L588" s="143">
        <f>CATEGORIAS[[#This Row],[ADICIONALES]]+CATEGORIAS[[#This Row],[POM]]</f>
        <v>0</v>
      </c>
      <c r="M588" s="131">
        <v>0</v>
      </c>
      <c r="N588" s="227">
        <v>0</v>
      </c>
      <c r="O588" s="141">
        <f>CATEGORIAS[[#This Row],[PRODUCCION
PARTIDAS
ORIGINALES
ACTUAL]]+CATEGORIAS[[#This Row],[PRODUCCION
ADICIONALES
ACTUAL]]</f>
        <v>0</v>
      </c>
      <c r="P588" s="227">
        <v>0</v>
      </c>
      <c r="Q588" s="227"/>
      <c r="R588" s="297">
        <f>CATEGORIAS[[#This Row],[PRODUCCION
ANTERIOR]]+CATEGORIAS[[#This Row],[PRODUCCION
ADICIONALES
ANTERIOR]]</f>
        <v>0</v>
      </c>
      <c r="S588" s="133">
        <v>0</v>
      </c>
      <c r="T588" s="298"/>
      <c r="U588" s="298"/>
      <c r="V588" s="296">
        <f>SUM(CATEGORIAS[[#This Row],[COSTO
ACUMULADO  AX]:[PROVISIONES]])</f>
        <v>0</v>
      </c>
      <c r="W588" s="298">
        <v>0</v>
      </c>
      <c r="X588" s="227"/>
      <c r="Y588" s="227"/>
      <c r="Z588" s="297">
        <f>SUM(CATEGORIAS[[#This Row],[COSTO ACUMULADO
ANTERIOR]:[PROVISIONES
ANTERIOR]])</f>
        <v>0</v>
      </c>
      <c r="AA588" s="299">
        <f>CATEGORIAS[[#This Row],[PRESUPUESTO
FINAL
PROYECTADO]]-CATEGORIAS[[#This Row],[TOTAL PRODUCCION
ACTUAL]]</f>
        <v>0</v>
      </c>
      <c r="AB588" s="227"/>
      <c r="AC588" s="132"/>
      <c r="AD588" s="227"/>
      <c r="AE588" s="226">
        <f>SUM(CATEGORIAS[[#This Row],[INVENTARIO]:[PROYECCION
DE COSTO
DEL SALDO]])</f>
        <v>0</v>
      </c>
      <c r="AF588" s="132"/>
      <c r="AG588" s="132">
        <f>+CATEGORIAS[[#This Row],[PRESUPUESTO
FINAL
PROYECTADO]]-CATEGORIAS[[#This Row],[COSTO REAL]]-CATEGORIAS[[#This Row],[PROYECCION
TOTAL DE COSTO]]</f>
        <v>0</v>
      </c>
    </row>
    <row r="589" spans="1:33" x14ac:dyDescent="0.25">
      <c r="A589" s="274">
        <f>+IFERROR(VLOOKUP(CATEGORIAS[[#This Row],[CATEGORIA2]],[1]HOMOLOGACION!$A$1:$I$571,9,FALSE),0)</f>
        <v>0</v>
      </c>
      <c r="B589" s="274">
        <f>+IFERROR(VLOOKUP(CATEGORIAS[[#This Row],[CATEGORIA2]],[1]HOMOLOGACION!$A$1:$C$571,3,FALSE),0)</f>
        <v>0</v>
      </c>
      <c r="C589" s="274">
        <f>+IFERROR(VLOOKUP(CATEGORIAS[[#This Row],[CATEGORIA2]],[1]HOMOLOGACION!$A$1:$D$571,4,FALSE),0)</f>
        <v>0</v>
      </c>
      <c r="D589" s="144" t="s">
        <v>2359</v>
      </c>
      <c r="E589" s="273" t="s">
        <v>2360</v>
      </c>
      <c r="F589" s="275" t="s">
        <v>361</v>
      </c>
      <c r="G589" s="313">
        <v>0</v>
      </c>
      <c r="H589" s="313">
        <v>0</v>
      </c>
      <c r="I589" s="130"/>
      <c r="J589" s="130"/>
      <c r="K589" s="130"/>
      <c r="L589" s="143">
        <f>CATEGORIAS[[#This Row],[ADICIONALES]]+CATEGORIAS[[#This Row],[POM]]</f>
        <v>0</v>
      </c>
      <c r="M589" s="131">
        <v>0</v>
      </c>
      <c r="N589" s="227">
        <v>0</v>
      </c>
      <c r="O589" s="141">
        <f>CATEGORIAS[[#This Row],[PRODUCCION
PARTIDAS
ORIGINALES
ACTUAL]]+CATEGORIAS[[#This Row],[PRODUCCION
ADICIONALES
ACTUAL]]</f>
        <v>0</v>
      </c>
      <c r="P589" s="227">
        <v>0</v>
      </c>
      <c r="Q589" s="227"/>
      <c r="R589" s="297">
        <f>CATEGORIAS[[#This Row],[PRODUCCION
ANTERIOR]]+CATEGORIAS[[#This Row],[PRODUCCION
ADICIONALES
ANTERIOR]]</f>
        <v>0</v>
      </c>
      <c r="S589" s="133">
        <v>0</v>
      </c>
      <c r="T589" s="298"/>
      <c r="U589" s="298"/>
      <c r="V589" s="296">
        <f>SUM(CATEGORIAS[[#This Row],[COSTO
ACUMULADO  AX]:[PROVISIONES]])</f>
        <v>0</v>
      </c>
      <c r="W589" s="298">
        <v>0</v>
      </c>
      <c r="X589" s="227"/>
      <c r="Y589" s="227"/>
      <c r="Z589" s="297">
        <f>SUM(CATEGORIAS[[#This Row],[COSTO ACUMULADO
ANTERIOR]:[PROVISIONES
ANTERIOR]])</f>
        <v>0</v>
      </c>
      <c r="AA589" s="299">
        <f>CATEGORIAS[[#This Row],[PRESUPUESTO
FINAL
PROYECTADO]]-CATEGORIAS[[#This Row],[TOTAL PRODUCCION
ACTUAL]]</f>
        <v>0</v>
      </c>
      <c r="AB589" s="227"/>
      <c r="AC589" s="132"/>
      <c r="AD589" s="227"/>
      <c r="AE589" s="226">
        <f>SUM(CATEGORIAS[[#This Row],[INVENTARIO]:[PROYECCION
DE COSTO
DEL SALDO]])</f>
        <v>0</v>
      </c>
      <c r="AF589" s="132"/>
      <c r="AG589" s="132">
        <f>+CATEGORIAS[[#This Row],[PRESUPUESTO
FINAL
PROYECTADO]]-CATEGORIAS[[#This Row],[COSTO REAL]]-CATEGORIAS[[#This Row],[PROYECCION
TOTAL DE COSTO]]</f>
        <v>0</v>
      </c>
    </row>
    <row r="590" spans="1:33" x14ac:dyDescent="0.25">
      <c r="A590" s="274">
        <f>+IFERROR(VLOOKUP(CATEGORIAS[[#This Row],[CATEGORIA2]],[1]HOMOLOGACION!$A$1:$I$571,9,FALSE),0)</f>
        <v>0</v>
      </c>
      <c r="B590" s="274">
        <f>+IFERROR(VLOOKUP(CATEGORIAS[[#This Row],[CATEGORIA2]],[1]HOMOLOGACION!$A$1:$C$571,3,FALSE),0)</f>
        <v>0</v>
      </c>
      <c r="C590" s="274">
        <f>+IFERROR(VLOOKUP(CATEGORIAS[[#This Row],[CATEGORIA2]],[1]HOMOLOGACION!$A$1:$D$571,4,FALSE),0)</f>
        <v>0</v>
      </c>
      <c r="D590" s="144" t="s">
        <v>2361</v>
      </c>
      <c r="E590" s="273" t="s">
        <v>2362</v>
      </c>
      <c r="F590" s="275" t="s">
        <v>361</v>
      </c>
      <c r="G590" s="313">
        <v>0</v>
      </c>
      <c r="H590" s="313">
        <v>0</v>
      </c>
      <c r="I590" s="130"/>
      <c r="J590" s="130"/>
      <c r="K590" s="130"/>
      <c r="L590" s="143">
        <f>CATEGORIAS[[#This Row],[ADICIONALES]]+CATEGORIAS[[#This Row],[POM]]</f>
        <v>0</v>
      </c>
      <c r="M590" s="131">
        <v>0</v>
      </c>
      <c r="N590" s="227">
        <v>0</v>
      </c>
      <c r="O590" s="296">
        <v>0</v>
      </c>
      <c r="P590" s="227">
        <v>0</v>
      </c>
      <c r="Q590" s="227"/>
      <c r="R590" s="297">
        <f>CATEGORIAS[[#This Row],[PRODUCCION
ANTERIOR]]+CATEGORIAS[[#This Row],[PRODUCCION
ADICIONALES
ANTERIOR]]</f>
        <v>0</v>
      </c>
      <c r="S590" s="133">
        <v>0</v>
      </c>
      <c r="T590" s="298"/>
      <c r="U590" s="298"/>
      <c r="V590" s="296">
        <f>SUM(CATEGORIAS[[#This Row],[COSTO
ACUMULADO  AX]:[PROVISIONES]])</f>
        <v>0</v>
      </c>
      <c r="W590" s="298">
        <v>0</v>
      </c>
      <c r="X590" s="227"/>
      <c r="Y590" s="227"/>
      <c r="Z590" s="297">
        <f>SUM(CATEGORIAS[[#This Row],[COSTO ACUMULADO
ANTERIOR]:[PROVISIONES
ANTERIOR]])</f>
        <v>0</v>
      </c>
      <c r="AA590" s="299">
        <f>CATEGORIAS[[#This Row],[PRESUPUESTO
FINAL
PROYECTADO]]-CATEGORIAS[[#This Row],[TOTAL PRODUCCION
ACTUAL]]</f>
        <v>0</v>
      </c>
      <c r="AB590" s="227"/>
      <c r="AC590" s="132"/>
      <c r="AD590" s="227"/>
      <c r="AE590" s="226">
        <f>SUM(CATEGORIAS[[#This Row],[INVENTARIO]:[PROYECCION
DE COSTO
DEL SALDO]])</f>
        <v>0</v>
      </c>
      <c r="AF590" s="132"/>
      <c r="AG590" s="132">
        <f>+CATEGORIAS[[#This Row],[PRESUPUESTO
FINAL
PROYECTADO]]-CATEGORIAS[[#This Row],[COSTO REAL]]-CATEGORIAS[[#This Row],[PROYECCION
TOTAL DE COSTO]]</f>
        <v>0</v>
      </c>
    </row>
    <row r="591" spans="1:33" x14ac:dyDescent="0.25">
      <c r="A591" s="274">
        <f>+IFERROR(VLOOKUP(CATEGORIAS[[#This Row],[CATEGORIA2]],[1]HOMOLOGACION!$A$1:$I$571,9,FALSE),0)</f>
        <v>0</v>
      </c>
      <c r="B591" s="274">
        <f>+IFERROR(VLOOKUP(CATEGORIAS[[#This Row],[CATEGORIA2]],[1]HOMOLOGACION!$A$1:$C$571,3,FALSE),0)</f>
        <v>0</v>
      </c>
      <c r="C591" s="274">
        <f>+IFERROR(VLOOKUP(CATEGORIAS[[#This Row],[CATEGORIA2]],[1]HOMOLOGACION!$A$1:$D$571,4,FALSE),0)</f>
        <v>0</v>
      </c>
      <c r="D591" s="144" t="s">
        <v>2270</v>
      </c>
      <c r="E591" s="273" t="s">
        <v>1430</v>
      </c>
      <c r="F591" s="275" t="s">
        <v>361</v>
      </c>
      <c r="G591" s="313">
        <v>0</v>
      </c>
      <c r="H591" s="313">
        <v>0</v>
      </c>
      <c r="I591" s="130"/>
      <c r="J591" s="130"/>
      <c r="K591" s="130"/>
      <c r="L591" s="143">
        <f>CATEGORIAS[[#This Row],[ADICIONALES]]+CATEGORIAS[[#This Row],[POM]]</f>
        <v>0</v>
      </c>
      <c r="M591" s="131">
        <v>0</v>
      </c>
      <c r="N591" s="227">
        <v>0</v>
      </c>
      <c r="O591" s="296">
        <f>CATEGORIAS[[#This Row],[PRODUCCION
PARTIDAS
ORIGINALES
ACTUAL]]+CATEGORIAS[[#This Row],[PRODUCCION
ADICIONALES
ACTUAL]]</f>
        <v>0</v>
      </c>
      <c r="P591" s="227">
        <v>0</v>
      </c>
      <c r="Q591" s="227"/>
      <c r="R591" s="297">
        <f>CATEGORIAS[[#This Row],[PRODUCCION
ANTERIOR]]+CATEGORIAS[[#This Row],[PRODUCCION
ADICIONALES
ANTERIOR]]</f>
        <v>0</v>
      </c>
      <c r="S591" s="331">
        <v>0</v>
      </c>
      <c r="T591" s="298"/>
      <c r="U591" s="298"/>
      <c r="V591" s="296">
        <f>SUM(CATEGORIAS[[#This Row],[COSTO
ACUMULADO  AX]:[PROVISIONES]])</f>
        <v>0</v>
      </c>
      <c r="W591" s="298">
        <v>0</v>
      </c>
      <c r="X591" s="227"/>
      <c r="Y591" s="227"/>
      <c r="Z591" s="297">
        <f>SUM(CATEGORIAS[[#This Row],[COSTO ACUMULADO
ANTERIOR]:[PROVISIONES
ANTERIOR]])</f>
        <v>0</v>
      </c>
      <c r="AA591" s="299">
        <f>CATEGORIAS[[#This Row],[PRESUPUESTO
FINAL
PROYECTADO]]-CATEGORIAS[[#This Row],[TOTAL PRODUCCION
ACTUAL]]</f>
        <v>0</v>
      </c>
      <c r="AB591" s="227"/>
      <c r="AC591" s="132"/>
      <c r="AD591" s="227"/>
      <c r="AE591" s="226">
        <f>SUM(CATEGORIAS[[#This Row],[INVENTARIO]:[PROYECCION
DE COSTO
DEL SALDO]])</f>
        <v>0</v>
      </c>
      <c r="AF591" s="132"/>
      <c r="AG591" s="132">
        <f>+CATEGORIAS[[#This Row],[PRESUPUESTO
FINAL
PROYECTADO]]-CATEGORIAS[[#This Row],[COSTO REAL]]-CATEGORIAS[[#This Row],[PROYECCION
TOTAL DE COSTO]]</f>
        <v>0</v>
      </c>
    </row>
    <row r="592" spans="1:33" x14ac:dyDescent="0.25">
      <c r="A592" s="274">
        <f>+IFERROR(VLOOKUP(CATEGORIAS[[#This Row],[CATEGORIA2]],[1]HOMOLOGACION!$A$1:$I$571,9,FALSE),0)</f>
        <v>0</v>
      </c>
      <c r="B592" s="274">
        <f>+IFERROR(VLOOKUP(CATEGORIAS[[#This Row],[CATEGORIA2]],[1]HOMOLOGACION!$A$1:$C$571,3,FALSE),0)</f>
        <v>0</v>
      </c>
      <c r="C592" s="274">
        <f>+IFERROR(VLOOKUP(CATEGORIAS[[#This Row],[CATEGORIA2]],[1]HOMOLOGACION!$A$1:$D$571,4,FALSE),0)</f>
        <v>0</v>
      </c>
      <c r="D592" s="144" t="s">
        <v>2271</v>
      </c>
      <c r="E592" s="273" t="s">
        <v>2272</v>
      </c>
      <c r="F592" s="275" t="s">
        <v>361</v>
      </c>
      <c r="G592" s="313">
        <v>0</v>
      </c>
      <c r="H592" s="313">
        <v>0</v>
      </c>
      <c r="I592" s="130"/>
      <c r="J592" s="130"/>
      <c r="K592" s="130"/>
      <c r="L592" s="143">
        <f>CATEGORIAS[[#This Row],[ADICIONALES]]+CATEGORIAS[[#This Row],[POM]]</f>
        <v>0</v>
      </c>
      <c r="M592" s="131">
        <v>0</v>
      </c>
      <c r="N592" s="227">
        <v>0</v>
      </c>
      <c r="O592" s="296">
        <f>CATEGORIAS[[#This Row],[PRODUCCION
PARTIDAS
ORIGINALES
ACTUAL]]+CATEGORIAS[[#This Row],[PRODUCCION
ADICIONALES
ACTUAL]]</f>
        <v>0</v>
      </c>
      <c r="P592" s="227">
        <v>0</v>
      </c>
      <c r="Q592" s="227"/>
      <c r="R592" s="297">
        <f>CATEGORIAS[[#This Row],[PRODUCCION
ANTERIOR]]+CATEGORIAS[[#This Row],[PRODUCCION
ADICIONALES
ANTERIOR]]</f>
        <v>0</v>
      </c>
      <c r="S592" s="133">
        <v>0</v>
      </c>
      <c r="T592" s="298"/>
      <c r="U592" s="298"/>
      <c r="V592" s="296">
        <f>SUM(CATEGORIAS[[#This Row],[COSTO
ACUMULADO  AX]:[PROVISIONES]])</f>
        <v>0</v>
      </c>
      <c r="W592" s="298"/>
      <c r="X592" s="227"/>
      <c r="Y592" s="227"/>
      <c r="Z592" s="297">
        <f>SUM(CATEGORIAS[[#This Row],[COSTO ACUMULADO
ANTERIOR]:[PROVISIONES
ANTERIOR]])</f>
        <v>0</v>
      </c>
      <c r="AA592" s="139">
        <f>CATEGORIAS[[#This Row],[PRESUPUESTO
FINAL
PROYECTADO]]-CATEGORIAS[[#This Row],[TOTAL PRODUCCION
ACTUAL]]</f>
        <v>0</v>
      </c>
      <c r="AB592" s="227"/>
      <c r="AC592" s="132"/>
      <c r="AD592" s="227"/>
      <c r="AE592" s="226">
        <f>SUM(CATEGORIAS[[#This Row],[INVENTARIO]:[PROYECCION
DE COSTO
DEL SALDO]])</f>
        <v>0</v>
      </c>
      <c r="AF592" s="132"/>
      <c r="AG592" s="132">
        <f>+CATEGORIAS[[#This Row],[PRESUPUESTO
FINAL
PROYECTADO]]-CATEGORIAS[[#This Row],[COSTO REAL]]-CATEGORIAS[[#This Row],[PROYECCION
TOTAL DE COSTO]]</f>
        <v>0</v>
      </c>
    </row>
    <row r="593" spans="1:33" x14ac:dyDescent="0.25">
      <c r="A593" s="274">
        <f>+IFERROR(VLOOKUP(CATEGORIAS[[#This Row],[CATEGORIA2]],[1]HOMOLOGACION!$A$1:$I$571,9,FALSE),0)</f>
        <v>0</v>
      </c>
      <c r="B593" s="274">
        <f>+IFERROR(VLOOKUP(CATEGORIAS[[#This Row],[CATEGORIA2]],[1]HOMOLOGACION!$A$1:$C$571,3,FALSE),0)</f>
        <v>0</v>
      </c>
      <c r="C593" s="274">
        <f>+IFERROR(VLOOKUP(CATEGORIAS[[#This Row],[CATEGORIA2]],[1]HOMOLOGACION!$A$1:$D$571,4,FALSE),0)</f>
        <v>0</v>
      </c>
      <c r="D593" s="144" t="s">
        <v>2273</v>
      </c>
      <c r="E593" s="273" t="s">
        <v>2274</v>
      </c>
      <c r="F593" s="275" t="s">
        <v>361</v>
      </c>
      <c r="G593" s="313">
        <v>0</v>
      </c>
      <c r="H593" s="313">
        <v>0</v>
      </c>
      <c r="I593" s="130"/>
      <c r="J593" s="130"/>
      <c r="K593" s="130"/>
      <c r="L593" s="143">
        <f>CATEGORIAS[[#This Row],[ADICIONALES]]+CATEGORIAS[[#This Row],[POM]]</f>
        <v>0</v>
      </c>
      <c r="M593" s="131">
        <v>0</v>
      </c>
      <c r="N593" s="227">
        <v>0</v>
      </c>
      <c r="O593" s="296">
        <f>CATEGORIAS[[#This Row],[PRODUCCION
PARTIDAS
ORIGINALES
ACTUAL]]+CATEGORIAS[[#This Row],[PRODUCCION
ADICIONALES
ACTUAL]]</f>
        <v>0</v>
      </c>
      <c r="P593" s="227">
        <v>0</v>
      </c>
      <c r="Q593" s="227"/>
      <c r="R593" s="297">
        <f>CATEGORIAS[[#This Row],[PRODUCCION
ANTERIOR]]+CATEGORIAS[[#This Row],[PRODUCCION
ADICIONALES
ANTERIOR]]</f>
        <v>0</v>
      </c>
      <c r="S593" s="133">
        <v>0</v>
      </c>
      <c r="T593" s="298"/>
      <c r="U593" s="298"/>
      <c r="V593" s="296">
        <f>SUM(CATEGORIAS[[#This Row],[COSTO
ACUMULADO  AX]:[PROVISIONES]])</f>
        <v>0</v>
      </c>
      <c r="W593" s="298"/>
      <c r="X593" s="227"/>
      <c r="Y593" s="227"/>
      <c r="Z593" s="297">
        <f>SUM(CATEGORIAS[[#This Row],[COSTO ACUMULADO
ANTERIOR]:[PROVISIONES
ANTERIOR]])</f>
        <v>0</v>
      </c>
      <c r="AA593" s="139">
        <f>CATEGORIAS[[#This Row],[PRESUPUESTO
FINAL
PROYECTADO]]-CATEGORIAS[[#This Row],[TOTAL PRODUCCION
ACTUAL]]</f>
        <v>0</v>
      </c>
      <c r="AB593" s="227"/>
      <c r="AC593" s="132"/>
      <c r="AD593" s="227"/>
      <c r="AE593" s="226">
        <f>SUM(CATEGORIAS[[#This Row],[INVENTARIO]:[PROYECCION
DE COSTO
DEL SALDO]])</f>
        <v>0</v>
      </c>
      <c r="AF593" s="132"/>
      <c r="AG593" s="132">
        <f>+CATEGORIAS[[#This Row],[PRESUPUESTO
FINAL
PROYECTADO]]-CATEGORIAS[[#This Row],[COSTO REAL]]-CATEGORIAS[[#This Row],[PROYECCION
TOTAL DE COSTO]]</f>
        <v>0</v>
      </c>
    </row>
    <row r="594" spans="1:33" x14ac:dyDescent="0.25">
      <c r="A594" s="274">
        <f>+IFERROR(VLOOKUP(CATEGORIAS[[#This Row],[CATEGORIA2]],[1]HOMOLOGACION!$A$1:$I$571,9,FALSE),0)</f>
        <v>0</v>
      </c>
      <c r="B594" s="274">
        <f>+IFERROR(VLOOKUP(CATEGORIAS[[#This Row],[CATEGORIA2]],[1]HOMOLOGACION!$A$1:$C$571,3,FALSE),0)</f>
        <v>0</v>
      </c>
      <c r="C594" s="274">
        <f>+IFERROR(VLOOKUP(CATEGORIAS[[#This Row],[CATEGORIA2]],[1]HOMOLOGACION!$A$1:$D$571,4,FALSE),0)</f>
        <v>0</v>
      </c>
      <c r="D594" s="144" t="s">
        <v>2275</v>
      </c>
      <c r="E594" s="273" t="s">
        <v>2276</v>
      </c>
      <c r="F594" s="275" t="s">
        <v>361</v>
      </c>
      <c r="G594" s="313">
        <v>0</v>
      </c>
      <c r="H594" s="313">
        <v>0</v>
      </c>
      <c r="I594" s="130"/>
      <c r="J594" s="130"/>
      <c r="K594" s="130"/>
      <c r="L594" s="143">
        <f>CATEGORIAS[[#This Row],[ADICIONALES]]+CATEGORIAS[[#This Row],[POM]]</f>
        <v>0</v>
      </c>
      <c r="M594" s="131">
        <v>0</v>
      </c>
      <c r="N594" s="227">
        <v>0</v>
      </c>
      <c r="O594" s="296">
        <f>CATEGORIAS[[#This Row],[PRODUCCION
PARTIDAS
ORIGINALES
ACTUAL]]+CATEGORIAS[[#This Row],[PRODUCCION
ADICIONALES
ACTUAL]]</f>
        <v>0</v>
      </c>
      <c r="P594" s="227">
        <v>0</v>
      </c>
      <c r="Q594" s="227"/>
      <c r="R594" s="297">
        <f>CATEGORIAS[[#This Row],[PRODUCCION
ANTERIOR]]+CATEGORIAS[[#This Row],[PRODUCCION
ADICIONALES
ANTERIOR]]</f>
        <v>0</v>
      </c>
      <c r="S594" s="133">
        <v>0</v>
      </c>
      <c r="T594" s="298"/>
      <c r="U594" s="298"/>
      <c r="V594" s="296">
        <f>SUM(CATEGORIAS[[#This Row],[COSTO
ACUMULADO  AX]:[PROVISIONES]])</f>
        <v>0</v>
      </c>
      <c r="W594" s="298"/>
      <c r="X594" s="227"/>
      <c r="Y594" s="227"/>
      <c r="Z594" s="297">
        <f>SUM(CATEGORIAS[[#This Row],[COSTO ACUMULADO
ANTERIOR]:[PROVISIONES
ANTERIOR]])</f>
        <v>0</v>
      </c>
      <c r="AA594" s="299">
        <f>CATEGORIAS[[#This Row],[PRESUPUESTO
FINAL
PROYECTADO]]-CATEGORIAS[[#This Row],[TOTAL PRODUCCION
ACTUAL]]</f>
        <v>0</v>
      </c>
      <c r="AB594" s="227"/>
      <c r="AC594" s="132"/>
      <c r="AD594" s="227"/>
      <c r="AE594" s="226">
        <f>SUM(CATEGORIAS[[#This Row],[INVENTARIO]:[PROYECCION
DE COSTO
DEL SALDO]])</f>
        <v>0</v>
      </c>
      <c r="AF594" s="132"/>
      <c r="AG594" s="132">
        <f>+CATEGORIAS[[#This Row],[PRESUPUESTO
FINAL
PROYECTADO]]-CATEGORIAS[[#This Row],[COSTO REAL]]-CATEGORIAS[[#This Row],[PROYECCION
TOTAL DE COSTO]]</f>
        <v>0</v>
      </c>
    </row>
    <row r="595" spans="1:33" x14ac:dyDescent="0.25">
      <c r="A595" s="274">
        <f>+IFERROR(VLOOKUP(CATEGORIAS[[#This Row],[CATEGORIA2]],[1]HOMOLOGACION!$A$1:$I$571,9,FALSE),0)</f>
        <v>0</v>
      </c>
      <c r="B595" s="274">
        <f>+IFERROR(VLOOKUP(CATEGORIAS[[#This Row],[CATEGORIA2]],[1]HOMOLOGACION!$A$1:$C$571,3,FALSE),0)</f>
        <v>0</v>
      </c>
      <c r="C595" s="274">
        <f>+IFERROR(VLOOKUP(CATEGORIAS[[#This Row],[CATEGORIA2]],[1]HOMOLOGACION!$A$1:$D$571,4,FALSE),0)</f>
        <v>0</v>
      </c>
      <c r="D595" s="144" t="s">
        <v>2277</v>
      </c>
      <c r="E595" s="273" t="s">
        <v>2278</v>
      </c>
      <c r="F595" s="275" t="s">
        <v>361</v>
      </c>
      <c r="G595" s="313">
        <v>0</v>
      </c>
      <c r="H595" s="313">
        <v>0</v>
      </c>
      <c r="I595" s="130"/>
      <c r="J595" s="130"/>
      <c r="K595" s="130"/>
      <c r="L595" s="143">
        <f>CATEGORIAS[[#This Row],[ADICIONALES]]+CATEGORIAS[[#This Row],[POM]]</f>
        <v>0</v>
      </c>
      <c r="M595" s="131">
        <v>0</v>
      </c>
      <c r="N595" s="227">
        <v>0</v>
      </c>
      <c r="O595" s="296">
        <f>CATEGORIAS[[#This Row],[PRODUCCION
PARTIDAS
ORIGINALES
ACTUAL]]+CATEGORIAS[[#This Row],[PRODUCCION
ADICIONALES
ACTUAL]]</f>
        <v>0</v>
      </c>
      <c r="P595" s="227">
        <v>0</v>
      </c>
      <c r="Q595" s="227"/>
      <c r="R595" s="297">
        <f>CATEGORIAS[[#This Row],[PRODUCCION
ANTERIOR]]+CATEGORIAS[[#This Row],[PRODUCCION
ADICIONALES
ANTERIOR]]</f>
        <v>0</v>
      </c>
      <c r="S595" s="133">
        <v>0</v>
      </c>
      <c r="T595" s="298"/>
      <c r="U595" s="298"/>
      <c r="V595" s="296">
        <f>SUM(CATEGORIAS[[#This Row],[COSTO
ACUMULADO  AX]:[PROVISIONES]])</f>
        <v>0</v>
      </c>
      <c r="W595" s="298"/>
      <c r="X595" s="227"/>
      <c r="Y595" s="227"/>
      <c r="Z595" s="297">
        <f>SUM(CATEGORIAS[[#This Row],[COSTO ACUMULADO
ANTERIOR]:[PROVISIONES
ANTERIOR]])</f>
        <v>0</v>
      </c>
      <c r="AA595" s="299">
        <f>CATEGORIAS[[#This Row],[PRESUPUESTO
FINAL
PROYECTADO]]-CATEGORIAS[[#This Row],[TOTAL PRODUCCION
ACTUAL]]</f>
        <v>0</v>
      </c>
      <c r="AB595" s="227"/>
      <c r="AC595" s="132"/>
      <c r="AD595" s="227"/>
      <c r="AE595" s="226">
        <f>SUM(CATEGORIAS[[#This Row],[INVENTARIO]:[PROYECCION
DE COSTO
DEL SALDO]])</f>
        <v>0</v>
      </c>
      <c r="AF595" s="132"/>
      <c r="AG595" s="132">
        <f>+CATEGORIAS[[#This Row],[PRESUPUESTO
FINAL
PROYECTADO]]-CATEGORIAS[[#This Row],[COSTO REAL]]-CATEGORIAS[[#This Row],[PROYECCION
TOTAL DE COSTO]]</f>
        <v>0</v>
      </c>
    </row>
    <row r="596" spans="1:33" x14ac:dyDescent="0.25">
      <c r="A596" s="274">
        <f>+IFERROR(VLOOKUP(CATEGORIAS[[#This Row],[CATEGORIA2]],[1]HOMOLOGACION!$A$1:$I$571,9,FALSE),0)</f>
        <v>0</v>
      </c>
      <c r="B596" s="274">
        <f>+IFERROR(VLOOKUP(CATEGORIAS[[#This Row],[CATEGORIA2]],[1]HOMOLOGACION!$A$1:$C$571,3,FALSE),0)</f>
        <v>0</v>
      </c>
      <c r="C596" s="274">
        <f>+IFERROR(VLOOKUP(CATEGORIAS[[#This Row],[CATEGORIA2]],[1]HOMOLOGACION!$A$1:$D$571,4,FALSE),0)</f>
        <v>0</v>
      </c>
      <c r="D596" s="144"/>
      <c r="E596" s="273"/>
      <c r="F596" s="275" t="s">
        <v>361</v>
      </c>
      <c r="G596" s="313">
        <v>0</v>
      </c>
      <c r="H596" s="313">
        <v>0</v>
      </c>
      <c r="I596" s="130"/>
      <c r="J596" s="130"/>
      <c r="K596" s="130"/>
      <c r="L596" s="143">
        <f>CATEGORIAS[[#This Row],[ADICIONALES]]+CATEGORIAS[[#This Row],[POM]]</f>
        <v>0</v>
      </c>
      <c r="M596" s="131">
        <v>0</v>
      </c>
      <c r="N596" s="227">
        <v>0</v>
      </c>
      <c r="O596" s="296">
        <v>0</v>
      </c>
      <c r="P596" s="227">
        <v>0</v>
      </c>
      <c r="Q596" s="227"/>
      <c r="R596" s="297">
        <f>CATEGORIAS[[#This Row],[PRODUCCION
ANTERIOR]]+CATEGORIAS[[#This Row],[PRODUCCION
ADICIONALES
ANTERIOR]]</f>
        <v>0</v>
      </c>
      <c r="S596" s="298">
        <v>0</v>
      </c>
      <c r="T596" s="298"/>
      <c r="U596" s="298"/>
      <c r="V596" s="296">
        <f>SUM(CATEGORIAS[[#This Row],[COSTO
ACUMULADO  AX]:[PROVISIONES]])</f>
        <v>0</v>
      </c>
      <c r="W596" s="298"/>
      <c r="X596" s="227"/>
      <c r="Y596" s="227"/>
      <c r="Z596" s="297">
        <f>SUM(CATEGORIAS[[#This Row],[COSTO ACUMULADO
ANTERIOR]:[PROVISIONES
ANTERIOR]])</f>
        <v>0</v>
      </c>
      <c r="AA596" s="299">
        <f>CATEGORIAS[[#This Row],[PRESUPUESTO
FINAL
PROYECTADO]]-CATEGORIAS[[#This Row],[TOTAL PRODUCCION
ACTUAL]]</f>
        <v>0</v>
      </c>
      <c r="AB596" s="227">
        <v>0</v>
      </c>
      <c r="AC596" s="132"/>
      <c r="AD596" s="132"/>
      <c r="AE596" s="226">
        <f>SUM(CATEGORIAS[[#This Row],[INVENTARIO]:[PROYECCION
DE COSTO
DEL SALDO]])</f>
        <v>0</v>
      </c>
      <c r="AF596" s="132"/>
      <c r="AG596" s="132">
        <f>+CATEGORIAS[[#This Row],[PRESUPUESTO
FINAL
PROYECTADO]]-CATEGORIAS[[#This Row],[COSTO REAL]]-CATEGORIAS[[#This Row],[PROYECCION
TOTAL DE COSTO]]</f>
        <v>0</v>
      </c>
    </row>
    <row r="597" spans="1:33" x14ac:dyDescent="0.25">
      <c r="A597" s="274">
        <f>+IFERROR(VLOOKUP(CATEGORIAS[[#This Row],[CATEGORIA2]],[1]HOMOLOGACION!$A$1:$I$571,9,FALSE),0)</f>
        <v>0</v>
      </c>
      <c r="B597" s="274">
        <f>+IFERROR(VLOOKUP(CATEGORIAS[[#This Row],[CATEGORIA2]],[1]HOMOLOGACION!$A$1:$C$571,3,FALSE),0)</f>
        <v>0</v>
      </c>
      <c r="C597" s="274">
        <f>+IFERROR(VLOOKUP(CATEGORIAS[[#This Row],[CATEGORIA2]],[1]HOMOLOGACION!$A$1:$D$571,4,FALSE),0)</f>
        <v>0</v>
      </c>
      <c r="D597" s="144"/>
      <c r="E597" s="273"/>
      <c r="F597" s="273" t="s">
        <v>361</v>
      </c>
      <c r="G597" s="313">
        <v>0</v>
      </c>
      <c r="H597" s="313">
        <v>0</v>
      </c>
      <c r="I597" s="130"/>
      <c r="J597" s="130"/>
      <c r="K597" s="130"/>
      <c r="L597" s="143">
        <f>CATEGORIAS[[#This Row],[ADICIONALES]]+CATEGORIAS[[#This Row],[POM]]</f>
        <v>0</v>
      </c>
      <c r="M597" s="131">
        <v>0</v>
      </c>
      <c r="N597" s="227">
        <v>0</v>
      </c>
      <c r="O597" s="296">
        <v>0</v>
      </c>
      <c r="P597" s="227"/>
      <c r="Q597" s="227"/>
      <c r="R597" s="297">
        <f>CATEGORIAS[[#This Row],[PRODUCCION
ANTERIOR]]+CATEGORIAS[[#This Row],[PRODUCCION
ADICIONALES
ANTERIOR]]</f>
        <v>0</v>
      </c>
      <c r="S597" s="298">
        <v>0</v>
      </c>
      <c r="T597" s="298"/>
      <c r="U597" s="298"/>
      <c r="V597" s="296">
        <f>SUM(CATEGORIAS[[#This Row],[COSTO
ACUMULADO  AX]:[PROVISIONES]])</f>
        <v>0</v>
      </c>
      <c r="W597" s="298"/>
      <c r="X597" s="227"/>
      <c r="Y597" s="227"/>
      <c r="Z597" s="297">
        <f>SUM(CATEGORIAS[[#This Row],[COSTO ACUMULADO
ANTERIOR]:[PROVISIONES
ANTERIOR]])</f>
        <v>0</v>
      </c>
      <c r="AA597" s="299">
        <f>CATEGORIAS[[#This Row],[PRESUPUESTO
FINAL
PROYECTADO]]-CATEGORIAS[[#This Row],[TOTAL PRODUCCION
ACTUAL]]</f>
        <v>0</v>
      </c>
      <c r="AB597" s="227">
        <v>0</v>
      </c>
      <c r="AC597" s="132"/>
      <c r="AD597" s="132"/>
      <c r="AE597" s="226">
        <f>SUM(CATEGORIAS[[#This Row],[INVENTARIO]:[PROYECCION
DE COSTO
DEL SALDO]])</f>
        <v>0</v>
      </c>
      <c r="AF597" s="132"/>
      <c r="AG597" s="132">
        <f>+CATEGORIAS[[#This Row],[PRESUPUESTO
FINAL
PROYECTADO]]-CATEGORIAS[[#This Row],[COSTO REAL]]-CATEGORIAS[[#This Row],[PROYECCION
TOTAL DE COSTO]]</f>
        <v>0</v>
      </c>
    </row>
    <row r="598" spans="1:33" x14ac:dyDescent="0.25">
      <c r="A598" s="274">
        <f>+IFERROR(VLOOKUP(CATEGORIAS[[#This Row],[CATEGORIA2]],[1]HOMOLOGACION!$A$1:$I$571,9,FALSE),0)</f>
        <v>0</v>
      </c>
      <c r="B598" s="274">
        <f>+IFERROR(VLOOKUP(CATEGORIAS[[#This Row],[CATEGORIA2]],[1]HOMOLOGACION!$A$1:$C$571,3,FALSE),0)</f>
        <v>0</v>
      </c>
      <c r="C598" s="274">
        <f>+IFERROR(VLOOKUP(CATEGORIAS[[#This Row],[CATEGORIA2]],[1]HOMOLOGACION!$A$1:$D$571,4,FALSE),0)</f>
        <v>0</v>
      </c>
      <c r="D598" s="144"/>
      <c r="E598" s="273"/>
      <c r="F598" s="344" t="s">
        <v>361</v>
      </c>
      <c r="G598" s="320">
        <v>0</v>
      </c>
      <c r="H598" s="320">
        <v>0</v>
      </c>
      <c r="I598" s="321"/>
      <c r="J598" s="321"/>
      <c r="K598" s="321"/>
      <c r="L598" s="322">
        <f>CATEGORIAS[[#This Row],[ADICIONALES]]+CATEGORIAS[[#This Row],[POM]]</f>
        <v>0</v>
      </c>
      <c r="M598" s="323">
        <v>0</v>
      </c>
      <c r="N598" s="324">
        <v>0</v>
      </c>
      <c r="O598" s="325">
        <f>CATEGORIAS[[#This Row],[PRODUCCION
PARTIDAS
ORIGINALES
ACTUAL]]+CATEGORIAS[[#This Row],[PRODUCCION
ADICIONALES
ACTUAL]]</f>
        <v>0</v>
      </c>
      <c r="P598" s="326"/>
      <c r="Q598" s="326"/>
      <c r="R598" s="327">
        <f>CATEGORIAS[[#This Row],[PRODUCCION
ANTERIOR]]+CATEGORIAS[[#This Row],[PRODUCCION
ADICIONALES
ANTERIOR]]</f>
        <v>0</v>
      </c>
      <c r="S598" s="328">
        <v>0</v>
      </c>
      <c r="T598" s="328"/>
      <c r="U598" s="328"/>
      <c r="V598" s="325">
        <f>SUM(CATEGORIAS[[#This Row],[COSTO
ACUMULADO  AX]:[PROVISIONES]])</f>
        <v>0</v>
      </c>
      <c r="W598" s="328"/>
      <c r="X598" s="326"/>
      <c r="Y598" s="326"/>
      <c r="Z598" s="327">
        <f>SUM(CATEGORIAS[[#This Row],[COSTO ACUMULADO
ANTERIOR]:[PROVISIONES
ANTERIOR]])</f>
        <v>0</v>
      </c>
      <c r="AA598" s="329">
        <f>CATEGORIAS[[#This Row],[PRESUPUESTO
FINAL
PROYECTADO]]-CATEGORIAS[[#This Row],[TOTAL PRODUCCION
ACTUAL]]</f>
        <v>0</v>
      </c>
      <c r="AB598" s="326">
        <v>0</v>
      </c>
      <c r="AC598" s="326"/>
      <c r="AD598" s="326"/>
      <c r="AE598" s="330">
        <f>SUM(CATEGORIAS[[#This Row],[INVENTARIO]:[PROYECCION
DE COSTO
DEL SALDO]])</f>
        <v>0</v>
      </c>
      <c r="AF598" s="326"/>
      <c r="AG598" s="326">
        <f>+CATEGORIAS[[#This Row],[PRESUPUESTO
FINAL
PROYECTADO]]-CATEGORIAS[[#This Row],[COSTO REAL]]-CATEGORIAS[[#This Row],[PROYECCION
TOTAL DE COSTO]]</f>
        <v>0</v>
      </c>
    </row>
    <row r="599" spans="1:33" x14ac:dyDescent="0.25">
      <c r="G599" s="241"/>
      <c r="O599" s="237"/>
      <c r="P599" s="229"/>
      <c r="V599" s="237"/>
    </row>
    <row r="600" spans="1:33" x14ac:dyDescent="0.25">
      <c r="I600" s="229"/>
      <c r="J600" s="229"/>
      <c r="K600" s="229"/>
      <c r="M600" s="318"/>
      <c r="O600" s="237"/>
      <c r="P600" s="229"/>
      <c r="V600" s="237"/>
      <c r="X600" s="229"/>
      <c r="Z600" s="237"/>
    </row>
    <row r="601" spans="1:33" x14ac:dyDescent="0.25">
      <c r="N601" s="318"/>
      <c r="O601" s="237"/>
      <c r="S601" s="223"/>
      <c r="U601" s="223"/>
      <c r="V601" s="237"/>
      <c r="Y601" s="229"/>
    </row>
    <row r="602" spans="1:33" x14ac:dyDescent="0.25">
      <c r="L602" s="99"/>
      <c r="M602" s="319"/>
      <c r="N602" s="319"/>
      <c r="O602" s="237"/>
      <c r="P602" s="229"/>
      <c r="S602" s="229"/>
      <c r="U602" s="223"/>
      <c r="V602" s="237"/>
      <c r="Z602" s="237"/>
    </row>
    <row r="603" spans="1:33" x14ac:dyDescent="0.25">
      <c r="L603" s="99"/>
      <c r="M603" s="319"/>
      <c r="N603" s="229"/>
      <c r="O603" s="237"/>
      <c r="S603" s="229"/>
      <c r="U603" s="229"/>
      <c r="V603" s="237"/>
      <c r="Z603" s="237"/>
    </row>
    <row r="604" spans="1:33" x14ac:dyDescent="0.25">
      <c r="M604" s="317"/>
      <c r="N604" s="229"/>
      <c r="O604" s="237"/>
      <c r="S604" s="229"/>
      <c r="U604" s="229"/>
      <c r="V604" s="237"/>
      <c r="Z604" s="237"/>
    </row>
    <row r="605" spans="1:33" x14ac:dyDescent="0.25">
      <c r="M605" s="229"/>
      <c r="O605" s="237"/>
      <c r="U605" s="229"/>
      <c r="V605" s="237"/>
      <c r="Z605" s="237"/>
    </row>
    <row r="606" spans="1:33" x14ac:dyDescent="0.25">
      <c r="M606" s="229"/>
      <c r="O606" s="237"/>
      <c r="U606" s="229"/>
      <c r="V606" s="237"/>
    </row>
    <row r="607" spans="1:33" x14ac:dyDescent="0.25">
      <c r="O607" s="237"/>
      <c r="V607" s="237"/>
    </row>
    <row r="609" spans="13:22" x14ac:dyDescent="0.25">
      <c r="V609" s="237"/>
    </row>
    <row r="610" spans="13:22" x14ac:dyDescent="0.25">
      <c r="M610" s="229"/>
    </row>
    <row r="612" spans="13:22" x14ac:dyDescent="0.25">
      <c r="M612" s="229"/>
    </row>
  </sheetData>
  <sheetProtection selectLockedCells="1" autoFilter="0"/>
  <sortState xmlns:xlrd2="http://schemas.microsoft.com/office/spreadsheetml/2017/richdata2" ref="D578:D1128">
    <sortCondition sortBy="cellColor" ref="D578:D1128" dxfId="67"/>
  </sortState>
  <mergeCells count="8">
    <mergeCell ref="M3:R3"/>
    <mergeCell ref="S3:Z3"/>
    <mergeCell ref="AA3:AE3"/>
    <mergeCell ref="M4:O4"/>
    <mergeCell ref="P4:R4"/>
    <mergeCell ref="S4:V4"/>
    <mergeCell ref="W4:Z4"/>
    <mergeCell ref="AB4:AE4"/>
  </mergeCells>
  <phoneticPr fontId="35" type="noConversion"/>
  <conditionalFormatting sqref="D592">
    <cfRule type="duplicateValues" dxfId="12" priority="40"/>
  </conditionalFormatting>
  <conditionalFormatting sqref="D600:D1048576 D1:D591 D593:D595">
    <cfRule type="duplicateValues" dxfId="11" priority="59"/>
  </conditionalFormatting>
  <conditionalFormatting sqref="AD8:AD594">
    <cfRule type="expression" dxfId="10" priority="67">
      <formula>AND($AA8=$AD8,OR($B8="1K01",$B8="1K02",$B8="1K03"))</formula>
    </cfRule>
  </conditionalFormatting>
  <conditionalFormatting sqref="AD596:AD597">
    <cfRule type="expression" dxfId="9" priority="69">
      <formula>AND($AA596=$AD596,OR($B596="1K01",$B596="1K02",$B596="1K03"))</formula>
    </cfRule>
    <cfRule type="expression" dxfId="8" priority="70">
      <formula>AND($F596 &lt;&gt;"SI",OR( $AE596 &lt;&gt;0 ))</formula>
    </cfRule>
  </conditionalFormatting>
  <conditionalFormatting sqref="AE7 AD8:AE594">
    <cfRule type="expression" dxfId="7" priority="37">
      <formula>AND($F7 &lt;&gt;"SI",OR( $AE7 &lt;&gt;0 ))</formula>
    </cfRule>
  </conditionalFormatting>
  <pageMargins left="0.25" right="0.25" top="0.75" bottom="0.75" header="0.3" footer="0.3"/>
  <pageSetup scale="18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T147"/>
  <sheetViews>
    <sheetView zoomScaleNormal="100" workbookViewId="0">
      <pane xSplit="5" ySplit="5" topLeftCell="F6" activePane="bottomRight" state="frozenSplit"/>
      <selection activeCell="R21" sqref="R21"/>
      <selection pane="topRight" activeCell="R21" sqref="R21"/>
      <selection pane="bottomLeft" activeCell="R21" sqref="R21"/>
      <selection pane="bottomRight" activeCell="N22" sqref="N22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85546875" style="14" customWidth="1"/>
    <col min="6" max="6" width="1.42578125" style="14" customWidth="1"/>
    <col min="7" max="9" width="15.7109375" style="14" customWidth="1"/>
    <col min="10" max="10" width="1.42578125" style="14" customWidth="1"/>
    <col min="11" max="13" width="15.7109375" style="14" customWidth="1"/>
    <col min="14" max="14" width="1.42578125" style="14" customWidth="1"/>
    <col min="15" max="17" width="15.7109375" style="14" customWidth="1"/>
    <col min="18" max="16384" width="11.42578125" style="14"/>
  </cols>
  <sheetData>
    <row r="1" spans="1:17" ht="49.5" customHeight="1" x14ac:dyDescent="0.25">
      <c r="B1" s="404"/>
      <c r="C1" s="404"/>
      <c r="D1" s="404"/>
      <c r="E1" s="97"/>
      <c r="G1" s="403" t="s">
        <v>152</v>
      </c>
      <c r="H1" s="403"/>
      <c r="I1" s="403"/>
      <c r="J1" s="403"/>
      <c r="K1" s="403"/>
      <c r="L1" s="403"/>
      <c r="M1" s="403"/>
      <c r="O1" s="404" t="str">
        <f>Indice!H2</f>
        <v>CC: EIMI00412 
MONTAJE ELECTROMECÁNICO " PROYECTO NUEVAS PRENSAS DE LODOS"</v>
      </c>
      <c r="P1" s="404"/>
      <c r="Q1" s="404"/>
    </row>
    <row r="2" spans="1:17" ht="20.25" customHeight="1" x14ac:dyDescent="0.3">
      <c r="B2" s="64" t="str">
        <f>Indice!C4</f>
        <v>INFORME DE COSTOS N° 3</v>
      </c>
      <c r="G2" s="405" t="str">
        <f>"Periodo : " &amp; TEXT(Indice!I12,"MMMM yyyy")</f>
        <v>Periodo : diciembre 2025</v>
      </c>
      <c r="H2" s="405"/>
      <c r="I2" s="405"/>
      <c r="J2" s="405"/>
      <c r="K2" s="405"/>
      <c r="L2" s="405"/>
      <c r="M2" s="405"/>
      <c r="O2" s="406" t="s">
        <v>153</v>
      </c>
      <c r="P2" s="406"/>
      <c r="Q2" s="64" t="s">
        <v>154</v>
      </c>
    </row>
    <row r="3" spans="1:17" ht="8.25" customHeight="1" x14ac:dyDescent="0.3">
      <c r="G3" s="79"/>
      <c r="H3" s="79"/>
      <c r="I3" s="79"/>
      <c r="J3" s="79"/>
      <c r="K3" s="79"/>
      <c r="L3" s="79"/>
      <c r="M3" s="79"/>
      <c r="N3" s="79"/>
    </row>
    <row r="4" spans="1:17" ht="15" customHeight="1" x14ac:dyDescent="0.3">
      <c r="B4" s="80" t="s">
        <v>80</v>
      </c>
      <c r="D4" s="80" t="s">
        <v>80</v>
      </c>
      <c r="E4" s="80" t="s">
        <v>80</v>
      </c>
      <c r="G4" s="400" t="s">
        <v>155</v>
      </c>
      <c r="H4" s="401"/>
      <c r="I4" s="402"/>
      <c r="J4" s="79"/>
      <c r="K4" s="400" t="s">
        <v>156</v>
      </c>
      <c r="L4" s="401"/>
      <c r="M4" s="402"/>
      <c r="N4" s="79"/>
      <c r="O4" s="400" t="s">
        <v>157</v>
      </c>
      <c r="P4" s="401"/>
      <c r="Q4" s="402"/>
    </row>
    <row r="5" spans="1:17" s="89" customFormat="1" ht="36.75" customHeight="1" x14ac:dyDescent="0.25">
      <c r="B5" s="90" t="s">
        <v>158</v>
      </c>
      <c r="D5" s="90" t="s">
        <v>159</v>
      </c>
      <c r="E5" s="90" t="s">
        <v>160</v>
      </c>
      <c r="G5" s="91" t="s">
        <v>161</v>
      </c>
      <c r="H5" s="91" t="s">
        <v>162</v>
      </c>
      <c r="I5" s="91" t="s">
        <v>163</v>
      </c>
      <c r="J5" s="92"/>
      <c r="K5" s="91" t="s">
        <v>161</v>
      </c>
      <c r="L5" s="91" t="s">
        <v>162</v>
      </c>
      <c r="M5" s="91" t="s">
        <v>164</v>
      </c>
      <c r="N5" s="92"/>
      <c r="O5" s="91" t="s">
        <v>161</v>
      </c>
      <c r="P5" s="91" t="s">
        <v>162</v>
      </c>
      <c r="Q5" s="91" t="s">
        <v>165</v>
      </c>
    </row>
    <row r="6" spans="1:17" ht="8.25" customHeight="1" x14ac:dyDescent="0.3">
      <c r="J6" s="79"/>
      <c r="N6" s="79"/>
    </row>
    <row r="7" spans="1:17" ht="15" customHeight="1" x14ac:dyDescent="0.3">
      <c r="B7" s="8" t="s">
        <v>166</v>
      </c>
      <c r="D7" s="1">
        <f>SUM(D133:D137)</f>
        <v>3001272928.715395</v>
      </c>
      <c r="E7" s="1">
        <f>SUM(E133:E137)</f>
        <v>3164904902.7961316</v>
      </c>
      <c r="G7" s="12">
        <f>SUM(G133:G137)</f>
        <v>1155091235.4532194</v>
      </c>
      <c r="H7" s="12">
        <f>SUM(H133:H137)</f>
        <v>13989259.96760864</v>
      </c>
      <c r="I7" s="12">
        <f>SUM(I133:I137)</f>
        <v>1169080495.4208283</v>
      </c>
      <c r="J7" s="79"/>
      <c r="K7" s="12">
        <f>SUM(K133:K137)</f>
        <v>798946872.47843266</v>
      </c>
      <c r="L7" s="12">
        <f>SUM(L133:L137)</f>
        <v>14378078.870687604</v>
      </c>
      <c r="M7" s="12">
        <f>SUM(M133:M137)</f>
        <v>813324951.34912026</v>
      </c>
      <c r="N7" s="79"/>
      <c r="O7" s="12">
        <f>SUM(O133:O137)</f>
        <v>356144362.97478694</v>
      </c>
      <c r="P7" s="12">
        <f>SUM(P133:P137)</f>
        <v>-388818.90307896369</v>
      </c>
      <c r="Q7" s="12">
        <f>SUM(Q133:Q137)</f>
        <v>355755544.07170802</v>
      </c>
    </row>
    <row r="8" spans="1:17" ht="8.25" customHeight="1" x14ac:dyDescent="0.3">
      <c r="J8" s="79"/>
      <c r="N8" s="79"/>
    </row>
    <row r="9" spans="1:17" ht="15" customHeight="1" x14ac:dyDescent="0.3">
      <c r="A9" s="14" t="s">
        <v>167</v>
      </c>
      <c r="B9" s="81" t="s">
        <v>168</v>
      </c>
      <c r="D9" s="82">
        <f>SUM(D10:D22)</f>
        <v>1425866588.2684827</v>
      </c>
      <c r="E9" s="82">
        <f>SUM(E10:E22)</f>
        <v>1481201543.175487</v>
      </c>
      <c r="G9" s="83">
        <f>SUM(G10:G22)</f>
        <v>525309535.78602886</v>
      </c>
      <c r="H9" s="83">
        <f t="shared" ref="H9:I9" si="0">SUM(H10:H22)</f>
        <v>2600558.8680994548</v>
      </c>
      <c r="I9" s="83">
        <f t="shared" si="0"/>
        <v>527910094.65412843</v>
      </c>
      <c r="J9" s="79"/>
      <c r="K9" s="83">
        <f>SUM(K10:K22)</f>
        <v>359674606.51772457</v>
      </c>
      <c r="L9" s="83">
        <f t="shared" ref="L9" si="1">SUM(L10:L22)</f>
        <v>3042367.0430786926</v>
      </c>
      <c r="M9" s="83">
        <f t="shared" ref="M9" si="2">SUM(M10:M22)</f>
        <v>362716973.56080329</v>
      </c>
      <c r="N9" s="79"/>
      <c r="O9" s="83">
        <f>SUM(O10:O22)</f>
        <v>165634929.26830432</v>
      </c>
      <c r="P9" s="83">
        <f t="shared" ref="P9" si="3">SUM(P10:P22)</f>
        <v>-441808.17497923761</v>
      </c>
      <c r="Q9" s="83">
        <f t="shared" ref="Q9" si="4">SUM(Q10:Q22)</f>
        <v>165193121.09332505</v>
      </c>
    </row>
    <row r="10" spans="1:17" ht="15" customHeight="1" x14ac:dyDescent="0.3">
      <c r="A10" s="14" t="s">
        <v>24</v>
      </c>
      <c r="B10" s="6" t="s">
        <v>169</v>
      </c>
      <c r="D10" s="3">
        <f>SUMIF(CATEGORIAS[[#All],[SUBGRUPO]],A10,CATEGORIAS[[#All],[PRESUPUESTO
(ORIGINAL)]])</f>
        <v>145972510.11940765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160579142.0074611</v>
      </c>
      <c r="G10" s="71">
        <f>+SUMIF(CATEGORIAS[[#All],[SUBGRUPO]],A10,CATEGORIAS[[#All],[PRODUCCION
PARTIDAS
ORIGINALES
ACTUAL]])</f>
        <v>116629607.26106611</v>
      </c>
      <c r="H10" s="71">
        <f>+SUMIF(CATEGORIAS[[#All],[SUBGRUPO]],A10,CATEGORIAS[[#All],[PRODUCCION
ADICIONALES
ACTUAL]])</f>
        <v>0</v>
      </c>
      <c r="I10" s="71">
        <f t="shared" ref="I10:I22" si="5">G10+H10</f>
        <v>116629607.26106611</v>
      </c>
      <c r="J10" s="79"/>
      <c r="K10" s="71">
        <f>+SUMIF(CATEGORIAS[[#All],[SUBGRUPO]],A10,CATEGORIAS[[#All],[PRODUCCION
ANTERIOR]])</f>
        <v>107916218.22437564</v>
      </c>
      <c r="L10" s="71">
        <f>+SUMIF(CATEGORIAS[[#All],[SUBGRUPO]],A10,CATEGORIAS[[#All],[PRODUCCION
ADICIONALES
ANTERIOR]])</f>
        <v>436740.47129692102</v>
      </c>
      <c r="M10" s="71">
        <f t="shared" ref="M10:M22" si="6">K10+L10</f>
        <v>108352958.69567256</v>
      </c>
      <c r="N10" s="79"/>
      <c r="O10" s="71">
        <f t="shared" ref="O10:O22" si="7">G10-K10</f>
        <v>8713389.0366904736</v>
      </c>
      <c r="P10" s="71">
        <f t="shared" ref="P10:P22" si="8">H10-L10</f>
        <v>-436740.47129692102</v>
      </c>
      <c r="Q10" s="71">
        <f t="shared" ref="Q10:Q22" si="9">I10-M10</f>
        <v>8276648.5653935522</v>
      </c>
    </row>
    <row r="11" spans="1:17" ht="15.6" customHeight="1" x14ac:dyDescent="0.3">
      <c r="A11" s="14" t="s">
        <v>26</v>
      </c>
      <c r="B11" s="6" t="s">
        <v>170</v>
      </c>
      <c r="D11" s="3">
        <f>SUMIF(CATEGORIAS[[#All],[SUBGRUPO]],A11,CATEGORIAS[[#All],[PRESUPUESTO
(ORIGINAL)]])</f>
        <v>179875614.88135654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180487648.97945336</v>
      </c>
      <c r="G11" s="71">
        <f>+SUMIF(CATEGORIAS[[#All],[SUBGRUPO]],A11,CATEGORIAS[[#All],[PRODUCCION
PARTIDAS
ORIGINALES
ACTUAL]])</f>
        <v>69920210.704438612</v>
      </c>
      <c r="H11" s="71">
        <f>+SUMIF(CATEGORIAS[[#All],[SUBGRUPO]],A11,CATEGORIAS[[#All],[PRODUCCION
ADICIONALES
ACTUAL]])</f>
        <v>370536.65201320691</v>
      </c>
      <c r="I11" s="71">
        <f t="shared" si="5"/>
        <v>70290747.356451824</v>
      </c>
      <c r="J11" s="79"/>
      <c r="K11" s="71">
        <f>+SUMIF(CATEGORIAS[[#All],[SUBGRUPO]],A11,CATEGORIAS[[#All],[PRODUCCION
ANTERIOR]])</f>
        <v>50928692.078001246</v>
      </c>
      <c r="L11" s="71">
        <f>+SUMIF(CATEGORIAS[[#All],[SUBGRUPO]],A11,CATEGORIAS[[#All],[PRODUCCION
ADICIONALES
ANTERIOR]])</f>
        <v>826054.81423957774</v>
      </c>
      <c r="M11" s="71">
        <f t="shared" si="6"/>
        <v>51754746.892240822</v>
      </c>
      <c r="N11" s="79"/>
      <c r="O11" s="71">
        <f t="shared" si="7"/>
        <v>18991518.626437366</v>
      </c>
      <c r="P11" s="71">
        <f t="shared" si="8"/>
        <v>-455518.16222637083</v>
      </c>
      <c r="Q11" s="71">
        <f t="shared" si="9"/>
        <v>18536000.464211002</v>
      </c>
    </row>
    <row r="12" spans="1:17" ht="15" customHeight="1" x14ac:dyDescent="0.3">
      <c r="A12" s="14" t="s">
        <v>171</v>
      </c>
      <c r="B12" s="6" t="str">
        <f>VLOOKUP(A12,'Analisis por Categorias'!B:C,2,FALSE)</f>
        <v xml:space="preserve">Mecánica </v>
      </c>
      <c r="D12" s="3">
        <f>SUMIF(CATEGORIAS[[#All],[SUBGRUPO]],A12,CATEGORIAS[[#All],[PRESUPUESTO
(ORIGINAL)]])</f>
        <v>133250804.19788337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141912209.13214433</v>
      </c>
      <c r="G12" s="71">
        <f>+SUMIF(CATEGORIAS[[#All],[SUBGRUPO]],A12,CATEGORIAS[[#All],[PRODUCCION
PARTIDAS
ORIGINALES
ACTUAL]])</f>
        <v>56546059.213180274</v>
      </c>
      <c r="H12" s="71">
        <f>+SUMIF(CATEGORIAS[[#All],[SUBGRUPO]],A12,CATEGORIAS[[#All],[PRODUCCION
ADICIONALES
ACTUAL]])</f>
        <v>1300527.3648071485</v>
      </c>
      <c r="I12" s="71">
        <f t="shared" si="5"/>
        <v>57846586.577987425</v>
      </c>
      <c r="J12" s="79"/>
      <c r="K12" s="71">
        <f>+SUMIF(CATEGORIAS[[#All],[SUBGRUPO]],A12,CATEGORIAS[[#All],[PRODUCCION
ANTERIOR]])</f>
        <v>38060530.460938185</v>
      </c>
      <c r="L12" s="71">
        <f>+SUMIF(CATEGORIAS[[#All],[SUBGRUPO]],A12,CATEGORIAS[[#All],[PRODUCCION
ADICIONALES
ANTERIOR]])</f>
        <v>891589.72205971438</v>
      </c>
      <c r="M12" s="71">
        <f t="shared" si="6"/>
        <v>38952120.182997897</v>
      </c>
      <c r="N12" s="79"/>
      <c r="O12" s="71">
        <f t="shared" si="7"/>
        <v>18485528.752242088</v>
      </c>
      <c r="P12" s="71">
        <f t="shared" si="8"/>
        <v>408937.64274743409</v>
      </c>
      <c r="Q12" s="71">
        <f t="shared" si="9"/>
        <v>18894466.394989528</v>
      </c>
    </row>
    <row r="13" spans="1:17" ht="15" customHeight="1" x14ac:dyDescent="0.3">
      <c r="A13" s="14" t="s">
        <v>173</v>
      </c>
      <c r="B13" s="6" t="str">
        <f>VLOOKUP(A13,'Analisis por Categorias'!B:C,2,FALSE)</f>
        <v xml:space="preserve">Cañería </v>
      </c>
      <c r="D13" s="3">
        <f>SUMIF(CATEGORIAS[[#All],[SUBGRUPO]],A13,CATEGORIAS[[#All],[PRESUPUESTO
(ORIGINAL)]])</f>
        <v>473970382.63622206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491658024.79547954</v>
      </c>
      <c r="G13" s="71">
        <f>+SUMIF(CATEGORIAS[[#All],[SUBGRUPO]],A13,CATEGORIAS[[#All],[PRODUCCION
PARTIDAS
ORIGINALES
ACTUAL]])</f>
        <v>200477522.21468493</v>
      </c>
      <c r="H13" s="71">
        <f>+SUMIF(CATEGORIAS[[#All],[SUBGRUPO]],A13,CATEGORIAS[[#All],[PRODUCCION
ADICIONALES
ACTUAL]])</f>
        <v>416727.75847269082</v>
      </c>
      <c r="I13" s="71">
        <f t="shared" si="5"/>
        <v>200894249.97315761</v>
      </c>
      <c r="J13" s="79"/>
      <c r="K13" s="71">
        <f>+SUMIF(CATEGORIAS[[#All],[SUBGRUPO]],A13,CATEGORIAS[[#All],[PRODUCCION
ANTERIOR]])</f>
        <v>102428142.50308941</v>
      </c>
      <c r="L13" s="71">
        <f>+SUMIF(CATEGORIAS[[#All],[SUBGRUPO]],A13,CATEGORIAS[[#All],[PRODUCCION
ADICIONALES
ANTERIOR]])</f>
        <v>416727.75847269082</v>
      </c>
      <c r="M13" s="71">
        <f t="shared" si="6"/>
        <v>102844870.26156211</v>
      </c>
      <c r="N13" s="79"/>
      <c r="O13" s="71">
        <f t="shared" si="7"/>
        <v>98049379.71159552</v>
      </c>
      <c r="P13" s="71">
        <f t="shared" si="8"/>
        <v>0</v>
      </c>
      <c r="Q13" s="71">
        <f t="shared" si="9"/>
        <v>98049379.711595505</v>
      </c>
    </row>
    <row r="14" spans="1:17" ht="15" customHeight="1" x14ac:dyDescent="0.3">
      <c r="A14" s="14" t="s">
        <v>175</v>
      </c>
      <c r="B14" s="6" t="str">
        <f>VLOOKUP(A14,'Analisis por Categorias'!B:C,2,FALSE)</f>
        <v>Electricidad &amp; Instrumentación</v>
      </c>
      <c r="D14" s="3">
        <f>SUMIF(CATEGORIAS[[#All],[SUBGRUPO]],A14,CATEGORIAS[[#All],[PRESUPUESTO
(ORIGINAL)]])</f>
        <v>387994980.99048454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399730796.30896646</v>
      </c>
      <c r="G14" s="71">
        <f>+SUMIF(CATEGORIAS[[#All],[SUBGRUPO]],A14,CATEGORIAS[[#All],[PRODUCCION
PARTIDAS
ORIGINALES
ACTUAL]])</f>
        <v>49962829.023946315</v>
      </c>
      <c r="H14" s="71">
        <f>+SUMIF(CATEGORIAS[[#All],[SUBGRUPO]],A14,CATEGORIAS[[#All],[PRODUCCION
ADICIONALES
ACTUAL]])</f>
        <v>162108.68124402495</v>
      </c>
      <c r="I14" s="71">
        <f t="shared" si="5"/>
        <v>50124937.705190338</v>
      </c>
      <c r="J14" s="79"/>
      <c r="K14" s="71">
        <f>+SUMIF(CATEGORIAS[[#All],[SUBGRUPO]],A14,CATEGORIAS[[#All],[PRODUCCION
ANTERIOR]])</f>
        <v>24524012.98146411</v>
      </c>
      <c r="L14" s="71">
        <f>+SUMIF(CATEGORIAS[[#All],[SUBGRUPO]],A14,CATEGORIAS[[#All],[PRODUCCION
ADICIONALES
ANTERIOR]])</f>
        <v>162108.68124402495</v>
      </c>
      <c r="M14" s="71">
        <f t="shared" si="6"/>
        <v>24686121.662708133</v>
      </c>
      <c r="N14" s="79"/>
      <c r="O14" s="71">
        <f t="shared" si="7"/>
        <v>25438816.042482205</v>
      </c>
      <c r="P14" s="71">
        <f t="shared" si="8"/>
        <v>0</v>
      </c>
      <c r="Q14" s="71">
        <f t="shared" si="9"/>
        <v>25438816.042482205</v>
      </c>
    </row>
    <row r="15" spans="1:17" ht="17.45" customHeight="1" x14ac:dyDescent="0.3">
      <c r="A15" s="14" t="s">
        <v>177</v>
      </c>
      <c r="B15" s="6" t="str">
        <f>VLOOKUP(A15,'Analisis por Categorias'!B:C,2,FALSE)</f>
        <v xml:space="preserve">Aislación </v>
      </c>
      <c r="D15" s="3">
        <f>SUMIF(CATEGORIAS[[#All],[SUBGRUPO]],A15,CATEGORIAS[[#All],[PRESUPUESTO
(ORIGINAL)]])</f>
        <v>25004642.625492588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25004642.625492588</v>
      </c>
      <c r="G15" s="71">
        <f>+SUMIF(CATEGORIAS[[#All],[SUBGRUPO]],A15,CATEGORIAS[[#All],[PRODUCCION
PARTIDAS
ORIGINALES
ACTUAL]])</f>
        <v>0</v>
      </c>
      <c r="H15" s="71">
        <f>+SUMIF(CATEGORIAS[[#All],[SUBGRUPO]],A15,CATEGORIAS[[#All],[PRODUCCION
ADICIONALES
ACTUAL]])</f>
        <v>0</v>
      </c>
      <c r="I15" s="71">
        <f t="shared" si="5"/>
        <v>0</v>
      </c>
      <c r="J15" s="79"/>
      <c r="K15" s="71">
        <f>+SUMIF(CATEGORIAS[[#All],[SUBGRUPO]],A15,CATEGORIAS[[#All],[PRODUCCION
ANTERIOR]])</f>
        <v>13932771.378551349</v>
      </c>
      <c r="L15" s="71">
        <f>+SUMIF(CATEGORIAS[[#All],[SUBGRUPO]],A15,CATEGORIAS[[#All],[PRODUCCION
ADICIONALES
ANTERIOR]])</f>
        <v>0</v>
      </c>
      <c r="M15" s="71">
        <f t="shared" si="6"/>
        <v>13932771.378551349</v>
      </c>
      <c r="N15" s="79"/>
      <c r="O15" s="71">
        <f t="shared" si="7"/>
        <v>-13932771.378551349</v>
      </c>
      <c r="P15" s="71">
        <f t="shared" si="8"/>
        <v>0</v>
      </c>
      <c r="Q15" s="71">
        <f t="shared" si="9"/>
        <v>-13932771.378551349</v>
      </c>
    </row>
    <row r="16" spans="1:17" ht="15" customHeight="1" x14ac:dyDescent="0.3">
      <c r="A16" s="14" t="s">
        <v>178</v>
      </c>
      <c r="B16" s="6" t="str">
        <f>VLOOKUP(A16,'Analisis por Categorias'!B:C,2,FALSE)</f>
        <v xml:space="preserve">Caldera 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</f>
        <v>0</v>
      </c>
      <c r="H16" s="71">
        <f>+SUMIF(CATEGORIAS[[#All],[SUBGRUPO]],A16,CATEGORIAS[[#All],[PRODUCCION
ADICIONALES
ACTUAL]])</f>
        <v>0</v>
      </c>
      <c r="I16" s="71">
        <f t="shared" si="5"/>
        <v>0</v>
      </c>
      <c r="J16" s="79"/>
      <c r="K16" s="71">
        <f>+SUMIF(CATEGORIAS[[#All],[SUBGRUPO]],A16,CATEGORIAS[[#All],[PRODUCCION
ANTERIOR]])</f>
        <v>0</v>
      </c>
      <c r="L16" s="71">
        <f>+SUMIF(CATEGORIAS[[#All],[SUBGRUPO]],A16,CATEGORIAS[[#All],[PRODUCCION
ADICIONALES
ANTERIOR]])</f>
        <v>0</v>
      </c>
      <c r="M16" s="71">
        <f t="shared" si="6"/>
        <v>0</v>
      </c>
      <c r="N16" s="79"/>
      <c r="O16" s="71">
        <f t="shared" si="7"/>
        <v>0</v>
      </c>
      <c r="P16" s="71">
        <f t="shared" si="8"/>
        <v>0</v>
      </c>
      <c r="Q16" s="71">
        <f t="shared" si="9"/>
        <v>0</v>
      </c>
    </row>
    <row r="17" spans="1:17" ht="15" customHeight="1" x14ac:dyDescent="0.3">
      <c r="A17" s="14" t="s">
        <v>2364</v>
      </c>
      <c r="B17" s="6" t="str">
        <f>VLOOKUP(A17,'Analisis por Categorias'!B:C,2,FALSE)</f>
        <v xml:space="preserve">Andamios </v>
      </c>
      <c r="D17" s="3">
        <f>SUMIF(CATEGORIAS[[#All],[SUBGRUPO]],A17,CATEGORIAS[[#All],[PRESUPUESTO
(ORIGINAL)]])</f>
        <v>79797652.817636073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81829079.326489776</v>
      </c>
      <c r="G17" s="71">
        <f>+SUMIF(CATEGORIAS[[#All],[SUBGRUPO]],A17,CATEGORIAS[[#All],[PRODUCCION
PARTIDAS
ORIGINALES
ACTUAL]])</f>
        <v>31773307.368712675</v>
      </c>
      <c r="H17" s="71">
        <f>+SUMIF(CATEGORIAS[[#All],[SUBGRUPO]],A17,CATEGORIAS[[#All],[PRODUCCION
ADICIONALES
ACTUAL]])</f>
        <v>350658.41156238347</v>
      </c>
      <c r="I17" s="71">
        <f t="shared" si="5"/>
        <v>32123965.780275058</v>
      </c>
      <c r="J17" s="79"/>
      <c r="K17" s="71">
        <f>+SUMIF(CATEGORIAS[[#All],[SUBGRUPO]],A17,CATEGORIAS[[#All],[PRODUCCION
ANTERIOR]])</f>
        <v>21884238.891304653</v>
      </c>
      <c r="L17" s="71">
        <f>+SUMIF(CATEGORIAS[[#All],[SUBGRUPO]],A17,CATEGORIAS[[#All],[PRODUCCION
ADICIONALES
ANTERIOR]])</f>
        <v>309145.59576576325</v>
      </c>
      <c r="M17" s="71">
        <f t="shared" si="6"/>
        <v>22193384.487070415</v>
      </c>
      <c r="N17" s="79"/>
      <c r="O17" s="71">
        <f t="shared" si="7"/>
        <v>9889068.4774080217</v>
      </c>
      <c r="P17" s="71">
        <f t="shared" si="8"/>
        <v>41512.815796620212</v>
      </c>
      <c r="Q17" s="71">
        <f t="shared" si="9"/>
        <v>9930581.2932046428</v>
      </c>
    </row>
    <row r="18" spans="1:17" ht="15" customHeight="1" x14ac:dyDescent="0.3">
      <c r="A18" s="14" t="s">
        <v>2444</v>
      </c>
      <c r="B18" s="6" t="str">
        <f>VLOOKUP(A18,'Analisis por Categorias'!B:C,2,FALSE)</f>
        <v xml:space="preserve">Ductos </v>
      </c>
      <c r="D18" s="3">
        <f>SUMIF(CATEGORIAS[[#All],[SUBGRUPO]],A18,CATEGORIAS[[#All],[PRESUPUESTO
(ORIGINAL)]])</f>
        <v>0</v>
      </c>
      <c r="E18" s="3">
        <f>+SUMIF(CATEGORIAS[[#All],[SUBGRUPO]],A18,CATEGORIAS[[#All],[PRODUCCION
PARTIDAS
ORIGINALES
ACTUAL]])
+SUMIF(CATEGORIAS[[#All],[SUBGRUPO]],A18,CATEGORIAS[[#All],[PRODUCCION
ADICIONALES
ACTUAL]])
+SUMIF(CATEGORIAS[[#All],[SUBGRUPO]],A18,CATEGORIAS[[#All],[PROYECCION
DE INGRESO
DEL SALDO]])</f>
        <v>0</v>
      </c>
      <c r="G18" s="71">
        <f>+SUMIF(CATEGORIAS[[#All],[SUBGRUPO]],A18,CATEGORIAS[[#All],[PRODUCCION
PARTIDAS
ORIGINALES
ACTUAL]])</f>
        <v>0</v>
      </c>
      <c r="H18" s="71">
        <f>+SUMIF(CATEGORIAS[[#All],[SUBGRUPO]],A18,CATEGORIAS[[#All],[PRODUCCION
ADICIONALES
ACTUAL]])</f>
        <v>0</v>
      </c>
      <c r="I18" s="71">
        <f t="shared" si="5"/>
        <v>0</v>
      </c>
      <c r="J18" s="79"/>
      <c r="K18" s="71">
        <f>+SUMIF(CATEGORIAS[[#All],[SUBGRUPO]],A18,CATEGORIAS[[#All],[PRODUCCION
ANTERIOR]])</f>
        <v>0</v>
      </c>
      <c r="L18" s="71">
        <f>+SUMIF(CATEGORIAS[[#All],[SUBGRUPO]],A18,CATEGORIAS[[#All],[PRODUCCION
ADICIONALES
ANTERIOR]])</f>
        <v>0</v>
      </c>
      <c r="M18" s="71">
        <f t="shared" si="6"/>
        <v>0</v>
      </c>
      <c r="N18" s="79"/>
      <c r="O18" s="71">
        <f t="shared" si="7"/>
        <v>0</v>
      </c>
      <c r="P18" s="71">
        <f t="shared" si="8"/>
        <v>0</v>
      </c>
      <c r="Q18" s="71">
        <f t="shared" si="9"/>
        <v>0</v>
      </c>
    </row>
    <row r="19" spans="1:17" ht="15" customHeight="1" x14ac:dyDescent="0.3">
      <c r="A19" s="14" t="s">
        <v>2445</v>
      </c>
      <c r="B19" s="6" t="str">
        <f>VLOOKUP(A19,'Analisis por Categorias'!B:C,2,FALSE)</f>
        <v xml:space="preserve">Comisionamiento </v>
      </c>
      <c r="D19" s="3">
        <f>SUMIF(CATEGORIAS[[#All],[SUBGRUPO]],A19,CATEGORIAS[[#All],[PRESUPUESTO
(ORIGINAL)]])</f>
        <v>0</v>
      </c>
      <c r="E19" s="3">
        <f>+SUMIF(CATEGORIAS[[#All],[SUBGRUPO]],A19,CATEGORIAS[[#All],[PRODUCCION
PARTIDAS
ORIGINALES
ACTUAL]])
+SUMIF(CATEGORIAS[[#All],[SUBGRUPO]],A19,CATEGORIAS[[#All],[PRODUCCION
ADICIONALES
ACTUAL]])
+SUMIF(CATEGORIAS[[#All],[SUBGRUPO]],A19,CATEGORIAS[[#All],[PROYECCION
DE INGRESO
DEL SALDO]])</f>
        <v>0</v>
      </c>
      <c r="G19" s="71">
        <f>+SUMIF(CATEGORIAS[[#All],[SUBGRUPO]],A19,CATEGORIAS[[#All],[PRODUCCION
PARTIDAS
ORIGINALES
ACTUAL]])</f>
        <v>0</v>
      </c>
      <c r="H19" s="71">
        <f>+SUMIF(CATEGORIAS[[#All],[SUBGRUPO]],A19,CATEGORIAS[[#All],[PRODUCCION
ADICIONALES
ACTUAL]])</f>
        <v>0</v>
      </c>
      <c r="I19" s="71">
        <f t="shared" si="5"/>
        <v>0</v>
      </c>
      <c r="J19" s="79"/>
      <c r="K19" s="71">
        <f>+SUMIF(CATEGORIAS[[#All],[SUBGRUPO]],A19,CATEGORIAS[[#All],[PRODUCCION
ANTERIOR]])</f>
        <v>0</v>
      </c>
      <c r="L19" s="71">
        <f>+SUMIF(CATEGORIAS[[#All],[SUBGRUPO]],A19,CATEGORIAS[[#All],[PRODUCCION
ADICIONALES
ANTERIOR]])</f>
        <v>0</v>
      </c>
      <c r="M19" s="71">
        <f t="shared" si="6"/>
        <v>0</v>
      </c>
      <c r="N19" s="79"/>
      <c r="O19" s="71">
        <f t="shared" si="7"/>
        <v>0</v>
      </c>
      <c r="P19" s="71">
        <f t="shared" si="8"/>
        <v>0</v>
      </c>
      <c r="Q19" s="71">
        <f t="shared" si="9"/>
        <v>0</v>
      </c>
    </row>
    <row r="20" spans="1:17" ht="15" customHeight="1" x14ac:dyDescent="0.3">
      <c r="A20" s="14" t="s">
        <v>2446</v>
      </c>
      <c r="B20" s="6" t="str">
        <f>VLOOKUP(A20,'Analisis por Categorias'!B:C,2,FALSE)</f>
        <v>Arquitectura</v>
      </c>
      <c r="D20" s="3">
        <f>SUMIF(CATEGORIAS[[#All],[SUBGRUPO]],A20,CATEGORIAS[[#All],[PRESUPUESTO
(ORIGINAL)]])</f>
        <v>0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0</v>
      </c>
      <c r="G20" s="71">
        <f>+SUMIF(CATEGORIAS[[#All],[SUBGRUPO]],A20,CATEGORIAS[[#All],[PRODUCCION
PARTIDAS
ORIGINALES
ACTUAL]])</f>
        <v>0</v>
      </c>
      <c r="H20" s="71">
        <f>+SUMIF(CATEGORIAS[[#All],[SUBGRUPO]],A20,CATEGORIAS[[#All],[PRODUCCION
ADICIONALES
ACTUAL]])</f>
        <v>0</v>
      </c>
      <c r="I20" s="71">
        <f t="shared" si="5"/>
        <v>0</v>
      </c>
      <c r="J20" s="79"/>
      <c r="K20" s="71">
        <f>+SUMIF(CATEGORIAS[[#All],[SUBGRUPO]],A20,CATEGORIAS[[#All],[PRODUCCION
ANTERIOR]])</f>
        <v>0</v>
      </c>
      <c r="L20" s="71">
        <f>+SUMIF(CATEGORIAS[[#All],[SUBGRUPO]],A20,CATEGORIAS[[#All],[PRODUCCION
ADICIONALES
ANTERIOR]])</f>
        <v>0</v>
      </c>
      <c r="M20" s="71">
        <f t="shared" si="6"/>
        <v>0</v>
      </c>
      <c r="N20" s="79"/>
      <c r="O20" s="71">
        <f t="shared" si="7"/>
        <v>0</v>
      </c>
      <c r="P20" s="71">
        <f t="shared" si="8"/>
        <v>0</v>
      </c>
      <c r="Q20" s="71">
        <f t="shared" si="9"/>
        <v>0</v>
      </c>
    </row>
    <row r="21" spans="1:17" ht="15" customHeight="1" x14ac:dyDescent="0.3">
      <c r="A21" s="14" t="s">
        <v>2447</v>
      </c>
      <c r="B21" s="6" t="str">
        <f>VLOOKUP(A21,'Analisis por Categorias'!B:C,2,FALSE)</f>
        <v xml:space="preserve">Estanque 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</f>
        <v>0</v>
      </c>
      <c r="H21" s="71">
        <f>+SUMIF(CATEGORIAS[[#All],[SUBGRUPO]],A21,CATEGORIAS[[#All],[PRODUCCION
ADICIONALES
ACTUAL]])</f>
        <v>0</v>
      </c>
      <c r="I21" s="71">
        <f t="shared" si="5"/>
        <v>0</v>
      </c>
      <c r="J21" s="79"/>
      <c r="K21" s="71">
        <f>+SUMIF(CATEGORIAS[[#All],[SUBGRUPO]],A21,CATEGORIAS[[#All],[PRODUCCION
ANTERIOR]])</f>
        <v>0</v>
      </c>
      <c r="L21" s="71">
        <f>+SUMIF(CATEGORIAS[[#All],[SUBGRUPO]],A21,CATEGORIAS[[#All],[PRODUCCION
ADICIONALES
ANTERIOR]])</f>
        <v>0</v>
      </c>
      <c r="M21" s="71">
        <f t="shared" si="6"/>
        <v>0</v>
      </c>
      <c r="N21" s="79"/>
      <c r="O21" s="71">
        <f t="shared" si="7"/>
        <v>0</v>
      </c>
      <c r="P21" s="71">
        <f t="shared" si="8"/>
        <v>0</v>
      </c>
      <c r="Q21" s="71">
        <f t="shared" si="9"/>
        <v>0</v>
      </c>
    </row>
    <row r="22" spans="1:17" ht="15" customHeight="1" x14ac:dyDescent="0.3">
      <c r="A22" s="14" t="s">
        <v>2448</v>
      </c>
      <c r="B22" s="6" t="s">
        <v>408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</f>
        <v>0</v>
      </c>
      <c r="H22" s="71">
        <f>+SUMIF(CATEGORIAS[[#All],[SUBGRUPO]],A22,CATEGORIAS[[#All],[PRODUCCION
ADICIONALES
ACTUAL]])</f>
        <v>0</v>
      </c>
      <c r="I22" s="71">
        <f t="shared" si="5"/>
        <v>0</v>
      </c>
      <c r="J22" s="79"/>
      <c r="K22" s="71">
        <f>+SUMIF(CATEGORIAS[[#All],[SUBGRUPO]],A22,CATEGORIAS[[#All],[PRODUCCION
ANTERIOR]])</f>
        <v>0</v>
      </c>
      <c r="L22" s="71">
        <f>+SUMIF(CATEGORIAS[[#All],[SUBGRUPO]],A22,CATEGORIAS[[#All],[PRODUCCION
ADICIONALES
ANTERIOR]])</f>
        <v>0</v>
      </c>
      <c r="M22" s="71">
        <f t="shared" si="6"/>
        <v>0</v>
      </c>
      <c r="N22" s="79"/>
      <c r="O22" s="71">
        <f t="shared" si="7"/>
        <v>0</v>
      </c>
      <c r="P22" s="71">
        <f t="shared" si="8"/>
        <v>0</v>
      </c>
      <c r="Q22" s="71">
        <f t="shared" si="9"/>
        <v>0</v>
      </c>
    </row>
    <row r="23" spans="1:17" ht="8.25" customHeight="1" x14ac:dyDescent="0.3">
      <c r="J23" s="79"/>
      <c r="N23" s="79"/>
    </row>
    <row r="24" spans="1:17" ht="15" customHeight="1" x14ac:dyDescent="0.3">
      <c r="A24" s="14" t="s">
        <v>179</v>
      </c>
      <c r="B24" s="81" t="s">
        <v>180</v>
      </c>
      <c r="D24" s="82">
        <f>SUM(D25:D36)</f>
        <v>455675553.39120007</v>
      </c>
      <c r="E24" s="82">
        <f>SUM(E25:E36)</f>
        <v>484453453.90711045</v>
      </c>
      <c r="G24" s="83">
        <f>SUM(G25:G35)</f>
        <v>171057462.12349999</v>
      </c>
      <c r="H24" s="83">
        <f>SUM(H25:H35)</f>
        <v>8110297.1509752376</v>
      </c>
      <c r="I24" s="83">
        <f>SUM(I25:I35)</f>
        <v>179167759.27447525</v>
      </c>
      <c r="J24" s="79"/>
      <c r="K24" s="83">
        <f>SUM(K25:K35)</f>
        <v>119419412.9465</v>
      </c>
      <c r="L24" s="83">
        <f>SUM(L25:L35)</f>
        <v>7866779.4462520238</v>
      </c>
      <c r="M24" s="83">
        <f>SUM(M25:M35)</f>
        <v>127286192.39275202</v>
      </c>
      <c r="N24" s="79"/>
      <c r="O24" s="83">
        <f>SUM(O25:O35)</f>
        <v>51638049.177000009</v>
      </c>
      <c r="P24" s="83">
        <f>SUM(P25:P35)</f>
        <v>243517.70472321403</v>
      </c>
      <c r="Q24" s="83">
        <f>SUM(Q25:Q35)</f>
        <v>51881566.881723225</v>
      </c>
    </row>
    <row r="25" spans="1:17" ht="15" customHeight="1" x14ac:dyDescent="0.3">
      <c r="A25" s="14" t="s">
        <v>30</v>
      </c>
      <c r="B25" s="6" t="str">
        <f>VLOOKUP(A25,'Analisis por Categorias'!B:C,2,FALSE)</f>
        <v xml:space="preserve">Civil  </v>
      </c>
      <c r="D25" s="3">
        <f>SUMIF(CATEGORIAS[[#All],[SUBGRUPO]],A25,CATEGORIAS[[#All],[PRESUPUESTO
(ORIGINAL)]])</f>
        <v>64602231.871699996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80014991.922130093</v>
      </c>
      <c r="G25" s="71">
        <f>+SUMIF(CATEGORIAS[[#All],[SUBGRUPO]],A25,CATEGORIAS[[#All],[PRODUCCION
PARTIDAS
ORIGINALES
ACTUAL]])</f>
        <v>26331435.449200004</v>
      </c>
      <c r="H25" s="71">
        <f>+SUMIF(CATEGORIAS[[#All],[SUBGRUPO]],A25,CATEGORIAS[[#All],[PRODUCCION
ADICIONALES
ACTUAL]])</f>
        <v>0</v>
      </c>
      <c r="I25" s="85">
        <f t="shared" ref="I25:I36" si="10">G25+H25</f>
        <v>26331435.449200004</v>
      </c>
      <c r="J25" s="79"/>
      <c r="K25" s="71">
        <f>+SUMIF(CATEGORIAS[[#All],[SUBGRUPO]],A25,CATEGORIAS[[#All],[PRODUCCION
ANTERIOR]])</f>
        <v>22985889.603700001</v>
      </c>
      <c r="L25" s="71">
        <f>+SUMIF(CATEGORIAS[[#All],[SUBGRUPO]],A25,CATEGORIAS[[#All],[PRODUCCION
ADICIONALES
ANTERIOR]])</f>
        <v>16078.891530963847</v>
      </c>
      <c r="M25" s="71">
        <f t="shared" ref="M25:M36" si="11">K25+L25</f>
        <v>23001968.495230965</v>
      </c>
      <c r="N25" s="79"/>
      <c r="O25" s="71">
        <f t="shared" ref="O25:O36" si="12">G25-K25</f>
        <v>3345545.8455000035</v>
      </c>
      <c r="P25" s="71">
        <f t="shared" ref="P25:P36" si="13">H25-L25</f>
        <v>-16078.891530963847</v>
      </c>
      <c r="Q25" s="71">
        <f t="shared" ref="Q25:Q36" si="14">I25-M25</f>
        <v>3329466.953969039</v>
      </c>
    </row>
    <row r="26" spans="1:17" ht="14.45" customHeight="1" x14ac:dyDescent="0.3">
      <c r="A26" s="14" t="s">
        <v>31</v>
      </c>
      <c r="B26" s="6" t="str">
        <f>VLOOKUP(A26,'Analisis por Categorias'!B:C,2,FALSE)</f>
        <v xml:space="preserve">Estructura </v>
      </c>
      <c r="D26" s="3">
        <f>SUMIF(CATEGORIAS[[#All],[SUBGRUPO]],A26,CATEGORIAS[[#All],[PRESUPUESTO
(ORIGINAL)]])</f>
        <v>53940890.952500001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53972095.138021633</v>
      </c>
      <c r="G26" s="71">
        <f>+SUMIF(CATEGORIAS[[#All],[SUBGRUPO]],A26,CATEGORIAS[[#All],[PRODUCCION
PARTIDAS
ORIGINALES
ACTUAL]])</f>
        <v>23544617.665099997</v>
      </c>
      <c r="H26" s="71">
        <f>+SUMIF(CATEGORIAS[[#All],[SUBGRUPO]],A26,CATEGORIAS[[#All],[PRODUCCION
ADICIONALES
ACTUAL]])</f>
        <v>19435.155521633649</v>
      </c>
      <c r="I26" s="85">
        <f t="shared" si="10"/>
        <v>23564052.820621632</v>
      </c>
      <c r="J26" s="79"/>
      <c r="K26" s="71">
        <f>+SUMIF(CATEGORIAS[[#All],[SUBGRUPO]],A26,CATEGORIAS[[#All],[PRODUCCION
ANTERIOR]])</f>
        <v>21511083.1468</v>
      </c>
      <c r="L26" s="71">
        <f>+SUMIF(CATEGORIAS[[#All],[SUBGRUPO]],A26,CATEGORIAS[[#All],[PRODUCCION
ADICIONALES
ANTERIOR]])</f>
        <v>27279.986667455803</v>
      </c>
      <c r="M26" s="85">
        <f t="shared" si="11"/>
        <v>21538363.133467454</v>
      </c>
      <c r="N26" s="79"/>
      <c r="O26" s="85">
        <f t="shared" si="12"/>
        <v>2033534.5182999969</v>
      </c>
      <c r="P26" s="71">
        <f t="shared" si="13"/>
        <v>-7844.8311458221542</v>
      </c>
      <c r="Q26" s="71">
        <f t="shared" si="14"/>
        <v>2025689.6871541776</v>
      </c>
    </row>
    <row r="27" spans="1:17" ht="14.45" customHeight="1" x14ac:dyDescent="0.3">
      <c r="A27" s="14" t="s">
        <v>181</v>
      </c>
      <c r="B27" s="6" t="str">
        <f>VLOOKUP(A27,'Analisis por Categorias'!B:C,2,FALSE)</f>
        <v xml:space="preserve">Aislación </v>
      </c>
      <c r="D27" s="3">
        <f>SUMIF(CATEGORIAS[[#All],[SUBGRUPO]],A27,CATEGORIAS[[#All],[PRESUPUESTO
(ORIGINAL)]])</f>
        <v>18524724.390000001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18524724.390000001</v>
      </c>
      <c r="G27" s="71">
        <f>+SUMIF(CATEGORIAS[[#All],[SUBGRUPO]],A27,CATEGORIAS[[#All],[PRODUCCION
PARTIDAS
ORIGINALES
ACTUAL]])</f>
        <v>15433050</v>
      </c>
      <c r="H27" s="71">
        <f>+SUMIF(CATEGORIAS[[#All],[SUBGRUPO]],A27,CATEGORIAS[[#All],[PRODUCCION
ADICIONALES
ACTUAL]])</f>
        <v>0</v>
      </c>
      <c r="I27" s="85">
        <f t="shared" si="10"/>
        <v>15433050</v>
      </c>
      <c r="J27" s="79"/>
      <c r="K27" s="71">
        <f>+SUMIF(CATEGORIAS[[#All],[SUBGRUPO]],A27,CATEGORIAS[[#All],[PRODUCCION
ANTERIOR]])</f>
        <v>15433050</v>
      </c>
      <c r="L27" s="71">
        <f>+SUMIF(CATEGORIAS[[#All],[SUBGRUPO]],A27,CATEGORIAS[[#All],[PRODUCCION
ADICIONALES
ANTERIOR]])</f>
        <v>0</v>
      </c>
      <c r="M27" s="85">
        <f t="shared" si="11"/>
        <v>15433050</v>
      </c>
      <c r="N27" s="79"/>
      <c r="O27" s="85">
        <f t="shared" si="12"/>
        <v>0</v>
      </c>
      <c r="P27" s="71">
        <f t="shared" si="13"/>
        <v>0</v>
      </c>
      <c r="Q27" s="71">
        <f t="shared" si="14"/>
        <v>0</v>
      </c>
    </row>
    <row r="28" spans="1:17" ht="15" customHeight="1" x14ac:dyDescent="0.3">
      <c r="A28" s="14" t="s">
        <v>182</v>
      </c>
      <c r="B28" s="6" t="str">
        <f>VLOOKUP(A28,'Analisis por Categorias'!B:C,2,FALSE)</f>
        <v xml:space="preserve">Mecánica </v>
      </c>
      <c r="D28" s="3">
        <f>SUMIF(CATEGORIAS[[#All],[SUBGRUPO]],A28,CATEGORIAS[[#All],[PRESUPUESTO
(ORIGINAL)]])</f>
        <v>65364960.930500001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67762997.860876352</v>
      </c>
      <c r="G28" s="71">
        <f>+SUMIF(CATEGORIAS[[#All],[SUBGRUPO]],A28,CATEGORIAS[[#All],[PRODUCCION
PARTIDAS
ORIGINALES
ACTUAL]])</f>
        <v>20727924.5484</v>
      </c>
      <c r="H28" s="71">
        <f>+SUMIF(CATEGORIAS[[#All],[SUBGRUPO]],A28,CATEGORIAS[[#All],[PRODUCCION
ADICIONALES
ACTUAL]])</f>
        <v>777857.85832634743</v>
      </c>
      <c r="I28" s="85">
        <f t="shared" si="10"/>
        <v>21505782.406726345</v>
      </c>
      <c r="J28" s="79"/>
      <c r="K28" s="71">
        <f>+SUMIF(CATEGORIAS[[#All],[SUBGRUPO]],A28,CATEGORIAS[[#All],[PRODUCCION
ANTERIOR]])</f>
        <v>11796117.76</v>
      </c>
      <c r="L28" s="71">
        <f>+SUMIF(CATEGORIAS[[#All],[SUBGRUPO]],A28,CATEGORIAS[[#All],[PRODUCCION
ADICIONALES
ANTERIOR]])</f>
        <v>510416.43092634738</v>
      </c>
      <c r="M28" s="71">
        <f t="shared" si="11"/>
        <v>12306534.190926347</v>
      </c>
      <c r="N28" s="79"/>
      <c r="O28" s="71">
        <f t="shared" si="12"/>
        <v>8931806.7884</v>
      </c>
      <c r="P28" s="71">
        <f t="shared" si="13"/>
        <v>267441.42740000004</v>
      </c>
      <c r="Q28" s="71">
        <f t="shared" si="14"/>
        <v>9199248.2157999985</v>
      </c>
    </row>
    <row r="29" spans="1:17" ht="15" customHeight="1" x14ac:dyDescent="0.3">
      <c r="A29" s="14" t="s">
        <v>183</v>
      </c>
      <c r="B29" s="6" t="str">
        <f>VLOOKUP(A29,'Analisis por Categorias'!B:C,2,FALSE)</f>
        <v xml:space="preserve">Cañería </v>
      </c>
      <c r="D29" s="3">
        <f>SUMIF(CATEGORIAS[[#All],[SUBGRUPO]],A29,CATEGORIAS[[#All],[PRESUPUESTO
(ORIGINAL)]])</f>
        <v>137998078.26400003</v>
      </c>
      <c r="E29" s="3">
        <f>+SUMIF(CATEGORIAS[[#All],[SUBGRUPO]],A29,CATEGORIAS[[#All],[PRODUCCION
PARTIDAS
ORIGINALES
ACTUAL]])
+SUMIF(CATEGORIAS[[#All],[SUBGRUPO]],A29,CATEGORIAS[[#All],[PRODUCCION
ADICIONALES
ACTUAL]])
+SUMIF(CATEGORIAS[[#All],[SUBGRUPO]],A29,CATEGORIAS[[#All],[PROYECCION
DE INGRESO
DEL SALDO]])</f>
        <v>141119778.0112316</v>
      </c>
      <c r="G29" s="71">
        <f>+SUMIF(CATEGORIAS[[#All],[SUBGRUPO]],A29,CATEGORIAS[[#All],[PRODUCCION
PARTIDAS
ORIGINALES
ACTUAL]])</f>
        <v>64576868.467500001</v>
      </c>
      <c r="H29" s="71">
        <f>+SUMIF(CATEGORIAS[[#All],[SUBGRUPO]],A29,CATEGORIAS[[#All],[PRODUCCION
ADICIONALES
ACTUAL]])</f>
        <v>1895643.0617031751</v>
      </c>
      <c r="I29" s="85">
        <f t="shared" si="10"/>
        <v>66472511.529203176</v>
      </c>
      <c r="J29" s="79"/>
      <c r="K29" s="71">
        <f>+SUMIF(CATEGORIAS[[#All],[SUBGRUPO]],A29,CATEGORIAS[[#All],[PRODUCCION
ANTERIOR]])</f>
        <v>36384956.666599996</v>
      </c>
      <c r="L29" s="71">
        <f>+SUMIF(CATEGORIAS[[#All],[SUBGRUPO]],A29,CATEGORIAS[[#All],[PRODUCCION
ADICIONALES
ANTERIOR]])</f>
        <v>1895643.0617031751</v>
      </c>
      <c r="M29" s="85">
        <f t="shared" si="11"/>
        <v>38280599.728303172</v>
      </c>
      <c r="N29" s="79"/>
      <c r="O29" s="85">
        <f t="shared" si="12"/>
        <v>28191911.800900005</v>
      </c>
      <c r="P29" s="71">
        <f t="shared" si="13"/>
        <v>0</v>
      </c>
      <c r="Q29" s="71">
        <f t="shared" si="14"/>
        <v>28191911.800900005</v>
      </c>
    </row>
    <row r="30" spans="1:17" ht="15" customHeight="1" x14ac:dyDescent="0.3">
      <c r="A30" s="14" t="s">
        <v>2375</v>
      </c>
      <c r="B30" s="6" t="str">
        <f>VLOOKUP(A30,'Analisis por Categorias'!B:C,2,FALSE)</f>
        <v>Electricidad &amp; Instrumentación</v>
      </c>
      <c r="D30" s="3">
        <f>SUMIF(CATEGORIAS[[#All],[SUBGRUPO]],A30,CATEGORIAS[[#All],[PRESUPUESTO
(ORIGINAL)]])</f>
        <v>115244666.9825</v>
      </c>
      <c r="E30" s="3">
        <f>+SUMIF(CATEGORIAS[[#All],[SUBGRUPO]],A30,CATEGORIAS[[#All],[PRODUCCION
PARTIDAS
ORIGINALES
ACTUAL]])
+SUMIF(CATEGORIAS[[#All],[SUBGRUPO]],A30,CATEGORIAS[[#All],[PRODUCCION
ADICIONALES
ACTUAL]])
+SUMIF(CATEGORIAS[[#All],[SUBGRUPO]],A30,CATEGORIAS[[#All],[PROYECCION
DE INGRESO
DEL SALDO]])</f>
        <v>123058866.58485076</v>
      </c>
      <c r="G30" s="71">
        <f>+SUMIF(CATEGORIAS[[#All],[SUBGRUPO]],A30,CATEGORIAS[[#All],[PRODUCCION
PARTIDAS
ORIGINALES
ACTUAL]])</f>
        <v>20443565.993300006</v>
      </c>
      <c r="H30" s="71">
        <f>+SUMIF(CATEGORIAS[[#All],[SUBGRUPO]],A30,CATEGORIAS[[#All],[PRODUCCION
ADICIONALES
ACTUAL]])</f>
        <v>5417361.0754240816</v>
      </c>
      <c r="I30" s="85">
        <f t="shared" si="10"/>
        <v>25860927.068724088</v>
      </c>
      <c r="J30" s="79"/>
      <c r="K30" s="71">
        <f>+SUMIF(CATEGORIAS[[#All],[SUBGRUPO]],A30,CATEGORIAS[[#All],[PRODUCCION
ANTERIOR]])</f>
        <v>11308315.769400002</v>
      </c>
      <c r="L30" s="71">
        <f>+SUMIF(CATEGORIAS[[#All],[SUBGRUPO]],A30,CATEGORIAS[[#All],[PRODUCCION
ADICIONALES
ANTERIOR]])</f>
        <v>5417361.0754240816</v>
      </c>
      <c r="M30" s="85">
        <f t="shared" si="11"/>
        <v>16725676.844824083</v>
      </c>
      <c r="N30" s="79"/>
      <c r="O30" s="85">
        <f t="shared" si="12"/>
        <v>9135250.2239000034</v>
      </c>
      <c r="P30" s="71">
        <f t="shared" si="13"/>
        <v>0</v>
      </c>
      <c r="Q30" s="71">
        <f t="shared" si="14"/>
        <v>9135250.2239000052</v>
      </c>
    </row>
    <row r="31" spans="1:17" ht="15" customHeight="1" x14ac:dyDescent="0.3">
      <c r="A31" s="14" t="s">
        <v>2376</v>
      </c>
      <c r="B31" s="6" t="str">
        <f>VLOOKUP(A31,'Analisis por Categorias'!B:C,2,FALSE)</f>
        <v xml:space="preserve">Caldera </v>
      </c>
      <c r="D31" s="3">
        <f>SUMIF(CATEGORIAS[[#All],[SUBGRUPO]],A31,CATEGORIAS[[#All],[PRESUPUESTO
(ORIGINAL)]])</f>
        <v>0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0</v>
      </c>
      <c r="G31" s="71">
        <f>+SUMIF(CATEGORIAS[[#All],[SUBGRUPO]],A31,CATEGORIAS[[#All],[PRODUCCION
PARTIDAS
ORIGINALES
ACTUAL]])</f>
        <v>0</v>
      </c>
      <c r="H31" s="71">
        <f>+SUMIF(CATEGORIAS[[#All],[SUBGRUPO]],A31,CATEGORIAS[[#All],[PRODUCCION
ADICIONALES
ACTUAL]])</f>
        <v>0</v>
      </c>
      <c r="I31" s="85">
        <f t="shared" si="10"/>
        <v>0</v>
      </c>
      <c r="J31" s="79"/>
      <c r="K31" s="71">
        <f>+SUMIF(CATEGORIAS[[#All],[SUBGRUPO]],A31,CATEGORIAS[[#All],[PRODUCCION
ANTERIOR]])</f>
        <v>0</v>
      </c>
      <c r="L31" s="71">
        <f>+SUMIF(CATEGORIAS[[#All],[SUBGRUPO]],A31,CATEGORIAS[[#All],[PRODUCCION
ADICIONALES
ANTERIOR]])</f>
        <v>0</v>
      </c>
      <c r="M31" s="85">
        <f t="shared" si="11"/>
        <v>0</v>
      </c>
      <c r="N31" s="79"/>
      <c r="O31" s="85">
        <f t="shared" si="12"/>
        <v>0</v>
      </c>
      <c r="P31" s="71">
        <f t="shared" si="13"/>
        <v>0</v>
      </c>
      <c r="Q31" s="71">
        <f t="shared" si="14"/>
        <v>0</v>
      </c>
    </row>
    <row r="32" spans="1:17" ht="15" customHeight="1" x14ac:dyDescent="0.3">
      <c r="A32" s="14" t="s">
        <v>2377</v>
      </c>
      <c r="B32" s="6" t="str">
        <f>VLOOKUP(A32,'Analisis por Categorias'!B:C,2,FALSE)</f>
        <v xml:space="preserve">Ductos </v>
      </c>
      <c r="D32" s="3">
        <f>SUMIF(CATEGORIAS[[#All],[SUBGRUPO]],A32,CATEGORIAS[[#All],[PRESUPUESTO
(ORIGINAL)]])</f>
        <v>0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0</v>
      </c>
      <c r="G32" s="71">
        <f>+SUMIF(CATEGORIAS[[#All],[SUBGRUPO]],A32,CATEGORIAS[[#All],[PRODUCCION
PARTIDAS
ORIGINALES
ACTUAL]])</f>
        <v>0</v>
      </c>
      <c r="H32" s="71">
        <f>+SUMIF(CATEGORIAS[[#All],[SUBGRUPO]],A32,CATEGORIAS[[#All],[PRODUCCION
ADICIONALES
ACTUAL]])</f>
        <v>0</v>
      </c>
      <c r="I32" s="85">
        <f t="shared" si="10"/>
        <v>0</v>
      </c>
      <c r="J32" s="79"/>
      <c r="K32" s="71">
        <f>+SUMIF(CATEGORIAS[[#All],[SUBGRUPO]],A32,CATEGORIAS[[#All],[PRODUCCION
ANTERIOR]])</f>
        <v>0</v>
      </c>
      <c r="L32" s="71">
        <f>+SUMIF(CATEGORIAS[[#All],[SUBGRUPO]],A32,CATEGORIAS[[#All],[PRODUCCION
ADICIONALES
ANTERIOR]])</f>
        <v>0</v>
      </c>
      <c r="M32" s="85">
        <f t="shared" si="11"/>
        <v>0</v>
      </c>
      <c r="N32" s="79"/>
      <c r="O32" s="85">
        <f t="shared" si="12"/>
        <v>0</v>
      </c>
      <c r="P32" s="71">
        <f t="shared" si="13"/>
        <v>0</v>
      </c>
      <c r="Q32" s="71">
        <f t="shared" si="14"/>
        <v>0</v>
      </c>
    </row>
    <row r="33" spans="1:20" ht="15" customHeight="1" x14ac:dyDescent="0.3">
      <c r="A33" s="14" t="s">
        <v>2378</v>
      </c>
      <c r="B33" s="6" t="str">
        <f>VLOOKUP(A33,'Analisis por Categorias'!B:C,2,FALSE)</f>
        <v xml:space="preserve">Estanque </v>
      </c>
      <c r="D33" s="3">
        <f>SUMIF(CATEGORIAS[[#All],[SUBGRUPO]],A33,CATEGORIAS[[#All],[PRESUPUESTO
(ORIGINAL)]])</f>
        <v>0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0</v>
      </c>
      <c r="G33" s="71">
        <f>+SUMIF(CATEGORIAS[[#All],[SUBGRUPO]],A33,CATEGORIAS[[#All],[PRODUCCION
PARTIDAS
ORIGINALES
ACTUAL]])</f>
        <v>0</v>
      </c>
      <c r="H33" s="71">
        <f>+SUMIF(CATEGORIAS[[#All],[SUBGRUPO]],A33,CATEGORIAS[[#All],[PRODUCCION
ADICIONALES
ACTUAL]])</f>
        <v>0</v>
      </c>
      <c r="I33" s="85">
        <f t="shared" si="10"/>
        <v>0</v>
      </c>
      <c r="J33" s="79"/>
      <c r="K33" s="71">
        <f>+SUMIF(CATEGORIAS[[#All],[SUBGRUPO]],A33,CATEGORIAS[[#All],[PRODUCCION
ANTERIOR]])</f>
        <v>0</v>
      </c>
      <c r="L33" s="71">
        <f>+SUMIF(CATEGORIAS[[#All],[SUBGRUPO]],A33,CATEGORIAS[[#All],[PRODUCCION
ADICIONALES
ANTERIOR]])</f>
        <v>0</v>
      </c>
      <c r="M33" s="85">
        <f t="shared" si="11"/>
        <v>0</v>
      </c>
      <c r="N33" s="79"/>
      <c r="O33" s="85">
        <f t="shared" si="12"/>
        <v>0</v>
      </c>
      <c r="P33" s="71">
        <f t="shared" si="13"/>
        <v>0</v>
      </c>
      <c r="Q33" s="71">
        <f t="shared" si="14"/>
        <v>0</v>
      </c>
    </row>
    <row r="34" spans="1:20" ht="15" customHeight="1" x14ac:dyDescent="0.3">
      <c r="A34" s="14" t="s">
        <v>2449</v>
      </c>
      <c r="B34" s="6" t="str">
        <f>VLOOKUP(A34,'Analisis por Categorias'!B:C,2,FALSE)</f>
        <v>Arquitectura</v>
      </c>
      <c r="D34" s="3">
        <f>SUMIF(CATEGORIAS[[#All],[SUBGRUPO]],A34,CATEGORIAS[[#All],[PRESUPUESTO
(ORIGINAL)]])</f>
        <v>0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0</v>
      </c>
      <c r="G34" s="71">
        <f>+SUMIF(CATEGORIAS[[#All],[SUBGRUPO]],A34,CATEGORIAS[[#All],[PRODUCCION
PARTIDAS
ORIGINALES
ACTUAL]])</f>
        <v>0</v>
      </c>
      <c r="H34" s="71">
        <f>+SUMIF(CATEGORIAS[[#All],[SUBGRUPO]],A34,CATEGORIAS[[#All],[PRODUCCION
ADICIONALES
ACTUAL]])</f>
        <v>0</v>
      </c>
      <c r="I34" s="85">
        <f t="shared" si="10"/>
        <v>0</v>
      </c>
      <c r="J34" s="79"/>
      <c r="K34" s="71">
        <f>+SUMIF(CATEGORIAS[[#All],[SUBGRUPO]],A34,CATEGORIAS[[#All],[PRODUCCION
ANTERIOR]])</f>
        <v>0</v>
      </c>
      <c r="L34" s="71">
        <f>+SUMIF(CATEGORIAS[[#All],[SUBGRUPO]],A34,CATEGORIAS[[#All],[PRODUCCION
ADICIONALES
ANTERIOR]])</f>
        <v>0</v>
      </c>
      <c r="M34" s="85">
        <f t="shared" si="11"/>
        <v>0</v>
      </c>
      <c r="N34" s="79"/>
      <c r="O34" s="85">
        <f t="shared" si="12"/>
        <v>0</v>
      </c>
      <c r="P34" s="71">
        <f t="shared" si="13"/>
        <v>0</v>
      </c>
      <c r="Q34" s="71">
        <f t="shared" si="14"/>
        <v>0</v>
      </c>
    </row>
    <row r="35" spans="1:20" ht="15" customHeight="1" x14ac:dyDescent="0.3">
      <c r="A35" s="14" t="s">
        <v>2450</v>
      </c>
      <c r="B35" s="6" t="str">
        <f>VLOOKUP(A35,'Analisis por Categorias'!B:C,2,FALSE)</f>
        <v>Importaciones</v>
      </c>
      <c r="D35" s="3">
        <f>SUMIF(CATEGORIAS[[#All],[SUBGRUPO]],A35,CATEGORIAS[[#All],[PRESUPUESTO
(ORIGINAL)]])</f>
        <v>0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0</v>
      </c>
      <c r="G35" s="71">
        <f>+SUMIF(CATEGORIAS[[#All],[SUBGRUPO]],A35,CATEGORIAS[[#All],[PRODUCCION
PARTIDAS
ORIGINALES
ACTUAL]])</f>
        <v>0</v>
      </c>
      <c r="H35" s="71">
        <f>+SUMIF(CATEGORIAS[[#All],[SUBGRUPO]],A35,CATEGORIAS[[#All],[PRODUCCION
ADICIONALES
ACTUAL]])</f>
        <v>0</v>
      </c>
      <c r="I35" s="85">
        <f t="shared" si="10"/>
        <v>0</v>
      </c>
      <c r="J35" s="79"/>
      <c r="K35" s="71">
        <f>+SUMIF(CATEGORIAS[[#All],[SUBGRUPO]],A35,CATEGORIAS[[#All],[PRODUCCION
ANTERIOR]])</f>
        <v>0</v>
      </c>
      <c r="L35" s="71">
        <f>+SUMIF(CATEGORIAS[[#All],[SUBGRUPO]],A35,CATEGORIAS[[#All],[PRODUCCION
ADICIONALES
ANTERIOR]])</f>
        <v>0</v>
      </c>
      <c r="M35" s="85">
        <f t="shared" si="11"/>
        <v>0</v>
      </c>
      <c r="N35" s="79"/>
      <c r="O35" s="85">
        <f t="shared" si="12"/>
        <v>0</v>
      </c>
      <c r="P35" s="71">
        <f t="shared" si="13"/>
        <v>0</v>
      </c>
      <c r="Q35" s="71">
        <f t="shared" si="14"/>
        <v>0</v>
      </c>
    </row>
    <row r="36" spans="1:20" ht="15" hidden="1" customHeight="1" x14ac:dyDescent="0.3">
      <c r="A36" s="14" t="s">
        <v>2378</v>
      </c>
      <c r="B36" s="6" t="str">
        <f>VLOOKUP(A36,'Analisis por Categorias'!B:C,2,FALSE)</f>
        <v xml:space="preserve">Estanque </v>
      </c>
      <c r="D36" s="3">
        <f>SUMIF(CATEGORIAS[[#All],[SUBGRUPO]],A36,CATEGORIAS[[#All],[PRESUPUESTO
(ORIGINAL)]])</f>
        <v>0</v>
      </c>
      <c r="E36" s="3">
        <f>+SUMIF(CATEGORIAS[[#All],[SUBGRUPO]],A36,CATEGORIAS[[#All],[PRODUCCION
PARTIDAS
ORIGINALES
ACTUAL]])
+SUMIF(CATEGORIAS[[#All],[SUBGRUPO]],A36,CATEGORIAS[[#All],[PRODUCCION
ADICIONALES
ACTUAL]])
+SUMIF(CATEGORIAS[[#All],[SUBGRUPO]],A36,CATEGORIAS[[#All],[PROYECCION
DE INGRESO
DEL SALDO]])</f>
        <v>0</v>
      </c>
      <c r="G36" s="71">
        <f>+SUMIF(CATEGORIAS[[#All],[SUBGRUPO]],A36,CATEGORIAS[[#All],[PRODUCCION
PARTIDAS
ORIGINALES
ACTUAL]])</f>
        <v>0</v>
      </c>
      <c r="H36" s="71">
        <f>+SUMIF(CATEGORIAS[[#All],[SUBGRUPO]],A36,CATEGORIAS[[#All],[PRODUCCION
ADICIONALES
ACTUAL]])</f>
        <v>0</v>
      </c>
      <c r="I36" s="85">
        <f t="shared" si="10"/>
        <v>0</v>
      </c>
      <c r="J36" s="79"/>
      <c r="K36" s="71">
        <f>+SUMIF(CATEGORIAS[[#All],[SUBGRUPO]],A36,CATEGORIAS[[#All],[PRODUCCION
ANTERIOR]])</f>
        <v>0</v>
      </c>
      <c r="L36" s="71">
        <f>+SUMIF(CATEGORIAS[[#All],[SUBGRUPO]],A36,CATEGORIAS[[#All],[PRODUCCION
ADICIONALES
ANTERIOR]])</f>
        <v>0</v>
      </c>
      <c r="M36" s="85">
        <f t="shared" si="11"/>
        <v>0</v>
      </c>
      <c r="N36" s="79"/>
      <c r="O36" s="85">
        <f t="shared" si="12"/>
        <v>0</v>
      </c>
      <c r="P36" s="71">
        <f t="shared" si="13"/>
        <v>0</v>
      </c>
      <c r="Q36" s="71">
        <f t="shared" si="14"/>
        <v>0</v>
      </c>
    </row>
    <row r="37" spans="1:20" ht="8.25" customHeight="1" x14ac:dyDescent="0.3">
      <c r="J37" s="79"/>
      <c r="N37" s="79"/>
      <c r="T37" s="42"/>
    </row>
    <row r="38" spans="1:20" ht="15" customHeight="1" x14ac:dyDescent="0.3">
      <c r="A38" s="14" t="s">
        <v>184</v>
      </c>
      <c r="B38" s="81" t="s">
        <v>185</v>
      </c>
      <c r="D38" s="82">
        <f>SUM(D39:D45)</f>
        <v>274813305.51671207</v>
      </c>
      <c r="E38" s="82">
        <f>SUM(E39:E45)</f>
        <v>299306035.81877053</v>
      </c>
      <c r="G38" s="83">
        <f>SUM(G39:G45)</f>
        <v>101238590.41236046</v>
      </c>
      <c r="H38" s="83">
        <f>SUM(H39:H45)</f>
        <v>1137670.8974140217</v>
      </c>
      <c r="I38" s="83">
        <f>SUM(I39:I45)</f>
        <v>102376261.30977447</v>
      </c>
      <c r="J38" s="79"/>
      <c r="K38" s="83">
        <f>SUM(K39:K45)</f>
        <v>69660491.371192381</v>
      </c>
      <c r="L38" s="83">
        <f>SUM(L39:L45)</f>
        <v>1342441.3940483569</v>
      </c>
      <c r="M38" s="83">
        <f>SUM(M39:M45)</f>
        <v>71002932.765240744</v>
      </c>
      <c r="N38" s="79"/>
      <c r="O38" s="83">
        <f>SUM(O39:O45)</f>
        <v>31578099.041168071</v>
      </c>
      <c r="P38" s="83">
        <f>SUM(P39:P45)</f>
        <v>-204770.49663433537</v>
      </c>
      <c r="Q38" s="83">
        <f>SUM(Q39:Q45)</f>
        <v>31373328.544533733</v>
      </c>
    </row>
    <row r="39" spans="1:20" ht="15" customHeight="1" x14ac:dyDescent="0.3">
      <c r="A39" s="14" t="s">
        <v>35</v>
      </c>
      <c r="B39" s="6" t="str">
        <f>VLOOKUP(A39,'Analisis por Categorias'!B:C,2,FALSE)</f>
        <v xml:space="preserve">Seguridad </v>
      </c>
      <c r="D39" s="3">
        <f>SUMIF(CATEGORIAS[[#All],[SUBGRUPO]],A39,CATEGORIAS[[#All],[PRESUPUESTO
(ORIGINAL)]])</f>
        <v>59671798.125000007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63624321.484849826</v>
      </c>
      <c r="G39" s="71">
        <f>+SUMIF(CATEGORIAS[[#All],[SUBGRUPO]],A39,CATEGORIAS[[#All],[PRODUCCION
PARTIDAS
ORIGINALES
ACTUAL]])</f>
        <v>22520077.546589352</v>
      </c>
      <c r="H39" s="71">
        <f>+SUMIF(CATEGORIAS[[#All],[SUBGRUPO]],A39,CATEGORIAS[[#All],[PRODUCCION
ADICIONALES
ACTUAL]])</f>
        <v>183592.05945579385</v>
      </c>
      <c r="I39" s="85">
        <f t="shared" ref="I39:I45" si="15">G39+H39</f>
        <v>22703669.606045146</v>
      </c>
      <c r="J39" s="79"/>
      <c r="K39" s="71">
        <f>+SUMIF(CATEGORIAS[[#All],[SUBGRUPO]],A39,CATEGORIAS[[#All],[PRODUCCION
ANTERIOR]])</f>
        <v>15176087.248616947</v>
      </c>
      <c r="L39" s="71">
        <f>+SUMIF(CATEGORIAS[[#All],[SUBGRUPO]],A39,CATEGORIAS[[#All],[PRODUCCION
ADICIONALES
ANTERIOR]])</f>
        <v>216636.97365579387</v>
      </c>
      <c r="M39" s="71">
        <f t="shared" ref="M39:M45" si="16">K39+L39</f>
        <v>15392724.222272741</v>
      </c>
      <c r="N39" s="79"/>
      <c r="O39" s="71">
        <f t="shared" ref="O39:Q45" si="17">G39-K39</f>
        <v>7343990.2979724053</v>
      </c>
      <c r="P39" s="71">
        <f t="shared" si="17"/>
        <v>-33044.914200000028</v>
      </c>
      <c r="Q39" s="71">
        <f t="shared" si="17"/>
        <v>7310945.3837724049</v>
      </c>
    </row>
    <row r="40" spans="1:20" ht="15" customHeight="1" x14ac:dyDescent="0.3">
      <c r="A40" s="14" t="s">
        <v>36</v>
      </c>
      <c r="B40" s="6" t="str">
        <f>VLOOKUP(A40,'Analisis por Categorias'!B:C,2,FALSE)</f>
        <v xml:space="preserve">Materiales de Consumo </v>
      </c>
      <c r="D40" s="3">
        <f>SUMIF(CATEGORIAS[[#All],[SUBGRUPO]],A40,CATEGORIAS[[#All],[PRESUPUESTO
(ORIGINAL)]])</f>
        <v>14063139.450000001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14517452.479867797</v>
      </c>
      <c r="G40" s="71">
        <f>+SUMIF(CATEGORIAS[[#All],[SUBGRUPO]],A40,CATEGORIAS[[#All],[PRODUCCION
PARTIDAS
ORIGINALES
ACTUAL]])</f>
        <v>4937970.2250000015</v>
      </c>
      <c r="H40" s="71">
        <f>+SUMIF(CATEGORIAS[[#All],[SUBGRUPO]],A40,CATEGORIAS[[#All],[PRODUCCION
ADICIONALES
ACTUAL]])</f>
        <v>21102.53556963148</v>
      </c>
      <c r="I40" s="85">
        <f t="shared" si="15"/>
        <v>4959072.760569633</v>
      </c>
      <c r="J40" s="79"/>
      <c r="K40" s="71">
        <f>+SUMIF(CATEGORIAS[[#All],[SUBGRUPO]],A40,CATEGORIAS[[#All],[PRODUCCION
ANTERIOR]])</f>
        <v>3324364.56</v>
      </c>
      <c r="L40" s="71">
        <f>+SUMIF(CATEGORIAS[[#All],[SUBGRUPO]],A40,CATEGORIAS[[#All],[PRODUCCION
ADICIONALES
ANTERIOR]])</f>
        <v>24900.801569631476</v>
      </c>
      <c r="M40" s="85">
        <f t="shared" si="16"/>
        <v>3349265.3615696314</v>
      </c>
      <c r="N40" s="79"/>
      <c r="O40" s="85">
        <f t="shared" si="17"/>
        <v>1613605.6650000014</v>
      </c>
      <c r="P40" s="71">
        <f t="shared" si="17"/>
        <v>-3798.265999999996</v>
      </c>
      <c r="Q40" s="71">
        <f t="shared" si="17"/>
        <v>1609807.3990000016</v>
      </c>
    </row>
    <row r="41" spans="1:20" ht="15" customHeight="1" x14ac:dyDescent="0.3">
      <c r="A41" s="14" t="s">
        <v>186</v>
      </c>
      <c r="B41" s="6" t="str">
        <f>VLOOKUP(A41,'Analisis por Categorias'!B:C,2,FALSE)</f>
        <v>Herramientas Menores</v>
      </c>
      <c r="D41" s="3">
        <f>SUMIF(CATEGORIAS[[#All],[SUBGRUPO]],A41,CATEGORIAS[[#All],[PRESUPUESTO
(ORIGINAL)]])</f>
        <v>11480361.030000003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11934674.059867799</v>
      </c>
      <c r="G41" s="71">
        <f>+SUMIF(CATEGORIAS[[#All],[SUBGRUPO]],A41,CATEGORIAS[[#All],[PRODUCCION
PARTIDAS
ORIGINALES
ACTUAL]])</f>
        <v>4126230.3720000009</v>
      </c>
      <c r="H41" s="71">
        <f>+SUMIF(CATEGORIAS[[#All],[SUBGRUPO]],A41,CATEGORIAS[[#All],[PRODUCCION
ADICIONALES
ACTUAL]])</f>
        <v>21102.53556963148</v>
      </c>
      <c r="I41" s="85">
        <f t="shared" si="15"/>
        <v>4147332.9075696324</v>
      </c>
      <c r="J41" s="79"/>
      <c r="K41" s="71">
        <f>+SUMIF(CATEGORIAS[[#All],[SUBGRUPO]],A41,CATEGORIAS[[#All],[PRODUCCION
ANTERIOR]])</f>
        <v>2822490.6119999997</v>
      </c>
      <c r="L41" s="71">
        <f>+SUMIF(CATEGORIAS[[#All],[SUBGRUPO]],A41,CATEGORIAS[[#All],[PRODUCCION
ADICIONALES
ANTERIOR]])</f>
        <v>24900.801569631476</v>
      </c>
      <c r="M41" s="71">
        <f t="shared" si="16"/>
        <v>2847391.4135696311</v>
      </c>
      <c r="N41" s="79"/>
      <c r="O41" s="71">
        <f t="shared" si="17"/>
        <v>1303739.7600000012</v>
      </c>
      <c r="P41" s="71">
        <f t="shared" si="17"/>
        <v>-3798.265999999996</v>
      </c>
      <c r="Q41" s="71">
        <f t="shared" si="17"/>
        <v>1299941.4940000013</v>
      </c>
    </row>
    <row r="42" spans="1:20" ht="15" customHeight="1" x14ac:dyDescent="0.3">
      <c r="A42" s="14" t="s">
        <v>187</v>
      </c>
      <c r="B42" s="6" t="str">
        <f>VLOOKUP(A42,'Analisis por Categorias'!B:C,2,FALSE)</f>
        <v xml:space="preserve">Movilización </v>
      </c>
      <c r="D42" s="3">
        <f>SUMIF(CATEGORIAS[[#All],[SUBGRUPO]],A42,CATEGORIAS[[#All],[PRESUPUESTO
(ORIGINAL)]])</f>
        <v>91680058.290985167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97246526.248148844</v>
      </c>
      <c r="G42" s="71">
        <f>+SUMIF(CATEGORIAS[[#All],[SUBGRUPO]],A42,CATEGORIAS[[#All],[PRODUCCION
PARTIDAS
ORIGINALES
ACTUAL]])</f>
        <v>33681321.407524452</v>
      </c>
      <c r="H42" s="71">
        <f>+SUMIF(CATEGORIAS[[#All],[SUBGRUPO]],A42,CATEGORIAS[[#All],[PRODUCCION
ADICIONALES
ACTUAL]])</f>
        <v>258558.70367055689</v>
      </c>
      <c r="I42" s="85">
        <f t="shared" si="15"/>
        <v>33939880.111195005</v>
      </c>
      <c r="J42" s="79"/>
      <c r="K42" s="71">
        <f>+SUMIF(CATEGORIAS[[#All],[SUBGRUPO]],A42,CATEGORIAS[[#All],[PRODUCCION
ANTERIOR]])</f>
        <v>23373607.020540632</v>
      </c>
      <c r="L42" s="71">
        <f>+SUMIF(CATEGORIAS[[#All],[SUBGRUPO]],A42,CATEGORIAS[[#All],[PRODUCCION
ADICIONALES
ANTERIOR]])</f>
        <v>305096.93742523657</v>
      </c>
      <c r="M42" s="71">
        <f t="shared" si="16"/>
        <v>23678703.957965869</v>
      </c>
      <c r="N42" s="79"/>
      <c r="O42" s="71">
        <f t="shared" si="17"/>
        <v>10307714.386983819</v>
      </c>
      <c r="P42" s="71">
        <f t="shared" si="17"/>
        <v>-46538.233754679677</v>
      </c>
      <c r="Q42" s="71">
        <f t="shared" si="17"/>
        <v>10261176.153229136</v>
      </c>
    </row>
    <row r="43" spans="1:20" ht="15" customHeight="1" x14ac:dyDescent="0.3">
      <c r="A43" s="14" t="s">
        <v>188</v>
      </c>
      <c r="B43" s="6" t="str">
        <f>VLOOKUP(A43,'Analisis por Categorias'!B:C,2,FALSE)</f>
        <v>Alimentación</v>
      </c>
      <c r="D43" s="3">
        <f>SUMIF(CATEGORIAS[[#All],[SUBGRUPO]],A43,CATEGORIAS[[#All],[PRESUPUESTO
(ORIGINAL)]])</f>
        <v>97917948.620726913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111983061.54603626</v>
      </c>
      <c r="G43" s="71">
        <f>+SUMIF(CATEGORIAS[[#All],[SUBGRUPO]],A43,CATEGORIAS[[#All],[PRODUCCION
PARTIDAS
ORIGINALES
ACTUAL]])</f>
        <v>35972990.861246645</v>
      </c>
      <c r="H43" s="71">
        <f>+SUMIF(CATEGORIAS[[#All],[SUBGRUPO]],A43,CATEGORIAS[[#All],[PRODUCCION
ADICIONALES
ACTUAL]])</f>
        <v>653315.06314840796</v>
      </c>
      <c r="I43" s="85">
        <f t="shared" si="15"/>
        <v>36626305.924395055</v>
      </c>
      <c r="J43" s="79"/>
      <c r="K43" s="71">
        <f>+SUMIF(CATEGORIAS[[#All],[SUBGRUPO]],A43,CATEGORIAS[[#All],[PRODUCCION
ANTERIOR]])</f>
        <v>24963941.930034801</v>
      </c>
      <c r="L43" s="71">
        <f>+SUMIF(CATEGORIAS[[#All],[SUBGRUPO]],A43,CATEGORIAS[[#All],[PRODUCCION
ADICIONALES
ANTERIOR]])</f>
        <v>770905.87982806365</v>
      </c>
      <c r="M43" s="71">
        <f t="shared" si="16"/>
        <v>25734847.809862863</v>
      </c>
      <c r="N43" s="79"/>
      <c r="O43" s="71">
        <f t="shared" si="17"/>
        <v>11009048.931211844</v>
      </c>
      <c r="P43" s="71">
        <f t="shared" si="17"/>
        <v>-117590.81667965569</v>
      </c>
      <c r="Q43" s="71">
        <f t="shared" si="17"/>
        <v>10891458.114532191</v>
      </c>
    </row>
    <row r="44" spans="1:20" ht="15" customHeight="1" x14ac:dyDescent="0.3">
      <c r="A44" s="14" t="s">
        <v>2451</v>
      </c>
      <c r="B44" s="6" t="str">
        <f>VLOOKUP(A44,'Analisis por Categorias'!B:C,2,FALSE)</f>
        <v>Hotelería</v>
      </c>
      <c r="D44" s="3">
        <f>SUMIF(CATEGORIAS[[#All],[SUBGRUPO]],A44,CATEGORIAS[[#All],[PRESUPUESTO
(ORIGINAL)]])</f>
        <v>0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0</v>
      </c>
      <c r="G44" s="71">
        <f>+SUMIF(CATEGORIAS[[#All],[SUBGRUPO]],A44,CATEGORIAS[[#All],[PRODUCCION
PARTIDAS
ORIGINALES
ACTUAL]])</f>
        <v>0</v>
      </c>
      <c r="H44" s="71">
        <f>+SUMIF(CATEGORIAS[[#All],[SUBGRUPO]],A44,CATEGORIAS[[#All],[PRODUCCION
ADICIONALES
ACTUAL]])</f>
        <v>0</v>
      </c>
      <c r="I44" s="85">
        <f t="shared" si="15"/>
        <v>0</v>
      </c>
      <c r="J44" s="79"/>
      <c r="K44" s="71">
        <f>+SUMIF(CATEGORIAS[[#All],[SUBGRUPO]],A44,CATEGORIAS[[#All],[PRODUCCION
ANTERIOR]])</f>
        <v>0</v>
      </c>
      <c r="L44" s="71">
        <f>+SUMIF(CATEGORIAS[[#All],[SUBGRUPO]],A44,CATEGORIAS[[#All],[PRODUCCION
ADICIONALES
ANTERIOR]])</f>
        <v>0</v>
      </c>
      <c r="M44" s="71">
        <f t="shared" si="16"/>
        <v>0</v>
      </c>
      <c r="N44" s="79"/>
      <c r="O44" s="71">
        <f t="shared" si="17"/>
        <v>0</v>
      </c>
      <c r="P44" s="71">
        <f t="shared" si="17"/>
        <v>0</v>
      </c>
      <c r="Q44" s="71">
        <f t="shared" si="17"/>
        <v>0</v>
      </c>
    </row>
    <row r="45" spans="1:20" ht="15" customHeight="1" x14ac:dyDescent="0.3">
      <c r="A45" s="14" t="s">
        <v>2452</v>
      </c>
      <c r="B45" s="6" t="str">
        <f>VLOOKUP(A45,'Analisis por Categorias'!B:C,2,FALSE)</f>
        <v xml:space="preserve">Movilización Interna </v>
      </c>
      <c r="D45" s="3">
        <f>SUMIF(CATEGORIAS[[#All],[SUBGRUPO]],A45,CATEGORIAS[[#All],[PRESUPUESTO
(ORIGINAL)]])</f>
        <v>0</v>
      </c>
      <c r="E45" s="3">
        <f>+SUMIF(CATEGORIAS[[#All],[SUBGRUPO]],A45,CATEGORIAS[[#All],[PRODUCCION
PARTIDAS
ORIGINALES
ACTUAL]])
+SUMIF(CATEGORIAS[[#All],[SUBGRUPO]],A45,CATEGORIAS[[#All],[PRODUCCION
ADICIONALES
ACTUAL]])
+SUMIF(CATEGORIAS[[#All],[SUBGRUPO]],A45,CATEGORIAS[[#All],[PROYECCION
DE INGRESO
DEL SALDO]])</f>
        <v>0</v>
      </c>
      <c r="G45" s="71">
        <f>+SUMIF(CATEGORIAS[[#All],[SUBGRUPO]],A45,CATEGORIAS[[#All],[PRODUCCION
PARTIDAS
ORIGINALES
ACTUAL]])</f>
        <v>0</v>
      </c>
      <c r="H45" s="71">
        <f>+SUMIF(CATEGORIAS[[#All],[SUBGRUPO]],A45,CATEGORIAS[[#All],[PRODUCCION
ADICIONALES
ACTUAL]])</f>
        <v>0</v>
      </c>
      <c r="I45" s="85">
        <f t="shared" si="15"/>
        <v>0</v>
      </c>
      <c r="J45" s="79"/>
      <c r="K45" s="71">
        <f>+SUMIF(CATEGORIAS[[#All],[SUBGRUPO]],A45,CATEGORIAS[[#All],[PRODUCCION
ANTERIOR]])</f>
        <v>0</v>
      </c>
      <c r="L45" s="71">
        <f>+SUMIF(CATEGORIAS[[#All],[SUBGRUPO]],A45,CATEGORIAS[[#All],[PRODUCCION
ADICIONALES
ANTERIOR]])</f>
        <v>0</v>
      </c>
      <c r="M45" s="71">
        <f t="shared" si="16"/>
        <v>0</v>
      </c>
      <c r="N45" s="79"/>
      <c r="O45" s="71">
        <f t="shared" si="17"/>
        <v>0</v>
      </c>
      <c r="P45" s="71">
        <f t="shared" si="17"/>
        <v>0</v>
      </c>
      <c r="Q45" s="71">
        <f t="shared" si="17"/>
        <v>0</v>
      </c>
    </row>
    <row r="46" spans="1:20" ht="8.25" customHeight="1" x14ac:dyDescent="0.3">
      <c r="J46" s="79"/>
      <c r="N46" s="79"/>
    </row>
    <row r="47" spans="1:20" ht="15" customHeight="1" x14ac:dyDescent="0.3">
      <c r="A47" s="14" t="s">
        <v>189</v>
      </c>
      <c r="B47" s="81" t="s">
        <v>190</v>
      </c>
      <c r="D47" s="82">
        <f>SUM(D48:D57)</f>
        <v>740872631.09810007</v>
      </c>
      <c r="E47" s="82">
        <f>SUM(E48:E57)</f>
        <v>794729067.02900994</v>
      </c>
      <c r="G47" s="83">
        <f>SUM(G48:G57)</f>
        <v>309447726.41793031</v>
      </c>
      <c r="H47" s="83">
        <f t="shared" ref="H47:I47" si="18">SUM(H48:H57)</f>
        <v>1684623.4412663416</v>
      </c>
      <c r="I47" s="83">
        <f t="shared" si="18"/>
        <v>311132349.85919666</v>
      </c>
      <c r="J47" s="79"/>
      <c r="K47" s="83">
        <f>SUM(K48:K57)</f>
        <v>209899114.7031157</v>
      </c>
      <c r="L47" s="83">
        <f t="shared" ref="L47" si="19">SUM(L48:L57)</f>
        <v>1670381.3774549465</v>
      </c>
      <c r="M47" s="83">
        <f t="shared" ref="M47" si="20">SUM(M48:M57)</f>
        <v>211569496.08057067</v>
      </c>
      <c r="N47" s="79"/>
      <c r="O47" s="83">
        <f>SUM(O48:O57)</f>
        <v>99548611.714814544</v>
      </c>
      <c r="P47" s="83">
        <f t="shared" ref="P47" si="21">SUM(P48:P57)</f>
        <v>14242.063811395245</v>
      </c>
      <c r="Q47" s="83">
        <f t="shared" ref="Q47" si="22">SUM(Q48:Q57)</f>
        <v>99562853.778625935</v>
      </c>
    </row>
    <row r="48" spans="1:20" ht="15" customHeight="1" x14ac:dyDescent="0.3">
      <c r="A48" s="14" t="s">
        <v>40</v>
      </c>
      <c r="B48" s="6" t="str">
        <f>VLOOKUP(A48,'Analisis por Categorias'!B:C,2,FALSE)</f>
        <v>Equipos Mayores</v>
      </c>
      <c r="D48" s="3">
        <f>SUMIF(CATEGORIAS[[#All],[SUBGRUPO]],A48,CATEGORIAS[[#All],[PRESUPUESTO
(ORIGINAL)]])</f>
        <v>358822229.46900004</v>
      </c>
      <c r="E48" s="3">
        <f>+SUMIF(CATEGORIAS[[#All],[SUBGRUPO]],A48,CATEGORIAS[[#All],[PRODUCCION
PARTIDAS
ORIGINALES
ACTUAL]])
+SUMIF(CATEGORIAS[[#All],[SUBGRUPO]],A48,CATEGORIAS[[#All],[PRODUCCION
ADICIONALES
ACTUAL]])
+SUMIF(CATEGORIAS[[#All],[SUBGRUPO]],A48,CATEGORIAS[[#All],[PROYECCION
DE INGRESO
DEL SALDO]])</f>
        <v>372617571.34932005</v>
      </c>
      <c r="G48" s="71">
        <f>+SUMIF(CATEGORIAS[[#All],[SUBGRUPO]],A48,CATEGORIAS[[#All],[PRODUCCION
PARTIDAS
ORIGINALES
ACTUAL]])</f>
        <v>128359954.75691205</v>
      </c>
      <c r="H48" s="71">
        <f>+SUMIF(CATEGORIAS[[#All],[SUBGRUPO]],A48,CATEGORIAS[[#All],[PRODUCCION
ADICIONALES
ACTUAL]])</f>
        <v>0</v>
      </c>
      <c r="I48" s="85">
        <f t="shared" ref="I48:I57" si="23">G48+H48</f>
        <v>128359954.75691205</v>
      </c>
      <c r="J48" s="79"/>
      <c r="K48" s="71">
        <f>+SUMIF(CATEGORIAS[[#All],[SUBGRUPO]],A48,CATEGORIAS[[#All],[PRODUCCION
ANTERIOR]])</f>
        <v>93469516.312360942</v>
      </c>
      <c r="L48" s="71">
        <f>+SUMIF(CATEGORIAS[[#All],[SUBGRUPO]],A48,CATEGORIAS[[#All],[PRODUCCION
ADICIONALES
ANTERIOR]])</f>
        <v>0</v>
      </c>
      <c r="M48" s="71">
        <f t="shared" ref="M48:M57" si="24">K48+L48</f>
        <v>93469516.312360942</v>
      </c>
      <c r="N48" s="79"/>
      <c r="O48" s="71">
        <f t="shared" ref="O48:O57" si="25">G48-K48</f>
        <v>34890438.44455111</v>
      </c>
      <c r="P48" s="71">
        <f t="shared" ref="P48:P57" si="26">H48-L48</f>
        <v>0</v>
      </c>
      <c r="Q48" s="71">
        <f t="shared" ref="Q48:Q57" si="27">I48-M48</f>
        <v>34890438.44455111</v>
      </c>
    </row>
    <row r="49" spans="1:17" ht="15" customHeight="1" x14ac:dyDescent="0.3">
      <c r="A49" s="14" t="s">
        <v>41</v>
      </c>
      <c r="B49" s="6" t="str">
        <f>VLOOKUP(A49,'Analisis por Categorias'!B:C,2,FALSE)</f>
        <v>Generador</v>
      </c>
      <c r="D49" s="3">
        <f>SUMIF(CATEGORIAS[[#All],[SUBGRUPO]],A49,CATEGORIAS[[#All],[PRESUPUESTO
(ORIGINAL)]])</f>
        <v>0</v>
      </c>
      <c r="E49" s="3">
        <f>+SUMIF(CATEGORIAS[[#All],[SUBGRUPO]],A49,CATEGORIAS[[#All],[PRODUCCION
PARTIDAS
ORIGINALES
ACTUAL]])
+SUMIF(CATEGORIAS[[#All],[SUBGRUPO]],A49,CATEGORIAS[[#All],[PRODUCCION
ADICIONALES
ACTUAL]])
+SUMIF(CATEGORIAS[[#All],[SUBGRUPO]],A49,CATEGORIAS[[#All],[PROYECCION
DE INGRESO
DEL SALDO]])</f>
        <v>0</v>
      </c>
      <c r="G49" s="71">
        <f>+SUMIF(CATEGORIAS[[#All],[SUBGRUPO]],A49,CATEGORIAS[[#All],[PRODUCCION
PARTIDAS
ORIGINALES
ACTUAL]])</f>
        <v>0</v>
      </c>
      <c r="H49" s="71">
        <f>+SUMIF(CATEGORIAS[[#All],[SUBGRUPO]],A49,CATEGORIAS[[#All],[PRODUCCION
ADICIONALES
ACTUAL]])</f>
        <v>0</v>
      </c>
      <c r="I49" s="85">
        <f t="shared" si="23"/>
        <v>0</v>
      </c>
      <c r="J49" s="79"/>
      <c r="K49" s="71">
        <f>+SUMIF(CATEGORIAS[[#All],[SUBGRUPO]],A49,CATEGORIAS[[#All],[PRODUCCION
ANTERIOR]])</f>
        <v>0</v>
      </c>
      <c r="L49" s="71">
        <f>+SUMIF(CATEGORIAS[[#All],[SUBGRUPO]],A49,CATEGORIAS[[#All],[PRODUCCION
ADICIONALES
ANTERIOR]])</f>
        <v>0</v>
      </c>
      <c r="M49" s="71">
        <f t="shared" si="24"/>
        <v>0</v>
      </c>
      <c r="N49" s="79"/>
      <c r="O49" s="71">
        <f t="shared" si="25"/>
        <v>0</v>
      </c>
      <c r="P49" s="71">
        <f t="shared" si="26"/>
        <v>0</v>
      </c>
      <c r="Q49" s="71">
        <f t="shared" si="27"/>
        <v>0</v>
      </c>
    </row>
    <row r="50" spans="1:17" ht="15" customHeight="1" x14ac:dyDescent="0.3">
      <c r="A50" s="14" t="s">
        <v>191</v>
      </c>
      <c r="B50" s="6" t="str">
        <f>VLOOKUP(A50,'Analisis por Categorias'!B:C,2,FALSE)</f>
        <v>Movimiento de Tierra</v>
      </c>
      <c r="D50" s="3">
        <f>SUMIF(CATEGORIAS[[#All],[SUBGRUPO]],A50,CATEGORIAS[[#All],[PRESUPUESTO
(ORIGINAL)]])</f>
        <v>21492401.631495975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26718830.777369343</v>
      </c>
      <c r="G50" s="71">
        <f>+SUMIF(CATEGORIAS[[#All],[SUBGRUPO]],A50,CATEGORIAS[[#All],[PRODUCCION
PARTIDAS
ORIGINALES
ACTUAL]])</f>
        <v>15420132.1664</v>
      </c>
      <c r="H50" s="71">
        <f>+SUMIF(CATEGORIAS[[#All],[SUBGRUPO]],A50,CATEGORIAS[[#All],[PRODUCCION
ADICIONALES
ACTUAL]])</f>
        <v>0</v>
      </c>
      <c r="I50" s="85">
        <f t="shared" si="23"/>
        <v>15420132.1664</v>
      </c>
      <c r="J50" s="79"/>
      <c r="K50" s="71">
        <f>+SUMIF(CATEGORIAS[[#All],[SUBGRUPO]],A50,CATEGORIAS[[#All],[PRODUCCION
ANTERIOR]])</f>
        <v>14455990.066400003</v>
      </c>
      <c r="L50" s="71">
        <f>+SUMIF(CATEGORIAS[[#All],[SUBGRUPO]],A50,CATEGORIAS[[#All],[PRODUCCION
ADICIONALES
ANTERIOR]])</f>
        <v>0</v>
      </c>
      <c r="M50" s="71">
        <f t="shared" si="24"/>
        <v>14455990.066400003</v>
      </c>
      <c r="N50" s="79"/>
      <c r="O50" s="71">
        <f t="shared" si="25"/>
        <v>964142.09999999776</v>
      </c>
      <c r="P50" s="71">
        <f t="shared" si="26"/>
        <v>0</v>
      </c>
      <c r="Q50" s="71">
        <f t="shared" si="27"/>
        <v>964142.09999999776</v>
      </c>
    </row>
    <row r="51" spans="1:17" ht="15" customHeight="1" x14ac:dyDescent="0.3">
      <c r="A51" s="14" t="s">
        <v>192</v>
      </c>
      <c r="B51" s="6" t="str">
        <f>VLOOKUP(A51,'Analisis por Categorias'!B:C,2,FALSE)</f>
        <v xml:space="preserve">Andamios </v>
      </c>
      <c r="D51" s="3">
        <f>SUMIF(CATEGORIAS[[#All],[SUBGRUPO]],A51,CATEGORIAS[[#All],[PRESUPUESTO
(ORIGINAL)]])</f>
        <v>51679693.519999996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52583283.934636705</v>
      </c>
      <c r="G51" s="71">
        <f>+SUMIF(CATEGORIAS[[#All],[SUBGRUPO]],A51,CATEGORIAS[[#All],[PRODUCCION
PARTIDAS
ORIGINALES
ACTUAL]])</f>
        <v>20275518.119999997</v>
      </c>
      <c r="H51" s="71">
        <f>+SUMIF(CATEGORIAS[[#All],[SUBGRUPO]],A51,CATEGORIAS[[#All],[PRODUCCION
ADICIONALES
ACTUAL]])</f>
        <v>155555.11113213736</v>
      </c>
      <c r="I51" s="85">
        <f t="shared" si="23"/>
        <v>20431073.231132135</v>
      </c>
      <c r="J51" s="79"/>
      <c r="K51" s="71">
        <f>+SUMIF(CATEGORIAS[[#All],[SUBGRUPO]],A51,CATEGORIAS[[#All],[PRODUCCION
ANTERIOR]])</f>
        <v>12779440.959999999</v>
      </c>
      <c r="L51" s="71">
        <f>+SUMIF(CATEGORIAS[[#All],[SUBGRUPO]],A51,CATEGORIAS[[#All],[PRODUCCION
ADICIONALES
ANTERIOR]])</f>
        <v>72929.626932538304</v>
      </c>
      <c r="M51" s="71">
        <f t="shared" si="24"/>
        <v>12852370.586932538</v>
      </c>
      <c r="N51" s="79"/>
      <c r="O51" s="71">
        <f t="shared" si="25"/>
        <v>7496077.1599999983</v>
      </c>
      <c r="P51" s="71">
        <f t="shared" si="26"/>
        <v>82625.484199599057</v>
      </c>
      <c r="Q51" s="71">
        <f t="shared" si="27"/>
        <v>7578702.6441995967</v>
      </c>
    </row>
    <row r="52" spans="1:17" ht="15" customHeight="1" x14ac:dyDescent="0.3">
      <c r="A52" s="14" t="s">
        <v>193</v>
      </c>
      <c r="B52" s="6" t="str">
        <f>VLOOKUP(A52,'Analisis por Categorias'!B:C,2,FALSE)</f>
        <v xml:space="preserve">Combustibles </v>
      </c>
      <c r="D52" s="3">
        <f>SUMIF(CATEGORIAS[[#All],[SUBGRUPO]],A52,CATEGORIAS[[#All],[PRESUPUESTO
(ORIGINAL)]])</f>
        <v>119610000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119610000</v>
      </c>
      <c r="G52" s="71">
        <f>+SUMIF(CATEGORIAS[[#All],[SUBGRUPO]],A52,CATEGORIAS[[#All],[PRODUCCION
PARTIDAS
ORIGINALES
ACTUAL]])</f>
        <v>64826093.887091815</v>
      </c>
      <c r="H52" s="71">
        <f>+SUMIF(CATEGORIAS[[#All],[SUBGRUPO]],A52,CATEGORIAS[[#All],[PRODUCCION
ADICIONALES
ACTUAL]])</f>
        <v>0</v>
      </c>
      <c r="I52" s="85">
        <f t="shared" si="23"/>
        <v>64826093.887091815</v>
      </c>
      <c r="J52" s="79"/>
      <c r="K52" s="71">
        <f>+SUMIF(CATEGORIAS[[#All],[SUBGRUPO]],A52,CATEGORIAS[[#All],[PRODUCCION
ANTERIOR]])</f>
        <v>45633955.5853322</v>
      </c>
      <c r="L52" s="71">
        <f>+SUMIF(CATEGORIAS[[#All],[SUBGRUPO]],A52,CATEGORIAS[[#All],[PRODUCCION
ADICIONALES
ANTERIOR]])</f>
        <v>0</v>
      </c>
      <c r="M52" s="71">
        <f t="shared" si="24"/>
        <v>45633955.5853322</v>
      </c>
      <c r="N52" s="79"/>
      <c r="O52" s="71">
        <f t="shared" si="25"/>
        <v>19192138.301759616</v>
      </c>
      <c r="P52" s="71">
        <f t="shared" si="26"/>
        <v>0</v>
      </c>
      <c r="Q52" s="71">
        <f t="shared" si="27"/>
        <v>19192138.301759616</v>
      </c>
    </row>
    <row r="53" spans="1:17" ht="15" customHeight="1" x14ac:dyDescent="0.3">
      <c r="A53" s="14" t="s">
        <v>194</v>
      </c>
      <c r="B53" s="6" t="str">
        <f>VLOOKUP(A53,'Analisis por Categorias'!B:C,2,FALSE)</f>
        <v xml:space="preserve">Fletes </v>
      </c>
      <c r="D53" s="3">
        <f>SUMIF(CATEGORIAS[[#All],[SUBGRUPO]],A53,CATEGORIAS[[#All],[PRESUPUESTO
(ORIGINAL)]])</f>
        <v>27900000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27982433.399999999</v>
      </c>
      <c r="G53" s="71">
        <f>+SUMIF(CATEGORIAS[[#All],[SUBGRUPO]],A53,CATEGORIAS[[#All],[PRODUCCION
PARTIDAS
ORIGINALES
ACTUAL]])</f>
        <v>13030183.321390457</v>
      </c>
      <c r="H53" s="71">
        <f>+SUMIF(CATEGORIAS[[#All],[SUBGRUPO]],A53,CATEGORIAS[[#All],[PRODUCCION
ADICIONALES
ACTUAL]])</f>
        <v>0</v>
      </c>
      <c r="I53" s="85">
        <f t="shared" si="23"/>
        <v>13030183.321390457</v>
      </c>
      <c r="J53" s="79"/>
      <c r="K53" s="71">
        <f>+SUMIF(CATEGORIAS[[#All],[SUBGRUPO]],A53,CATEGORIAS[[#All],[PRODUCCION
ANTERIOR]])</f>
        <v>6940559.1175687993</v>
      </c>
      <c r="L53" s="71">
        <f>+SUMIF(CATEGORIAS[[#All],[SUBGRUPO]],A53,CATEGORIAS[[#All],[PRODUCCION
ADICIONALES
ANTERIOR]])</f>
        <v>0</v>
      </c>
      <c r="M53" s="71">
        <f t="shared" si="24"/>
        <v>6940559.1175687993</v>
      </c>
      <c r="N53" s="79"/>
      <c r="O53" s="71">
        <f t="shared" si="25"/>
        <v>6089624.2038216582</v>
      </c>
      <c r="P53" s="71">
        <f t="shared" si="26"/>
        <v>0</v>
      </c>
      <c r="Q53" s="71">
        <f t="shared" si="27"/>
        <v>6089624.2038216582</v>
      </c>
    </row>
    <row r="54" spans="1:17" ht="15" customHeight="1" x14ac:dyDescent="0.3">
      <c r="A54" s="14" t="s">
        <v>2382</v>
      </c>
      <c r="B54" s="6" t="str">
        <f>VLOOKUP(A54,'Analisis por Categorias'!B:C,2,FALSE)</f>
        <v>Operador</v>
      </c>
      <c r="D54" s="3">
        <f>SUMIF(CATEGORIAS[[#All],[SUBGRUPO]],A54,CATEGORIAS[[#All],[PRESUPUESTO
(ORIGINAL)]])</f>
        <v>93476144.542770028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93476144.542770028</v>
      </c>
      <c r="G54" s="71">
        <f>+SUMIF(CATEGORIAS[[#All],[SUBGRUPO]],A54,CATEGORIAS[[#All],[PRODUCCION
PARTIDAS
ORIGINALES
ACTUAL]])</f>
        <v>43656318.980970815</v>
      </c>
      <c r="H54" s="71">
        <f>+SUMIF(CATEGORIAS[[#All],[SUBGRUPO]],A54,CATEGORIAS[[#All],[PRODUCCION
ADICIONALES
ACTUAL]])</f>
        <v>0</v>
      </c>
      <c r="I54" s="85">
        <f t="shared" si="23"/>
        <v>43656318.980970815</v>
      </c>
      <c r="J54" s="79"/>
      <c r="K54" s="71">
        <f>+SUMIF(CATEGORIAS[[#All],[SUBGRUPO]],A54,CATEGORIAS[[#All],[PRODUCCION
ANTERIOR]])</f>
        <v>23253645.422276035</v>
      </c>
      <c r="L54" s="71">
        <f>+SUMIF(CATEGORIAS[[#All],[SUBGRUPO]],A54,CATEGORIAS[[#All],[PRODUCCION
ADICIONALES
ANTERIOR]])</f>
        <v>0</v>
      </c>
      <c r="M54" s="71">
        <f t="shared" si="24"/>
        <v>23253645.422276035</v>
      </c>
      <c r="N54" s="79"/>
      <c r="O54" s="71">
        <f t="shared" si="25"/>
        <v>20402673.55869478</v>
      </c>
      <c r="P54" s="71">
        <f t="shared" si="26"/>
        <v>0</v>
      </c>
      <c r="Q54" s="71">
        <f t="shared" si="27"/>
        <v>20402673.55869478</v>
      </c>
    </row>
    <row r="55" spans="1:17" ht="15" customHeight="1" x14ac:dyDescent="0.3">
      <c r="A55" s="14" t="s">
        <v>2383</v>
      </c>
      <c r="B55" s="6" t="str">
        <f>VLOOKUP(A55,'Analisis por Categorias'!B:C,2,FALSE)</f>
        <v>Rigger</v>
      </c>
      <c r="D55" s="3">
        <f>SUMIF(CATEGORIAS[[#All],[SUBGRUPO]],A55,CATEGORIAS[[#All],[PRESUPUESTO
(ORIGINAL)]])</f>
        <v>42918681.456833996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42918681.456833996</v>
      </c>
      <c r="G55" s="71">
        <f>+SUMIF(CATEGORIAS[[#All],[SUBGRUPO]],A55,CATEGORIAS[[#All],[PRODUCCION
PARTIDAS
ORIGINALES
ACTUAL]])</f>
        <v>20044383.057165168</v>
      </c>
      <c r="H55" s="71">
        <f>+SUMIF(CATEGORIAS[[#All],[SUBGRUPO]],A55,CATEGORIAS[[#All],[PRODUCCION
ADICIONALES
ACTUAL]])</f>
        <v>0</v>
      </c>
      <c r="I55" s="85">
        <f t="shared" si="23"/>
        <v>20044383.057165168</v>
      </c>
      <c r="J55" s="79"/>
      <c r="K55" s="71">
        <f>+SUMIF(CATEGORIAS[[#All],[SUBGRUPO]],A55,CATEGORIAS[[#All],[PRODUCCION
ANTERIOR]])</f>
        <v>10676689.817177782</v>
      </c>
      <c r="L55" s="71">
        <f>+SUMIF(CATEGORIAS[[#All],[SUBGRUPO]],A55,CATEGORIAS[[#All],[PRODUCCION
ADICIONALES
ANTERIOR]])</f>
        <v>0</v>
      </c>
      <c r="M55" s="71">
        <f t="shared" si="24"/>
        <v>10676689.817177782</v>
      </c>
      <c r="N55" s="79"/>
      <c r="O55" s="71">
        <f t="shared" si="25"/>
        <v>9367693.2399873864</v>
      </c>
      <c r="P55" s="71">
        <f t="shared" si="26"/>
        <v>0</v>
      </c>
      <c r="Q55" s="71">
        <f t="shared" si="27"/>
        <v>9367693.2399873864</v>
      </c>
    </row>
    <row r="56" spans="1:17" ht="15" customHeight="1" x14ac:dyDescent="0.3">
      <c r="A56" s="14" t="s">
        <v>2453</v>
      </c>
      <c r="B56" s="6" t="str">
        <f>VLOOKUP(A56,'Analisis por Categorias'!B:C,2,FALSE)</f>
        <v>Equipos menores</v>
      </c>
      <c r="D56" s="3">
        <f>SUMIF(CATEGORIAS[[#All],[SUBGRUPO]],A56,CATEGORIAS[[#All],[PRESUPUESTO
(ORIGINAL)]])</f>
        <v>24973480.478000004</v>
      </c>
      <c r="E56" s="3">
        <f>+SUMIF(CATEGORIAS[[#All],[SUBGRUPO]],A56,CATEGORIAS[[#All],[PRODUCCION
PARTIDAS
ORIGINALES
ACTUAL]])
+SUMIF(CATEGORIAS[[#All],[SUBGRUPO]],A56,CATEGORIAS[[#All],[PRODUCCION
ADICIONALES
ACTUAL]])
+SUMIF(CATEGORIAS[[#All],[SUBGRUPO]],A56,CATEGORIAS[[#All],[PROYECCION
DE INGRESO
DEL SALDO]])</f>
        <v>58822121.568079934</v>
      </c>
      <c r="G56" s="71">
        <f>+SUMIF(CATEGORIAS[[#All],[SUBGRUPO]],A56,CATEGORIAS[[#All],[PRODUCCION
PARTIDAS
ORIGINALES
ACTUAL]])</f>
        <v>3835142.1279999996</v>
      </c>
      <c r="H56" s="71">
        <f>+SUMIF(CATEGORIAS[[#All],[SUBGRUPO]],A56,CATEGORIAS[[#All],[PRODUCCION
ADICIONALES
ACTUAL]])</f>
        <v>1529068.3301342044</v>
      </c>
      <c r="I56" s="85">
        <f t="shared" si="23"/>
        <v>5364210.4581342041</v>
      </c>
      <c r="J56" s="79"/>
      <c r="K56" s="71">
        <f>+SUMIF(CATEGORIAS[[#All],[SUBGRUPO]],A56,CATEGORIAS[[#All],[PRODUCCION
ANTERIOR]])</f>
        <v>2689317.4219999998</v>
      </c>
      <c r="L56" s="71">
        <f>+SUMIF(CATEGORIAS[[#All],[SUBGRUPO]],A56,CATEGORIAS[[#All],[PRODUCCION
ADICIONALES
ANTERIOR]])</f>
        <v>1597451.7505224082</v>
      </c>
      <c r="M56" s="71">
        <f t="shared" si="24"/>
        <v>4286769.172522408</v>
      </c>
      <c r="N56" s="79"/>
      <c r="O56" s="71">
        <f t="shared" si="25"/>
        <v>1145824.7059999998</v>
      </c>
      <c r="P56" s="71">
        <f t="shared" si="26"/>
        <v>-68383.420388203813</v>
      </c>
      <c r="Q56" s="71">
        <f t="shared" si="27"/>
        <v>1077441.2856117962</v>
      </c>
    </row>
    <row r="57" spans="1:17" ht="15" customHeight="1" x14ac:dyDescent="0.3">
      <c r="A57" s="14" t="s">
        <v>2454</v>
      </c>
      <c r="B57" s="6" t="str">
        <f>VLOOKUP(A57,'Analisis por Categorias'!B:C,2,FALSE)</f>
        <v>Cert. De Equipo</v>
      </c>
      <c r="D57" s="3">
        <f>SUMIF(CATEGORIAS[[#All],[SUBGRUPO]],A57,CATEGORIAS[[#All],[PRESUPUESTO
(ORIGINAL)]])</f>
        <v>0</v>
      </c>
      <c r="E57" s="3">
        <f>+SUMIF(CATEGORIAS[[#All],[SUBGRUPO]],A57,CATEGORIAS[[#All],[PRODUCCION
PARTIDAS
ORIGINALES
ACTUAL]])
+SUMIF(CATEGORIAS[[#All],[SUBGRUPO]],A57,CATEGORIAS[[#All],[PRODUCCION
ADICIONALES
ACTUAL]])
+SUMIF(CATEGORIAS[[#All],[SUBGRUPO]],A57,CATEGORIAS[[#All],[PROYECCION
DE INGRESO
DEL SALDO]])</f>
        <v>0</v>
      </c>
      <c r="G57" s="71">
        <f>+SUMIF(CATEGORIAS[[#All],[SUBGRUPO]],A57,CATEGORIAS[[#All],[PRODUCCION
PARTIDAS
ORIGINALES
ACTUAL]])</f>
        <v>0</v>
      </c>
      <c r="H57" s="71">
        <f>+SUMIF(CATEGORIAS[[#All],[SUBGRUPO]],A57,CATEGORIAS[[#All],[PRODUCCION
ADICIONALES
ACTUAL]])</f>
        <v>0</v>
      </c>
      <c r="I57" s="85">
        <f t="shared" si="23"/>
        <v>0</v>
      </c>
      <c r="J57" s="79"/>
      <c r="K57" s="71">
        <f>+SUMIF(CATEGORIAS[[#All],[SUBGRUPO]],A57,CATEGORIAS[[#All],[PRODUCCION
ANTERIOR]])</f>
        <v>0</v>
      </c>
      <c r="L57" s="71">
        <f>+SUMIF(CATEGORIAS[[#All],[SUBGRUPO]],A57,CATEGORIAS[[#All],[PRODUCCION
ADICIONALES
ANTERIOR]])</f>
        <v>0</v>
      </c>
      <c r="M57" s="71">
        <f t="shared" si="24"/>
        <v>0</v>
      </c>
      <c r="N57" s="79"/>
      <c r="O57" s="71">
        <f t="shared" si="25"/>
        <v>0</v>
      </c>
      <c r="P57" s="71">
        <f t="shared" si="26"/>
        <v>0</v>
      </c>
      <c r="Q57" s="71">
        <f t="shared" si="27"/>
        <v>0</v>
      </c>
    </row>
    <row r="58" spans="1:17" ht="8.25" customHeight="1" x14ac:dyDescent="0.3">
      <c r="J58" s="79"/>
      <c r="N58" s="79"/>
    </row>
    <row r="59" spans="1:17" ht="15" customHeight="1" x14ac:dyDescent="0.3">
      <c r="A59" s="216" t="s">
        <v>195</v>
      </c>
      <c r="B59" s="81" t="s">
        <v>196</v>
      </c>
      <c r="D59" s="82">
        <f>SUM(D60:D70)</f>
        <v>104044850.4409</v>
      </c>
      <c r="E59" s="82">
        <f>SUM(E60:E70)</f>
        <v>105214802.86575359</v>
      </c>
      <c r="G59" s="83">
        <f>SUM(G60:G70)</f>
        <v>48037920.713399999</v>
      </c>
      <c r="H59" s="83">
        <f>SUM(H60:H70)</f>
        <v>456109.60985358467</v>
      </c>
      <c r="I59" s="83">
        <f>SUM(I60:I70)</f>
        <v>48494030.323253587</v>
      </c>
      <c r="J59" s="79"/>
      <c r="K59" s="83">
        <f>SUM(K60:K70)</f>
        <v>40293246.939899996</v>
      </c>
      <c r="L59" s="83">
        <f>SUM(L60:L70)</f>
        <v>456109.60985358467</v>
      </c>
      <c r="M59" s="83">
        <f>SUM(M60:M70)</f>
        <v>40749356.549753584</v>
      </c>
      <c r="N59" s="79"/>
      <c r="O59" s="83">
        <f>SUM(O60:O70)</f>
        <v>7744673.7735000011</v>
      </c>
      <c r="P59" s="83">
        <f>SUM(P60:P70)</f>
        <v>0</v>
      </c>
      <c r="Q59" s="83">
        <f>SUM(Q60:Q70)</f>
        <v>7744673.7735000011</v>
      </c>
    </row>
    <row r="60" spans="1:17" ht="15.6" customHeight="1" x14ac:dyDescent="0.3">
      <c r="A60" s="216" t="s">
        <v>197</v>
      </c>
      <c r="B60" s="6" t="str">
        <f>VLOOKUP(A60,'Analisis por Categorias'!B:C,2,FALSE)</f>
        <v xml:space="preserve">Civil  </v>
      </c>
      <c r="D60" s="3">
        <f>SUMIF(CATEGORIAS[[#All],[SUBGRUPO]],A60,CATEGORIAS[[#All],[PRESUPUESTO
(ORIGINAL)]])</f>
        <v>15225366.156400001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15225366.156399999</v>
      </c>
      <c r="G60" s="71">
        <f>+SUMIF(CATEGORIAS[[#All],[SUBGRUPO]],A60,CATEGORIAS[[#All],[PRODUCCION
PARTIDAS
ORIGINALES
ACTUAL]])</f>
        <v>15221265.612399999</v>
      </c>
      <c r="H60" s="71">
        <f>+SUMIF(CATEGORIAS[[#All],[SUBGRUPO]],A60,CATEGORIAS[[#All],[PRODUCCION
ADICIONALES
ACTUAL]])</f>
        <v>0</v>
      </c>
      <c r="I60" s="85">
        <f t="shared" ref="I60:I70" si="28">G60+H60</f>
        <v>15221265.612399999</v>
      </c>
      <c r="J60" s="79"/>
      <c r="K60" s="71">
        <f>+SUMIF(CATEGORIAS[[#All],[SUBGRUPO]],A60,CATEGORIAS[[#All],[PRODUCCION
ANTERIOR]])</f>
        <v>15219768.588400001</v>
      </c>
      <c r="L60" s="71">
        <f>+SUMIF(CATEGORIAS[[#All],[SUBGRUPO]],A60,CATEGORIAS[[#All],[PRODUCCION
ADICIONALES
ANTERIOR]])</f>
        <v>0</v>
      </c>
      <c r="M60" s="71">
        <f t="shared" ref="M60:M70" si="29">K60+L60</f>
        <v>15219768.588400001</v>
      </c>
      <c r="N60" s="79"/>
      <c r="O60" s="71">
        <f t="shared" ref="O60:O70" si="30">G60-K60</f>
        <v>1497.023999998346</v>
      </c>
      <c r="P60" s="71">
        <f t="shared" ref="P60:P70" si="31">H60-L60</f>
        <v>0</v>
      </c>
      <c r="Q60" s="71">
        <f t="shared" ref="Q60:Q70" si="32">I60-M60</f>
        <v>1497.023999998346</v>
      </c>
    </row>
    <row r="61" spans="1:17" ht="15" customHeight="1" x14ac:dyDescent="0.3">
      <c r="A61" s="216" t="s">
        <v>2455</v>
      </c>
      <c r="B61" s="6" t="str">
        <f>VLOOKUP(A61,'Analisis por Categorias'!B:C,2,FALSE)</f>
        <v xml:space="preserve">Mecánica </v>
      </c>
      <c r="D61" s="3">
        <f>SUMIF(CATEGORIAS[[#All],[SUBGRUPO]],A61,CATEGORIAS[[#All],[PRESUPUESTO
(ORIGINAL)]])</f>
        <v>0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0</v>
      </c>
      <c r="G61" s="71">
        <f>+SUMIF(CATEGORIAS[[#All],[SUBGRUPO]],A61,CATEGORIAS[[#All],[PRODUCCION
PARTIDAS
ORIGINALES
ACTUAL]])</f>
        <v>0</v>
      </c>
      <c r="H61" s="71">
        <f>+SUMIF(CATEGORIAS[[#All],[SUBGRUPO]],A61,CATEGORIAS[[#All],[PRODUCCION
ADICIONALES
ACTUAL]])</f>
        <v>0</v>
      </c>
      <c r="I61" s="85">
        <f t="shared" si="28"/>
        <v>0</v>
      </c>
      <c r="J61" s="79"/>
      <c r="K61" s="71">
        <f>+SUMIF(CATEGORIAS[[#All],[SUBGRUPO]],A61,CATEGORIAS[[#All],[PRODUCCION
ANTERIOR]])</f>
        <v>0</v>
      </c>
      <c r="L61" s="71">
        <f>+SUMIF(CATEGORIAS[[#All],[SUBGRUPO]],A61,CATEGORIAS[[#All],[PRODUCCION
ADICIONALES
ANTERIOR]])</f>
        <v>0</v>
      </c>
      <c r="M61" s="71">
        <f t="shared" si="29"/>
        <v>0</v>
      </c>
      <c r="N61" s="79"/>
      <c r="O61" s="71">
        <f t="shared" si="30"/>
        <v>0</v>
      </c>
      <c r="P61" s="71">
        <f t="shared" si="31"/>
        <v>0</v>
      </c>
      <c r="Q61" s="71">
        <f t="shared" si="32"/>
        <v>0</v>
      </c>
    </row>
    <row r="62" spans="1:17" ht="15" customHeight="1" x14ac:dyDescent="0.3">
      <c r="A62" s="216" t="s">
        <v>198</v>
      </c>
      <c r="B62" s="6" t="str">
        <f>VLOOKUP(A62,'Analisis por Categorias'!B:C,2,FALSE)</f>
        <v xml:space="preserve">Cañería </v>
      </c>
      <c r="D62" s="3">
        <f>SUMIF(CATEGORIAS[[#All],[SUBGRUPO]],A62,CATEGORIAS[[#All],[PRESUPUESTO
(ORIGINAL)]])</f>
        <v>67096254.284500003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68266206.709353596</v>
      </c>
      <c r="G62" s="71">
        <f>+SUMIF(CATEGORIAS[[#All],[SUBGRUPO]],A62,CATEGORIAS[[#All],[PRODUCCION
PARTIDAS
ORIGINALES
ACTUAL]])</f>
        <v>32423735.101</v>
      </c>
      <c r="H62" s="71">
        <f>+SUMIF(CATEGORIAS[[#All],[SUBGRUPO]],A62,CATEGORIAS[[#All],[PRODUCCION
ADICIONALES
ACTUAL]])</f>
        <v>456109.60985358467</v>
      </c>
      <c r="I62" s="85">
        <f t="shared" si="28"/>
        <v>32879844.710853584</v>
      </c>
      <c r="J62" s="79"/>
      <c r="K62" s="71">
        <f>+SUMIF(CATEGORIAS[[#All],[SUBGRUPO]],A62,CATEGORIAS[[#All],[PRODUCCION
ANTERIOR]])</f>
        <v>25073478.351499997</v>
      </c>
      <c r="L62" s="71">
        <f>+SUMIF(CATEGORIAS[[#All],[SUBGRUPO]],A62,CATEGORIAS[[#All],[PRODUCCION
ADICIONALES
ANTERIOR]])</f>
        <v>456109.60985358467</v>
      </c>
      <c r="M62" s="71">
        <f t="shared" si="29"/>
        <v>25529587.961353581</v>
      </c>
      <c r="N62" s="79"/>
      <c r="O62" s="71">
        <f t="shared" si="30"/>
        <v>7350256.7495000027</v>
      </c>
      <c r="P62" s="71">
        <f t="shared" si="31"/>
        <v>0</v>
      </c>
      <c r="Q62" s="71">
        <f t="shared" si="32"/>
        <v>7350256.7495000027</v>
      </c>
    </row>
    <row r="63" spans="1:17" ht="20.25" x14ac:dyDescent="0.3">
      <c r="A63" s="216" t="s">
        <v>199</v>
      </c>
      <c r="B63" s="6" t="str">
        <f>VLOOKUP(A63,'Analisis por Categorias'!B:C,2,FALSE)</f>
        <v xml:space="preserve">Estructura </v>
      </c>
      <c r="D63" s="3">
        <f>SUMIF(CATEGORIAS[[#All],[SUBGRUPO]],A63,CATEGORIAS[[#All],[PRESUPUESTO
(ORIGINAL)]])</f>
        <v>0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0</v>
      </c>
      <c r="G63" s="71">
        <f>+SUMIF(CATEGORIAS[[#All],[SUBGRUPO]],A63,CATEGORIAS[[#All],[PRODUCCION
PARTIDAS
ORIGINALES
ACTUAL]])</f>
        <v>0</v>
      </c>
      <c r="H63" s="71">
        <f>+SUMIF(CATEGORIAS[[#All],[SUBGRUPO]],A63,CATEGORIAS[[#All],[PRODUCCION
ADICIONALES
ACTUAL]])</f>
        <v>0</v>
      </c>
      <c r="I63" s="85">
        <f t="shared" si="28"/>
        <v>0</v>
      </c>
      <c r="J63" s="79"/>
      <c r="K63" s="71">
        <f>+SUMIF(CATEGORIAS[[#All],[SUBGRUPO]],A63,CATEGORIAS[[#All],[PRODUCCION
ANTERIOR]])</f>
        <v>0</v>
      </c>
      <c r="L63" s="71">
        <f>+SUMIF(CATEGORIAS[[#All],[SUBGRUPO]],A63,CATEGORIAS[[#All],[PRODUCCION
ADICIONALES
ANTERIOR]])</f>
        <v>0</v>
      </c>
      <c r="M63" s="71">
        <f t="shared" si="29"/>
        <v>0</v>
      </c>
      <c r="N63" s="79"/>
      <c r="O63" s="71">
        <f t="shared" si="30"/>
        <v>0</v>
      </c>
      <c r="P63" s="71">
        <f t="shared" si="31"/>
        <v>0</v>
      </c>
      <c r="Q63" s="71">
        <f t="shared" si="32"/>
        <v>0</v>
      </c>
    </row>
    <row r="64" spans="1:17" ht="20.25" x14ac:dyDescent="0.3">
      <c r="A64" s="216" t="s">
        <v>200</v>
      </c>
      <c r="B64" s="6" t="str">
        <f>VLOOKUP(A64,'Analisis por Categorias'!B:C,2,FALSE)</f>
        <v xml:space="preserve">Aislación </v>
      </c>
      <c r="D64" s="3">
        <f>SUMIF(CATEGORIAS[[#All],[SUBGRUPO]],A64,CATEGORIAS[[#All],[PRESUPUESTO
(ORIGINAL)]])</f>
        <v>0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0</v>
      </c>
      <c r="G64" s="71">
        <f>+SUMIF(CATEGORIAS[[#All],[SUBGRUPO]],A64,CATEGORIAS[[#All],[PRODUCCION
PARTIDAS
ORIGINALES
ACTUAL]])</f>
        <v>0</v>
      </c>
      <c r="H64" s="71">
        <f>+SUMIF(CATEGORIAS[[#All],[SUBGRUPO]],A64,CATEGORIAS[[#All],[PRODUCCION
ADICIONALES
ACTUAL]])</f>
        <v>0</v>
      </c>
      <c r="I64" s="85">
        <f t="shared" si="28"/>
        <v>0</v>
      </c>
      <c r="J64" s="79"/>
      <c r="K64" s="71">
        <f>+SUMIF(CATEGORIAS[[#All],[SUBGRUPO]],A64,CATEGORIAS[[#All],[PRODUCCION
ANTERIOR]])</f>
        <v>0</v>
      </c>
      <c r="L64" s="71">
        <f>+SUMIF(CATEGORIAS[[#All],[SUBGRUPO]],A64,CATEGORIAS[[#All],[PRODUCCION
ADICIONALES
ANTERIOR]])</f>
        <v>0</v>
      </c>
      <c r="M64" s="71">
        <f t="shared" si="29"/>
        <v>0</v>
      </c>
      <c r="N64" s="79"/>
      <c r="O64" s="71">
        <f t="shared" si="30"/>
        <v>0</v>
      </c>
      <c r="P64" s="71">
        <f t="shared" si="31"/>
        <v>0</v>
      </c>
      <c r="Q64" s="71">
        <f t="shared" si="32"/>
        <v>0</v>
      </c>
    </row>
    <row r="65" spans="1:17" ht="20.25" x14ac:dyDescent="0.3">
      <c r="A65" s="216" t="s">
        <v>201</v>
      </c>
      <c r="B65" s="6" t="str">
        <f>VLOOKUP(A65,'Analisis por Categorias'!B:C,2,FALSE)</f>
        <v>Electricidad &amp; Instrumentación</v>
      </c>
      <c r="D65" s="3">
        <f>SUMIF(CATEGORIAS[[#All],[SUBGRUPO]],A65,CATEGORIAS[[#All],[PRESUPUESTO
(ORIGINAL)]])</f>
        <v>15451230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15451230</v>
      </c>
      <c r="G65" s="71">
        <f>+SUMIF(CATEGORIAS[[#All],[SUBGRUPO]],A65,CATEGORIAS[[#All],[PRODUCCION
PARTIDAS
ORIGINALES
ACTUAL]])</f>
        <v>392920</v>
      </c>
      <c r="H65" s="71">
        <f>+SUMIF(CATEGORIAS[[#All],[SUBGRUPO]],A65,CATEGORIAS[[#All],[PRODUCCION
ADICIONALES
ACTUAL]])</f>
        <v>0</v>
      </c>
      <c r="I65" s="85">
        <f t="shared" si="28"/>
        <v>392920</v>
      </c>
      <c r="J65" s="79"/>
      <c r="K65" s="71">
        <f>+SUMIF(CATEGORIAS[[#All],[SUBGRUPO]],A65,CATEGORIAS[[#All],[PRODUCCION
ANTERIOR]])</f>
        <v>0</v>
      </c>
      <c r="L65" s="71">
        <f>+SUMIF(CATEGORIAS[[#All],[SUBGRUPO]],A65,CATEGORIAS[[#All],[PRODUCCION
ADICIONALES
ANTERIOR]])</f>
        <v>0</v>
      </c>
      <c r="M65" s="71">
        <f t="shared" si="29"/>
        <v>0</v>
      </c>
      <c r="N65" s="79"/>
      <c r="O65" s="71">
        <f t="shared" si="30"/>
        <v>392920</v>
      </c>
      <c r="P65" s="71">
        <f t="shared" si="31"/>
        <v>0</v>
      </c>
      <c r="Q65" s="71">
        <f t="shared" si="32"/>
        <v>392920</v>
      </c>
    </row>
    <row r="66" spans="1:17" ht="20.25" x14ac:dyDescent="0.3">
      <c r="A66" s="216" t="s">
        <v>202</v>
      </c>
      <c r="B66" s="6" t="str">
        <f>VLOOKUP(A66,'Analisis por Categorias'!B:C,2,FALSE)</f>
        <v xml:space="preserve">Caldera </v>
      </c>
      <c r="D66" s="3">
        <f>SUMIF(CATEGORIAS[[#All],[SUBGRUPO]],A66,CATEGORIAS[[#All],[PRESUPUESTO
(ORIGINAL)]])</f>
        <v>0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0</v>
      </c>
      <c r="G66" s="71">
        <f>+SUMIF(CATEGORIAS[[#All],[SUBGRUPO]],A66,CATEGORIAS[[#All],[PRODUCCION
PARTIDAS
ORIGINALES
ACTUAL]])</f>
        <v>0</v>
      </c>
      <c r="H66" s="71">
        <f>+SUMIF(CATEGORIAS[[#All],[SUBGRUPO]],A66,CATEGORIAS[[#All],[PRODUCCION
ADICIONALES
ACTUAL]])</f>
        <v>0</v>
      </c>
      <c r="I66" s="85">
        <f t="shared" si="28"/>
        <v>0</v>
      </c>
      <c r="J66" s="79"/>
      <c r="K66" s="71">
        <f>+SUMIF(CATEGORIAS[[#All],[SUBGRUPO]],A66,CATEGORIAS[[#All],[PRODUCCION
ANTERIOR]])</f>
        <v>0</v>
      </c>
      <c r="L66" s="71">
        <f>+SUMIF(CATEGORIAS[[#All],[SUBGRUPO]],A66,CATEGORIAS[[#All],[PRODUCCION
ADICIONALES
ANTERIOR]])</f>
        <v>0</v>
      </c>
      <c r="M66" s="71">
        <f t="shared" si="29"/>
        <v>0</v>
      </c>
      <c r="N66" s="79"/>
      <c r="O66" s="71">
        <f t="shared" si="30"/>
        <v>0</v>
      </c>
      <c r="P66" s="71">
        <f t="shared" si="31"/>
        <v>0</v>
      </c>
      <c r="Q66" s="71">
        <f t="shared" si="32"/>
        <v>0</v>
      </c>
    </row>
    <row r="67" spans="1:17" ht="20.25" x14ac:dyDescent="0.3">
      <c r="A67" s="216" t="s">
        <v>2456</v>
      </c>
      <c r="B67" s="6" t="str">
        <f>VLOOKUP(A67,'Analisis por Categorias'!B:C,2,FALSE)</f>
        <v xml:space="preserve">Ductos </v>
      </c>
      <c r="D67" s="3">
        <f>SUMIF(CATEGORIAS[[#All],[SUBGRUPO]],A67,CATEGORIAS[[#All],[PRESUPUESTO
(ORIGINAL)]])</f>
        <v>0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0</v>
      </c>
      <c r="G67" s="71">
        <f>+SUMIF(CATEGORIAS[[#All],[SUBGRUPO]],A67,CATEGORIAS[[#All],[PRODUCCION
PARTIDAS
ORIGINALES
ACTUAL]])</f>
        <v>0</v>
      </c>
      <c r="H67" s="71">
        <f>+SUMIF(CATEGORIAS[[#All],[SUBGRUPO]],A67,CATEGORIAS[[#All],[PRODUCCION
ADICIONALES
ACTUAL]])</f>
        <v>0</v>
      </c>
      <c r="I67" s="85">
        <f t="shared" si="28"/>
        <v>0</v>
      </c>
      <c r="J67" s="79"/>
      <c r="K67" s="71">
        <f>+SUMIF(CATEGORIAS[[#All],[SUBGRUPO]],A67,CATEGORIAS[[#All],[PRODUCCION
ANTERIOR]])</f>
        <v>0</v>
      </c>
      <c r="L67" s="71">
        <f>+SUMIF(CATEGORIAS[[#All],[SUBGRUPO]],A67,CATEGORIAS[[#All],[PRODUCCION
ADICIONALES
ANTERIOR]])</f>
        <v>0</v>
      </c>
      <c r="M67" s="71">
        <f t="shared" si="29"/>
        <v>0</v>
      </c>
      <c r="N67" s="79"/>
      <c r="O67" s="71">
        <f t="shared" si="30"/>
        <v>0</v>
      </c>
      <c r="P67" s="71">
        <f t="shared" si="31"/>
        <v>0</v>
      </c>
      <c r="Q67" s="71">
        <f t="shared" si="32"/>
        <v>0</v>
      </c>
    </row>
    <row r="68" spans="1:17" ht="20.25" x14ac:dyDescent="0.3">
      <c r="A68" s="216" t="s">
        <v>2457</v>
      </c>
      <c r="B68" s="6" t="str">
        <f>VLOOKUP(A68,'Analisis por Categorias'!B:C,2,FALSE)</f>
        <v xml:space="preserve">Estanque </v>
      </c>
      <c r="D68" s="3">
        <f>SUMIF(CATEGORIAS[[#All],[SUBGRUPO]],A68,CATEGORIAS[[#All],[PRESUPUESTO
(ORIGINAL)]])</f>
        <v>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0</v>
      </c>
      <c r="G68" s="71">
        <f>+SUMIF(CATEGORIAS[[#All],[SUBGRUPO]],A68,CATEGORIAS[[#All],[PRODUCCION
PARTIDAS
ORIGINALES
ACTUAL]])</f>
        <v>0</v>
      </c>
      <c r="H68" s="71">
        <f>+SUMIF(CATEGORIAS[[#All],[SUBGRUPO]],A68,CATEGORIAS[[#All],[PRODUCCION
ADICIONALES
ACTUAL]])</f>
        <v>0</v>
      </c>
      <c r="I68" s="85">
        <f t="shared" si="28"/>
        <v>0</v>
      </c>
      <c r="J68" s="79"/>
      <c r="K68" s="71">
        <f>+SUMIF(CATEGORIAS[[#All],[SUBGRUPO]],A68,CATEGORIAS[[#All],[PRODUCCION
ANTERIOR]])</f>
        <v>0</v>
      </c>
      <c r="L68" s="71">
        <f>+SUMIF(CATEGORIAS[[#All],[SUBGRUPO]],A68,CATEGORIAS[[#All],[PRODUCCION
ADICIONALES
ANTERIOR]])</f>
        <v>0</v>
      </c>
      <c r="M68" s="71">
        <f t="shared" si="29"/>
        <v>0</v>
      </c>
      <c r="N68" s="79"/>
      <c r="O68" s="71">
        <f t="shared" si="30"/>
        <v>0</v>
      </c>
      <c r="P68" s="71">
        <f t="shared" si="31"/>
        <v>0</v>
      </c>
      <c r="Q68" s="71">
        <f t="shared" si="32"/>
        <v>0</v>
      </c>
    </row>
    <row r="69" spans="1:17" ht="20.25" x14ac:dyDescent="0.3">
      <c r="A69" s="216" t="s">
        <v>2458</v>
      </c>
      <c r="B69" s="6" t="str">
        <f>VLOOKUP(A69,'Analisis por Categorias'!B:C,2,FALSE)</f>
        <v xml:space="preserve">Ingeniería </v>
      </c>
      <c r="D69" s="3">
        <f>SUMIF(CATEGORIAS[[#All],[SUBGRUPO]],A69,CATEGORIAS[[#All],[PRESUPUESTO
(ORIGINAL)]])</f>
        <v>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0</v>
      </c>
      <c r="G69" s="71">
        <f>+SUMIF(CATEGORIAS[[#All],[SUBGRUPO]],A69,CATEGORIAS[[#All],[PRODUCCION
PARTIDAS
ORIGINALES
ACTUAL]])</f>
        <v>0</v>
      </c>
      <c r="H69" s="71">
        <f>+SUMIF(CATEGORIAS[[#All],[SUBGRUPO]],A69,CATEGORIAS[[#All],[PRODUCCION
ADICIONALES
ACTUAL]])</f>
        <v>0</v>
      </c>
      <c r="I69" s="85">
        <f t="shared" si="28"/>
        <v>0</v>
      </c>
      <c r="J69" s="79"/>
      <c r="K69" s="71">
        <f>+SUMIF(CATEGORIAS[[#All],[SUBGRUPO]],A69,CATEGORIAS[[#All],[PRODUCCION
ANTERIOR]])</f>
        <v>0</v>
      </c>
      <c r="L69" s="71">
        <f>+SUMIF(CATEGORIAS[[#All],[SUBGRUPO]],A69,CATEGORIAS[[#All],[PRODUCCION
ADICIONALES
ANTERIOR]])</f>
        <v>0</v>
      </c>
      <c r="M69" s="71">
        <f t="shared" si="29"/>
        <v>0</v>
      </c>
      <c r="N69" s="79"/>
      <c r="O69" s="71">
        <f t="shared" si="30"/>
        <v>0</v>
      </c>
      <c r="P69" s="71">
        <f t="shared" si="31"/>
        <v>0</v>
      </c>
      <c r="Q69" s="71">
        <f t="shared" si="32"/>
        <v>0</v>
      </c>
    </row>
    <row r="70" spans="1:17" ht="20.25" x14ac:dyDescent="0.3">
      <c r="A70" s="216" t="s">
        <v>2459</v>
      </c>
      <c r="B70" s="6" t="str">
        <f>VLOOKUP(A70,'Analisis por Categorias'!B:C,2,FALSE)</f>
        <v xml:space="preserve">Otras especialidades </v>
      </c>
      <c r="D70" s="3">
        <f>SUMIF(CATEGORIAS[[#All],[SUBGRUPO]],A70,CATEGORIAS[[#All],[PRESUPUESTO
(ORIGINAL)]])</f>
        <v>6272000</v>
      </c>
      <c r="E70" s="3">
        <f>+SUMIF(CATEGORIAS[[#All],[SUBGRUPO]],A70,CATEGORIAS[[#All],[PRODUCCION
PARTIDAS
ORIGINALES
ACTUAL]])
+SUMIF(CATEGORIAS[[#All],[SUBGRUPO]],A70,CATEGORIAS[[#All],[PRODUCCION
ADICIONALES
ACTUAL]])
+SUMIF(CATEGORIAS[[#All],[SUBGRUPO]],A70,CATEGORIAS[[#All],[PROYECCION
DE INGRESO
DEL SALDO]])</f>
        <v>6272000</v>
      </c>
      <c r="G70" s="71">
        <f>+SUMIF(CATEGORIAS[[#All],[SUBGRUPO]],A70,CATEGORIAS[[#All],[PRODUCCION
PARTIDAS
ORIGINALES
ACTUAL]])</f>
        <v>0</v>
      </c>
      <c r="H70" s="71">
        <f>+SUMIF(CATEGORIAS[[#All],[SUBGRUPO]],A70,CATEGORIAS[[#All],[PRODUCCION
ADICIONALES
ACTUAL]])</f>
        <v>0</v>
      </c>
      <c r="I70" s="85">
        <f t="shared" si="28"/>
        <v>0</v>
      </c>
      <c r="J70" s="79"/>
      <c r="K70" s="71">
        <f>+SUMIF(CATEGORIAS[[#All],[SUBGRUPO]],A70,CATEGORIAS[[#All],[PRODUCCION
ANTERIOR]])</f>
        <v>0</v>
      </c>
      <c r="L70" s="71">
        <f>+SUMIF(CATEGORIAS[[#All],[SUBGRUPO]],A70,CATEGORIAS[[#All],[PRODUCCION
ADICIONALES
ANTERIOR]])</f>
        <v>0</v>
      </c>
      <c r="M70" s="71">
        <f t="shared" si="29"/>
        <v>0</v>
      </c>
      <c r="N70" s="79"/>
      <c r="O70" s="71">
        <f t="shared" si="30"/>
        <v>0</v>
      </c>
      <c r="P70" s="71">
        <f t="shared" si="31"/>
        <v>0</v>
      </c>
      <c r="Q70" s="71">
        <f t="shared" si="32"/>
        <v>0</v>
      </c>
    </row>
    <row r="71" spans="1:17" ht="8.25" customHeight="1" x14ac:dyDescent="0.3">
      <c r="J71" s="79"/>
      <c r="N71" s="79"/>
    </row>
    <row r="72" spans="1:17" ht="15" customHeight="1" x14ac:dyDescent="0.3">
      <c r="B72" s="8" t="s">
        <v>203</v>
      </c>
      <c r="D72" s="1">
        <f>SUM(D138:D143)</f>
        <v>2308544040.0047116</v>
      </c>
      <c r="E72" s="1">
        <f>SUM(E138:E143)</f>
        <v>2350012609.7031851</v>
      </c>
      <c r="G72" s="12">
        <f t="shared" ref="G72:Q72" si="33">SUM(G138:G143)</f>
        <v>1103079894.4006402</v>
      </c>
      <c r="H72" s="12">
        <f t="shared" si="33"/>
        <v>549015.26663345238</v>
      </c>
      <c r="I72" s="12">
        <f t="shared" si="33"/>
        <v>1103628909.6672738</v>
      </c>
      <c r="J72" s="79"/>
      <c r="K72" s="12">
        <f t="shared" si="33"/>
        <v>719473243.95917749</v>
      </c>
      <c r="L72" s="12">
        <f t="shared" si="33"/>
        <v>549015.26663345238</v>
      </c>
      <c r="M72" s="12">
        <f t="shared" si="33"/>
        <v>720022259.22581077</v>
      </c>
      <c r="N72" s="79"/>
      <c r="O72" s="12">
        <f t="shared" si="33"/>
        <v>383606650.44146293</v>
      </c>
      <c r="P72" s="12">
        <f t="shared" si="33"/>
        <v>0</v>
      </c>
      <c r="Q72" s="12">
        <f t="shared" si="33"/>
        <v>383606650.44146293</v>
      </c>
    </row>
    <row r="73" spans="1:17" ht="8.25" customHeight="1" x14ac:dyDescent="0.3">
      <c r="J73" s="79"/>
      <c r="N73" s="79"/>
    </row>
    <row r="74" spans="1:17" ht="15" customHeight="1" x14ac:dyDescent="0.3">
      <c r="A74" s="14" t="s">
        <v>204</v>
      </c>
      <c r="B74" s="81" t="s">
        <v>205</v>
      </c>
      <c r="D74" s="82">
        <f>SUM(D75:D87)</f>
        <v>1205789659.0351105</v>
      </c>
      <c r="E74" s="82">
        <f>SUM(E75:E87)</f>
        <v>1244763716.5351105</v>
      </c>
      <c r="G74" s="83">
        <f>SUM(G75:G85)</f>
        <v>563141946.3894043</v>
      </c>
      <c r="H74" s="83">
        <f>SUM(H75:H85)</f>
        <v>0</v>
      </c>
      <c r="I74" s="83">
        <f>SUM(I75:I85)</f>
        <v>563141946.3894043</v>
      </c>
      <c r="J74" s="79"/>
      <c r="K74" s="83">
        <f>SUM(K75:K85)</f>
        <v>381284215.62659049</v>
      </c>
      <c r="L74" s="83">
        <f>SUM(L75:L85)</f>
        <v>0</v>
      </c>
      <c r="M74" s="83">
        <f>SUM(M75:M85)</f>
        <v>381284215.62659049</v>
      </c>
      <c r="N74" s="79"/>
      <c r="O74" s="83">
        <f>SUM(O75:O85)</f>
        <v>181857730.76281378</v>
      </c>
      <c r="P74" s="83">
        <f>SUM(P75:P85)</f>
        <v>0</v>
      </c>
      <c r="Q74" s="83">
        <f>SUM(Q75:Q85)</f>
        <v>181857730.76281378</v>
      </c>
    </row>
    <row r="75" spans="1:17" ht="15" customHeight="1" x14ac:dyDescent="0.3">
      <c r="A75" s="14" t="s">
        <v>100</v>
      </c>
      <c r="B75" s="6" t="str">
        <f>VLOOKUP(A75,'Analisis por Categorias'!B:C,2,FALSE)</f>
        <v xml:space="preserve">Staff Superior </v>
      </c>
      <c r="D75" s="3">
        <f>SUMIF(CATEGORIAS[[#All],[SUBGRUPO]],A75,CATEGORIAS[[#All],[PRESUPUESTO
(ORIGINAL)]])</f>
        <v>344918851.26215672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350303135.76215672</v>
      </c>
      <c r="G75" s="71">
        <f>+SUMIF(CATEGORIAS[[#All],[SUBGRUPO]],A75,CATEGORIAS[[#All],[PRODUCCION
PARTIDAS
ORIGINALES
ACTUAL]])</f>
        <v>161088023.76162407</v>
      </c>
      <c r="H75" s="71">
        <f>+SUMIF(CATEGORIAS[[#All],[SUBGRUPO]],A75,CATEGORIAS[[#All],[PRODUCCION
ADICIONALES
ACTUAL]])</f>
        <v>0</v>
      </c>
      <c r="I75" s="85">
        <f t="shared" ref="I75:I87" si="34">G75+H75</f>
        <v>161088023.76162407</v>
      </c>
      <c r="J75" s="79"/>
      <c r="K75" s="71">
        <f>+SUMIF(CATEGORIAS[[#All],[SUBGRUPO]],A75,CATEGORIAS[[#All],[PRODUCCION
ANTERIOR]])</f>
        <v>109948250.6976312</v>
      </c>
      <c r="L75" s="71">
        <f>+SUMIF(CATEGORIAS[[#All],[SUBGRUPO]],A75,CATEGORIAS[[#All],[PRODUCCION
ADICIONALES
ANTERIOR]])</f>
        <v>0</v>
      </c>
      <c r="M75" s="71">
        <f t="shared" ref="M75:M87" si="35">K75+L75</f>
        <v>109948250.6976312</v>
      </c>
      <c r="N75" s="79"/>
      <c r="O75" s="71">
        <f t="shared" ref="O75:O87" si="36">G75-K75</f>
        <v>51139773.063992873</v>
      </c>
      <c r="P75" s="71">
        <f t="shared" ref="P75:P87" si="37">H75-L75</f>
        <v>0</v>
      </c>
      <c r="Q75" s="71">
        <f t="shared" ref="Q75:Q87" si="38">I75-M75</f>
        <v>51139773.063992873</v>
      </c>
    </row>
    <row r="76" spans="1:17" ht="15" customHeight="1" x14ac:dyDescent="0.3">
      <c r="A76" s="14" t="s">
        <v>102</v>
      </c>
      <c r="B76" s="6" t="str">
        <f>VLOOKUP(A76,'Analisis por Categorias'!B:C,2,FALSE)</f>
        <v xml:space="preserve">Oficina Técnica </v>
      </c>
      <c r="D76" s="3">
        <f>SUMIF(CATEGORIAS[[#All],[SUBGRUPO]],A76,CATEGORIAS[[#All],[PRESUPUESTO
(ORIGINAL)]])</f>
        <v>175799841.54363027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181184126.04363027</v>
      </c>
      <c r="G76" s="71">
        <f>+SUMIF(CATEGORIAS[[#All],[SUBGRUPO]],A76,CATEGORIAS[[#All],[PRODUCCION
PARTIDAS
ORIGINALES
ACTUAL]])</f>
        <v>82104091.870426401</v>
      </c>
      <c r="H76" s="71">
        <f>+SUMIF(CATEGORIAS[[#All],[SUBGRUPO]],A76,CATEGORIAS[[#All],[PRODUCCION
ADICIONALES
ACTUAL]])</f>
        <v>0</v>
      </c>
      <c r="I76" s="85">
        <f t="shared" si="34"/>
        <v>82104091.870426401</v>
      </c>
      <c r="J76" s="79"/>
      <c r="K76" s="71">
        <f>+SUMIF(CATEGORIAS[[#All],[SUBGRUPO]],A76,CATEGORIAS[[#All],[PRODUCCION
ANTERIOR]])</f>
        <v>56038934.897043109</v>
      </c>
      <c r="L76" s="71">
        <f>+SUMIF(CATEGORIAS[[#All],[SUBGRUPO]],A76,CATEGORIAS[[#All],[PRODUCCION
ADICIONALES
ANTERIOR]])</f>
        <v>0</v>
      </c>
      <c r="M76" s="85">
        <f t="shared" si="35"/>
        <v>56038934.897043109</v>
      </c>
      <c r="N76" s="79"/>
      <c r="O76" s="85">
        <f t="shared" si="36"/>
        <v>26065156.973383293</v>
      </c>
      <c r="P76" s="71">
        <f t="shared" si="37"/>
        <v>0</v>
      </c>
      <c r="Q76" s="71">
        <f t="shared" si="38"/>
        <v>26065156.973383293</v>
      </c>
    </row>
    <row r="77" spans="1:17" ht="15" customHeight="1" x14ac:dyDescent="0.3">
      <c r="A77" s="14" t="s">
        <v>104</v>
      </c>
      <c r="B77" s="6" t="str">
        <f>VLOOKUP(A77,'Analisis por Categorias'!B:C,2,FALSE)</f>
        <v xml:space="preserve">Supervisión </v>
      </c>
      <c r="D77" s="3">
        <f>SUMIF(CATEGORIAS[[#All],[SUBGRUPO]],A77,CATEGORIAS[[#All],[PRESUPUESTO
(ORIGINAL)]])</f>
        <v>101081023.761336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107107341.261336</v>
      </c>
      <c r="G77" s="71">
        <f>+SUMIF(CATEGORIAS[[#All],[SUBGRUPO]],A77,CATEGORIAS[[#All],[PRODUCCION
PARTIDAS
ORIGINALES
ACTUAL]])</f>
        <v>47208038.348531649</v>
      </c>
      <c r="H77" s="71">
        <f>+SUMIF(CATEGORIAS[[#All],[SUBGRUPO]],A77,CATEGORIAS[[#All],[PRODUCCION
ADICIONALES
ACTUAL]])</f>
        <v>0</v>
      </c>
      <c r="I77" s="85">
        <f t="shared" si="34"/>
        <v>47208038.348531649</v>
      </c>
      <c r="J77" s="79"/>
      <c r="K77" s="71">
        <f>+SUMIF(CATEGORIAS[[#All],[SUBGRUPO]],A77,CATEGORIAS[[#All],[PRODUCCION
ANTERIOR]])</f>
        <v>32221149.121355485</v>
      </c>
      <c r="L77" s="71">
        <f>+SUMIF(CATEGORIAS[[#All],[SUBGRUPO]],A77,CATEGORIAS[[#All],[PRODUCCION
ADICIONALES
ANTERIOR]])</f>
        <v>0</v>
      </c>
      <c r="M77" s="71">
        <f t="shared" si="35"/>
        <v>32221149.121355485</v>
      </c>
      <c r="N77" s="79"/>
      <c r="O77" s="71">
        <f t="shared" si="36"/>
        <v>14986889.227176163</v>
      </c>
      <c r="P77" s="71">
        <f t="shared" si="37"/>
        <v>0</v>
      </c>
      <c r="Q77" s="71">
        <f t="shared" si="38"/>
        <v>14986889.227176163</v>
      </c>
    </row>
    <row r="78" spans="1:17" ht="15" customHeight="1" x14ac:dyDescent="0.3">
      <c r="A78" s="14" t="s">
        <v>106</v>
      </c>
      <c r="B78" s="6" t="str">
        <f>VLOOKUP(A78,'Analisis por Categorias'!B:C,2,FALSE)</f>
        <v>Prevención de Riesgos</v>
      </c>
      <c r="D78" s="3">
        <f>SUMIF(CATEGORIAS[[#All],[SUBGRUPO]],A78,CATEGORIAS[[#All],[PRESUPUESTO
(ORIGINAL)]])</f>
        <v>141429555.02720675</v>
      </c>
      <c r="E78" s="3">
        <f>+SUMIF(CATEGORIAS[[#All],[SUBGRUPO]],A78,CATEGORIAS[[#All],[PRODUCCION
PARTIDAS
ORIGINALES
ACTUAL]])
+SUMIF(CATEGORIAS[[#All],[SUBGRUPO]],A78,CATEGORIAS[[#All],[PRODUCCION
ADICIONALES
ACTUAL]])
+SUMIF(CATEGORIAS[[#All],[SUBGRUPO]],A78,CATEGORIAS[[#All],[PROYECCION
DE INGRESO
DEL SALDO]])</f>
        <v>147455872.52720675</v>
      </c>
      <c r="G78" s="71">
        <f>+SUMIF(CATEGORIAS[[#All],[SUBGRUPO]],A78,CATEGORIAS[[#All],[PRODUCCION
PARTIDAS
ORIGINALES
ACTUAL]])</f>
        <v>66052079.894881114</v>
      </c>
      <c r="H78" s="71">
        <f>+SUMIF(CATEGORIAS[[#All],[SUBGRUPO]],A78,CATEGORIAS[[#All],[PRODUCCION
ADICIONALES
ACTUAL]])</f>
        <v>0</v>
      </c>
      <c r="I78" s="85">
        <f t="shared" si="34"/>
        <v>66052079.894881114</v>
      </c>
      <c r="J78" s="79"/>
      <c r="K78" s="71">
        <f>+SUMIF(CATEGORIAS[[#All],[SUBGRUPO]],A78,CATEGORIAS[[#All],[PRODUCCION
ANTERIOR]])</f>
        <v>45082871.276197582</v>
      </c>
      <c r="L78" s="71">
        <f>+SUMIF(CATEGORIAS[[#All],[SUBGRUPO]],A78,CATEGORIAS[[#All],[PRODUCCION
ADICIONALES
ANTERIOR]])</f>
        <v>0</v>
      </c>
      <c r="M78" s="85">
        <f t="shared" si="35"/>
        <v>45082871.276197582</v>
      </c>
      <c r="N78" s="79"/>
      <c r="O78" s="85">
        <f t="shared" si="36"/>
        <v>20969208.618683532</v>
      </c>
      <c r="P78" s="71">
        <f t="shared" si="37"/>
        <v>0</v>
      </c>
      <c r="Q78" s="71">
        <f t="shared" si="38"/>
        <v>20969208.618683532</v>
      </c>
    </row>
    <row r="79" spans="1:17" ht="15" customHeight="1" x14ac:dyDescent="0.3">
      <c r="A79" s="14" t="s">
        <v>108</v>
      </c>
      <c r="B79" s="6" t="str">
        <f>VLOOKUP(A79,'Analisis por Categorias'!B:C,2,FALSE)</f>
        <v xml:space="preserve">Control De Calidad </v>
      </c>
      <c r="D79" s="3">
        <f>SUMIF(CATEGORIAS[[#All],[SUBGRUPO]],A79,CATEGORIAS[[#All],[PRESUPUESTO
(ORIGINAL)]])</f>
        <v>62286053.993973345</v>
      </c>
      <c r="E79" s="3">
        <f>+SUMIF(CATEGORIAS[[#All],[SUBGRUPO]],A79,CATEGORIAS[[#All],[PRODUCCION
PARTIDAS
ORIGINALES
ACTUAL]])
+SUMIF(CATEGORIAS[[#All],[SUBGRUPO]],A79,CATEGORIAS[[#All],[PRODUCCION
ADICIONALES
ACTUAL]])
+SUMIF(CATEGORIAS[[#All],[SUBGRUPO]],A79,CATEGORIAS[[#All],[PROYECCION
DE INGRESO
DEL SALDO]])</f>
        <v>67670338.493973345</v>
      </c>
      <c r="G79" s="71">
        <f>+SUMIF(CATEGORIAS[[#All],[SUBGRUPO]],A79,CATEGORIAS[[#All],[PRODUCCION
PARTIDAS
ORIGINALES
ACTUAL]])</f>
        <v>29089559.208154012</v>
      </c>
      <c r="H79" s="71">
        <f>+SUMIF(CATEGORIAS[[#All],[SUBGRUPO]],A79,CATEGORIAS[[#All],[PRODUCCION
ADICIONALES
ACTUAL]])</f>
        <v>0</v>
      </c>
      <c r="I79" s="85">
        <f t="shared" si="34"/>
        <v>29089559.208154012</v>
      </c>
      <c r="J79" s="79"/>
      <c r="K79" s="71">
        <f>+SUMIF(CATEGORIAS[[#All],[SUBGRUPO]],A79,CATEGORIAS[[#All],[PRODUCCION
ANTERIOR]])</f>
        <v>19854648.86722165</v>
      </c>
      <c r="L79" s="71">
        <f>+SUMIF(CATEGORIAS[[#All],[SUBGRUPO]],A79,CATEGORIAS[[#All],[PRODUCCION
ADICIONALES
ANTERIOR]])</f>
        <v>0</v>
      </c>
      <c r="M79" s="71">
        <f t="shared" si="35"/>
        <v>19854648.86722165</v>
      </c>
      <c r="N79" s="79"/>
      <c r="O79" s="71">
        <f t="shared" si="36"/>
        <v>9234910.3409323618</v>
      </c>
      <c r="P79" s="71">
        <f t="shared" si="37"/>
        <v>0</v>
      </c>
      <c r="Q79" s="71">
        <f t="shared" si="38"/>
        <v>9234910.3409323618</v>
      </c>
    </row>
    <row r="80" spans="1:17" ht="15" customHeight="1" x14ac:dyDescent="0.3">
      <c r="A80" s="14" t="s">
        <v>110</v>
      </c>
      <c r="B80" s="6" t="str">
        <f>VLOOKUP(A80,'Analisis por Categorias'!B:C,2,FALSE)</f>
        <v xml:space="preserve">Administración </v>
      </c>
      <c r="D80" s="3">
        <f>SUMIF(CATEGORIAS[[#All],[SUBGRUPO]],A80,CATEGORIAS[[#All],[PRESUPUESTO
(ORIGINAL)]])</f>
        <v>50846869.032810956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56231153.532810956</v>
      </c>
      <c r="G80" s="71">
        <f>+SUMIF(CATEGORIAS[[#All],[SUBGRUPO]],A80,CATEGORIAS[[#All],[PRODUCCION
PARTIDAS
ORIGINALES
ACTUAL]])</f>
        <v>23747097.663665172</v>
      </c>
      <c r="H80" s="71">
        <f>+SUMIF(CATEGORIAS[[#All],[SUBGRUPO]],A80,CATEGORIAS[[#All],[PRODUCCION
ADICIONALES
ACTUAL]])</f>
        <v>0</v>
      </c>
      <c r="I80" s="85">
        <f t="shared" si="34"/>
        <v>23747097.663665172</v>
      </c>
      <c r="J80" s="79"/>
      <c r="K80" s="71">
        <f>+SUMIF(CATEGORIAS[[#All],[SUBGRUPO]],A80,CATEGORIAS[[#All],[PRODUCCION
ANTERIOR]])</f>
        <v>16208230.66976998</v>
      </c>
      <c r="L80" s="71">
        <f>+SUMIF(CATEGORIAS[[#All],[SUBGRUPO]],A80,CATEGORIAS[[#All],[PRODUCCION
ADICIONALES
ANTERIOR]])</f>
        <v>0</v>
      </c>
      <c r="M80" s="85">
        <f t="shared" si="35"/>
        <v>16208230.66976998</v>
      </c>
      <c r="N80" s="79"/>
      <c r="O80" s="85">
        <f t="shared" si="36"/>
        <v>7538866.9938951917</v>
      </c>
      <c r="P80" s="71">
        <f t="shared" si="37"/>
        <v>0</v>
      </c>
      <c r="Q80" s="71">
        <f t="shared" si="38"/>
        <v>7538866.9938951917</v>
      </c>
    </row>
    <row r="81" spans="1:17" ht="15" customHeight="1" x14ac:dyDescent="0.3">
      <c r="A81" s="14" t="s">
        <v>112</v>
      </c>
      <c r="B81" s="6" t="str">
        <f>VLOOKUP(A81,'Analisis por Categorias'!B:C,2,FALSE)</f>
        <v xml:space="preserve">Servicios </v>
      </c>
      <c r="D81" s="3">
        <f>SUMIF(CATEGORIAS[[#All],[SUBGRUPO]],A81,CATEGORIAS[[#All],[PRESUPUESTO
(ORIGINAL)]])</f>
        <v>102860837.03514537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108245121.53514537</v>
      </c>
      <c r="G81" s="71">
        <f>+SUMIF(CATEGORIAS[[#All],[SUBGRUPO]],A81,CATEGORIAS[[#All],[PRODUCCION
PARTIDAS
ORIGINALES
ACTUAL]])</f>
        <v>48039267.496760331</v>
      </c>
      <c r="H81" s="71">
        <f>+SUMIF(CATEGORIAS[[#All],[SUBGRUPO]],A81,CATEGORIAS[[#All],[PRODUCCION
ADICIONALES
ACTUAL]])</f>
        <v>0</v>
      </c>
      <c r="I81" s="85">
        <f t="shared" si="34"/>
        <v>48039267.496760331</v>
      </c>
      <c r="J81" s="79"/>
      <c r="K81" s="71">
        <f>+SUMIF(CATEGORIAS[[#All],[SUBGRUPO]],A81,CATEGORIAS[[#All],[PRODUCCION
ANTERIOR]])</f>
        <v>32788492.295866504</v>
      </c>
      <c r="L81" s="71">
        <f>+SUMIF(CATEGORIAS[[#All],[SUBGRUPO]],A81,CATEGORIAS[[#All],[PRODUCCION
ADICIONALES
ANTERIOR]])</f>
        <v>0</v>
      </c>
      <c r="M81" s="85">
        <f t="shared" si="35"/>
        <v>32788492.295866504</v>
      </c>
      <c r="N81" s="79"/>
      <c r="O81" s="85">
        <f t="shared" si="36"/>
        <v>15250775.200893827</v>
      </c>
      <c r="P81" s="71">
        <f t="shared" si="37"/>
        <v>0</v>
      </c>
      <c r="Q81" s="71">
        <f t="shared" si="38"/>
        <v>15250775.200893827</v>
      </c>
    </row>
    <row r="82" spans="1:17" ht="15" customHeight="1" x14ac:dyDescent="0.3">
      <c r="A82" s="14" t="s">
        <v>114</v>
      </c>
      <c r="B82" s="6" t="str">
        <f>VLOOKUP(A82,'Analisis por Categorias'!B:C,2,FALSE)</f>
        <v>Topografia</v>
      </c>
      <c r="D82" s="3">
        <f>SUMIF(CATEGORIAS[[#All],[SUBGRUPO]],A82,CATEGORIAS[[#All],[PRESUPUESTO
(ORIGINAL)]])</f>
        <v>47989913.093136542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47989913.093136542</v>
      </c>
      <c r="G82" s="71">
        <f>+SUMIF(CATEGORIAS[[#All],[SUBGRUPO]],A82,CATEGORIAS[[#All],[PRODUCCION
PARTIDAS
ORIGINALES
ACTUAL]])</f>
        <v>22412808.787855387</v>
      </c>
      <c r="H82" s="71">
        <f>+SUMIF(CATEGORIAS[[#All],[SUBGRUPO]],A82,CATEGORIAS[[#All],[PRODUCCION
ADICIONALES
ACTUAL]])</f>
        <v>0</v>
      </c>
      <c r="I82" s="85">
        <f t="shared" si="34"/>
        <v>22412808.787855387</v>
      </c>
      <c r="J82" s="79"/>
      <c r="K82" s="71">
        <f>+SUMIF(CATEGORIAS[[#All],[SUBGRUPO]],A82,CATEGORIAS[[#All],[PRODUCCION
ANTERIOR]])</f>
        <v>15297531.510422893</v>
      </c>
      <c r="L82" s="71">
        <f>+SUMIF(CATEGORIAS[[#All],[SUBGRUPO]],A82,CATEGORIAS[[#All],[PRODUCCION
ADICIONALES
ANTERIOR]])</f>
        <v>0</v>
      </c>
      <c r="M82" s="85">
        <f t="shared" si="35"/>
        <v>15297531.510422893</v>
      </c>
      <c r="N82" s="79"/>
      <c r="O82" s="85">
        <f t="shared" si="36"/>
        <v>7115277.2774324939</v>
      </c>
      <c r="P82" s="71">
        <f t="shared" si="37"/>
        <v>0</v>
      </c>
      <c r="Q82" s="71">
        <f t="shared" si="38"/>
        <v>7115277.2774324939</v>
      </c>
    </row>
    <row r="83" spans="1:17" ht="15" customHeight="1" x14ac:dyDescent="0.3">
      <c r="A83" s="14" t="s">
        <v>116</v>
      </c>
      <c r="B83" s="6" t="str">
        <f>VLOOKUP(A83,'Analisis por Categorias'!B:C,2,FALSE)</f>
        <v xml:space="preserve">Movilización </v>
      </c>
      <c r="D83" s="3">
        <f>SUMIF(CATEGORIAS[[#All],[SUBGRUPO]],A83,CATEGORIAS[[#All],[PRESUPUESTO
(ORIGINAL)]])</f>
        <v>50970000.000000015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50970000.000000015</v>
      </c>
      <c r="G83" s="71">
        <f>+SUMIF(CATEGORIAS[[#All],[SUBGRUPO]],A83,CATEGORIAS[[#All],[PRODUCCION
PARTIDAS
ORIGINALES
ACTUAL]])</f>
        <v>23804603.723701492</v>
      </c>
      <c r="H83" s="71">
        <f>+SUMIF(CATEGORIAS[[#All],[SUBGRUPO]],A83,CATEGORIAS[[#All],[PRODUCCION
ADICIONALES
ACTUAL]])</f>
        <v>0</v>
      </c>
      <c r="I83" s="85">
        <f t="shared" si="34"/>
        <v>23804603.723701492</v>
      </c>
      <c r="J83" s="79"/>
      <c r="K83" s="71">
        <f>+SUMIF(CATEGORIAS[[#All],[SUBGRUPO]],A83,CATEGORIAS[[#All],[PRODUCCION
ANTERIOR]])</f>
        <v>13167480.581450956</v>
      </c>
      <c r="L83" s="71">
        <f>+SUMIF(CATEGORIAS[[#All],[SUBGRUPO]],A83,CATEGORIAS[[#All],[PRODUCCION
ADICIONALES
ANTERIOR]])</f>
        <v>0</v>
      </c>
      <c r="M83" s="85">
        <f t="shared" si="35"/>
        <v>13167480.581450956</v>
      </c>
      <c r="N83" s="79"/>
      <c r="O83" s="85">
        <f t="shared" si="36"/>
        <v>10637123.142250536</v>
      </c>
      <c r="P83" s="71">
        <f t="shared" si="37"/>
        <v>0</v>
      </c>
      <c r="Q83" s="71">
        <f t="shared" si="38"/>
        <v>10637123.142250536</v>
      </c>
    </row>
    <row r="84" spans="1:17" ht="15" customHeight="1" x14ac:dyDescent="0.3">
      <c r="A84" s="14" t="s">
        <v>117</v>
      </c>
      <c r="B84" s="6" t="str">
        <f>VLOOKUP(A84,'Analisis por Categorias'!B:C,2,FALSE)</f>
        <v>Hotelería</v>
      </c>
      <c r="D84" s="3">
        <f>SUMIF(CATEGORIAS[[#All],[SUBGRUPO]],A84,CATEGORIAS[[#All],[PRESUPUESTO
(ORIGINAL)]])</f>
        <v>0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0</v>
      </c>
      <c r="G84" s="71">
        <f>+SUMIF(CATEGORIAS[[#All],[SUBGRUPO]],A84,CATEGORIAS[[#All],[PRODUCCION
PARTIDAS
ORIGINALES
ACTUAL]])</f>
        <v>0</v>
      </c>
      <c r="H84" s="71">
        <f>+SUMIF(CATEGORIAS[[#All],[SUBGRUPO]],A84,CATEGORIAS[[#All],[PRODUCCION
ADICIONALES
ACTUAL]])</f>
        <v>0</v>
      </c>
      <c r="I84" s="85">
        <f t="shared" si="34"/>
        <v>0</v>
      </c>
      <c r="J84" s="79"/>
      <c r="K84" s="71">
        <f>+SUMIF(CATEGORIAS[[#All],[SUBGRUPO]],A84,CATEGORIAS[[#All],[PRODUCCION
ANTERIOR]])</f>
        <v>0</v>
      </c>
      <c r="L84" s="71">
        <f>+SUMIF(CATEGORIAS[[#All],[SUBGRUPO]],A84,CATEGORIAS[[#All],[PRODUCCION
ADICIONALES
ANTERIOR]])</f>
        <v>0</v>
      </c>
      <c r="M84" s="71">
        <f t="shared" si="35"/>
        <v>0</v>
      </c>
      <c r="N84" s="79"/>
      <c r="O84" s="71">
        <f t="shared" si="36"/>
        <v>0</v>
      </c>
      <c r="P84" s="71">
        <f t="shared" si="37"/>
        <v>0</v>
      </c>
      <c r="Q84" s="71">
        <f t="shared" si="38"/>
        <v>0</v>
      </c>
    </row>
    <row r="85" spans="1:17" ht="15" customHeight="1" x14ac:dyDescent="0.3">
      <c r="A85" s="14" t="s">
        <v>119</v>
      </c>
      <c r="B85" s="6" t="str">
        <f>VLOOKUP(A85,'Analisis por Categorias'!B:C,2,FALSE)</f>
        <v>Alojamiento y Alimentación</v>
      </c>
      <c r="D85" s="3">
        <f>SUMIF(CATEGORIAS[[#All],[SUBGRUPO]],A85,CATEGORIAS[[#All],[PRESUPUESTO
(ORIGINAL)]])</f>
        <v>127606714.28571428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127606714.28571428</v>
      </c>
      <c r="G85" s="71">
        <f>+SUMIF(CATEGORIAS[[#All],[SUBGRUPO]],A85,CATEGORIAS[[#All],[PRODUCCION
PARTIDAS
ORIGINALES
ACTUAL]])</f>
        <v>59596375.633804724</v>
      </c>
      <c r="H85" s="71">
        <f>+SUMIF(CATEGORIAS[[#All],[SUBGRUPO]],A85,CATEGORIAS[[#All],[PRODUCCION
ADICIONALES
ACTUAL]])</f>
        <v>0</v>
      </c>
      <c r="I85" s="85">
        <f t="shared" si="34"/>
        <v>59596375.633804724</v>
      </c>
      <c r="J85" s="79"/>
      <c r="K85" s="71">
        <f>+SUMIF(CATEGORIAS[[#All],[SUBGRUPO]],A85,CATEGORIAS[[#All],[PRODUCCION
ANTERIOR]])</f>
        <v>40676625.709631212</v>
      </c>
      <c r="L85" s="71">
        <f>+SUMIF(CATEGORIAS[[#All],[SUBGRUPO]],A85,CATEGORIAS[[#All],[PRODUCCION
ADICIONALES
ANTERIOR]])</f>
        <v>0</v>
      </c>
      <c r="M85" s="71">
        <f t="shared" si="35"/>
        <v>40676625.709631212</v>
      </c>
      <c r="N85" s="79"/>
      <c r="O85" s="71">
        <f t="shared" si="36"/>
        <v>18919749.924173512</v>
      </c>
      <c r="P85" s="71">
        <f t="shared" si="37"/>
        <v>0</v>
      </c>
      <c r="Q85" s="71">
        <f t="shared" si="38"/>
        <v>18919749.924173512</v>
      </c>
    </row>
    <row r="86" spans="1:17" ht="15" customHeight="1" x14ac:dyDescent="0.3">
      <c r="A86" s="14" t="s">
        <v>2379</v>
      </c>
      <c r="B86" s="6" t="str">
        <f>VLOOKUP(A86,'Analisis por Categorias'!B:C,2,FALSE)</f>
        <v>Provisiones</v>
      </c>
      <c r="D86" s="3">
        <f>SUMIF(CATEGORIAS[[#All],[SUBGRUPO]],A86,CATEGORIAS[[#All],[PRESUPUESTO
(ORIGINAL)]])</f>
        <v>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0</v>
      </c>
      <c r="G86" s="71">
        <f>+SUMIF(CATEGORIAS[[#All],[SUBGRUPO]],A86,CATEGORIAS[[#All],[PRODUCCION
PARTIDAS
ORIGINALES
ACTUAL]])</f>
        <v>0</v>
      </c>
      <c r="H86" s="71">
        <f>+SUMIF(CATEGORIAS[[#All],[SUBGRUPO]],A86,CATEGORIAS[[#All],[PRODUCCION
ADICIONALES
ACTUAL]])</f>
        <v>0</v>
      </c>
      <c r="I86" s="85">
        <f t="shared" si="34"/>
        <v>0</v>
      </c>
      <c r="J86" s="79"/>
      <c r="K86" s="71">
        <f>+SUMIF(CATEGORIAS[[#All],[SUBGRUPO]],A86,CATEGORIAS[[#All],[PRODUCCION
ANTERIOR]])</f>
        <v>0</v>
      </c>
      <c r="L86" s="71">
        <f>+SUMIF(CATEGORIAS[[#All],[SUBGRUPO]],A86,CATEGORIAS[[#All],[PRODUCCION
ADICIONALES
ANTERIOR]])</f>
        <v>0</v>
      </c>
      <c r="M86" s="71">
        <f t="shared" si="35"/>
        <v>0</v>
      </c>
      <c r="N86" s="79"/>
      <c r="O86" s="71">
        <f t="shared" si="36"/>
        <v>0</v>
      </c>
      <c r="P86" s="71">
        <f t="shared" si="37"/>
        <v>0</v>
      </c>
      <c r="Q86" s="71">
        <f t="shared" si="38"/>
        <v>0</v>
      </c>
    </row>
    <row r="87" spans="1:17" ht="15" customHeight="1" x14ac:dyDescent="0.3">
      <c r="A87" s="14" t="s">
        <v>2460</v>
      </c>
      <c r="B87" s="6" t="str">
        <f>VLOOKUP(A87,'Analisis por Categorias'!B:C,2,FALSE)</f>
        <v>Otros</v>
      </c>
      <c r="D87" s="3">
        <f>SUMIF(CATEGORIAS[[#All],[SUBGRUPO]],A87,CATEGORIAS[[#All],[PRESUPUESTO
(ORIGINAL)]])</f>
        <v>0</v>
      </c>
      <c r="E87" s="3">
        <f>+SUMIF(CATEGORIAS[[#All],[SUBGRUPO]],A87,CATEGORIAS[[#All],[PRODUCCION
PARTIDAS
ORIGINALES
ACTUAL]])
+SUMIF(CATEGORIAS[[#All],[SUBGRUPO]],A87,CATEGORIAS[[#All],[PRODUCCION
ADICIONALES
ACTUAL]])
+SUMIF(CATEGORIAS[[#All],[SUBGRUPO]],A87,CATEGORIAS[[#All],[PROYECCION
DE INGRESO
DEL SALDO]])</f>
        <v>0</v>
      </c>
      <c r="G87" s="71">
        <f>+SUMIF(CATEGORIAS[[#All],[SUBGRUPO]],A87,CATEGORIAS[[#All],[PRODUCCION
PARTIDAS
ORIGINALES
ACTUAL]])</f>
        <v>0</v>
      </c>
      <c r="H87" s="71">
        <f>+SUMIF(CATEGORIAS[[#All],[SUBGRUPO]],A87,CATEGORIAS[[#All],[PRODUCCION
ADICIONALES
ACTUAL]])</f>
        <v>0</v>
      </c>
      <c r="I87" s="85">
        <f t="shared" si="34"/>
        <v>0</v>
      </c>
      <c r="J87" s="79"/>
      <c r="K87" s="71">
        <f>+SUMIF(CATEGORIAS[[#All],[SUBGRUPO]],A87,CATEGORIAS[[#All],[PRODUCCION
ANTERIOR]])</f>
        <v>0</v>
      </c>
      <c r="L87" s="71">
        <f>+SUMIF(CATEGORIAS[[#All],[SUBGRUPO]],A87,CATEGORIAS[[#All],[PRODUCCION
ADICIONALES
ANTERIOR]])</f>
        <v>0</v>
      </c>
      <c r="M87" s="71">
        <f t="shared" si="35"/>
        <v>0</v>
      </c>
      <c r="N87" s="79"/>
      <c r="O87" s="71">
        <f t="shared" si="36"/>
        <v>0</v>
      </c>
      <c r="P87" s="71">
        <f t="shared" si="37"/>
        <v>0</v>
      </c>
      <c r="Q87" s="71">
        <f t="shared" si="38"/>
        <v>0</v>
      </c>
    </row>
    <row r="88" spans="1:17" ht="8.25" customHeight="1" x14ac:dyDescent="0.3">
      <c r="J88" s="79"/>
      <c r="N88" s="79"/>
    </row>
    <row r="89" spans="1:17" ht="15" customHeight="1" x14ac:dyDescent="0.3">
      <c r="A89" s="14" t="s">
        <v>206</v>
      </c>
      <c r="B89" s="81" t="s">
        <v>207</v>
      </c>
      <c r="D89" s="82">
        <f>SUM(D90:D94)</f>
        <v>90537194.880000025</v>
      </c>
      <c r="E89" s="82">
        <f>SUM(E90:E94)</f>
        <v>90537194.880000025</v>
      </c>
      <c r="G89" s="83">
        <f>SUM(G90:G94)</f>
        <v>42283736.440532394</v>
      </c>
      <c r="H89" s="83">
        <f>SUM(H90:H94)</f>
        <v>0</v>
      </c>
      <c r="I89" s="83">
        <f>SUM(I90:I94)</f>
        <v>42283736.440532394</v>
      </c>
      <c r="J89" s="79"/>
      <c r="K89" s="83">
        <f>SUM(K90:K94)</f>
        <v>22522535.964282695</v>
      </c>
      <c r="L89" s="83">
        <f>SUM(L90:L94)</f>
        <v>0</v>
      </c>
      <c r="M89" s="83">
        <f>SUM(M90:M94)</f>
        <v>22522535.964282695</v>
      </c>
      <c r="N89" s="79"/>
      <c r="O89" s="83">
        <f>SUM(O90:O94)</f>
        <v>19761200.476249699</v>
      </c>
      <c r="P89" s="83">
        <f>SUM(P90:P94)</f>
        <v>0</v>
      </c>
      <c r="Q89" s="83">
        <f>SUM(Q90:Q94)</f>
        <v>19761200.476249699</v>
      </c>
    </row>
    <row r="90" spans="1:17" ht="15" customHeight="1" x14ac:dyDescent="0.3">
      <c r="A90" s="14" t="s">
        <v>208</v>
      </c>
      <c r="B90" s="6" t="str">
        <f>VLOOKUP(A90,'Analisis por Categorias'!B:C,2,FALSE)</f>
        <v>Camionetas</v>
      </c>
      <c r="D90" s="3">
        <f>SUMIF(CATEGORIAS[[#All],[SUBGRUPO]],A90,CATEGORIAS[[#All],[PRESUPUESTO
(ORIGINAL)]])</f>
        <v>87729840.00000003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87729840.00000003</v>
      </c>
      <c r="G90" s="71">
        <f>+SUMIF(CATEGORIAS[[#All],[SUBGRUPO]],A90,CATEGORIAS[[#All],[PRODUCCION
PARTIDAS
ORIGINALES
ACTUAL]])</f>
        <v>40972612.829973251</v>
      </c>
      <c r="H90" s="71">
        <f>+SUMIF(CATEGORIAS[[#All],[SUBGRUPO]],A90,CATEGORIAS[[#All],[PRODUCCION
ADICIONALES
ACTUAL]])</f>
        <v>0</v>
      </c>
      <c r="I90" s="85">
        <f>G90+H90</f>
        <v>40972612.829973251</v>
      </c>
      <c r="J90" s="79"/>
      <c r="K90" s="71">
        <f>+SUMIF(CATEGORIAS[[#All],[SUBGRUPO]],A90,CATEGORIAS[[#All],[PRODUCCION
ANTERIOR]])</f>
        <v>21824162.756087884</v>
      </c>
      <c r="L90" s="71">
        <f>+SUMIF(CATEGORIAS[[#All],[SUBGRUPO]],A90,CATEGORIAS[[#All],[PRODUCCION
ADICIONALES
ANTERIOR]])</f>
        <v>0</v>
      </c>
      <c r="M90" s="71">
        <f>K90+L90</f>
        <v>21824162.756087884</v>
      </c>
      <c r="N90" s="79"/>
      <c r="O90" s="71">
        <f t="shared" ref="O90:Q94" si="39">G90-K90</f>
        <v>19148450.073885366</v>
      </c>
      <c r="P90" s="71">
        <f t="shared" si="39"/>
        <v>0</v>
      </c>
      <c r="Q90" s="71">
        <f t="shared" si="39"/>
        <v>19148450.073885366</v>
      </c>
    </row>
    <row r="91" spans="1:17" ht="15" customHeight="1" x14ac:dyDescent="0.3">
      <c r="A91" s="14" t="s">
        <v>209</v>
      </c>
      <c r="B91" s="6" t="str">
        <f>VLOOKUP(A91,'Analisis por Categorias'!B:C,2,FALSE)</f>
        <v>Buses, Mini buses, Van y Sprinter</v>
      </c>
      <c r="D91" s="3">
        <f>SUMIF(CATEGORIAS[[#All],[SUBGRUPO]],A91,CATEGORIAS[[#All],[PRESUPUESTO
(ORIGINAL)]])</f>
        <v>0</v>
      </c>
      <c r="E91" s="3">
        <f>+SUMIF(CATEGORIAS[[#All],[SUBGRUPO]],A91,CATEGORIAS[[#All],[PRODUCCION
PARTIDAS
ORIGINALES
ACTUAL]])
+SUMIF(CATEGORIAS[[#All],[SUBGRUPO]],A91,CATEGORIAS[[#All],[PRODUCCION
ADICIONALES
ACTUAL]])
+SUMIF(CATEGORIAS[[#All],[SUBGRUPO]],A91,CATEGORIAS[[#All],[PROYECCION
DE INGRESO
DEL SALDO]])</f>
        <v>0</v>
      </c>
      <c r="G91" s="71">
        <f>+SUMIF(CATEGORIAS[[#All],[SUBGRUPO]],A91,CATEGORIAS[[#All],[PRODUCCION
PARTIDAS
ORIGINALES
ACTUAL]])</f>
        <v>0</v>
      </c>
      <c r="H91" s="71">
        <f>+SUMIF(CATEGORIAS[[#All],[SUBGRUPO]],A91,CATEGORIAS[[#All],[PRODUCCION
ADICIONALES
ACTUAL]])</f>
        <v>0</v>
      </c>
      <c r="I91" s="85">
        <f>G91+H91</f>
        <v>0</v>
      </c>
      <c r="J91" s="79"/>
      <c r="K91" s="71">
        <f>+SUMIF(CATEGORIAS[[#All],[SUBGRUPO]],A91,CATEGORIAS[[#All],[PRODUCCION
ANTERIOR]])</f>
        <v>0</v>
      </c>
      <c r="L91" s="71">
        <f>+SUMIF(CATEGORIAS[[#All],[SUBGRUPO]],A91,CATEGORIAS[[#All],[PRODUCCION
ADICIONALES
ANTERIOR]])</f>
        <v>0</v>
      </c>
      <c r="M91" s="71">
        <f>K91+L91</f>
        <v>0</v>
      </c>
      <c r="N91" s="79"/>
      <c r="O91" s="71">
        <f t="shared" si="39"/>
        <v>0</v>
      </c>
      <c r="P91" s="71">
        <f t="shared" si="39"/>
        <v>0</v>
      </c>
      <c r="Q91" s="71">
        <f t="shared" si="39"/>
        <v>0</v>
      </c>
    </row>
    <row r="92" spans="1:17" ht="15" customHeight="1" x14ac:dyDescent="0.3">
      <c r="A92" s="14" t="s">
        <v>2386</v>
      </c>
      <c r="B92" s="6" t="str">
        <f>VLOOKUP(A92,'Analisis por Categorias'!B:C,2,FALSE)</f>
        <v xml:space="preserve">Equipo topográfico </v>
      </c>
      <c r="D92" s="3">
        <f>SUMIF(CATEGORIAS[[#All],[SUBGRUPO]],A92,CATEGORIAS[[#All],[PRESUPUESTO
(ORIGINAL)]])</f>
        <v>2807354.88</v>
      </c>
      <c r="E92" s="3">
        <f>+SUMIF(CATEGORIAS[[#All],[SUBGRUPO]],A92,CATEGORIAS[[#All],[PRODUCCION
PARTIDAS
ORIGINALES
ACTUAL]])
+SUMIF(CATEGORIAS[[#All],[SUBGRUPO]],A92,CATEGORIAS[[#All],[PRODUCCION
ADICIONALES
ACTUAL]])
+SUMIF(CATEGORIAS[[#All],[SUBGRUPO]],A92,CATEGORIAS[[#All],[PROYECCION
DE INGRESO
DEL SALDO]])</f>
        <v>2807354.88</v>
      </c>
      <c r="G92" s="71">
        <f>+SUMIF(CATEGORIAS[[#All],[SUBGRUPO]],A92,CATEGORIAS[[#All],[PRODUCCION
PARTIDAS
ORIGINALES
ACTUAL]])</f>
        <v>1311123.6105591436</v>
      </c>
      <c r="H92" s="71">
        <f>+SUMIF(CATEGORIAS[[#All],[SUBGRUPO]],A92,CATEGORIAS[[#All],[PRODUCCION
ADICIONALES
ACTUAL]])</f>
        <v>0</v>
      </c>
      <c r="I92" s="85">
        <f>G92+H92</f>
        <v>1311123.6105591436</v>
      </c>
      <c r="J92" s="79"/>
      <c r="K92" s="71">
        <f>+SUMIF(CATEGORIAS[[#All],[SUBGRUPO]],A92,CATEGORIAS[[#All],[PRODUCCION
ANTERIOR]])</f>
        <v>698373.20819481206</v>
      </c>
      <c r="L92" s="71">
        <f>+SUMIF(CATEGORIAS[[#All],[SUBGRUPO]],A92,CATEGORIAS[[#All],[PRODUCCION
ADICIONALES
ANTERIOR]])</f>
        <v>0</v>
      </c>
      <c r="M92" s="71">
        <f>K92+L92</f>
        <v>698373.20819481206</v>
      </c>
      <c r="N92" s="79"/>
      <c r="O92" s="71">
        <f t="shared" si="39"/>
        <v>612750.40236433153</v>
      </c>
      <c r="P92" s="71">
        <f t="shared" si="39"/>
        <v>0</v>
      </c>
      <c r="Q92" s="71">
        <f t="shared" si="39"/>
        <v>612750.40236433153</v>
      </c>
    </row>
    <row r="93" spans="1:17" ht="15" customHeight="1" x14ac:dyDescent="0.3">
      <c r="A93" s="14" t="s">
        <v>210</v>
      </c>
      <c r="B93" s="6" t="str">
        <f>VLOOKUP(A93,'Analisis por Categorias'!B:C,2,FALSE)</f>
        <v xml:space="preserve">Combustibles </v>
      </c>
      <c r="D93" s="3">
        <f>SUMIF(CATEGORIAS[[#All],[SUBGRUPO]],A93,CATEGORIAS[[#All],[PRESUPUESTO
(ORIGINAL)]])</f>
        <v>0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0</v>
      </c>
      <c r="G93" s="71">
        <f>+SUMIF(CATEGORIAS[[#All],[SUBGRUPO]],A93,CATEGORIAS[[#All],[PRODUCCION
PARTIDAS
ORIGINALES
ACTUAL]])</f>
        <v>0</v>
      </c>
      <c r="H93" s="71">
        <f>+SUMIF(CATEGORIAS[[#All],[SUBGRUPO]],A93,CATEGORIAS[[#All],[PRODUCCION
ADICIONALES
ACTUAL]])</f>
        <v>0</v>
      </c>
      <c r="I93" s="85">
        <f>G93+H93</f>
        <v>0</v>
      </c>
      <c r="J93" s="79"/>
      <c r="K93" s="71">
        <f>+SUMIF(CATEGORIAS[[#All],[SUBGRUPO]],A93,CATEGORIAS[[#All],[PRODUCCION
ANTERIOR]])</f>
        <v>0</v>
      </c>
      <c r="L93" s="71">
        <f>+SUMIF(CATEGORIAS[[#All],[SUBGRUPO]],A93,CATEGORIAS[[#All],[PRODUCCION
ADICIONALES
ANTERIOR]])</f>
        <v>0</v>
      </c>
      <c r="M93" s="71">
        <f>K93+L93</f>
        <v>0</v>
      </c>
      <c r="N93" s="79"/>
      <c r="O93" s="71">
        <f t="shared" si="39"/>
        <v>0</v>
      </c>
      <c r="P93" s="71">
        <f t="shared" si="39"/>
        <v>0</v>
      </c>
      <c r="Q93" s="71">
        <f t="shared" si="39"/>
        <v>0</v>
      </c>
    </row>
    <row r="94" spans="1:17" ht="15" customHeight="1" x14ac:dyDescent="0.3">
      <c r="A94" s="14" t="s">
        <v>2387</v>
      </c>
      <c r="B94" s="6" t="str">
        <f>VLOOKUP(A94,'Analisis por Categorias'!B:C,2,FALSE)</f>
        <v xml:space="preserve">Otros Equipos </v>
      </c>
      <c r="D94" s="3">
        <f>SUMIF(CATEGORIAS[[#All],[SUBGRUPO]],A94,CATEGORIAS[[#All],[PRESUPUESTO
(ORIGINAL)]])</f>
        <v>0</v>
      </c>
      <c r="E94" s="3">
        <f>+SUMIF(CATEGORIAS[[#All],[SUBGRUPO]],A94,CATEGORIAS[[#All],[PRODUCCION
PARTIDAS
ORIGINALES
ACTUAL]])
+SUMIF(CATEGORIAS[[#All],[SUBGRUPO]],A94,CATEGORIAS[[#All],[PRODUCCION
ADICIONALES
ACTUAL]])
+SUMIF(CATEGORIAS[[#All],[SUBGRUPO]],A94,CATEGORIAS[[#All],[PROYECCION
DE INGRESO
DEL SALDO]])</f>
        <v>0</v>
      </c>
      <c r="G94" s="71">
        <f>+SUMIF(CATEGORIAS[[#All],[SUBGRUPO]],A94,CATEGORIAS[[#All],[PRODUCCION
PARTIDAS
ORIGINALES
ACTUAL]])</f>
        <v>0</v>
      </c>
      <c r="H94" s="71">
        <f>+SUMIF(CATEGORIAS[[#All],[SUBGRUPO]],A94,CATEGORIAS[[#All],[PRODUCCION
ADICIONALES
ACTUAL]])</f>
        <v>0</v>
      </c>
      <c r="I94" s="85">
        <f>G94+H94</f>
        <v>0</v>
      </c>
      <c r="J94" s="79"/>
      <c r="K94" s="71">
        <f>+SUMIF(CATEGORIAS[[#All],[SUBGRUPO]],A94,CATEGORIAS[[#All],[PRODUCCION
ANTERIOR]])</f>
        <v>0</v>
      </c>
      <c r="L94" s="71">
        <f>+SUMIF(CATEGORIAS[[#All],[SUBGRUPO]],A94,CATEGORIAS[[#All],[PRODUCCION
ADICIONALES
ANTERIOR]])</f>
        <v>0</v>
      </c>
      <c r="M94" s="71">
        <f>K94+L94</f>
        <v>0</v>
      </c>
      <c r="N94" s="79"/>
      <c r="O94" s="71">
        <f t="shared" si="39"/>
        <v>0</v>
      </c>
      <c r="P94" s="71">
        <f t="shared" si="39"/>
        <v>0</v>
      </c>
      <c r="Q94" s="71">
        <f t="shared" si="39"/>
        <v>0</v>
      </c>
    </row>
    <row r="95" spans="1:17" ht="8.25" customHeight="1" x14ac:dyDescent="0.3">
      <c r="J95" s="79"/>
      <c r="N95" s="79"/>
    </row>
    <row r="96" spans="1:17" ht="15" customHeight="1" x14ac:dyDescent="0.3">
      <c r="A96" s="14" t="s">
        <v>211</v>
      </c>
      <c r="B96" s="81" t="s">
        <v>212</v>
      </c>
      <c r="D96" s="82">
        <f>SUM(D97:D106)</f>
        <v>164811573.62139496</v>
      </c>
      <c r="E96" s="82">
        <f>SUM(E97:E106)</f>
        <v>166757070.55323496</v>
      </c>
      <c r="G96" s="83">
        <f>SUM(G97:G106)</f>
        <v>117813488.61827117</v>
      </c>
      <c r="H96" s="83">
        <f>SUM(H97:H106)</f>
        <v>0</v>
      </c>
      <c r="I96" s="83">
        <f>SUM(I97:I106)</f>
        <v>117813488.61827117</v>
      </c>
      <c r="J96" s="79"/>
      <c r="K96" s="83">
        <f>SUM(K97:K106)</f>
        <v>113343398.88012539</v>
      </c>
      <c r="L96" s="83">
        <f>SUM(L97:L106)</f>
        <v>0</v>
      </c>
      <c r="M96" s="83">
        <f>SUM(M97:M106)</f>
        <v>113343398.88012539</v>
      </c>
      <c r="N96" s="79"/>
      <c r="O96" s="83">
        <f>SUM(O97:O106)</f>
        <v>4470089.7381457919</v>
      </c>
      <c r="P96" s="83">
        <f>SUM(P97:P106)</f>
        <v>0</v>
      </c>
      <c r="Q96" s="83">
        <f>SUM(Q97:Q106)</f>
        <v>4470089.7381457919</v>
      </c>
    </row>
    <row r="97" spans="1:17" ht="15" customHeight="1" x14ac:dyDescent="0.3">
      <c r="A97" s="14" t="s">
        <v>213</v>
      </c>
      <c r="B97" s="6" t="str">
        <f>VLOOKUP(A97,'Analisis por Categorias'!B:C,2,FALSE)</f>
        <v>Mano De Obra</v>
      </c>
      <c r="D97" s="3">
        <f>SUMIF(CATEGORIAS[[#All],[SUBGRUPO]],A97,CATEGORIAS[[#All],[PRESUPUESTO
(ORIGINAL)]])</f>
        <v>10998290.191088844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10998290.191088844</v>
      </c>
      <c r="G97" s="71">
        <f>+SUMIF(CATEGORIAS[[#All],[SUBGRUPO]],A97,CATEGORIAS[[#All],[PRODUCCION
PARTIDAS
ORIGINALES
ACTUAL]])</f>
        <v>8248717.6433166321</v>
      </c>
      <c r="H97" s="71">
        <f>+SUMIF(CATEGORIAS[[#All],[SUBGRUPO]],A97,CATEGORIAS[[#All],[PRODUCCION
ADICIONALES
ACTUAL]])</f>
        <v>0</v>
      </c>
      <c r="I97" s="85">
        <f t="shared" ref="I97:I106" si="40">G97+H97</f>
        <v>8248717.6433166321</v>
      </c>
      <c r="J97" s="79"/>
      <c r="K97" s="71">
        <f>+SUMIF(CATEGORIAS[[#All],[SUBGRUPO]],A97,CATEGORIAS[[#All],[PRODUCCION
ANTERIOR]])</f>
        <v>8248717.6433166321</v>
      </c>
      <c r="L97" s="71">
        <f>+SUMIF(CATEGORIAS[[#All],[SUBGRUPO]],A97,CATEGORIAS[[#All],[PRODUCCION
ADICIONALES
ANTERIOR]])</f>
        <v>0</v>
      </c>
      <c r="M97" s="71">
        <f t="shared" ref="M97:M106" si="41">K97+L97</f>
        <v>8248717.6433166321</v>
      </c>
      <c r="N97" s="79"/>
      <c r="O97" s="71">
        <f t="shared" ref="O97:O106" si="42">G97-K97</f>
        <v>0</v>
      </c>
      <c r="P97" s="71">
        <f t="shared" ref="P97:P106" si="43">H97-L97</f>
        <v>0</v>
      </c>
      <c r="Q97" s="71">
        <f t="shared" ref="Q97:Q106" si="44">I97-M97</f>
        <v>0</v>
      </c>
    </row>
    <row r="98" spans="1:17" ht="15" customHeight="1" x14ac:dyDescent="0.3">
      <c r="A98" s="14" t="s">
        <v>214</v>
      </c>
      <c r="B98" s="6" t="str">
        <f>VLOOKUP(A98,'Analisis por Categorias'!B:C,2,FALSE)</f>
        <v xml:space="preserve">Containers </v>
      </c>
      <c r="D98" s="3">
        <f>SUMIF(CATEGORIAS[[#All],[SUBGRUPO]],A98,CATEGORIAS[[#All],[PRESUPUESTO
(ORIGINAL)]])</f>
        <v>24060000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24060000</v>
      </c>
      <c r="G98" s="71">
        <f>+SUMIF(CATEGORIAS[[#All],[SUBGRUPO]],A98,CATEGORIAS[[#All],[PRODUCCION
PARTIDAS
ORIGINALES
ACTUAL]])</f>
        <v>18045000</v>
      </c>
      <c r="H98" s="71">
        <f>+SUMIF(CATEGORIAS[[#All],[SUBGRUPO]],A98,CATEGORIAS[[#All],[PRODUCCION
ADICIONALES
ACTUAL]])</f>
        <v>0</v>
      </c>
      <c r="I98" s="85">
        <f t="shared" si="40"/>
        <v>18045000</v>
      </c>
      <c r="J98" s="79"/>
      <c r="K98" s="71">
        <f>+SUMIF(CATEGORIAS[[#All],[SUBGRUPO]],A98,CATEGORIAS[[#All],[PRODUCCION
ANTERIOR]])</f>
        <v>18045000</v>
      </c>
      <c r="L98" s="71">
        <f>+SUMIF(CATEGORIAS[[#All],[SUBGRUPO]],A98,CATEGORIAS[[#All],[PRODUCCION
ADICIONALES
ANTERIOR]])</f>
        <v>0</v>
      </c>
      <c r="M98" s="71">
        <f t="shared" si="41"/>
        <v>18045000</v>
      </c>
      <c r="N98" s="79"/>
      <c r="O98" s="71">
        <f t="shared" si="42"/>
        <v>0</v>
      </c>
      <c r="P98" s="71">
        <f t="shared" si="43"/>
        <v>0</v>
      </c>
      <c r="Q98" s="71">
        <f t="shared" si="44"/>
        <v>0</v>
      </c>
    </row>
    <row r="99" spans="1:17" ht="15" customHeight="1" x14ac:dyDescent="0.3">
      <c r="A99" s="14" t="s">
        <v>215</v>
      </c>
      <c r="B99" s="6" t="str">
        <f>VLOOKUP(A99,'Analisis por Categorias'!B:C,2,FALSE)</f>
        <v xml:space="preserve">Materiales </v>
      </c>
      <c r="D99" s="3">
        <f>SUMIF(CATEGORIAS[[#All],[SUBGRUPO]],A99,CATEGORIAS[[#All],[PRESUPUESTO
(ORIGINAL)]])</f>
        <v>33295000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33295000</v>
      </c>
      <c r="G99" s="71">
        <f>+SUMIF(CATEGORIAS[[#All],[SUBGRUPO]],A99,CATEGORIAS[[#All],[PRODUCCION
PARTIDAS
ORIGINALES
ACTUAL]])</f>
        <v>22848987.451986682</v>
      </c>
      <c r="H99" s="71">
        <f>+SUMIF(CATEGORIAS[[#All],[SUBGRUPO]],A99,CATEGORIAS[[#All],[PRODUCCION
ADICIONALES
ACTUAL]])</f>
        <v>0</v>
      </c>
      <c r="I99" s="85">
        <f t="shared" si="40"/>
        <v>22848987.451986682</v>
      </c>
      <c r="J99" s="79"/>
      <c r="K99" s="71">
        <f>+SUMIF(CATEGORIAS[[#All],[SUBGRUPO]],A99,CATEGORIAS[[#All],[PRODUCCION
ANTERIOR]])</f>
        <v>21211991.698271181</v>
      </c>
      <c r="L99" s="71">
        <f>+SUMIF(CATEGORIAS[[#All],[SUBGRUPO]],A99,CATEGORIAS[[#All],[PRODUCCION
ADICIONALES
ANTERIOR]])</f>
        <v>0</v>
      </c>
      <c r="M99" s="71">
        <f t="shared" si="41"/>
        <v>21211991.698271181</v>
      </c>
      <c r="N99" s="79"/>
      <c r="O99" s="71">
        <f t="shared" si="42"/>
        <v>1636995.7537155002</v>
      </c>
      <c r="P99" s="71">
        <f t="shared" si="43"/>
        <v>0</v>
      </c>
      <c r="Q99" s="71">
        <f t="shared" si="44"/>
        <v>1636995.7537155002</v>
      </c>
    </row>
    <row r="100" spans="1:17" ht="15" customHeight="1" x14ac:dyDescent="0.3">
      <c r="A100" s="14" t="s">
        <v>2368</v>
      </c>
      <c r="B100" s="6" t="str">
        <f>VLOOKUP(A100,'Analisis por Categorias'!B:C,2,FALSE)</f>
        <v xml:space="preserve">Energía Eléctrica </v>
      </c>
      <c r="D100" s="3">
        <f>SUMIF(CATEGORIAS[[#All],[SUBGRUPO]],A100,CATEGORIAS[[#All],[PRESUPUESTO
(ORIGINAL)]])</f>
        <v>31512000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33457496.931840003</v>
      </c>
      <c r="G100" s="71">
        <f>+SUMIF(CATEGORIAS[[#All],[SUBGRUPO]],A100,CATEGORIAS[[#All],[PRODUCCION
PARTIDAS
ORIGINALES
ACTUAL]])</f>
        <v>23634000</v>
      </c>
      <c r="H100" s="71">
        <f>+SUMIF(CATEGORIAS[[#All],[SUBGRUPO]],A100,CATEGORIAS[[#All],[PRODUCCION
ADICIONALES
ACTUAL]])</f>
        <v>0</v>
      </c>
      <c r="I100" s="85">
        <f t="shared" si="40"/>
        <v>23634000</v>
      </c>
      <c r="J100" s="79"/>
      <c r="K100" s="71">
        <f>+SUMIF(CATEGORIAS[[#All],[SUBGRUPO]],A100,CATEGORIAS[[#All],[PRODUCCION
ANTERIOR]])</f>
        <v>23634000</v>
      </c>
      <c r="L100" s="71">
        <f>+SUMIF(CATEGORIAS[[#All],[SUBGRUPO]],A100,CATEGORIAS[[#All],[PRODUCCION
ADICIONALES
ANTERIOR]])</f>
        <v>0</v>
      </c>
      <c r="M100" s="71">
        <f t="shared" si="41"/>
        <v>23634000</v>
      </c>
      <c r="N100" s="79"/>
      <c r="O100" s="71">
        <f t="shared" si="42"/>
        <v>0</v>
      </c>
      <c r="P100" s="71">
        <f t="shared" si="43"/>
        <v>0</v>
      </c>
      <c r="Q100" s="71">
        <f t="shared" si="44"/>
        <v>0</v>
      </c>
    </row>
    <row r="101" spans="1:17" ht="15" customHeight="1" x14ac:dyDescent="0.3">
      <c r="A101" s="14" t="s">
        <v>216</v>
      </c>
      <c r="B101" s="6" t="str">
        <f>VLOOKUP(A101,'Analisis por Categorias'!B:C,2,FALSE)</f>
        <v xml:space="preserve">Mobiliario </v>
      </c>
      <c r="D101" s="3">
        <f>SUMIF(CATEGORIAS[[#All],[SUBGRUPO]],A101,CATEGORIAS[[#All],[PRESUPUESTO
(ORIGINAL)]])</f>
        <v>3695000.0000000005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3695000.0000000005</v>
      </c>
      <c r="G101" s="71">
        <f>+SUMIF(CATEGORIAS[[#All],[SUBGRUPO]],A101,CATEGORIAS[[#All],[PRODUCCION
PARTIDAS
ORIGINALES
ACTUAL]])</f>
        <v>2771250</v>
      </c>
      <c r="H101" s="71">
        <f>+SUMIF(CATEGORIAS[[#All],[SUBGRUPO]],A101,CATEGORIAS[[#All],[PRODUCCION
ADICIONALES
ACTUAL]])</f>
        <v>0</v>
      </c>
      <c r="I101" s="85">
        <f t="shared" si="40"/>
        <v>2771250</v>
      </c>
      <c r="J101" s="79"/>
      <c r="K101" s="71">
        <f>+SUMIF(CATEGORIAS[[#All],[SUBGRUPO]],A101,CATEGORIAS[[#All],[PRODUCCION
ANTERIOR]])</f>
        <v>2771250</v>
      </c>
      <c r="L101" s="71">
        <f>+SUMIF(CATEGORIAS[[#All],[SUBGRUPO]],A101,CATEGORIAS[[#All],[PRODUCCION
ADICIONALES
ANTERIOR]])</f>
        <v>0</v>
      </c>
      <c r="M101" s="71">
        <f t="shared" si="41"/>
        <v>2771250</v>
      </c>
      <c r="N101" s="79"/>
      <c r="O101" s="71">
        <f t="shared" si="42"/>
        <v>0</v>
      </c>
      <c r="P101" s="71">
        <f t="shared" si="43"/>
        <v>0</v>
      </c>
      <c r="Q101" s="71">
        <f t="shared" si="44"/>
        <v>0</v>
      </c>
    </row>
    <row r="102" spans="1:17" ht="15" customHeight="1" x14ac:dyDescent="0.3">
      <c r="A102" s="14" t="s">
        <v>217</v>
      </c>
      <c r="B102" s="6" t="str">
        <f>VLOOKUP(A102,'Analisis por Categorias'!B:C,2,FALSE)</f>
        <v xml:space="preserve">Baños Químicos </v>
      </c>
      <c r="D102" s="3">
        <f>SUMIF(CATEGORIAS[[#All],[SUBGRUPO]],A102,CATEGORIAS[[#All],[PRESUPUESTO
(ORIGINAL)]])</f>
        <v>28435644.852235559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28435644.852235559</v>
      </c>
      <c r="G102" s="71">
        <f>+SUMIF(CATEGORIAS[[#All],[SUBGRUPO]],A102,CATEGORIAS[[#All],[PRODUCCION
PARTIDAS
ORIGINALES
ACTUAL]])</f>
        <v>19917551.307295822</v>
      </c>
      <c r="H102" s="71">
        <f>+SUMIF(CATEGORIAS[[#All],[SUBGRUPO]],A102,CATEGORIAS[[#All],[PRODUCCION
ADICIONALES
ACTUAL]])</f>
        <v>0</v>
      </c>
      <c r="I102" s="85">
        <f t="shared" si="40"/>
        <v>19917551.307295822</v>
      </c>
      <c r="J102" s="79"/>
      <c r="K102" s="71">
        <f>+SUMIF(CATEGORIAS[[#All],[SUBGRUPO]],A102,CATEGORIAS[[#All],[PRODUCCION
ANTERIOR]])</f>
        <v>18830586.12682873</v>
      </c>
      <c r="L102" s="71">
        <f>+SUMIF(CATEGORIAS[[#All],[SUBGRUPO]],A102,CATEGORIAS[[#All],[PRODUCCION
ADICIONALES
ANTERIOR]])</f>
        <v>0</v>
      </c>
      <c r="M102" s="71">
        <f t="shared" si="41"/>
        <v>18830586.12682873</v>
      </c>
      <c r="N102" s="79"/>
      <c r="O102" s="71">
        <f t="shared" si="42"/>
        <v>1086965.1804670915</v>
      </c>
      <c r="P102" s="71">
        <f t="shared" si="43"/>
        <v>0</v>
      </c>
      <c r="Q102" s="71">
        <f t="shared" si="44"/>
        <v>1086965.1804670915</v>
      </c>
    </row>
    <row r="103" spans="1:17" ht="15" customHeight="1" x14ac:dyDescent="0.3">
      <c r="A103" s="14" t="s">
        <v>218</v>
      </c>
      <c r="B103" s="6" t="str">
        <f>VLOOKUP(A103,'Analisis por Categorias'!B:C,2,FALSE)</f>
        <v>Servicios Básicos (Luz, Agua, Gas)</v>
      </c>
      <c r="D103" s="3">
        <f>SUMIF(CATEGORIAS[[#All],[SUBGRUPO]],A103,CATEGORIAS[[#All],[PRESUPUESTO
(ORIGINAL)]])</f>
        <v>8500000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8500000</v>
      </c>
      <c r="G103" s="71">
        <f>+SUMIF(CATEGORIAS[[#All],[SUBGRUPO]],A103,CATEGORIAS[[#All],[PRODUCCION
PARTIDAS
ORIGINALES
ACTUAL]])</f>
        <v>6375000</v>
      </c>
      <c r="H103" s="71">
        <f>+SUMIF(CATEGORIAS[[#All],[SUBGRUPO]],A103,CATEGORIAS[[#All],[PRODUCCION
ADICIONALES
ACTUAL]])</f>
        <v>0</v>
      </c>
      <c r="I103" s="85">
        <f t="shared" si="40"/>
        <v>6375000</v>
      </c>
      <c r="J103" s="79"/>
      <c r="K103" s="71">
        <f>+SUMIF(CATEGORIAS[[#All],[SUBGRUPO]],A103,CATEGORIAS[[#All],[PRODUCCION
ANTERIOR]])</f>
        <v>6375000</v>
      </c>
      <c r="L103" s="71">
        <f>+SUMIF(CATEGORIAS[[#All],[SUBGRUPO]],A103,CATEGORIAS[[#All],[PRODUCCION
ADICIONALES
ANTERIOR]])</f>
        <v>0</v>
      </c>
      <c r="M103" s="71">
        <f t="shared" si="41"/>
        <v>6375000</v>
      </c>
      <c r="N103" s="79"/>
      <c r="O103" s="71">
        <f t="shared" si="42"/>
        <v>0</v>
      </c>
      <c r="P103" s="71">
        <f t="shared" si="43"/>
        <v>0</v>
      </c>
      <c r="Q103" s="71">
        <f t="shared" si="44"/>
        <v>0</v>
      </c>
    </row>
    <row r="104" spans="1:17" ht="15" customHeight="1" x14ac:dyDescent="0.3">
      <c r="A104" s="14" t="s">
        <v>219</v>
      </c>
      <c r="B104" s="6" t="str">
        <f>VLOOKUP(A104,'Analisis por Categorias'!B:C,2,FALSE)</f>
        <v xml:space="preserve">Fletes </v>
      </c>
      <c r="D104" s="3">
        <f>SUMIF(CATEGORIAS[[#All],[SUBGRUPO]],A104,CATEGORIAS[[#All],[PRESUPUESTO
(ORIGINAL)]])</f>
        <v>16315638.578070559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16315638.578070559</v>
      </c>
      <c r="G104" s="71">
        <f>+SUMIF(CATEGORIAS[[#All],[SUBGRUPO]],A104,CATEGORIAS[[#All],[PRODUCCION
PARTIDAS
ORIGINALES
ACTUAL]])</f>
        <v>12236728.933552915</v>
      </c>
      <c r="H104" s="71">
        <f>+SUMIF(CATEGORIAS[[#All],[SUBGRUPO]],A104,CATEGORIAS[[#All],[PRODUCCION
ADICIONALES
ACTUAL]])</f>
        <v>0</v>
      </c>
      <c r="I104" s="85">
        <f t="shared" si="40"/>
        <v>12236728.933552915</v>
      </c>
      <c r="J104" s="79"/>
      <c r="K104" s="71">
        <f>+SUMIF(CATEGORIAS[[#All],[SUBGRUPO]],A104,CATEGORIAS[[#All],[PRODUCCION
ANTERIOR]])</f>
        <v>12236728.933552915</v>
      </c>
      <c r="L104" s="71">
        <f>+SUMIF(CATEGORIAS[[#All],[SUBGRUPO]],A104,CATEGORIAS[[#All],[PRODUCCION
ADICIONALES
ANTERIOR]])</f>
        <v>0</v>
      </c>
      <c r="M104" s="71">
        <f t="shared" si="41"/>
        <v>12236728.933552915</v>
      </c>
      <c r="N104" s="79"/>
      <c r="O104" s="71">
        <f t="shared" si="42"/>
        <v>0</v>
      </c>
      <c r="P104" s="71">
        <f t="shared" si="43"/>
        <v>0</v>
      </c>
      <c r="Q104" s="71">
        <f t="shared" si="44"/>
        <v>0</v>
      </c>
    </row>
    <row r="105" spans="1:17" ht="15" customHeight="1" x14ac:dyDescent="0.3">
      <c r="A105" s="14" t="s">
        <v>2366</v>
      </c>
      <c r="B105" s="6" t="str">
        <f>VLOOKUP(A105,'Analisis por Categorias'!B:C,2,FALSE)</f>
        <v xml:space="preserve">Combustibles </v>
      </c>
      <c r="D105" s="3">
        <f>SUMIF(CATEGORIAS[[#All],[SUBGRUPO]],A105,CATEGORIAS[[#All],[PRESUPUESTO
(ORIGINAL)]])</f>
        <v>0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71">
        <f>+SUMIF(CATEGORIAS[[#All],[SUBGRUPO]],A105,CATEGORIAS[[#All],[PRODUCCION
PARTIDAS
ORIGINALES
ACTUAL]])</f>
        <v>0</v>
      </c>
      <c r="H105" s="71">
        <f>+SUMIF(CATEGORIAS[[#All],[SUBGRUPO]],A105,CATEGORIAS[[#All],[PRODUCCION
ADICIONALES
ACTUAL]])</f>
        <v>0</v>
      </c>
      <c r="I105" s="85">
        <f t="shared" si="40"/>
        <v>0</v>
      </c>
      <c r="J105" s="79"/>
      <c r="K105" s="71">
        <f>+SUMIF(CATEGORIAS[[#All],[SUBGRUPO]],A105,CATEGORIAS[[#All],[PRODUCCION
ANTERIOR]])</f>
        <v>0</v>
      </c>
      <c r="L105" s="71">
        <f>+SUMIF(CATEGORIAS[[#All],[SUBGRUPO]],A105,CATEGORIAS[[#All],[PRODUCCION
ADICIONALES
ANTERIOR]])</f>
        <v>0</v>
      </c>
      <c r="M105" s="71">
        <f t="shared" si="41"/>
        <v>0</v>
      </c>
      <c r="N105" s="79"/>
      <c r="O105" s="71">
        <f t="shared" si="42"/>
        <v>0</v>
      </c>
      <c r="P105" s="71">
        <f t="shared" si="43"/>
        <v>0</v>
      </c>
      <c r="Q105" s="71">
        <f t="shared" si="44"/>
        <v>0</v>
      </c>
    </row>
    <row r="106" spans="1:17" ht="15" customHeight="1" x14ac:dyDescent="0.3">
      <c r="A106" s="14" t="s">
        <v>2367</v>
      </c>
      <c r="B106" s="6" t="str">
        <f>VLOOKUP(A106,'Analisis por Categorias'!B:C,2,FALSE)</f>
        <v xml:space="preserve">Permisos De Construcción </v>
      </c>
      <c r="D106" s="3">
        <f>SUMIF(CATEGORIAS[[#All],[SUBGRUPO]],A106,CATEGORIAS[[#All],[PRESUPUESTO
(ORIGINAL)]])</f>
        <v>8000000.0000000019</v>
      </c>
      <c r="E106" s="3">
        <f>+SUMIF(CATEGORIAS[[#All],[SUBGRUPO]],A106,CATEGORIAS[[#All],[PRODUCCION
PARTIDAS
ORIGINALES
ACTUAL]])
+SUMIF(CATEGORIAS[[#All],[SUBGRUPO]],A106,CATEGORIAS[[#All],[PRODUCCION
ADICIONALES
ACTUAL]])
+SUMIF(CATEGORIAS[[#All],[SUBGRUPO]],A106,CATEGORIAS[[#All],[PROYECCION
DE INGRESO
DEL SALDO]])</f>
        <v>8000000.0000000019</v>
      </c>
      <c r="G106" s="71">
        <f>+SUMIF(CATEGORIAS[[#All],[SUBGRUPO]],A106,CATEGORIAS[[#All],[PRODUCCION
PARTIDAS
ORIGINALES
ACTUAL]])</f>
        <v>3736253.2821191279</v>
      </c>
      <c r="H106" s="71">
        <f>+SUMIF(CATEGORIAS[[#All],[SUBGRUPO]],A106,CATEGORIAS[[#All],[PRODUCCION
ADICIONALES
ACTUAL]])</f>
        <v>0</v>
      </c>
      <c r="I106" s="85">
        <f t="shared" si="40"/>
        <v>3736253.2821191279</v>
      </c>
      <c r="J106" s="79"/>
      <c r="K106" s="71">
        <f>+SUMIF(CATEGORIAS[[#All],[SUBGRUPO]],A106,CATEGORIAS[[#All],[PRODUCCION
ANTERIOR]])</f>
        <v>1990124.478155928</v>
      </c>
      <c r="L106" s="71">
        <f>+SUMIF(CATEGORIAS[[#All],[SUBGRUPO]],A106,CATEGORIAS[[#All],[PRODUCCION
ADICIONALES
ANTERIOR]])</f>
        <v>0</v>
      </c>
      <c r="M106" s="71">
        <f t="shared" si="41"/>
        <v>1990124.478155928</v>
      </c>
      <c r="N106" s="79"/>
      <c r="O106" s="71">
        <f t="shared" si="42"/>
        <v>1746128.8039632</v>
      </c>
      <c r="P106" s="71">
        <f t="shared" si="43"/>
        <v>0</v>
      </c>
      <c r="Q106" s="71">
        <f t="shared" si="44"/>
        <v>1746128.8039632</v>
      </c>
    </row>
    <row r="107" spans="1:17" ht="8.25" customHeight="1" x14ac:dyDescent="0.3">
      <c r="J107" s="79"/>
      <c r="N107" s="79"/>
    </row>
    <row r="108" spans="1:17" ht="14.25" customHeight="1" x14ac:dyDescent="0.3">
      <c r="A108" s="14" t="s">
        <v>220</v>
      </c>
      <c r="B108" s="81" t="s">
        <v>221</v>
      </c>
      <c r="D108" s="82">
        <f>SUM(D109:D120)</f>
        <v>235079922.81330013</v>
      </c>
      <c r="E108" s="82">
        <f>SUM(E109:E120)</f>
        <v>235628938.07993358</v>
      </c>
      <c r="G108" s="83">
        <f>SUM(G109:G119)</f>
        <v>93865239.490057394</v>
      </c>
      <c r="H108" s="83">
        <f>SUM(H109:H119)</f>
        <v>549015.26663345238</v>
      </c>
      <c r="I108" s="83">
        <f>SUM(I109:I119)</f>
        <v>94414254.75669086</v>
      </c>
      <c r="J108" s="79"/>
      <c r="K108" s="83">
        <f>SUM(K109:K119)</f>
        <v>49997550.539936587</v>
      </c>
      <c r="L108" s="83">
        <f>SUM(L109:L119)</f>
        <v>549015.26663345238</v>
      </c>
      <c r="M108" s="83">
        <f>SUM(M109:M119)</f>
        <v>50546565.806570038</v>
      </c>
      <c r="N108" s="79"/>
      <c r="O108" s="83">
        <f>SUM(O109:O119)</f>
        <v>43867688.950120792</v>
      </c>
      <c r="P108" s="83">
        <f>SUM(P109:P119)</f>
        <v>0</v>
      </c>
      <c r="Q108" s="83">
        <f>SUM(Q109:Q119)</f>
        <v>43867688.950120792</v>
      </c>
    </row>
    <row r="109" spans="1:17" ht="15" customHeight="1" x14ac:dyDescent="0.3">
      <c r="A109" s="14" t="s">
        <v>2369</v>
      </c>
      <c r="B109" s="6" t="str">
        <f>VLOOKUP(A109,'Analisis por Categorias'!B:C,2,FALSE)</f>
        <v xml:space="preserve">Gastos contratación </v>
      </c>
      <c r="D109" s="3">
        <f>SUMIF(CATEGORIAS[[#All],[SUBGRUPO]],A109,CATEGORIAS[[#All],[PRESUPUESTO
(ORIGINAL)]])</f>
        <v>169007626.47784966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169007626.47784966</v>
      </c>
      <c r="G109" s="71">
        <f>+SUMIF(CATEGORIAS[[#All],[SUBGRUPO]],A109,CATEGORIAS[[#All],[PRODUCCION
PARTIDAS
ORIGINALES
ACTUAL]])</f>
        <v>64347808.25306838</v>
      </c>
      <c r="H109" s="71">
        <f>+SUMIF(CATEGORIAS[[#All],[SUBGRUPO]],A109,CATEGORIAS[[#All],[PRODUCCION
ADICIONALES
ACTUAL]])</f>
        <v>0</v>
      </c>
      <c r="I109" s="85">
        <f t="shared" ref="I109:I120" si="45">G109+H109</f>
        <v>64347808.25306838</v>
      </c>
      <c r="J109" s="79"/>
      <c r="K109" s="71">
        <f>+SUMIF(CATEGORIAS[[#All],[SUBGRUPO]],A109,CATEGORIAS[[#All],[PRODUCCION
ANTERIOR]])</f>
        <v>34275017.952605791</v>
      </c>
      <c r="L109" s="71">
        <f>+SUMIF(CATEGORIAS[[#All],[SUBGRUPO]],A109,CATEGORIAS[[#All],[PRODUCCION
ADICIONALES
ANTERIOR]])</f>
        <v>0</v>
      </c>
      <c r="M109" s="71">
        <f t="shared" ref="M109:M120" si="46">K109+L109</f>
        <v>34275017.952605791</v>
      </c>
      <c r="N109" s="79"/>
      <c r="O109" s="71">
        <f t="shared" ref="O109:O120" si="47">G109-K109</f>
        <v>30072790.300462589</v>
      </c>
      <c r="P109" s="71">
        <f t="shared" ref="P109:P120" si="48">H109-L109</f>
        <v>0</v>
      </c>
      <c r="Q109" s="71">
        <f t="shared" ref="Q109:Q120" si="49">I109-M109</f>
        <v>30072790.300462589</v>
      </c>
    </row>
    <row r="110" spans="1:17" ht="15" customHeight="1" x14ac:dyDescent="0.3">
      <c r="A110" s="14" t="s">
        <v>222</v>
      </c>
      <c r="B110" s="6" t="str">
        <f>VLOOKUP(A110,'Analisis por Categorias'!B:C,2,FALSE)</f>
        <v>Otros Gastos Generales</v>
      </c>
      <c r="D110" s="3">
        <f>SUMIF(CATEGORIAS[[#All],[SUBGRUPO]],A110,CATEGORIAS[[#All],[PRESUPUESTO
(ORIGINAL)]])</f>
        <v>1470322.9617211157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1470322.9617211157</v>
      </c>
      <c r="G110" s="71">
        <f>+SUMIF(CATEGORIAS[[#All],[SUBGRUPO]],A110,CATEGORIAS[[#All],[PRODUCCION
PARTIDAS
ORIGINALES
ACTUAL]])</f>
        <v>686687.37393820425</v>
      </c>
      <c r="H110" s="71">
        <f>+SUMIF(CATEGORIAS[[#All],[SUBGRUPO]],A110,CATEGORIAS[[#All],[PRODUCCION
ADICIONALES
ACTUAL]])</f>
        <v>0</v>
      </c>
      <c r="I110" s="85">
        <f t="shared" si="45"/>
        <v>686687.37393820425</v>
      </c>
      <c r="J110" s="79"/>
      <c r="K110" s="71">
        <f>+SUMIF(CATEGORIAS[[#All],[SUBGRUPO]],A110,CATEGORIAS[[#All],[PRODUCCION
ANTERIOR]])</f>
        <v>365765.71461448917</v>
      </c>
      <c r="L110" s="71">
        <f>+SUMIF(CATEGORIAS[[#All],[SUBGRUPO]],A110,CATEGORIAS[[#All],[PRODUCCION
ADICIONALES
ANTERIOR]])</f>
        <v>0</v>
      </c>
      <c r="M110" s="71">
        <f t="shared" si="46"/>
        <v>365765.71461448917</v>
      </c>
      <c r="N110" s="79"/>
      <c r="O110" s="71">
        <f t="shared" si="47"/>
        <v>320921.65932371508</v>
      </c>
      <c r="P110" s="71">
        <f t="shared" si="48"/>
        <v>0</v>
      </c>
      <c r="Q110" s="71">
        <f t="shared" si="49"/>
        <v>320921.65932371508</v>
      </c>
    </row>
    <row r="111" spans="1:17" ht="15" customHeight="1" x14ac:dyDescent="0.3">
      <c r="A111" s="14" t="s">
        <v>2370</v>
      </c>
      <c r="B111" s="6" t="str">
        <f>VLOOKUP(A111,'Analisis por Categorias'!B:C,2,FALSE)</f>
        <v>Internet</v>
      </c>
      <c r="D111" s="3">
        <f>SUMIF(CATEGORIAS[[#All],[SUBGRUPO]],A111,CATEGORIAS[[#All],[PRESUPUESTO
(ORIGINAL)]])</f>
        <v>3623408.6400000006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3623408.6400000006</v>
      </c>
      <c r="G111" s="71">
        <f>+SUMIF(CATEGORIAS[[#All],[SUBGRUPO]],A111,CATEGORIAS[[#All],[PRODUCCION
PARTIDAS
ORIGINALES
ACTUAL]])</f>
        <v>1692246.5529573506</v>
      </c>
      <c r="H111" s="71">
        <f>+SUMIF(CATEGORIAS[[#All],[SUBGRUPO]],A111,CATEGORIAS[[#All],[PRODUCCION
ADICIONALES
ACTUAL]])</f>
        <v>0</v>
      </c>
      <c r="I111" s="85">
        <f t="shared" si="45"/>
        <v>1692246.5529573506</v>
      </c>
      <c r="J111" s="79"/>
      <c r="K111" s="71">
        <f>+SUMIF(CATEGORIAS[[#All],[SUBGRUPO]],A111,CATEGORIAS[[#All],[PRODUCCION
ANTERIOR]])</f>
        <v>901379.27860320988</v>
      </c>
      <c r="L111" s="71">
        <f>+SUMIF(CATEGORIAS[[#All],[SUBGRUPO]],A111,CATEGORIAS[[#All],[PRODUCCION
ADICIONALES
ANTERIOR]])</f>
        <v>0</v>
      </c>
      <c r="M111" s="85">
        <f t="shared" si="46"/>
        <v>901379.27860320988</v>
      </c>
      <c r="N111" s="79"/>
      <c r="O111" s="85">
        <f t="shared" si="47"/>
        <v>790867.27435414074</v>
      </c>
      <c r="P111" s="85">
        <f t="shared" si="48"/>
        <v>0</v>
      </c>
      <c r="Q111" s="85">
        <f t="shared" si="49"/>
        <v>790867.27435414074</v>
      </c>
    </row>
    <row r="112" spans="1:17" ht="16.5" customHeight="1" x14ac:dyDescent="0.3">
      <c r="A112" s="14" t="s">
        <v>223</v>
      </c>
      <c r="B112" s="6" t="str">
        <f>VLOOKUP(A112,'Analisis por Categorias'!B:C,2,FALSE)</f>
        <v xml:space="preserve">Fletes generales de Obra </v>
      </c>
      <c r="D112" s="3">
        <f>SUMIF(CATEGORIAS[[#All],[SUBGRUPO]],A112,CATEGORIAS[[#All],[PRESUPUESTO
(ORIGINAL)]])</f>
        <v>17524296.883200001</v>
      </c>
      <c r="E112" s="3">
        <f>+SUMIF(CATEGORIAS[[#All],[SUBGRUPO]],A112,CATEGORIAS[[#All],[PRODUCCION
PARTIDAS
ORIGINALES
ACTUAL]])
+SUMIF(CATEGORIAS[[#All],[SUBGRUPO]],A112,CATEGORIAS[[#All],[PRODUCCION
ADICIONALES
ACTUAL]])
+SUMIF(CATEGORIAS[[#All],[SUBGRUPO]],A112,CATEGORIAS[[#All],[PROYECCION
DE INGRESO
DEL SALDO]])</f>
        <v>18073312.149833452</v>
      </c>
      <c r="G112" s="71">
        <f>+SUMIF(CATEGORIAS[[#All],[SUBGRUPO]],A112,CATEGORIAS[[#All],[PRODUCCION
PARTIDAS
ORIGINALES
ACTUAL]])</f>
        <v>8184401.4683357542</v>
      </c>
      <c r="H112" s="71">
        <f>+SUMIF(CATEGORIAS[[#All],[SUBGRUPO]],A112,CATEGORIAS[[#All],[PRODUCCION
ADICIONALES
ACTUAL]])</f>
        <v>549015.26663345238</v>
      </c>
      <c r="I112" s="85">
        <f t="shared" si="45"/>
        <v>8733416.7349692062</v>
      </c>
      <c r="J112" s="79"/>
      <c r="K112" s="71">
        <f>+SUMIF(CATEGORIAS[[#All],[SUBGRUPO]],A112,CATEGORIAS[[#All],[PRODUCCION
ANTERIOR]])</f>
        <v>4359441.9373987094</v>
      </c>
      <c r="L112" s="71">
        <f>+SUMIF(CATEGORIAS[[#All],[SUBGRUPO]],A112,CATEGORIAS[[#All],[PRODUCCION
ADICIONALES
ANTERIOR]])</f>
        <v>549015.26663345238</v>
      </c>
      <c r="M112" s="71">
        <f t="shared" si="46"/>
        <v>4908457.2040321622</v>
      </c>
      <c r="N112" s="79"/>
      <c r="O112" s="71">
        <f t="shared" si="47"/>
        <v>3824959.5309370449</v>
      </c>
      <c r="P112" s="71">
        <f t="shared" si="48"/>
        <v>0</v>
      </c>
      <c r="Q112" s="71">
        <f t="shared" si="49"/>
        <v>3824959.5309370439</v>
      </c>
    </row>
    <row r="113" spans="1:17" ht="15" customHeight="1" x14ac:dyDescent="0.3">
      <c r="A113" s="14" t="s">
        <v>224</v>
      </c>
      <c r="B113" s="6" t="str">
        <f>VLOOKUP(A113,'Analisis por Categorias'!B:C,2,FALSE)</f>
        <v>Telecomunicaciones</v>
      </c>
      <c r="D113" s="3">
        <f>SUMIF(CATEGORIAS[[#All],[SUBGRUPO]],A113,CATEGORIAS[[#All],[PRESUPUESTO
(ORIGINAL)]])</f>
        <v>11671910.636503397</v>
      </c>
      <c r="E113" s="3">
        <f>+SUMIF(CATEGORIAS[[#All],[SUBGRUPO]],A113,CATEGORIAS[[#All],[PRODUCCION
PARTIDAS
ORIGINALES
ACTUAL]])
+SUMIF(CATEGORIAS[[#All],[SUBGRUPO]],A113,CATEGORIAS[[#All],[PRODUCCION
ADICIONALES
ACTUAL]])
+SUMIF(CATEGORIAS[[#All],[SUBGRUPO]],A113,CATEGORIAS[[#All],[PROYECCION
DE INGRESO
DEL SALDO]])</f>
        <v>11671910.636503397</v>
      </c>
      <c r="G113" s="71">
        <f>+SUMIF(CATEGORIAS[[#All],[SUBGRUPO]],A113,CATEGORIAS[[#All],[PRODUCCION
PARTIDAS
ORIGINALES
ACTUAL]])</f>
        <v>5451151.803029621</v>
      </c>
      <c r="H113" s="71">
        <f>+SUMIF(CATEGORIAS[[#All],[SUBGRUPO]],A113,CATEGORIAS[[#All],[PRODUCCION
ADICIONALES
ACTUAL]])</f>
        <v>0</v>
      </c>
      <c r="I113" s="85">
        <f t="shared" si="45"/>
        <v>5451151.803029621</v>
      </c>
      <c r="J113" s="79"/>
      <c r="K113" s="71">
        <f>+SUMIF(CATEGORIAS[[#All],[SUBGRUPO]],A113,CATEGORIAS[[#All],[PRODUCCION
ANTERIOR]])</f>
        <v>2903569.3830692428</v>
      </c>
      <c r="L113" s="71">
        <f>+SUMIF(CATEGORIAS[[#All],[SUBGRUPO]],A113,CATEGORIAS[[#All],[PRODUCCION
ADICIONALES
ANTERIOR]])</f>
        <v>0</v>
      </c>
      <c r="M113" s="85">
        <f t="shared" si="46"/>
        <v>2903569.3830692428</v>
      </c>
      <c r="N113" s="79"/>
      <c r="O113" s="85">
        <f t="shared" si="47"/>
        <v>2547582.4199603782</v>
      </c>
      <c r="P113" s="85">
        <f t="shared" si="48"/>
        <v>0</v>
      </c>
      <c r="Q113" s="85">
        <f t="shared" si="49"/>
        <v>2547582.4199603782</v>
      </c>
    </row>
    <row r="114" spans="1:17" ht="15" customHeight="1" x14ac:dyDescent="0.3">
      <c r="A114" s="14" t="s">
        <v>2371</v>
      </c>
      <c r="B114" s="6" t="str">
        <f>VLOOKUP(A114,'Analisis por Categorias'!B:C,2,FALSE)</f>
        <v>Computación y Software</v>
      </c>
      <c r="D114" s="3">
        <f>SUMIF(CATEGORIAS[[#All],[SUBGRUPO]],A114,CATEGORIAS[[#All],[PRESUPUESTO
(ORIGINAL)]])</f>
        <v>14068881.920000002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14068881.920000002</v>
      </c>
      <c r="G114" s="71">
        <f>+SUMIF(CATEGORIAS[[#All],[SUBGRUPO]],A114,CATEGORIAS[[#All],[PRODUCCION
PARTIDAS
ORIGINALES
ACTUAL]])</f>
        <v>6570613.2811683053</v>
      </c>
      <c r="H114" s="71">
        <f>+SUMIF(CATEGORIAS[[#All],[SUBGRUPO]],A114,CATEGORIAS[[#All],[PRODUCCION
ADICIONALES
ACTUAL]])</f>
        <v>0</v>
      </c>
      <c r="I114" s="85">
        <f t="shared" si="45"/>
        <v>6570613.2811683053</v>
      </c>
      <c r="J114" s="79"/>
      <c r="K114" s="71">
        <f>+SUMIF(CATEGORIAS[[#All],[SUBGRUPO]],A114,CATEGORIAS[[#All],[PRODUCCION
ANTERIOR]])</f>
        <v>3499853.2861596704</v>
      </c>
      <c r="L114" s="71">
        <f>+SUMIF(CATEGORIAS[[#All],[SUBGRUPO]],A114,CATEGORIAS[[#All],[PRODUCCION
ADICIONALES
ANTERIOR]])</f>
        <v>0</v>
      </c>
      <c r="M114" s="85">
        <f t="shared" si="46"/>
        <v>3499853.2861596704</v>
      </c>
      <c r="N114" s="79"/>
      <c r="O114" s="85">
        <f t="shared" si="47"/>
        <v>3070759.9950086349</v>
      </c>
      <c r="P114" s="85">
        <f t="shared" si="48"/>
        <v>0</v>
      </c>
      <c r="Q114" s="85">
        <f t="shared" si="49"/>
        <v>3070759.9950086349</v>
      </c>
    </row>
    <row r="115" spans="1:17" ht="15" customHeight="1" x14ac:dyDescent="0.3">
      <c r="A115" s="14" t="s">
        <v>225</v>
      </c>
      <c r="B115" s="6" t="str">
        <f>VLOOKUP(A115,'Analisis por Categorias'!B:C,2,FALSE)</f>
        <v>Gastos Oficina</v>
      </c>
      <c r="D115" s="3">
        <f>SUMIF(CATEGORIAS[[#All],[SUBGRUPO]],A115,CATEGORIAS[[#All],[PRESUPUESTO
(ORIGINAL)]])</f>
        <v>6170090.2575000012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6170090.2575000012</v>
      </c>
      <c r="G115" s="71">
        <f>+SUMIF(CATEGORIAS[[#All],[SUBGRUPO]],A115,CATEGORIAS[[#All],[PRODUCCION
PARTIDAS
ORIGINALES
ACTUAL]])</f>
        <v>1541204.4788741404</v>
      </c>
      <c r="H115" s="71">
        <f>+SUMIF(CATEGORIAS[[#All],[SUBGRUPO]],A115,CATEGORIAS[[#All],[PRODUCCION
ADICIONALES
ACTUAL]])</f>
        <v>0</v>
      </c>
      <c r="I115" s="85">
        <f t="shared" si="45"/>
        <v>1541204.4788741404</v>
      </c>
      <c r="J115" s="79"/>
      <c r="K115" s="71">
        <f>+SUMIF(CATEGORIAS[[#All],[SUBGRUPO]],A115,CATEGORIAS[[#All],[PRODUCCION
ANTERIOR]])</f>
        <v>820926.34723932017</v>
      </c>
      <c r="L115" s="71">
        <f>+SUMIF(CATEGORIAS[[#All],[SUBGRUPO]],A115,CATEGORIAS[[#All],[PRODUCCION
ADICIONALES
ANTERIOR]])</f>
        <v>0</v>
      </c>
      <c r="M115" s="85">
        <f t="shared" si="46"/>
        <v>820926.34723932017</v>
      </c>
      <c r="N115" s="79"/>
      <c r="O115" s="85">
        <f t="shared" si="47"/>
        <v>720278.13163482025</v>
      </c>
      <c r="P115" s="85">
        <f t="shared" si="48"/>
        <v>0</v>
      </c>
      <c r="Q115" s="85">
        <f t="shared" si="49"/>
        <v>720278.13163482025</v>
      </c>
    </row>
    <row r="116" spans="1:17" ht="15" customHeight="1" x14ac:dyDescent="0.3">
      <c r="A116" s="14" t="s">
        <v>226</v>
      </c>
      <c r="B116" s="6" t="str">
        <f>VLOOKUP(A116,'Analisis por Categorias'!B:C,2,FALSE)</f>
        <v>Calificaciones</v>
      </c>
      <c r="D116" s="3">
        <f>SUMIF(CATEGORIAS[[#All],[SUBGRUPO]],A116,CATEGORIAS[[#All],[PRESUPUESTO
(ORIGINAL)]])</f>
        <v>0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0</v>
      </c>
      <c r="G116" s="71">
        <f>+SUMIF(CATEGORIAS[[#All],[SUBGRUPO]],A116,CATEGORIAS[[#All],[PRODUCCION
PARTIDAS
ORIGINALES
ACTUAL]])</f>
        <v>0</v>
      </c>
      <c r="H116" s="71">
        <f>+SUMIF(CATEGORIAS[[#All],[SUBGRUPO]],A116,CATEGORIAS[[#All],[PRODUCCION
ADICIONALES
ACTUAL]])</f>
        <v>0</v>
      </c>
      <c r="I116" s="85">
        <f t="shared" si="45"/>
        <v>0</v>
      </c>
      <c r="J116" s="79"/>
      <c r="K116" s="71">
        <f>+SUMIF(CATEGORIAS[[#All],[SUBGRUPO]],A116,CATEGORIAS[[#All],[PRODUCCION
ANTERIOR]])</f>
        <v>0</v>
      </c>
      <c r="L116" s="71">
        <f>+SUMIF(CATEGORIAS[[#All],[SUBGRUPO]],A116,CATEGORIAS[[#All],[PRODUCCION
ADICIONALES
ANTERIOR]])</f>
        <v>0</v>
      </c>
      <c r="M116" s="85">
        <f t="shared" si="46"/>
        <v>0</v>
      </c>
      <c r="N116" s="79"/>
      <c r="O116" s="85">
        <f t="shared" si="47"/>
        <v>0</v>
      </c>
      <c r="P116" s="85">
        <f t="shared" si="48"/>
        <v>0</v>
      </c>
      <c r="Q116" s="85">
        <f t="shared" si="49"/>
        <v>0</v>
      </c>
    </row>
    <row r="117" spans="1:17" ht="15" customHeight="1" x14ac:dyDescent="0.3">
      <c r="A117" s="14" t="s">
        <v>2372</v>
      </c>
      <c r="B117" s="6" t="str">
        <f>VLOOKUP(A117,'Analisis por Categorias'!B:C,2,FALSE)</f>
        <v>Seguridad MOI</v>
      </c>
      <c r="D117" s="3">
        <f>SUMIF(CATEGORIAS[[#All],[SUBGRUPO]],A117,CATEGORIAS[[#All],[PRESUPUESTO
(ORIGINAL)]])</f>
        <v>6483651.42857143</v>
      </c>
      <c r="E117" s="3">
        <f>+SUMIF(CATEGORIAS[[#All],[SUBGRUPO]],A117,CATEGORIAS[[#All],[PRODUCCION
PARTIDAS
ORIGINALES
ACTUAL]])
+SUMIF(CATEGORIAS[[#All],[SUBGRUPO]],A117,CATEGORIAS[[#All],[PRODUCCION
ADICIONALES
ACTUAL]])
+SUMIF(CATEGORIAS[[#All],[SUBGRUPO]],A117,CATEGORIAS[[#All],[PROYECCION
DE INGRESO
DEL SALDO]])</f>
        <v>6483651.42857143</v>
      </c>
      <c r="G117" s="71">
        <f>+SUMIF(CATEGORIAS[[#All],[SUBGRUPO]],A117,CATEGORIAS[[#All],[PRODUCCION
PARTIDAS
ORIGINALES
ACTUAL]])</f>
        <v>3028070.4912645472</v>
      </c>
      <c r="H117" s="71">
        <f>+SUMIF(CATEGORIAS[[#All],[SUBGRUPO]],A117,CATEGORIAS[[#All],[PRODUCCION
ADICIONALES
ACTUAL]])</f>
        <v>0</v>
      </c>
      <c r="I117" s="85">
        <f t="shared" si="45"/>
        <v>3028070.4912645472</v>
      </c>
      <c r="J117" s="79"/>
      <c r="K117" s="71">
        <f>+SUMIF(CATEGORIAS[[#All],[SUBGRUPO]],A117,CATEGORIAS[[#All],[PRODUCCION
ANTERIOR]])</f>
        <v>1612909.1769788316</v>
      </c>
      <c r="L117" s="71">
        <f>+SUMIF(CATEGORIAS[[#All],[SUBGRUPO]],A117,CATEGORIAS[[#All],[PRODUCCION
ADICIONALES
ANTERIOR]])</f>
        <v>0</v>
      </c>
      <c r="M117" s="85">
        <f t="shared" si="46"/>
        <v>1612909.1769788316</v>
      </c>
      <c r="N117" s="79"/>
      <c r="O117" s="85">
        <f t="shared" si="47"/>
        <v>1415161.3142857156</v>
      </c>
      <c r="P117" s="85">
        <f t="shared" si="48"/>
        <v>0</v>
      </c>
      <c r="Q117" s="85">
        <f t="shared" si="49"/>
        <v>1415161.3142857156</v>
      </c>
    </row>
    <row r="118" spans="1:17" ht="15" customHeight="1" x14ac:dyDescent="0.3">
      <c r="A118" s="14" t="s">
        <v>227</v>
      </c>
      <c r="B118" s="6" t="str">
        <f>VLOOKUP(A118,'Analisis por Categorias'!B:C,2,FALSE)</f>
        <v>Agua y café Oficina</v>
      </c>
      <c r="D118" s="3">
        <f>SUMIF(CATEGORIAS[[#All],[SUBGRUPO]],A118,CATEGORIAS[[#All],[PRESUPUESTO
(ORIGINAL)]])</f>
        <v>5059733.6079545459</v>
      </c>
      <c r="E118" s="3">
        <f>+SUMIF(CATEGORIAS[[#All],[SUBGRUPO]],A118,CATEGORIAS[[#All],[PRODUCCION
PARTIDAS
ORIGINALES
ACTUAL]])
+SUMIF(CATEGORIAS[[#All],[SUBGRUPO]],A118,CATEGORIAS[[#All],[PRODUCCION
ADICIONALES
ACTUAL]])
+SUMIF(CATEGORIAS[[#All],[SUBGRUPO]],A118,CATEGORIAS[[#All],[PROYECCION
DE INGRESO
DEL SALDO]])</f>
        <v>5059733.6079545459</v>
      </c>
      <c r="G118" s="71">
        <f>+SUMIF(CATEGORIAS[[#All],[SUBGRUPO]],A118,CATEGORIAS[[#All],[PRODUCCION
PARTIDAS
ORIGINALES
ACTUAL]])</f>
        <v>2363055.7874210784</v>
      </c>
      <c r="H118" s="71">
        <f>+SUMIF(CATEGORIAS[[#All],[SUBGRUPO]],A118,CATEGORIAS[[#All],[PRODUCCION
ADICIONALES
ACTUAL]])</f>
        <v>0</v>
      </c>
      <c r="I118" s="85">
        <f t="shared" si="45"/>
        <v>2363055.7874210784</v>
      </c>
      <c r="J118" s="79"/>
      <c r="K118" s="71">
        <f>+SUMIF(CATEGORIAS[[#All],[SUBGRUPO]],A118,CATEGORIAS[[#All],[PRODUCCION
ANTERIOR]])</f>
        <v>1258687.4632673187</v>
      </c>
      <c r="L118" s="71">
        <f>+SUMIF(CATEGORIAS[[#All],[SUBGRUPO]],A118,CATEGORIAS[[#All],[PRODUCCION
ADICIONALES
ANTERIOR]])</f>
        <v>0</v>
      </c>
      <c r="M118" s="85">
        <f t="shared" si="46"/>
        <v>1258687.4632673187</v>
      </c>
      <c r="N118" s="79"/>
      <c r="O118" s="85">
        <f t="shared" si="47"/>
        <v>1104368.3241537597</v>
      </c>
      <c r="P118" s="85">
        <f t="shared" si="48"/>
        <v>0</v>
      </c>
      <c r="Q118" s="85">
        <f t="shared" si="49"/>
        <v>1104368.3241537597</v>
      </c>
    </row>
    <row r="119" spans="1:17" ht="15" hidden="1" customHeight="1" x14ac:dyDescent="0.3">
      <c r="A119" s="14" t="s">
        <v>2373</v>
      </c>
      <c r="B119" s="6" t="e">
        <f>VLOOKUP(A119,'Analisis por Categorias'!B:C,2,FALSE)</f>
        <v>#N/A</v>
      </c>
      <c r="D119" s="3">
        <f>SUMIF(CATEGORIAS[[#All],[SUBGRUPO]],A119,CATEGORIAS[[#All],[PRESUPUESTO
(ORIGINAL)]])</f>
        <v>0</v>
      </c>
      <c r="E119" s="3">
        <f>+SUMIF(CATEGORIAS[[#All],[SUBGRUPO]],A119,CATEGORIAS[[#All],[PRODUCCION
PARTIDAS
ORIGINALES
ACTUAL]])
+SUMIF(CATEGORIAS[[#All],[SUBGRUPO]],A119,CATEGORIAS[[#All],[PRODUCCION
ADICIONALES
ACTUAL]])
+SUMIF(CATEGORIAS[[#All],[SUBGRUPO]],A119,CATEGORIAS[[#All],[PROYECCION
DE INGRESO
DEL SALDO]])</f>
        <v>0</v>
      </c>
      <c r="G119" s="71">
        <f>+SUMIF(CATEGORIAS[[#All],[SUBGRUPO]],A119,CATEGORIAS[[#All],[PRODUCCION
PARTIDAS
ORIGINALES
ACTUAL]])</f>
        <v>0</v>
      </c>
      <c r="H119" s="71">
        <f>+SUMIF(CATEGORIAS[[#All],[SUBGRUPO]],A119,CATEGORIAS[[#All],[PRODUCCION
ADICIONALES
ACTUAL]])</f>
        <v>0</v>
      </c>
      <c r="I119" s="85">
        <f t="shared" si="45"/>
        <v>0</v>
      </c>
      <c r="J119" s="79"/>
      <c r="K119" s="71">
        <f>+SUMIF(CATEGORIAS[[#All],[SUBGRUPO]],A119,CATEGORIAS[[#All],[PRODUCCION
ANTERIOR]])</f>
        <v>0</v>
      </c>
      <c r="L119" s="71">
        <f>+SUMIF(CATEGORIAS[[#All],[SUBGRUPO]],A119,CATEGORIAS[[#All],[PRODUCCION
ADICIONALES
ANTERIOR]])</f>
        <v>0</v>
      </c>
      <c r="M119" s="85">
        <f t="shared" si="46"/>
        <v>0</v>
      </c>
      <c r="N119" s="79"/>
      <c r="O119" s="85">
        <f t="shared" si="47"/>
        <v>0</v>
      </c>
      <c r="P119" s="85">
        <f t="shared" si="48"/>
        <v>0</v>
      </c>
      <c r="Q119" s="85">
        <f t="shared" si="49"/>
        <v>0</v>
      </c>
    </row>
    <row r="120" spans="1:17" ht="15" hidden="1" customHeight="1" x14ac:dyDescent="0.3">
      <c r="A120" s="14" t="s">
        <v>2374</v>
      </c>
      <c r="B120" s="6" t="e">
        <f>VLOOKUP(A120,'Analisis por Categorias'!B:C,2,FALSE)</f>
        <v>#N/A</v>
      </c>
      <c r="D120" s="3">
        <f>SUMIF(CATEGORIAS[[#All],[SUBGRUPO]],A120,CATEGORIAS[[#All],[PRESUPUESTO
(ORIGINAL)]])</f>
        <v>0</v>
      </c>
      <c r="E120" s="3">
        <f>+SUMIF(CATEGORIAS[[#All],[SUBGRUPO]],A120,CATEGORIAS[[#All],[PRODUCCION
PARTIDAS
ORIGINALES
ACTUAL]])
+SUMIF(CATEGORIAS[[#All],[SUBGRUPO]],A120,CATEGORIAS[[#All],[PRODUCCION
ADICIONALES
ACTUAL]])
+SUMIF(CATEGORIAS[[#All],[SUBGRUPO]],A120,CATEGORIAS[[#All],[PROYECCION
DE INGRESO
DEL SALDO]])</f>
        <v>0</v>
      </c>
      <c r="G120" s="71">
        <f>+SUMIF(CATEGORIAS[[#All],[SUBGRUPO]],A120,CATEGORIAS[[#All],[PRODUCCION
PARTIDAS
ORIGINALES
ACTUAL]])</f>
        <v>0</v>
      </c>
      <c r="H120" s="71">
        <f>+SUMIF(CATEGORIAS[[#All],[SUBGRUPO]],A120,CATEGORIAS[[#All],[PRODUCCION
ADICIONALES
ACTUAL]])</f>
        <v>0</v>
      </c>
      <c r="I120" s="85">
        <f t="shared" si="45"/>
        <v>0</v>
      </c>
      <c r="J120" s="79"/>
      <c r="K120" s="71">
        <f>+SUMIF(CATEGORIAS[[#All],[SUBGRUPO]],A120,CATEGORIAS[[#All],[PRODUCCION
ANTERIOR]])</f>
        <v>0</v>
      </c>
      <c r="L120" s="71">
        <f>+SUMIF(CATEGORIAS[[#All],[SUBGRUPO]],A120,CATEGORIAS[[#All],[PRODUCCION
ADICIONALES
ANTERIOR]])</f>
        <v>0</v>
      </c>
      <c r="M120" s="85">
        <f t="shared" si="46"/>
        <v>0</v>
      </c>
      <c r="N120" s="79"/>
      <c r="O120" s="85">
        <f t="shared" si="47"/>
        <v>0</v>
      </c>
      <c r="P120" s="85">
        <f t="shared" si="48"/>
        <v>0</v>
      </c>
      <c r="Q120" s="85">
        <f t="shared" si="49"/>
        <v>0</v>
      </c>
    </row>
    <row r="121" spans="1:17" ht="8.25" customHeight="1" x14ac:dyDescent="0.3">
      <c r="J121" s="79"/>
      <c r="N121" s="79"/>
    </row>
    <row r="122" spans="1:17" ht="14.25" customHeight="1" x14ac:dyDescent="0.3">
      <c r="A122" s="14" t="s">
        <v>228</v>
      </c>
      <c r="B122" s="81" t="s">
        <v>229</v>
      </c>
      <c r="D122" s="82">
        <f>SUM(D123:D125)</f>
        <v>81343992.782874912</v>
      </c>
      <c r="E122" s="82">
        <f>SUM(E123:E125)</f>
        <v>81343992.782874912</v>
      </c>
      <c r="G122" s="82">
        <f>SUM(G123:G125)</f>
        <v>37990220.001961373</v>
      </c>
      <c r="H122" s="82">
        <f>SUM(H123:H125)</f>
        <v>0</v>
      </c>
      <c r="I122" s="82">
        <f>SUM(I123:I125)</f>
        <v>37990220.001961373</v>
      </c>
      <c r="J122" s="79"/>
      <c r="K122" s="82">
        <f>SUM(K123:K125)</f>
        <v>20235583.898517307</v>
      </c>
      <c r="L122" s="82">
        <f>SUM(L123:L125)</f>
        <v>0</v>
      </c>
      <c r="M122" s="82">
        <f>SUM(M123:M125)</f>
        <v>20235583.898517307</v>
      </c>
      <c r="N122" s="79"/>
      <c r="O122" s="82">
        <f>SUM(O123:O125)</f>
        <v>17754636.103444066</v>
      </c>
      <c r="P122" s="82">
        <f>SUM(P123:P125)</f>
        <v>0</v>
      </c>
      <c r="Q122" s="82">
        <f>SUM(Q123:Q125)</f>
        <v>17754636.103444066</v>
      </c>
    </row>
    <row r="123" spans="1:17" ht="15" customHeight="1" x14ac:dyDescent="0.3">
      <c r="A123" s="14" t="s">
        <v>230</v>
      </c>
      <c r="B123" s="6" t="str">
        <f>VLOOKUP(A123,'Analisis por Categorias'!B:C,2,FALSE)</f>
        <v>Boletas de Garantia</v>
      </c>
      <c r="D123" s="3">
        <f>SUMIF(CATEGORIAS[[#All],[SUBGRUPO]],A123,CATEGORIAS[[#All],[PRESUPUESTO
(ORIGINAL)]])</f>
        <v>27257060.439430937</v>
      </c>
      <c r="E123" s="3">
        <f>+SUMIF(CATEGORIAS[[#All],[SUBGRUPO]],A123,CATEGORIAS[[#All],[PRODUCCION
PARTIDAS
ORIGINALES
ACTUAL]])
+SUMIF(CATEGORIAS[[#All],[SUBGRUPO]],A123,CATEGORIAS[[#All],[PRODUCCION
ADICIONALES
ACTUAL]])
+SUMIF(CATEGORIAS[[#All],[SUBGRUPO]],A123,CATEGORIAS[[#All],[PROYECCION
DE INGRESO
DEL SALDO]])</f>
        <v>27257060.439430937</v>
      </c>
      <c r="G123" s="71">
        <f>+SUMIF(CATEGORIAS[[#All],[SUBGRUPO]],A123,CATEGORIAS[[#All],[PRODUCCION
PARTIDAS
ORIGINALES
ACTUAL]])</f>
        <v>12729910.190967908</v>
      </c>
      <c r="H123" s="71">
        <f>+SUMIF(CATEGORIAS[[#All],[SUBGRUPO]],A123,CATEGORIAS[[#All],[PRODUCCION
ADICIONALES
ACTUAL]])</f>
        <v>0</v>
      </c>
      <c r="I123" s="85">
        <f>G123+H123</f>
        <v>12729910.190967908</v>
      </c>
      <c r="J123" s="79"/>
      <c r="K123" s="71">
        <f>+SUMIF(CATEGORIAS[[#All],[SUBGRUPO]],A123,CATEGORIAS[[#All],[PRODUCCION
ANTERIOR]])</f>
        <v>6780617.8978858842</v>
      </c>
      <c r="L123" s="71">
        <f>+SUMIF(CATEGORIAS[[#All],[SUBGRUPO]],A123,CATEGORIAS[[#All],[PRODUCCION
ADICIONALES
ANTERIOR]])</f>
        <v>0</v>
      </c>
      <c r="M123" s="71">
        <f>K123+L123</f>
        <v>6780617.8978858842</v>
      </c>
      <c r="N123" s="79"/>
      <c r="O123" s="71">
        <f t="shared" ref="O123:Q125" si="50">G123-K123</f>
        <v>5949292.293082024</v>
      </c>
      <c r="P123" s="71">
        <f t="shared" si="50"/>
        <v>0</v>
      </c>
      <c r="Q123" s="71">
        <f t="shared" si="50"/>
        <v>5949292.293082024</v>
      </c>
    </row>
    <row r="124" spans="1:17" ht="15" customHeight="1" x14ac:dyDescent="0.3">
      <c r="A124" s="14" t="s">
        <v>231</v>
      </c>
      <c r="B124" s="6" t="str">
        <f>VLOOKUP(A124,'Analisis por Categorias'!B:C,2,FALSE)</f>
        <v>Seguros</v>
      </c>
      <c r="D124" s="3">
        <f>SUMIF(CATEGORIAS[[#All],[SUBGRUPO]],A124,CATEGORIAS[[#All],[PRESUPUESTO
(ORIGINAL)]])</f>
        <v>26265253.552345507</v>
      </c>
      <c r="E124" s="3">
        <f>+SUMIF(CATEGORIAS[[#All],[SUBGRUPO]],A124,CATEGORIAS[[#All],[PRODUCCION
PARTIDAS
ORIGINALES
ACTUAL]])
+SUMIF(CATEGORIAS[[#All],[SUBGRUPO]],A124,CATEGORIAS[[#All],[PRODUCCION
ADICIONALES
ACTUAL]])
+SUMIF(CATEGORIAS[[#All],[SUBGRUPO]],A124,CATEGORIAS[[#All],[PROYECCION
DE INGRESO
DEL SALDO]])</f>
        <v>26265253.552345507</v>
      </c>
      <c r="G124" s="71">
        <f>+SUMIF(CATEGORIAS[[#All],[SUBGRUPO]],A124,CATEGORIAS[[#All],[PRODUCCION
PARTIDAS
ORIGINALES
ACTUAL]])</f>
        <v>12266704.973830247</v>
      </c>
      <c r="H124" s="71">
        <f>+SUMIF(CATEGORIAS[[#All],[SUBGRUPO]],A124,CATEGORIAS[[#All],[PRODUCCION
ADICIONALES
ACTUAL]])</f>
        <v>0</v>
      </c>
      <c r="I124" s="85">
        <f>G124+H124</f>
        <v>12266704.973830247</v>
      </c>
      <c r="J124" s="79"/>
      <c r="K124" s="71">
        <f>+SUMIF(CATEGORIAS[[#All],[SUBGRUPO]],A124,CATEGORIAS[[#All],[PRODUCCION
ANTERIOR]])</f>
        <v>6533890.5024368409</v>
      </c>
      <c r="L124" s="71">
        <f>+SUMIF(CATEGORIAS[[#All],[SUBGRUPO]],A124,CATEGORIAS[[#All],[PRODUCCION
ADICIONALES
ANTERIOR]])</f>
        <v>0</v>
      </c>
      <c r="M124" s="71">
        <f>K124+L124</f>
        <v>6533890.5024368409</v>
      </c>
      <c r="N124" s="79"/>
      <c r="O124" s="71">
        <f t="shared" si="50"/>
        <v>5732814.4713934064</v>
      </c>
      <c r="P124" s="71">
        <f t="shared" si="50"/>
        <v>0</v>
      </c>
      <c r="Q124" s="71">
        <f t="shared" si="50"/>
        <v>5732814.4713934064</v>
      </c>
    </row>
    <row r="125" spans="1:17" ht="15" customHeight="1" x14ac:dyDescent="0.3">
      <c r="A125" s="14" t="s">
        <v>2380</v>
      </c>
      <c r="B125" s="6" t="str">
        <f>VLOOKUP(A125,'Analisis por Categorias'!B:C,2,FALSE)</f>
        <v>Gastos Financieros</v>
      </c>
      <c r="D125" s="3">
        <f>SUMIF(CATEGORIAS[[#All],[SUBGRUPO]],A125,CATEGORIAS[[#All],[PRESUPUESTO
(ORIGINAL)]])</f>
        <v>27821678.791098461</v>
      </c>
      <c r="E125" s="3">
        <f>+SUMIF(CATEGORIAS[[#All],[SUBGRUPO]],A125,CATEGORIAS[[#All],[PRODUCCION
PARTIDAS
ORIGINALES
ACTUAL]])
+SUMIF(CATEGORIAS[[#All],[SUBGRUPO]],A125,CATEGORIAS[[#All],[PRODUCCION
ADICIONALES
ACTUAL]])
+SUMIF(CATEGORIAS[[#All],[SUBGRUPO]],A125,CATEGORIAS[[#All],[PROYECCION
DE INGRESO
DEL SALDO]])</f>
        <v>27821678.791098461</v>
      </c>
      <c r="G125" s="71">
        <f>+SUMIF(CATEGORIAS[[#All],[SUBGRUPO]],A125,CATEGORIAS[[#All],[PRODUCCION
PARTIDAS
ORIGINALES
ACTUAL]])</f>
        <v>12993604.837163217</v>
      </c>
      <c r="H125" s="71">
        <f>+SUMIF(CATEGORIAS[[#All],[SUBGRUPO]],A125,CATEGORIAS[[#All],[PRODUCCION
ADICIONALES
ACTUAL]])</f>
        <v>0</v>
      </c>
      <c r="I125" s="85">
        <f>G125+H125</f>
        <v>12993604.837163217</v>
      </c>
      <c r="J125" s="79"/>
      <c r="K125" s="71">
        <f>+SUMIF(CATEGORIAS[[#All],[SUBGRUPO]],A125,CATEGORIAS[[#All],[PRODUCCION
ANTERIOR]])</f>
        <v>6921075.4981945828</v>
      </c>
      <c r="L125" s="71">
        <f>+SUMIF(CATEGORIAS[[#All],[SUBGRUPO]],A125,CATEGORIAS[[#All],[PRODUCCION
ADICIONALES
ANTERIOR]])</f>
        <v>0</v>
      </c>
      <c r="M125" s="71">
        <f>K125+L125</f>
        <v>6921075.4981945828</v>
      </c>
      <c r="N125" s="79"/>
      <c r="O125" s="71">
        <f t="shared" si="50"/>
        <v>6072529.3389686346</v>
      </c>
      <c r="P125" s="71">
        <f t="shared" si="50"/>
        <v>0</v>
      </c>
      <c r="Q125" s="71">
        <f t="shared" si="50"/>
        <v>6072529.3389686346</v>
      </c>
    </row>
    <row r="126" spans="1:17" ht="8.25" customHeight="1" x14ac:dyDescent="0.3">
      <c r="J126" s="79"/>
      <c r="N126" s="79"/>
    </row>
    <row r="127" spans="1:17" ht="13.5" customHeight="1" x14ac:dyDescent="0.3">
      <c r="A127" s="14" t="s">
        <v>232</v>
      </c>
      <c r="B127" s="81" t="s">
        <v>233</v>
      </c>
      <c r="D127" s="82">
        <f>SUM(D128:D130)</f>
        <v>530981696.87203121</v>
      </c>
      <c r="E127" s="82">
        <f>SUM(E128:E130)</f>
        <v>530981696.87203121</v>
      </c>
      <c r="G127" s="83">
        <f>SUM(G128:G130)</f>
        <v>247985263.46041375</v>
      </c>
      <c r="H127" s="83">
        <f>SUM(H128:H130)</f>
        <v>0</v>
      </c>
      <c r="I127" s="83">
        <f>SUM(I128:I130)</f>
        <v>247985263.46041375</v>
      </c>
      <c r="J127" s="79"/>
      <c r="K127" s="83">
        <f>SUM(K128:K130)</f>
        <v>132089959.049725</v>
      </c>
      <c r="L127" s="83">
        <f>SUM(L128:L130)</f>
        <v>0</v>
      </c>
      <c r="M127" s="83">
        <f>SUM(M128:M130)</f>
        <v>132089959.049725</v>
      </c>
      <c r="N127" s="79"/>
      <c r="O127" s="83">
        <f>SUM(O128:O130)</f>
        <v>115895304.41068879</v>
      </c>
      <c r="P127" s="83">
        <f>SUM(P128:P130)</f>
        <v>0</v>
      </c>
      <c r="Q127" s="83">
        <f>SUM(Q128:Q130)</f>
        <v>115895304.41068879</v>
      </c>
    </row>
    <row r="128" spans="1:17" ht="15" customHeight="1" x14ac:dyDescent="0.3">
      <c r="A128" s="14" t="s">
        <v>140</v>
      </c>
      <c r="B128" s="6" t="str">
        <f>VLOOKUP(A128,'Analisis por Categorias'!B:C,2,FALSE)</f>
        <v xml:space="preserve">Oficina Central </v>
      </c>
      <c r="D128" s="3">
        <f>SUMIF(CATEGORIAS[[#All],[SUBGRUPO]],A128,CATEGORIAS[[#All],[PRESUPUESTO
(ORIGINAL)]])</f>
        <v>212392678.74881247</v>
      </c>
      <c r="E128" s="3">
        <f>+SUMIF(CATEGORIAS[[#All],[SUBGRUPO]],A128,CATEGORIAS[[#All],[PRODUCCION
PARTIDAS
ORIGINALES
ACTUAL]])
+SUMIF(CATEGORIAS[[#All],[SUBGRUPO]],A128,CATEGORIAS[[#All],[PRODUCCION
ADICIONALES
ACTUAL]])
+SUMIF(CATEGORIAS[[#All],[SUBGRUPO]],A128,CATEGORIAS[[#All],[PROYECCION
DE INGRESO
DEL SALDO]])</f>
        <v>212392678.74881247</v>
      </c>
      <c r="G128" s="71">
        <f>+SUMIF(CATEGORIAS[[#All],[SUBGRUPO]],A128,CATEGORIAS[[#All],[PRODUCCION
PARTIDAS
ORIGINALES
ACTUAL]])</f>
        <v>99194105.384165511</v>
      </c>
      <c r="H128" s="71">
        <f>+SUMIF(CATEGORIAS[[#All],[SUBGRUPO]],A128,CATEGORIAS[[#All],[PRODUCCION
ADICIONALES
ACTUAL]])</f>
        <v>0</v>
      </c>
      <c r="I128" s="85">
        <f>G128+H128</f>
        <v>99194105.384165511</v>
      </c>
      <c r="J128" s="79"/>
      <c r="K128" s="71">
        <f>+SUMIF(CATEGORIAS[[#All],[SUBGRUPO]],A128,CATEGORIAS[[#All],[PRODUCCION
ANTERIOR]])</f>
        <v>52835983.619889997</v>
      </c>
      <c r="L128" s="71">
        <f>+SUMIF(CATEGORIAS[[#All],[SUBGRUPO]],A128,CATEGORIAS[[#All],[PRODUCCION
ADICIONALES
ANTERIOR]])</f>
        <v>0</v>
      </c>
      <c r="M128" s="71">
        <f>K128+L128</f>
        <v>52835983.619889997</v>
      </c>
      <c r="N128" s="79"/>
      <c r="O128" s="71">
        <f t="shared" ref="O128:Q130" si="51">G128-K128</f>
        <v>46358121.764275514</v>
      </c>
      <c r="P128" s="71">
        <f t="shared" si="51"/>
        <v>0</v>
      </c>
      <c r="Q128" s="71">
        <f t="shared" si="51"/>
        <v>46358121.764275514</v>
      </c>
    </row>
    <row r="129" spans="1:17" ht="15" customHeight="1" x14ac:dyDescent="0.3">
      <c r="A129" s="14" t="s">
        <v>142</v>
      </c>
      <c r="B129" s="6" t="str">
        <f>VLOOKUP(A129,'Analisis por Categorias'!B:C,2,FALSE)</f>
        <v xml:space="preserve">Imprevistos </v>
      </c>
      <c r="D129" s="3">
        <f>SUMIF(CATEGORIAS[[#All],[SUBGRUPO]],A129,CATEGORIAS[[#All],[PRESUPUESTO
(ORIGINAL)]])</f>
        <v>106196339.37440623</v>
      </c>
      <c r="E129" s="3">
        <f>+SUMIF(CATEGORIAS[[#All],[SUBGRUPO]],A129,CATEGORIAS[[#All],[PRODUCCION
PARTIDAS
ORIGINALES
ACTUAL]])
+SUMIF(CATEGORIAS[[#All],[SUBGRUPO]],A129,CATEGORIAS[[#All],[PRODUCCION
ADICIONALES
ACTUAL]])
+SUMIF(CATEGORIAS[[#All],[SUBGRUPO]],A129,CATEGORIAS[[#All],[PROYECCION
DE INGRESO
DEL SALDO]])</f>
        <v>106196339.37440623</v>
      </c>
      <c r="G129" s="71">
        <f>+SUMIF(CATEGORIAS[[#All],[SUBGRUPO]],A129,CATEGORIAS[[#All],[PRODUCCION
PARTIDAS
ORIGINALES
ACTUAL]])</f>
        <v>49597052.692082755</v>
      </c>
      <c r="H129" s="71">
        <f>+SUMIF(CATEGORIAS[[#All],[SUBGRUPO]],A129,CATEGORIAS[[#All],[PRODUCCION
ADICIONALES
ACTUAL]])</f>
        <v>0</v>
      </c>
      <c r="I129" s="85">
        <f>G129+H129</f>
        <v>49597052.692082755</v>
      </c>
      <c r="J129" s="79"/>
      <c r="K129" s="71">
        <f>+SUMIF(CATEGORIAS[[#All],[SUBGRUPO]],A129,CATEGORIAS[[#All],[PRODUCCION
ANTERIOR]])</f>
        <v>26417991.809944998</v>
      </c>
      <c r="L129" s="71">
        <f>+SUMIF(CATEGORIAS[[#All],[SUBGRUPO]],A129,CATEGORIAS[[#All],[PRODUCCION
ADICIONALES
ANTERIOR]])</f>
        <v>0</v>
      </c>
      <c r="M129" s="85">
        <f>K129+L129</f>
        <v>26417991.809944998</v>
      </c>
      <c r="N129" s="79"/>
      <c r="O129" s="85">
        <f t="shared" si="51"/>
        <v>23179060.882137757</v>
      </c>
      <c r="P129" s="85">
        <f t="shared" si="51"/>
        <v>0</v>
      </c>
      <c r="Q129" s="85">
        <f t="shared" si="51"/>
        <v>23179060.882137757</v>
      </c>
    </row>
    <row r="130" spans="1:17" ht="15" customHeight="1" x14ac:dyDescent="0.3">
      <c r="A130" s="14" t="s">
        <v>144</v>
      </c>
      <c r="B130" s="6" t="str">
        <f>VLOOKUP(A130,'Analisis por Categorias'!B:C,2,FALSE)</f>
        <v xml:space="preserve">Utilidades </v>
      </c>
      <c r="D130" s="3">
        <f>SUMIF(CATEGORIAS[[#All],[SUBGRUPO]],A130,CATEGORIAS[[#All],[PRESUPUESTO
(ORIGINAL)]])</f>
        <v>212392678.74881247</v>
      </c>
      <c r="E130" s="3">
        <f>+SUMIF(CATEGORIAS[[#All],[SUBGRUPO]],A130,CATEGORIAS[[#All],[PRODUCCION
PARTIDAS
ORIGINALES
ACTUAL]])
+SUMIF(CATEGORIAS[[#All],[SUBGRUPO]],A130,CATEGORIAS[[#All],[PRODUCCION
ADICIONALES
ACTUAL]])
+SUMIF(CATEGORIAS[[#All],[SUBGRUPO]],A130,CATEGORIAS[[#All],[PROYECCION
DE INGRESO
DEL SALDO]])</f>
        <v>212392678.74881247</v>
      </c>
      <c r="G130" s="71">
        <f>+SUMIF(CATEGORIAS[[#All],[SUBGRUPO]],A130,CATEGORIAS[[#All],[PRODUCCION
PARTIDAS
ORIGINALES
ACTUAL]])</f>
        <v>99194105.384165511</v>
      </c>
      <c r="H130" s="71">
        <f>+SUMIF(CATEGORIAS[[#All],[SUBGRUPO]],A130,CATEGORIAS[[#All],[PRODUCCION
ADICIONALES
ACTUAL]])</f>
        <v>0</v>
      </c>
      <c r="I130" s="85">
        <f>G130+H130</f>
        <v>99194105.384165511</v>
      </c>
      <c r="J130" s="79"/>
      <c r="K130" s="71">
        <f>+SUMIF(CATEGORIAS[[#All],[SUBGRUPO]],A130,CATEGORIAS[[#All],[PRODUCCION
ANTERIOR]])</f>
        <v>52835983.619889997</v>
      </c>
      <c r="L130" s="71">
        <f>+SUMIF(CATEGORIAS[[#All],[SUBGRUPO]],A130,CATEGORIAS[[#All],[PRODUCCION
ADICIONALES
ANTERIOR]])</f>
        <v>0</v>
      </c>
      <c r="M130" s="71">
        <f>K130+L130</f>
        <v>52835983.619889997</v>
      </c>
      <c r="N130" s="79"/>
      <c r="O130" s="71">
        <f t="shared" si="51"/>
        <v>46358121.764275514</v>
      </c>
      <c r="P130" s="71">
        <f t="shared" si="51"/>
        <v>0</v>
      </c>
      <c r="Q130" s="71">
        <f t="shared" si="51"/>
        <v>46358121.764275514</v>
      </c>
    </row>
    <row r="131" spans="1:17" ht="8.25" customHeight="1" x14ac:dyDescent="0.3">
      <c r="J131" s="79"/>
      <c r="N131" s="79"/>
    </row>
    <row r="132" spans="1:17" ht="15" customHeight="1" x14ac:dyDescent="0.3">
      <c r="B132" s="7" t="s">
        <v>234</v>
      </c>
      <c r="D132" s="350">
        <f>SUM(D133:D143)</f>
        <v>5309816968.7201071</v>
      </c>
      <c r="E132" s="350">
        <f>SUM(E133:E143)</f>
        <v>5514917512.4993162</v>
      </c>
      <c r="G132" s="351">
        <f>SUM(G133:G143)</f>
        <v>2258171129.8538599</v>
      </c>
      <c r="H132" s="351">
        <f>SUM(H133:H143)</f>
        <v>14538275.234242093</v>
      </c>
      <c r="I132" s="351">
        <f>SUM(I133:I143)</f>
        <v>2272709405.0881023</v>
      </c>
      <c r="J132" s="79"/>
      <c r="K132" s="351">
        <f>SUM(K133:K143)</f>
        <v>1518420116.4376101</v>
      </c>
      <c r="L132" s="351">
        <f>SUM(L133:L143)</f>
        <v>14927094.137321057</v>
      </c>
      <c r="M132" s="351">
        <f>SUM(M133:M143)</f>
        <v>1533347210.5749314</v>
      </c>
      <c r="N132" s="79"/>
      <c r="O132" s="351">
        <f>SUM(O133:O143)</f>
        <v>739751013.41624987</v>
      </c>
      <c r="P132" s="351">
        <f>SUM(P133:P143)</f>
        <v>-388818.90307896369</v>
      </c>
      <c r="Q132" s="351">
        <f>SUM(Q133:Q143)</f>
        <v>739362194.51317096</v>
      </c>
    </row>
    <row r="133" spans="1:17" ht="15" customHeight="1" x14ac:dyDescent="0.3">
      <c r="A133" s="14" t="str">
        <f>A9</f>
        <v>0A00</v>
      </c>
      <c r="B133" s="81" t="s">
        <v>168</v>
      </c>
      <c r="D133" s="86">
        <f>D9</f>
        <v>1425866588.2684827</v>
      </c>
      <c r="E133" s="86">
        <f>E9</f>
        <v>1481201543.175487</v>
      </c>
      <c r="G133" s="359">
        <f>G9</f>
        <v>525309535.78602886</v>
      </c>
      <c r="H133" s="359">
        <f>H9</f>
        <v>2600558.8680994548</v>
      </c>
      <c r="I133" s="85">
        <f t="shared" ref="I133:I143" si="52">G133+H133</f>
        <v>527910094.65412831</v>
      </c>
      <c r="J133" s="79"/>
      <c r="K133" s="359">
        <f>K9</f>
        <v>359674606.51772457</v>
      </c>
      <c r="L133" s="359">
        <f>L9</f>
        <v>3042367.0430786926</v>
      </c>
      <c r="M133" s="85">
        <f t="shared" ref="M133:M143" si="53">K133+L133</f>
        <v>362716973.56080329</v>
      </c>
      <c r="N133" s="79"/>
      <c r="O133" s="85">
        <f>O9</f>
        <v>165634929.26830432</v>
      </c>
      <c r="P133" s="85">
        <f>P9</f>
        <v>-441808.17497923761</v>
      </c>
      <c r="Q133" s="85">
        <f t="shared" ref="Q133:Q143" si="54">O133+P133</f>
        <v>165193121.09332508</v>
      </c>
    </row>
    <row r="134" spans="1:17" ht="15" customHeight="1" x14ac:dyDescent="0.3">
      <c r="A134" s="14" t="str">
        <f>A24</f>
        <v>0B00</v>
      </c>
      <c r="B134" s="81" t="s">
        <v>180</v>
      </c>
      <c r="D134" s="86">
        <f>D24</f>
        <v>455675553.39120007</v>
      </c>
      <c r="E134" s="86">
        <f>E24</f>
        <v>484453453.90711045</v>
      </c>
      <c r="G134" s="359">
        <f>G24</f>
        <v>171057462.12349999</v>
      </c>
      <c r="H134" s="359">
        <f>H24</f>
        <v>8110297.1509752376</v>
      </c>
      <c r="I134" s="85">
        <f t="shared" si="52"/>
        <v>179167759.27447522</v>
      </c>
      <c r="J134" s="79"/>
      <c r="K134" s="359">
        <f>K24</f>
        <v>119419412.9465</v>
      </c>
      <c r="L134" s="359">
        <f>L24</f>
        <v>7866779.4462520238</v>
      </c>
      <c r="M134" s="85">
        <f t="shared" si="53"/>
        <v>127286192.39275202</v>
      </c>
      <c r="N134" s="79"/>
      <c r="O134" s="85">
        <f>O24</f>
        <v>51638049.177000009</v>
      </c>
      <c r="P134" s="85">
        <f>P24</f>
        <v>243517.70472321403</v>
      </c>
      <c r="Q134" s="85">
        <f t="shared" si="54"/>
        <v>51881566.881723225</v>
      </c>
    </row>
    <row r="135" spans="1:17" ht="15" customHeight="1" x14ac:dyDescent="0.3">
      <c r="A135" s="14" t="str">
        <f>A38</f>
        <v>0C00</v>
      </c>
      <c r="B135" s="81" t="s">
        <v>185</v>
      </c>
      <c r="D135" s="86">
        <f>D38</f>
        <v>274813305.51671207</v>
      </c>
      <c r="E135" s="86">
        <f>E38</f>
        <v>299306035.81877053</v>
      </c>
      <c r="G135" s="359">
        <f>G38</f>
        <v>101238590.41236046</v>
      </c>
      <c r="H135" s="359">
        <f>H38</f>
        <v>1137670.8974140217</v>
      </c>
      <c r="I135" s="85">
        <f t="shared" si="52"/>
        <v>102376261.30977449</v>
      </c>
      <c r="J135" s="79"/>
      <c r="K135" s="359">
        <f>K38</f>
        <v>69660491.371192381</v>
      </c>
      <c r="L135" s="359">
        <f>L38</f>
        <v>1342441.3940483569</v>
      </c>
      <c r="M135" s="85">
        <f t="shared" si="53"/>
        <v>71002932.765240744</v>
      </c>
      <c r="N135" s="79"/>
      <c r="O135" s="85">
        <f>O38</f>
        <v>31578099.041168071</v>
      </c>
      <c r="P135" s="85">
        <f>P38</f>
        <v>-204770.49663433537</v>
      </c>
      <c r="Q135" s="85">
        <f t="shared" si="54"/>
        <v>31373328.544533737</v>
      </c>
    </row>
    <row r="136" spans="1:17" ht="15" customHeight="1" x14ac:dyDescent="0.3">
      <c r="A136" s="14" t="str">
        <f>A47</f>
        <v>0D00</v>
      </c>
      <c r="B136" s="81" t="s">
        <v>190</v>
      </c>
      <c r="D136" s="86">
        <f>D47</f>
        <v>740872631.09810007</v>
      </c>
      <c r="E136" s="86">
        <f>E47</f>
        <v>794729067.02900994</v>
      </c>
      <c r="G136" s="359">
        <f>G47</f>
        <v>309447726.41793031</v>
      </c>
      <c r="H136" s="359">
        <f>H47</f>
        <v>1684623.4412663416</v>
      </c>
      <c r="I136" s="85">
        <f t="shared" si="52"/>
        <v>311132349.85919666</v>
      </c>
      <c r="J136" s="79"/>
      <c r="K136" s="359">
        <f>K47</f>
        <v>209899114.7031157</v>
      </c>
      <c r="L136" s="359">
        <f>L47</f>
        <v>1670381.3774549465</v>
      </c>
      <c r="M136" s="85">
        <f t="shared" si="53"/>
        <v>211569496.08057064</v>
      </c>
      <c r="N136" s="79"/>
      <c r="O136" s="85">
        <f>O47</f>
        <v>99548611.714814544</v>
      </c>
      <c r="P136" s="85">
        <f>P47</f>
        <v>14242.063811395245</v>
      </c>
      <c r="Q136" s="85">
        <f t="shared" si="54"/>
        <v>99562853.778625935</v>
      </c>
    </row>
    <row r="137" spans="1:17" ht="15" customHeight="1" x14ac:dyDescent="0.3">
      <c r="A137" s="14" t="str">
        <f>A59</f>
        <v>0X00</v>
      </c>
      <c r="B137" s="81" t="s">
        <v>196</v>
      </c>
      <c r="D137" s="86">
        <f>D59</f>
        <v>104044850.4409</v>
      </c>
      <c r="E137" s="86">
        <f>E59</f>
        <v>105214802.86575359</v>
      </c>
      <c r="G137" s="359">
        <f>G59</f>
        <v>48037920.713399999</v>
      </c>
      <c r="H137" s="359">
        <f>H59</f>
        <v>456109.60985358467</v>
      </c>
      <c r="I137" s="85">
        <f t="shared" si="52"/>
        <v>48494030.323253587</v>
      </c>
      <c r="J137" s="79"/>
      <c r="K137" s="359">
        <f>K59</f>
        <v>40293246.939899996</v>
      </c>
      <c r="L137" s="359">
        <f>L59</f>
        <v>456109.60985358467</v>
      </c>
      <c r="M137" s="85">
        <f t="shared" si="53"/>
        <v>40749356.549753584</v>
      </c>
      <c r="N137" s="79"/>
      <c r="O137" s="85">
        <f>O59</f>
        <v>7744673.7735000011</v>
      </c>
      <c r="P137" s="85">
        <f>P59</f>
        <v>0</v>
      </c>
      <c r="Q137" s="85">
        <f t="shared" si="54"/>
        <v>7744673.7735000011</v>
      </c>
    </row>
    <row r="138" spans="1:17" ht="15" customHeight="1" x14ac:dyDescent="0.3">
      <c r="A138" s="14" t="str">
        <f>A74</f>
        <v>1F00</v>
      </c>
      <c r="B138" s="81" t="s">
        <v>205</v>
      </c>
      <c r="D138" s="86">
        <f>D74</f>
        <v>1205789659.0351105</v>
      </c>
      <c r="E138" s="86">
        <f>E74</f>
        <v>1244763716.5351105</v>
      </c>
      <c r="G138" s="359">
        <f>G74</f>
        <v>563141946.3894043</v>
      </c>
      <c r="H138" s="359">
        <f>H74</f>
        <v>0</v>
      </c>
      <c r="I138" s="85">
        <f t="shared" si="52"/>
        <v>563141946.3894043</v>
      </c>
      <c r="J138" s="79"/>
      <c r="K138" s="359">
        <f>K74</f>
        <v>381284215.62659049</v>
      </c>
      <c r="L138" s="359">
        <f>L74</f>
        <v>0</v>
      </c>
      <c r="M138" s="85">
        <f t="shared" si="53"/>
        <v>381284215.62659049</v>
      </c>
      <c r="N138" s="79"/>
      <c r="O138" s="85">
        <f>O74</f>
        <v>181857730.76281378</v>
      </c>
      <c r="P138" s="85">
        <f>P74</f>
        <v>0</v>
      </c>
      <c r="Q138" s="85">
        <f t="shared" si="54"/>
        <v>181857730.76281378</v>
      </c>
    </row>
    <row r="139" spans="1:17" ht="15" customHeight="1" x14ac:dyDescent="0.3">
      <c r="A139" s="14" t="str">
        <f>A89</f>
        <v>1G00</v>
      </c>
      <c r="B139" s="81" t="s">
        <v>207</v>
      </c>
      <c r="D139" s="86">
        <f>D89</f>
        <v>90537194.880000025</v>
      </c>
      <c r="E139" s="86">
        <f>E89</f>
        <v>90537194.880000025</v>
      </c>
      <c r="G139" s="359">
        <f>G89</f>
        <v>42283736.440532394</v>
      </c>
      <c r="H139" s="359">
        <f>H89</f>
        <v>0</v>
      </c>
      <c r="I139" s="85">
        <f t="shared" si="52"/>
        <v>42283736.440532394</v>
      </c>
      <c r="J139" s="79"/>
      <c r="K139" s="359">
        <f>K89</f>
        <v>22522535.964282695</v>
      </c>
      <c r="L139" s="359">
        <f>L89</f>
        <v>0</v>
      </c>
      <c r="M139" s="85">
        <f t="shared" si="53"/>
        <v>22522535.964282695</v>
      </c>
      <c r="N139" s="79"/>
      <c r="O139" s="85">
        <f>O89</f>
        <v>19761200.476249699</v>
      </c>
      <c r="P139" s="85">
        <f>P89</f>
        <v>0</v>
      </c>
      <c r="Q139" s="85">
        <f t="shared" si="54"/>
        <v>19761200.476249699</v>
      </c>
    </row>
    <row r="140" spans="1:17" ht="15" customHeight="1" x14ac:dyDescent="0.3">
      <c r="A140" s="14" t="str">
        <f>A96</f>
        <v>1H00</v>
      </c>
      <c r="B140" s="81" t="s">
        <v>212</v>
      </c>
      <c r="D140" s="86">
        <f>D96</f>
        <v>164811573.62139496</v>
      </c>
      <c r="E140" s="86">
        <f>E96</f>
        <v>166757070.55323496</v>
      </c>
      <c r="G140" s="359">
        <f>G96</f>
        <v>117813488.61827117</v>
      </c>
      <c r="H140" s="359">
        <f>H96</f>
        <v>0</v>
      </c>
      <c r="I140" s="85">
        <f t="shared" si="52"/>
        <v>117813488.61827117</v>
      </c>
      <c r="J140" s="79"/>
      <c r="K140" s="359">
        <f>K96</f>
        <v>113343398.88012539</v>
      </c>
      <c r="L140" s="359">
        <f>L96</f>
        <v>0</v>
      </c>
      <c r="M140" s="85">
        <f t="shared" si="53"/>
        <v>113343398.88012539</v>
      </c>
      <c r="N140" s="79"/>
      <c r="O140" s="85">
        <f>O96</f>
        <v>4470089.7381457919</v>
      </c>
      <c r="P140" s="85">
        <f>P96</f>
        <v>0</v>
      </c>
      <c r="Q140" s="85">
        <f t="shared" si="54"/>
        <v>4470089.7381457919</v>
      </c>
    </row>
    <row r="141" spans="1:17" ht="15" customHeight="1" x14ac:dyDescent="0.3">
      <c r="A141" s="14" t="str">
        <f>A108</f>
        <v>1I00</v>
      </c>
      <c r="B141" s="81" t="s">
        <v>221</v>
      </c>
      <c r="D141" s="86">
        <f>D108</f>
        <v>235079922.81330013</v>
      </c>
      <c r="E141" s="86">
        <f>E108</f>
        <v>235628938.07993358</v>
      </c>
      <c r="G141" s="359">
        <f>G108</f>
        <v>93865239.490057394</v>
      </c>
      <c r="H141" s="359">
        <f>H108</f>
        <v>549015.26663345238</v>
      </c>
      <c r="I141" s="85">
        <f t="shared" si="52"/>
        <v>94414254.756690845</v>
      </c>
      <c r="J141" s="79"/>
      <c r="K141" s="359">
        <f>K108</f>
        <v>49997550.539936587</v>
      </c>
      <c r="L141" s="359">
        <f>L108</f>
        <v>549015.26663345238</v>
      </c>
      <c r="M141" s="85">
        <f t="shared" si="53"/>
        <v>50546565.806570038</v>
      </c>
      <c r="N141" s="79"/>
      <c r="O141" s="85">
        <f>O108</f>
        <v>43867688.950120792</v>
      </c>
      <c r="P141" s="85">
        <f>P108</f>
        <v>0</v>
      </c>
      <c r="Q141" s="85">
        <f t="shared" si="54"/>
        <v>43867688.950120792</v>
      </c>
    </row>
    <row r="142" spans="1:17" ht="15" customHeight="1" x14ac:dyDescent="0.3">
      <c r="A142" s="14" t="str">
        <f>A122</f>
        <v>1J00</v>
      </c>
      <c r="B142" s="81" t="s">
        <v>229</v>
      </c>
      <c r="D142" s="86">
        <f>D122</f>
        <v>81343992.782874912</v>
      </c>
      <c r="E142" s="86">
        <f>E122</f>
        <v>81343992.782874912</v>
      </c>
      <c r="G142" s="86">
        <f>G122</f>
        <v>37990220.001961373</v>
      </c>
      <c r="H142" s="86">
        <f>H122</f>
        <v>0</v>
      </c>
      <c r="I142" s="85">
        <f t="shared" si="52"/>
        <v>37990220.001961373</v>
      </c>
      <c r="J142" s="79"/>
      <c r="K142" s="359">
        <f>K122</f>
        <v>20235583.898517307</v>
      </c>
      <c r="L142" s="359">
        <f>L122</f>
        <v>0</v>
      </c>
      <c r="M142" s="85">
        <f t="shared" si="53"/>
        <v>20235583.898517307</v>
      </c>
      <c r="N142" s="79"/>
      <c r="O142" s="359">
        <f>O122</f>
        <v>17754636.103444066</v>
      </c>
      <c r="P142" s="359">
        <f>P122</f>
        <v>0</v>
      </c>
      <c r="Q142" s="85">
        <f t="shared" si="54"/>
        <v>17754636.103444066</v>
      </c>
    </row>
    <row r="143" spans="1:17" ht="15.75" customHeight="1" x14ac:dyDescent="0.3">
      <c r="A143" s="14" t="str">
        <f>A127</f>
        <v>1K00</v>
      </c>
      <c r="B143" s="81" t="s">
        <v>233</v>
      </c>
      <c r="D143" s="86">
        <f>D127</f>
        <v>530981696.87203121</v>
      </c>
      <c r="E143" s="86">
        <f>E127</f>
        <v>530981696.87203121</v>
      </c>
      <c r="G143" s="86">
        <f>G127</f>
        <v>247985263.46041375</v>
      </c>
      <c r="H143" s="86">
        <f>H127</f>
        <v>0</v>
      </c>
      <c r="I143" s="85">
        <f t="shared" si="52"/>
        <v>247985263.46041375</v>
      </c>
      <c r="J143" s="79"/>
      <c r="K143" s="86">
        <f>K127</f>
        <v>132089959.049725</v>
      </c>
      <c r="L143" s="86">
        <f>L127</f>
        <v>0</v>
      </c>
      <c r="M143" s="85">
        <f t="shared" si="53"/>
        <v>132089959.049725</v>
      </c>
      <c r="N143" s="79"/>
      <c r="O143" s="86">
        <f>O127</f>
        <v>115895304.41068879</v>
      </c>
      <c r="P143" s="86">
        <f>P127</f>
        <v>0</v>
      </c>
      <c r="Q143" s="85">
        <f t="shared" si="54"/>
        <v>115895304.41068879</v>
      </c>
    </row>
    <row r="144" spans="1:17" s="123" customFormat="1" x14ac:dyDescent="0.25"/>
    <row r="145" spans="4:17" s="123" customFormat="1" x14ac:dyDescent="0.25">
      <c r="D145" s="225"/>
      <c r="E145" s="225"/>
      <c r="F145" s="125"/>
      <c r="G145" s="225"/>
      <c r="H145" s="125">
        <f>SUM(H7:H143)/5</f>
        <v>14538275.234242093</v>
      </c>
      <c r="I145" s="269"/>
      <c r="J145" s="125">
        <f>SUM(J7:J143)/5</f>
        <v>0</v>
      </c>
      <c r="K145" s="125">
        <f>SUM(K7:K143)/5</f>
        <v>1518420116.4376101</v>
      </c>
      <c r="L145" s="125">
        <f>SUM(L7:L143)/5</f>
        <v>14927094.137321059</v>
      </c>
      <c r="M145" s="125">
        <f>SUM(M7:M143)/5</f>
        <v>1533347210.5749309</v>
      </c>
      <c r="N145" s="125">
        <f>SUM(N7:N143)/5</f>
        <v>0</v>
      </c>
      <c r="O145" s="225"/>
      <c r="P145" s="125">
        <f>SUM(P7:P143)/5</f>
        <v>-388818.90307896363</v>
      </c>
      <c r="Q145" s="125">
        <f>SUM(Q7:Q143)/5</f>
        <v>739362194.51317096</v>
      </c>
    </row>
    <row r="146" spans="4:17" s="123" customFormat="1" x14ac:dyDescent="0.25">
      <c r="D146" s="225"/>
      <c r="E146" s="225"/>
      <c r="F146" s="125"/>
      <c r="G146" s="125"/>
      <c r="H146" s="125">
        <f t="shared" ref="H146:Q146" si="55">H132-H145</f>
        <v>0</v>
      </c>
      <c r="I146" s="125">
        <f t="shared" si="55"/>
        <v>2272709405.0881023</v>
      </c>
      <c r="J146" s="125">
        <f t="shared" si="55"/>
        <v>0</v>
      </c>
      <c r="K146" s="125">
        <f t="shared" si="55"/>
        <v>0</v>
      </c>
      <c r="L146" s="125">
        <f t="shared" si="55"/>
        <v>0</v>
      </c>
      <c r="M146" s="125">
        <f t="shared" si="55"/>
        <v>0</v>
      </c>
      <c r="N146" s="125">
        <f t="shared" si="55"/>
        <v>0</v>
      </c>
      <c r="O146" s="125">
        <f t="shared" si="55"/>
        <v>739751013.41624987</v>
      </c>
      <c r="P146" s="125">
        <f t="shared" si="55"/>
        <v>0</v>
      </c>
      <c r="Q146" s="125">
        <f t="shared" si="55"/>
        <v>0</v>
      </c>
    </row>
    <row r="147" spans="4:17" x14ac:dyDescent="0.25">
      <c r="E147" s="338"/>
    </row>
  </sheetData>
  <sheetProtection selectLockedCells="1" autoFilter="0" selectUnlockedCells="1"/>
  <mergeCells count="8">
    <mergeCell ref="G4:I4"/>
    <mergeCell ref="K4:M4"/>
    <mergeCell ref="O4:Q4"/>
    <mergeCell ref="G1:M1"/>
    <mergeCell ref="B1:D1"/>
    <mergeCell ref="O1:Q1"/>
    <mergeCell ref="G2:M2"/>
    <mergeCell ref="O2:P2"/>
  </mergeCells>
  <phoneticPr fontId="35" type="noConversion"/>
  <pageMargins left="0.70866141732283472" right="0.70866141732283472" top="0.74803149606299213" bottom="0.74803149606299213" header="0.31496062992125984" footer="0.31496062992125984"/>
  <pageSetup scale="50" fitToHeight="0" orientation="landscape" r:id="rId1"/>
  <rowBreaks count="2" manualBreakCount="2">
    <brk id="71" max="16383" man="1"/>
    <brk id="131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A147"/>
  <sheetViews>
    <sheetView zoomScaleNormal="100" workbookViewId="0">
      <pane xSplit="5" ySplit="5" topLeftCell="F6" activePane="bottomRight" state="frozenSplit"/>
      <selection activeCell="R21" sqref="R21"/>
      <selection pane="topRight" activeCell="R21" sqref="R21"/>
      <selection pane="bottomLeft" activeCell="R21" sqref="R21"/>
      <selection pane="bottomRight" activeCell="G2" sqref="G2:M2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85546875" style="14" customWidth="1"/>
    <col min="6" max="6" width="1.42578125" style="14" customWidth="1"/>
    <col min="7" max="9" width="15.7109375" style="14" customWidth="1"/>
    <col min="10" max="10" width="1.42578125" style="14" customWidth="1"/>
    <col min="11" max="13" width="15.7109375" style="14" customWidth="1"/>
    <col min="14" max="14" width="1.42578125" style="14" customWidth="1"/>
    <col min="15" max="17" width="15.7109375" style="14" customWidth="1"/>
    <col min="18" max="18" width="13.7109375" style="123" bestFit="1" customWidth="1"/>
    <col min="19" max="25" width="11.42578125" style="14"/>
    <col min="26" max="26" width="13.7109375" style="14" bestFit="1" customWidth="1"/>
    <col min="27" max="16384" width="11.42578125" style="14"/>
  </cols>
  <sheetData>
    <row r="1" spans="1:19" ht="49.5" customHeight="1" x14ac:dyDescent="0.25">
      <c r="B1" s="404"/>
      <c r="C1" s="404"/>
      <c r="D1" s="404"/>
      <c r="E1" s="97"/>
      <c r="G1" s="403" t="s">
        <v>235</v>
      </c>
      <c r="H1" s="403"/>
      <c r="I1" s="403"/>
      <c r="J1" s="403"/>
      <c r="K1" s="403"/>
      <c r="L1" s="403"/>
      <c r="M1" s="403"/>
      <c r="O1" s="404" t="str">
        <f>'Matriz de Produccion'!O1:Q1</f>
        <v>CC: EIMI00412 
MONTAJE ELECTROMECÁNICO " PROYECTO NUEVAS PRENSAS DE LODOS"</v>
      </c>
      <c r="P1" s="404"/>
      <c r="Q1" s="404"/>
    </row>
    <row r="2" spans="1:19" ht="20.25" customHeight="1" x14ac:dyDescent="0.3">
      <c r="B2" s="64" t="str">
        <f>Indice!C4</f>
        <v>INFORME DE COSTOS N° 3</v>
      </c>
      <c r="G2" s="408" t="str">
        <f>'Matriz de Produccion'!G2:M2</f>
        <v>Periodo : diciembre 2025</v>
      </c>
      <c r="H2" s="405"/>
      <c r="I2" s="405"/>
      <c r="J2" s="405"/>
      <c r="K2" s="405"/>
      <c r="L2" s="405"/>
      <c r="M2" s="405"/>
      <c r="O2" s="406" t="s">
        <v>236</v>
      </c>
      <c r="P2" s="406"/>
      <c r="Q2" s="64" t="s">
        <v>154</v>
      </c>
    </row>
    <row r="3" spans="1:19" ht="8.25" customHeight="1" x14ac:dyDescent="0.25">
      <c r="G3" s="44"/>
      <c r="H3" s="44"/>
      <c r="I3" s="44"/>
      <c r="K3" s="44"/>
      <c r="L3" s="44"/>
      <c r="M3" s="44"/>
    </row>
    <row r="4" spans="1:19" x14ac:dyDescent="0.25">
      <c r="B4" s="80" t="s">
        <v>80</v>
      </c>
      <c r="D4" s="80" t="s">
        <v>80</v>
      </c>
      <c r="E4" s="80" t="s">
        <v>80</v>
      </c>
      <c r="G4" s="407" t="s">
        <v>155</v>
      </c>
      <c r="H4" s="401"/>
      <c r="I4" s="402"/>
      <c r="K4" s="407" t="s">
        <v>156</v>
      </c>
      <c r="L4" s="401"/>
      <c r="M4" s="402"/>
      <c r="O4" s="407" t="s">
        <v>157</v>
      </c>
      <c r="P4" s="401"/>
      <c r="Q4" s="402"/>
    </row>
    <row r="5" spans="1:19" s="89" customFormat="1" ht="36.75" customHeight="1" x14ac:dyDescent="0.25">
      <c r="B5" s="90" t="s">
        <v>158</v>
      </c>
      <c r="D5" s="90" t="s">
        <v>159</v>
      </c>
      <c r="E5" s="90" t="s">
        <v>160</v>
      </c>
      <c r="G5" s="93" t="s">
        <v>237</v>
      </c>
      <c r="H5" s="93" t="s">
        <v>238</v>
      </c>
      <c r="I5" s="93" t="s">
        <v>239</v>
      </c>
      <c r="K5" s="93" t="s">
        <v>237</v>
      </c>
      <c r="L5" s="93" t="s">
        <v>238</v>
      </c>
      <c r="M5" s="93" t="s">
        <v>240</v>
      </c>
      <c r="O5" s="93" t="s">
        <v>237</v>
      </c>
      <c r="P5" s="93" t="s">
        <v>238</v>
      </c>
      <c r="Q5" s="93" t="s">
        <v>241</v>
      </c>
      <c r="R5" s="124"/>
    </row>
    <row r="6" spans="1:19" ht="8.25" customHeight="1" x14ac:dyDescent="0.25"/>
    <row r="7" spans="1:19" ht="15" customHeight="1" x14ac:dyDescent="0.25">
      <c r="B7" s="8" t="str">
        <f>'Matriz de Produccion'!B7:B7</f>
        <v>COSTOS DIRECTOS</v>
      </c>
      <c r="D7" s="1">
        <f>SUM(D132:D136)</f>
        <v>3001272928.715395</v>
      </c>
      <c r="E7" s="1">
        <f>SUM(E132:E136)</f>
        <v>3164904902.7961316</v>
      </c>
      <c r="G7" s="11">
        <f>SUM(G132:G136)</f>
        <v>1236972233.2</v>
      </c>
      <c r="H7" s="11">
        <f>SUM(H132:H136)</f>
        <v>208297949.47829652</v>
      </c>
      <c r="I7" s="11">
        <f>SUM(I132:I136)</f>
        <v>1445270182.6782966</v>
      </c>
      <c r="K7" s="11">
        <f>SUM(K132:K136)</f>
        <v>761802072.79999995</v>
      </c>
      <c r="L7" s="11">
        <f>SUM(L132:L136)</f>
        <v>147247374.18103883</v>
      </c>
      <c r="M7" s="11">
        <f>SUM(M132:M136)</f>
        <v>909049446.98103881</v>
      </c>
      <c r="O7" s="11">
        <f>SUM(O132:O136)</f>
        <v>475170160.39999998</v>
      </c>
      <c r="P7" s="11">
        <f>SUM(P132:P136)</f>
        <v>61050575.297257669</v>
      </c>
      <c r="Q7" s="11">
        <f>SUM(Q132:Q136)</f>
        <v>536220735.69725764</v>
      </c>
      <c r="R7" s="125">
        <f t="shared" ref="R7:R25" si="0">SUM(D7:Q7)</f>
        <v>11947258562.22471</v>
      </c>
    </row>
    <row r="8" spans="1:19" ht="8.25" customHeight="1" x14ac:dyDescent="0.25">
      <c r="R8" s="125">
        <f t="shared" si="0"/>
        <v>0</v>
      </c>
    </row>
    <row r="9" spans="1:19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SUM(D10:D22)</f>
        <v>1425866588.2684827</v>
      </c>
      <c r="E9" s="82">
        <f>SUM(E10:E22)</f>
        <v>1481201543.175487</v>
      </c>
      <c r="G9" s="84">
        <f>SUM(G10:G22)</f>
        <v>743382539</v>
      </c>
      <c r="H9" s="84">
        <f t="shared" ref="H9:I9" si="1">SUM(H10:H22)</f>
        <v>93724754.299754322</v>
      </c>
      <c r="I9" s="84">
        <f t="shared" si="1"/>
        <v>837107293.29975438</v>
      </c>
      <c r="K9" s="84">
        <f t="shared" ref="K9" si="2">SUM(K10:K22)</f>
        <v>439829717</v>
      </c>
      <c r="L9" s="84">
        <f t="shared" ref="L9" si="3">SUM(L10:L22)</f>
        <v>48181511.056511059</v>
      </c>
      <c r="M9" s="84">
        <f>SUM(M10:M22)</f>
        <v>488011228.05651104</v>
      </c>
      <c r="O9" s="84">
        <f t="shared" ref="O9" si="4">SUM(O10:O22)</f>
        <v>303552822</v>
      </c>
      <c r="P9" s="84">
        <f t="shared" ref="P9" si="5">SUM(P10:P22)</f>
        <v>45543243.243243255</v>
      </c>
      <c r="Q9" s="84">
        <f>SUM(Q10:Q22)</f>
        <v>349096065.24324322</v>
      </c>
      <c r="R9" s="125">
        <f t="shared" si="0"/>
        <v>6255497304.6429863</v>
      </c>
      <c r="S9" s="89"/>
    </row>
    <row r="10" spans="1:19" x14ac:dyDescent="0.25">
      <c r="A10" s="14" t="str">
        <f>'Matriz de Produccion'!A10</f>
        <v>0A01</v>
      </c>
      <c r="B10" s="6" t="s">
        <v>169</v>
      </c>
      <c r="D10" s="5">
        <f>SUMIF(CATEGORIAS[[#All],[SUBGRUPO]],A10,CATEGORIAS[[#All],[PRESUPUESTO
(ORIGINAL)]])</f>
        <v>145972510.11940765</v>
      </c>
      <c r="E10" s="5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160579142.0074611</v>
      </c>
      <c r="G10" s="10">
        <f>+SUMIF(CATEGORIAS[[#All],[SUBGRUPO]],A10,CATEGORIAS[[#All],[COSTO
ACUMULADO  AX]])
+SUMIF(CATEGORIAS[[#All],[SUBGRUPO]],A10,CATEGORIAS[[#All],[CAMBIO DE
CATEGORIA]])</f>
        <v>99656107</v>
      </c>
      <c r="H10" s="10">
        <f>+SUMIF(CATEGORIAS[[#All],[SUBGRUPO]],A10,CATEGORIAS[[#All],[PROVISIONES]])</f>
        <v>8175470.9254709249</v>
      </c>
      <c r="I10" s="10">
        <f t="shared" ref="I10:I22" si="6">G10+H10</f>
        <v>107831577.92547092</v>
      </c>
      <c r="K10" s="10">
        <f>+SUMIF(CATEGORIAS[[#All],[SUBGRUPO]],A10,CATEGORIAS[[#All],[COSTO ACUMULADO
ANTERIOR]])
+SUMIF(CATEGORIAS[[#All],[SUBGRUPO]],A10,CATEGORIAS[[#All],[CAMBIO DE
CATEGORIA
ANTERIOR]])</f>
        <v>53713252</v>
      </c>
      <c r="L10" s="10">
        <f>+SUMIF(CATEGORIAS[[#All],[SUBGRUPO]],A10,CATEGORIAS[[#All],[PROVISIONES
ANTERIOR]])</f>
        <v>6087837.8378378367</v>
      </c>
      <c r="M10" s="10">
        <f t="shared" ref="M10:M22" si="7">K10+L10</f>
        <v>59801089.837837838</v>
      </c>
      <c r="O10" s="10">
        <f t="shared" ref="O10:O22" si="8">G10-K10</f>
        <v>45942855</v>
      </c>
      <c r="P10" s="10">
        <f t="shared" ref="P10:P22" si="9">H10-L10</f>
        <v>2087633.0876330882</v>
      </c>
      <c r="Q10" s="10">
        <f t="shared" ref="Q10:Q22" si="10">I10-M10</f>
        <v>48030488.087633081</v>
      </c>
      <c r="R10" s="125">
        <f t="shared" si="0"/>
        <v>737877963.82875252</v>
      </c>
    </row>
    <row r="11" spans="1:19" ht="15.6" customHeight="1" x14ac:dyDescent="0.25">
      <c r="A11" s="14" t="str">
        <f>'Matriz de Produccion'!A11</f>
        <v>0A02</v>
      </c>
      <c r="B11" s="6" t="str">
        <f>VLOOKUP(A11,'Analisis por Categorias'!B:C,2,FALSE)</f>
        <v xml:space="preserve">Estructura </v>
      </c>
      <c r="D11" s="5">
        <f>SUMIF(CATEGORIAS[[#All],[SUBGRUPO]],A11,CATEGORIAS[[#All],[PRESUPUESTO
(ORIGINAL)]])</f>
        <v>179875614.88135654</v>
      </c>
      <c r="E11" s="5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180487648.97945336</v>
      </c>
      <c r="G11" s="10">
        <f>+SUMIF(CATEGORIAS[[#All],[SUBGRUPO]],A11,CATEGORIAS[[#All],[COSTO
ACUMULADO  AX]])
+SUMIF(CATEGORIAS[[#All],[SUBGRUPO]],A11,CATEGORIAS[[#All],[CAMBIO DE
CATEGORIA]])</f>
        <v>135857507</v>
      </c>
      <c r="H11" s="10">
        <f>+SUMIF(CATEGORIAS[[#All],[SUBGRUPO]],A11,CATEGORIAS[[#All],[PROVISIONES]])</f>
        <v>15500921.375921376</v>
      </c>
      <c r="I11" s="10">
        <f t="shared" si="6"/>
        <v>151358428.37592137</v>
      </c>
      <c r="K11" s="10">
        <f>+SUMIF(CATEGORIAS[[#All],[SUBGRUPO]],A11,CATEGORIAS[[#All],[COSTO ACUMULADO
ANTERIOR]])
+SUMIF(CATEGORIAS[[#All],[SUBGRUPO]],A11,CATEGORIAS[[#All],[CAMBIO DE
CATEGORIA
ANTERIOR]])</f>
        <v>81257881</v>
      </c>
      <c r="L11" s="10">
        <f>+SUMIF(CATEGORIAS[[#All],[SUBGRUPO]],A11,CATEGORIAS[[#All],[PROVISIONES
ANTERIOR]])</f>
        <v>8426648.2391482387</v>
      </c>
      <c r="M11" s="88">
        <f t="shared" si="7"/>
        <v>89684529.239148244</v>
      </c>
      <c r="O11" s="88">
        <f t="shared" si="8"/>
        <v>54599626</v>
      </c>
      <c r="P11" s="88">
        <f t="shared" si="9"/>
        <v>7074273.1367731374</v>
      </c>
      <c r="Q11" s="88">
        <f t="shared" si="10"/>
        <v>61673899.136773124</v>
      </c>
      <c r="R11" s="125">
        <f t="shared" si="0"/>
        <v>965796977.3644954</v>
      </c>
    </row>
    <row r="12" spans="1:19" ht="15" customHeight="1" x14ac:dyDescent="0.25">
      <c r="A12" s="14" t="str">
        <f>'Matriz de Produccion'!A12</f>
        <v>0A03</v>
      </c>
      <c r="B12" s="6" t="s">
        <v>381</v>
      </c>
      <c r="D12" s="5">
        <f>SUMIF(CATEGORIAS[[#All],[SUBGRUPO]],A12,CATEGORIAS[[#All],[PRESUPUESTO
(ORIGINAL)]])</f>
        <v>133250804.19788337</v>
      </c>
      <c r="E12" s="5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141912209.13214433</v>
      </c>
      <c r="G12" s="10">
        <f>+SUMIF(CATEGORIAS[[#All],[SUBGRUPO]],A12,CATEGORIAS[[#All],[COSTO
ACUMULADO  AX]])
+SUMIF(CATEGORIAS[[#All],[SUBGRUPO]],A12,CATEGORIAS[[#All],[CAMBIO DE
CATEGORIA]])</f>
        <v>132007057</v>
      </c>
      <c r="H12" s="10">
        <f>+SUMIF(CATEGORIAS[[#All],[SUBGRUPO]],A12,CATEGORIAS[[#All],[PROVISIONES]])</f>
        <v>16429821.867321869</v>
      </c>
      <c r="I12" s="10">
        <f t="shared" si="6"/>
        <v>148436878.86732188</v>
      </c>
      <c r="K12" s="10">
        <f>+SUMIF(CATEGORIAS[[#All],[SUBGRUPO]],A12,CATEGORIAS[[#All],[COSTO ACUMULADO
ANTERIOR]])
+SUMIF(CATEGORIAS[[#All],[SUBGRUPO]],A12,CATEGORIAS[[#All],[CAMBIO DE
CATEGORIA
ANTERIOR]])</f>
        <v>90949268</v>
      </c>
      <c r="L12" s="10">
        <f>+SUMIF(CATEGORIAS[[#All],[SUBGRUPO]],A12,CATEGORIAS[[#All],[PROVISIONES
ANTERIOR]])</f>
        <v>9495393.1203931198</v>
      </c>
      <c r="M12" s="88">
        <f t="shared" si="7"/>
        <v>100444661.12039313</v>
      </c>
      <c r="O12" s="88">
        <f t="shared" si="8"/>
        <v>41057789</v>
      </c>
      <c r="P12" s="88">
        <f t="shared" si="9"/>
        <v>6934428.7469287496</v>
      </c>
      <c r="Q12" s="88">
        <f t="shared" si="10"/>
        <v>47992217.746928751</v>
      </c>
      <c r="R12" s="125">
        <f t="shared" si="0"/>
        <v>868910528.79931521</v>
      </c>
    </row>
    <row r="13" spans="1:19" ht="15" customHeight="1" x14ac:dyDescent="0.25">
      <c r="A13" s="14" t="str">
        <f>'Matriz de Produccion'!A13</f>
        <v>0A04</v>
      </c>
      <c r="B13" s="6" t="s">
        <v>174</v>
      </c>
      <c r="D13" s="5">
        <f>SUMIF(CATEGORIAS[[#All],[SUBGRUPO]],A13,CATEGORIAS[[#All],[PRESUPUESTO
(ORIGINAL)]])</f>
        <v>473970382.63622206</v>
      </c>
      <c r="E13" s="5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491658024.79547954</v>
      </c>
      <c r="G13" s="10">
        <f>+SUMIF(CATEGORIAS[[#All],[SUBGRUPO]],A13,CATEGORIAS[[#All],[COSTO
ACUMULADO  AX]])
+SUMIF(CATEGORIAS[[#All],[SUBGRUPO]],A13,CATEGORIAS[[#All],[CAMBIO DE
CATEGORIA]])</f>
        <v>216183449</v>
      </c>
      <c r="H13" s="10">
        <f>+SUMIF(CATEGORIAS[[#All],[SUBGRUPO]],A13,CATEGORIAS[[#All],[PROVISIONES]])</f>
        <v>27921836.609336618</v>
      </c>
      <c r="I13" s="10">
        <f t="shared" si="6"/>
        <v>244105285.60933661</v>
      </c>
      <c r="K13" s="10">
        <f>+SUMIF(CATEGORIAS[[#All],[SUBGRUPO]],A13,CATEGORIAS[[#All],[COSTO ACUMULADO
ANTERIOR]])
+SUMIF(CATEGORIAS[[#All],[SUBGRUPO]],A13,CATEGORIAS[[#All],[CAMBIO DE
CATEGORIA
ANTERIOR]])</f>
        <v>131900038</v>
      </c>
      <c r="L13" s="10">
        <f>+SUMIF(CATEGORIAS[[#All],[SUBGRUPO]],A13,CATEGORIAS[[#All],[PROVISIONES
ANTERIOR]])</f>
        <v>14659500.409500413</v>
      </c>
      <c r="M13" s="10">
        <f t="shared" si="7"/>
        <v>146559538.40950042</v>
      </c>
      <c r="O13" s="10">
        <f t="shared" si="8"/>
        <v>84283411</v>
      </c>
      <c r="P13" s="10">
        <f t="shared" si="9"/>
        <v>13262336.199836206</v>
      </c>
      <c r="Q13" s="10">
        <f t="shared" si="10"/>
        <v>97545747.199836195</v>
      </c>
      <c r="R13" s="125">
        <f t="shared" si="0"/>
        <v>1942049549.8690481</v>
      </c>
    </row>
    <row r="14" spans="1:19" ht="15" customHeight="1" x14ac:dyDescent="0.25">
      <c r="A14" s="14" t="str">
        <f>'Matriz de Produccion'!A14</f>
        <v>0A05</v>
      </c>
      <c r="B14" s="6" t="s">
        <v>176</v>
      </c>
      <c r="D14" s="5">
        <f>SUMIF(CATEGORIAS[[#All],[SUBGRUPO]],A14,CATEGORIAS[[#All],[PRESUPUESTO
(ORIGINAL)]])</f>
        <v>387994980.99048454</v>
      </c>
      <c r="E14" s="5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399730796.30896646</v>
      </c>
      <c r="G14" s="10">
        <f>+SUMIF(CATEGORIAS[[#All],[SUBGRUPO]],A14,CATEGORIAS[[#All],[COSTO
ACUMULADO  AX]])
+SUMIF(CATEGORIAS[[#All],[SUBGRUPO]],A14,CATEGORIAS[[#All],[CAMBIO DE
CATEGORIA]])</f>
        <v>83013830</v>
      </c>
      <c r="H14" s="10">
        <f>+SUMIF(CATEGORIAS[[#All],[SUBGRUPO]],A14,CATEGORIAS[[#All],[PROVISIONES]])</f>
        <v>11625102.375102377</v>
      </c>
      <c r="I14" s="10">
        <f t="shared" si="6"/>
        <v>94638932.375102371</v>
      </c>
      <c r="K14" s="10">
        <f>+SUMIF(CATEGORIAS[[#All],[SUBGRUPO]],A14,CATEGORIAS[[#All],[COSTO ACUMULADO
ANTERIOR]])
+SUMIF(CATEGORIAS[[#All],[SUBGRUPO]],A14,CATEGORIAS[[#All],[CAMBIO DE
CATEGORIA
ANTERIOR]])</f>
        <v>41894655</v>
      </c>
      <c r="L14" s="10">
        <f>+SUMIF(CATEGORIAS[[#All],[SUBGRUPO]],A14,CATEGORIAS[[#All],[PROVISIONES
ANTERIOR]])</f>
        <v>4643273.9557739552</v>
      </c>
      <c r="M14" s="88">
        <f t="shared" si="7"/>
        <v>46537928.955773957</v>
      </c>
      <c r="O14" s="88">
        <f t="shared" si="8"/>
        <v>41119175</v>
      </c>
      <c r="P14" s="88">
        <f t="shared" si="9"/>
        <v>6981828.4193284214</v>
      </c>
      <c r="Q14" s="88">
        <f t="shared" si="10"/>
        <v>48101003.419328414</v>
      </c>
      <c r="R14" s="125">
        <f t="shared" si="0"/>
        <v>1166281506.7998605</v>
      </c>
    </row>
    <row r="15" spans="1:19" ht="15" customHeight="1" x14ac:dyDescent="0.25">
      <c r="A15" s="14" t="str">
        <f>'Matriz de Produccion'!A15</f>
        <v>0A06</v>
      </c>
      <c r="B15" s="6" t="str">
        <f>VLOOKUP(A15,'Analisis por Categorias'!B:C,2,FALSE)</f>
        <v xml:space="preserve">Aislación </v>
      </c>
      <c r="D15" s="5">
        <f>SUMIF(CATEGORIAS[[#All],[SUBGRUPO]],A15,CATEGORIAS[[#All],[PRESUPUESTO
(ORIGINAL)]])</f>
        <v>25004642.625492588</v>
      </c>
      <c r="E15" s="5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25004642.625492588</v>
      </c>
      <c r="G15" s="10">
        <f>+SUMIF(CATEGORIAS[[#All],[SUBGRUPO]],A15,CATEGORIAS[[#All],[COSTO
ACUMULADO  AX]])
+SUMIF(CATEGORIAS[[#All],[SUBGRUPO]],A15,CATEGORIAS[[#All],[CAMBIO DE
CATEGORIA]])</f>
        <v>0</v>
      </c>
      <c r="H15" s="10">
        <f>+SUMIF(CATEGORIAS[[#All],[SUBGRUPO]],A15,CATEGORIAS[[#All],[PROVISIONES]])</f>
        <v>0</v>
      </c>
      <c r="I15" s="10">
        <f t="shared" si="6"/>
        <v>0</v>
      </c>
      <c r="K15" s="10">
        <f>+SUMIF(CATEGORIAS[[#All],[SUBGRUPO]],A15,CATEGORIAS[[#All],[COSTO ACUMULADO
ANTERIOR]])
+SUMIF(CATEGORIAS[[#All],[SUBGRUPO]],A15,CATEGORIAS[[#All],[CAMBIO DE
CATEGORIA
ANTERIOR]])</f>
        <v>0</v>
      </c>
      <c r="L15" s="10">
        <f>+SUMIF(CATEGORIAS[[#All],[SUBGRUPO]],A15,CATEGORIAS[[#All],[PROVISIONES
ANTERIOR]])</f>
        <v>0</v>
      </c>
      <c r="M15" s="10">
        <f t="shared" si="7"/>
        <v>0</v>
      </c>
      <c r="O15" s="10">
        <f t="shared" si="8"/>
        <v>0</v>
      </c>
      <c r="P15" s="10">
        <f t="shared" si="9"/>
        <v>0</v>
      </c>
      <c r="Q15" s="10">
        <f t="shared" si="10"/>
        <v>0</v>
      </c>
      <c r="R15" s="125">
        <f t="shared" si="0"/>
        <v>50009285.250985175</v>
      </c>
    </row>
    <row r="16" spans="1:19" ht="15" customHeight="1" x14ac:dyDescent="0.25">
      <c r="A16" s="14" t="str">
        <f>'Matriz de Produccion'!A16</f>
        <v>0A07</v>
      </c>
      <c r="B16" s="6" t="str">
        <f>VLOOKUP(A16,'Analisis por Categorias'!B:C,2,FALSE)</f>
        <v xml:space="preserve">Caldera </v>
      </c>
      <c r="D16" s="5">
        <f>SUMIF(CATEGORIAS[[#All],[SUBGRUPO]],A16,CATEGORIAS[[#All],[PRESUPUESTO
(ORIGINAL)]])</f>
        <v>0</v>
      </c>
      <c r="E16" s="5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10">
        <f>+SUMIF(CATEGORIAS[[#All],[SUBGRUPO]],A16,CATEGORIAS[[#All],[COSTO
ACUMULADO  AX]])
+SUMIF(CATEGORIAS[[#All],[SUBGRUPO]],A16,CATEGORIAS[[#All],[CAMBIO DE
CATEGORIA]])</f>
        <v>0</v>
      </c>
      <c r="H16" s="10">
        <f>+SUMIF(CATEGORIAS[[#All],[SUBGRUPO]],A16,CATEGORIAS[[#All],[PROVISIONES]])</f>
        <v>0</v>
      </c>
      <c r="I16" s="10">
        <f t="shared" si="6"/>
        <v>0</v>
      </c>
      <c r="K16" s="10">
        <f>+SUMIF(CATEGORIAS[[#All],[SUBGRUPO]],A16,CATEGORIAS[[#All],[COSTO ACUMULADO
ANTERIOR]])
+SUMIF(CATEGORIAS[[#All],[SUBGRUPO]],A16,CATEGORIAS[[#All],[CAMBIO DE
CATEGORIA
ANTERIOR]])</f>
        <v>0</v>
      </c>
      <c r="L16" s="10">
        <f>+SUMIF(CATEGORIAS[[#All],[SUBGRUPO]],A16,CATEGORIAS[[#All],[PROVISIONES
ANTERIOR]])</f>
        <v>0</v>
      </c>
      <c r="M16" s="10">
        <f t="shared" si="7"/>
        <v>0</v>
      </c>
      <c r="O16" s="10">
        <f t="shared" si="8"/>
        <v>0</v>
      </c>
      <c r="P16" s="10">
        <f t="shared" si="9"/>
        <v>0</v>
      </c>
      <c r="Q16" s="10">
        <f t="shared" si="10"/>
        <v>0</v>
      </c>
      <c r="R16" s="125">
        <f t="shared" si="0"/>
        <v>0</v>
      </c>
    </row>
    <row r="17" spans="1:18" ht="15" customHeight="1" x14ac:dyDescent="0.25">
      <c r="A17" s="14" t="str">
        <f>'Matriz de Produccion'!A17</f>
        <v>0A08</v>
      </c>
      <c r="B17" s="6" t="str">
        <f>VLOOKUP(A17,'Analisis por Categorias'!B:C,2,FALSE)</f>
        <v xml:space="preserve">Andamios </v>
      </c>
      <c r="D17" s="5">
        <f>SUMIF(CATEGORIAS[[#All],[SUBGRUPO]],A17,CATEGORIAS[[#All],[PRESUPUESTO
(ORIGINAL)]])</f>
        <v>79797652.817636073</v>
      </c>
      <c r="E17" s="5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81829079.326489776</v>
      </c>
      <c r="G17" s="10">
        <f>+SUMIF(CATEGORIAS[[#All],[SUBGRUPO]],A17,CATEGORIAS[[#All],[COSTO
ACUMULADO  AX]])
+SUMIF(CATEGORIAS[[#All],[SUBGRUPO]],A17,CATEGORIAS[[#All],[CAMBIO DE
CATEGORIA]])</f>
        <v>76664589</v>
      </c>
      <c r="H17" s="10">
        <f>+SUMIF(CATEGORIAS[[#All],[SUBGRUPO]],A17,CATEGORIAS[[#All],[PROVISIONES]])</f>
        <v>11746212.121212125</v>
      </c>
      <c r="I17" s="10">
        <f t="shared" si="6"/>
        <v>88410801.121212125</v>
      </c>
      <c r="K17" s="10">
        <f>+SUMIF(CATEGORIAS[[#All],[SUBGRUPO]],A17,CATEGORIAS[[#All],[COSTO ACUMULADO
ANTERIOR]])
+SUMIF(CATEGORIAS[[#All],[SUBGRUPO]],A17,CATEGORIAS[[#All],[CAMBIO DE
CATEGORIA
ANTERIOR]])</f>
        <v>40114623</v>
      </c>
      <c r="L17" s="10">
        <f>+SUMIF(CATEGORIAS[[#All],[SUBGRUPO]],A17,CATEGORIAS[[#All],[PROVISIONES
ANTERIOR]])</f>
        <v>4868857.4938574946</v>
      </c>
      <c r="M17" s="10">
        <f t="shared" si="7"/>
        <v>44983480.493857495</v>
      </c>
      <c r="O17" s="10">
        <f t="shared" si="8"/>
        <v>36549966</v>
      </c>
      <c r="P17" s="10">
        <f t="shared" si="9"/>
        <v>6877354.6273546303</v>
      </c>
      <c r="Q17" s="10">
        <f t="shared" si="10"/>
        <v>43427320.627354629</v>
      </c>
      <c r="R17" s="125">
        <f t="shared" si="0"/>
        <v>515269936.62897432</v>
      </c>
    </row>
    <row r="18" spans="1:18" ht="15" customHeight="1" x14ac:dyDescent="0.25">
      <c r="A18" s="14" t="str">
        <f>'Matriz de Produccion'!A18</f>
        <v>0A09</v>
      </c>
      <c r="B18" s="6" t="str">
        <f>VLOOKUP(A18,'Analisis por Categorias'!B:C,2,FALSE)</f>
        <v xml:space="preserve">Ductos </v>
      </c>
      <c r="D18" s="5">
        <f>SUMIF(CATEGORIAS[[#All],[SUBGRUPO]],A18,CATEGORIAS[[#All],[PRESUPUESTO
(ORIGINAL)]])</f>
        <v>0</v>
      </c>
      <c r="E18" s="5">
        <f>+SUMIF(CATEGORIAS[[#All],[SUBGRUPO]],A18,CATEGORIAS[[#All],[PRODUCCION
PARTIDAS
ORIGINALES
ACTUAL]])
+SUMIF(CATEGORIAS[[#All],[SUBGRUPO]],A18,CATEGORIAS[[#All],[PRODUCCION
ADICIONALES
ACTUAL]])
+SUMIF(CATEGORIAS[[#All],[SUBGRUPO]],A18,CATEGORIAS[[#All],[PROYECCION
DE INGRESO
DEL SALDO]])</f>
        <v>0</v>
      </c>
      <c r="G18" s="10">
        <f>+SUMIF(CATEGORIAS[[#All],[SUBGRUPO]],A18,CATEGORIAS[[#All],[COSTO
ACUMULADO  AX]])
+SUMIF(CATEGORIAS[[#All],[SUBGRUPO]],A18,CATEGORIAS[[#All],[CAMBIO DE
CATEGORIA]])</f>
        <v>0</v>
      </c>
      <c r="H18" s="10">
        <f>+SUMIF(CATEGORIAS[[#All],[SUBGRUPO]],A18,CATEGORIAS[[#All],[PROVISIONES]])</f>
        <v>0</v>
      </c>
      <c r="I18" s="10">
        <f t="shared" si="6"/>
        <v>0</v>
      </c>
      <c r="K18" s="10">
        <f>+SUMIF(CATEGORIAS[[#All],[SUBGRUPO]],A18,CATEGORIAS[[#All],[COSTO ACUMULADO
ANTERIOR]])
+SUMIF(CATEGORIAS[[#All],[SUBGRUPO]],A18,CATEGORIAS[[#All],[CAMBIO DE
CATEGORIA
ANTERIOR]])</f>
        <v>0</v>
      </c>
      <c r="L18" s="10">
        <f>+SUMIF(CATEGORIAS[[#All],[SUBGRUPO]],A18,CATEGORIAS[[#All],[PROVISIONES
ANTERIOR]])</f>
        <v>0</v>
      </c>
      <c r="M18" s="10">
        <f t="shared" si="7"/>
        <v>0</v>
      </c>
      <c r="O18" s="10">
        <f t="shared" si="8"/>
        <v>0</v>
      </c>
      <c r="P18" s="10">
        <f t="shared" si="9"/>
        <v>0</v>
      </c>
      <c r="Q18" s="10">
        <f t="shared" si="10"/>
        <v>0</v>
      </c>
      <c r="R18" s="125">
        <f t="shared" si="0"/>
        <v>0</v>
      </c>
    </row>
    <row r="19" spans="1:18" ht="15" customHeight="1" x14ac:dyDescent="0.25">
      <c r="A19" s="14" t="str">
        <f>'Matriz de Produccion'!A19</f>
        <v>0A10</v>
      </c>
      <c r="B19" s="6" t="str">
        <f>VLOOKUP(A19,'Analisis por Categorias'!B:C,2,FALSE)</f>
        <v xml:space="preserve">Comisionamiento </v>
      </c>
      <c r="D19" s="5">
        <f>SUMIF(CATEGORIAS[[#All],[SUBGRUPO]],A19,CATEGORIAS[[#All],[PRESUPUESTO
(ORIGINAL)]])</f>
        <v>0</v>
      </c>
      <c r="E19" s="5">
        <f>+SUMIF(CATEGORIAS[[#All],[SUBGRUPO]],A19,CATEGORIAS[[#All],[PRODUCCION
PARTIDAS
ORIGINALES
ACTUAL]])
+SUMIF(CATEGORIAS[[#All],[SUBGRUPO]],A19,CATEGORIAS[[#All],[PRODUCCION
ADICIONALES
ACTUAL]])
+SUMIF(CATEGORIAS[[#All],[SUBGRUPO]],A19,CATEGORIAS[[#All],[PROYECCION
DE INGRESO
DEL SALDO]])</f>
        <v>0</v>
      </c>
      <c r="G19" s="10">
        <f>+SUMIF(CATEGORIAS[[#All],[SUBGRUPO]],A19,CATEGORIAS[[#All],[COSTO
ACUMULADO  AX]])
+SUMIF(CATEGORIAS[[#All],[SUBGRUPO]],A19,CATEGORIAS[[#All],[CAMBIO DE
CATEGORIA]])</f>
        <v>0</v>
      </c>
      <c r="H19" s="10">
        <f>+SUMIF(CATEGORIAS[[#All],[SUBGRUPO]],A19,CATEGORIAS[[#All],[PROVISIONES]])</f>
        <v>0</v>
      </c>
      <c r="I19" s="10">
        <f t="shared" si="6"/>
        <v>0</v>
      </c>
      <c r="K19" s="10">
        <f>+SUMIF(CATEGORIAS[[#All],[SUBGRUPO]],A19,CATEGORIAS[[#All],[COSTO ACUMULADO
ANTERIOR]])
+SUMIF(CATEGORIAS[[#All],[SUBGRUPO]],A19,CATEGORIAS[[#All],[CAMBIO DE
CATEGORIA
ANTERIOR]])</f>
        <v>0</v>
      </c>
      <c r="L19" s="10">
        <f>+SUMIF(CATEGORIAS[[#All],[SUBGRUPO]],A19,CATEGORIAS[[#All],[PROVISIONES
ANTERIOR]])</f>
        <v>0</v>
      </c>
      <c r="M19" s="10">
        <f t="shared" si="7"/>
        <v>0</v>
      </c>
      <c r="O19" s="10">
        <f t="shared" si="8"/>
        <v>0</v>
      </c>
      <c r="P19" s="10">
        <f t="shared" si="9"/>
        <v>0</v>
      </c>
      <c r="Q19" s="10">
        <f t="shared" si="10"/>
        <v>0</v>
      </c>
      <c r="R19" s="125">
        <f t="shared" si="0"/>
        <v>0</v>
      </c>
    </row>
    <row r="20" spans="1:18" ht="15" customHeight="1" x14ac:dyDescent="0.25">
      <c r="A20" s="14" t="str">
        <f>'Matriz de Produccion'!A20</f>
        <v>0A11</v>
      </c>
      <c r="B20" s="6" t="str">
        <f>VLOOKUP(A20,'Analisis por Categorias'!B:C,2,FALSE)</f>
        <v>Arquitectura</v>
      </c>
      <c r="D20" s="5">
        <f>SUMIF(CATEGORIAS[[#All],[SUBGRUPO]],A20,CATEGORIAS[[#All],[PRESUPUESTO
(ORIGINAL)]])</f>
        <v>0</v>
      </c>
      <c r="E20" s="5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0</v>
      </c>
      <c r="G20" s="10">
        <f>+SUMIF(CATEGORIAS[[#All],[SUBGRUPO]],A20,CATEGORIAS[[#All],[COSTO
ACUMULADO  AX]])
+SUMIF(CATEGORIAS[[#All],[SUBGRUPO]],A20,CATEGORIAS[[#All],[CAMBIO DE
CATEGORIA]])</f>
        <v>0</v>
      </c>
      <c r="H20" s="10">
        <f>+SUMIF(CATEGORIAS[[#All],[SUBGRUPO]],A20,CATEGORIAS[[#All],[PROVISIONES]])</f>
        <v>2325389.0253890259</v>
      </c>
      <c r="I20" s="10">
        <f t="shared" si="6"/>
        <v>2325389.0253890259</v>
      </c>
      <c r="K20" s="10">
        <f>+SUMIF(CATEGORIAS[[#All],[SUBGRUPO]],A20,CATEGORIAS[[#All],[COSTO ACUMULADO
ANTERIOR]])
+SUMIF(CATEGORIAS[[#All],[SUBGRUPO]],A20,CATEGORIAS[[#All],[CAMBIO DE
CATEGORIA
ANTERIOR]])</f>
        <v>0</v>
      </c>
      <c r="L20" s="10">
        <f>+SUMIF(CATEGORIAS[[#All],[SUBGRUPO]],A20,CATEGORIAS[[#All],[PROVISIONES
ANTERIOR]])</f>
        <v>0</v>
      </c>
      <c r="M20" s="10">
        <f t="shared" si="7"/>
        <v>0</v>
      </c>
      <c r="O20" s="10">
        <f t="shared" si="8"/>
        <v>0</v>
      </c>
      <c r="P20" s="10">
        <f t="shared" si="9"/>
        <v>2325389.0253890259</v>
      </c>
      <c r="Q20" s="10">
        <f t="shared" si="10"/>
        <v>2325389.0253890259</v>
      </c>
      <c r="R20" s="125">
        <f t="shared" si="0"/>
        <v>9301556.1015561037</v>
      </c>
    </row>
    <row r="21" spans="1:18" ht="15" customHeight="1" x14ac:dyDescent="0.25">
      <c r="A21" s="14" t="str">
        <f>'Matriz de Produccion'!A21</f>
        <v>0A12</v>
      </c>
      <c r="B21" s="6" t="str">
        <f>VLOOKUP(A21,'Analisis por Categorias'!B:C,2,FALSE)</f>
        <v xml:space="preserve">Estanque </v>
      </c>
      <c r="D21" s="5">
        <f>SUMIF(CATEGORIAS[[#All],[SUBGRUPO]],A21,CATEGORIAS[[#All],[PRESUPUESTO
(ORIGINAL)]])</f>
        <v>0</v>
      </c>
      <c r="E21" s="5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10">
        <f>+SUMIF(CATEGORIAS[[#All],[SUBGRUPO]],A21,CATEGORIAS[[#All],[COSTO
ACUMULADO  AX]])
+SUMIF(CATEGORIAS[[#All],[SUBGRUPO]],A21,CATEGORIAS[[#All],[CAMBIO DE
CATEGORIA]])</f>
        <v>0</v>
      </c>
      <c r="H21" s="10">
        <f>+SUMIF(CATEGORIAS[[#All],[SUBGRUPO]],A21,CATEGORIAS[[#All],[PROVISIONES]])</f>
        <v>0</v>
      </c>
      <c r="I21" s="10">
        <f t="shared" si="6"/>
        <v>0</v>
      </c>
      <c r="K21" s="10">
        <f>+SUMIF(CATEGORIAS[[#All],[SUBGRUPO]],A21,CATEGORIAS[[#All],[COSTO ACUMULADO
ANTERIOR]])
+SUMIF(CATEGORIAS[[#All],[SUBGRUPO]],A21,CATEGORIAS[[#All],[CAMBIO DE
CATEGORIA
ANTERIOR]])</f>
        <v>0</v>
      </c>
      <c r="L21" s="10">
        <f>+SUMIF(CATEGORIAS[[#All],[SUBGRUPO]],A21,CATEGORIAS[[#All],[PROVISIONES
ANTERIOR]])</f>
        <v>0</v>
      </c>
      <c r="M21" s="10">
        <f t="shared" si="7"/>
        <v>0</v>
      </c>
      <c r="O21" s="10">
        <f t="shared" si="8"/>
        <v>0</v>
      </c>
      <c r="P21" s="10">
        <f t="shared" si="9"/>
        <v>0</v>
      </c>
      <c r="Q21" s="10">
        <f t="shared" si="10"/>
        <v>0</v>
      </c>
      <c r="R21" s="125">
        <f t="shared" si="0"/>
        <v>0</v>
      </c>
    </row>
    <row r="22" spans="1:18" ht="15" customHeight="1" x14ac:dyDescent="0.25">
      <c r="A22" s="14" t="str">
        <f>'Matriz de Produccion'!A22</f>
        <v>0A13</v>
      </c>
      <c r="B22" s="6" t="str">
        <f>VLOOKUP(A22,'Analisis por Categorias'!B:C,2,FALSE)</f>
        <v>Multas Costo Directo</v>
      </c>
      <c r="D22" s="5">
        <f>SUMIF(CATEGORIAS[[#All],[SUBGRUPO]],A22,CATEGORIAS[[#All],[PRESUPUESTO
(ORIGINAL)]])</f>
        <v>0</v>
      </c>
      <c r="E22" s="5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10">
        <f>+SUMIF(CATEGORIAS[[#All],[SUBGRUPO]],A22,CATEGORIAS[[#All],[COSTO
ACUMULADO  AX]])
+SUMIF(CATEGORIAS[[#All],[SUBGRUPO]],A22,CATEGORIAS[[#All],[CAMBIO DE
CATEGORIA]])</f>
        <v>0</v>
      </c>
      <c r="H22" s="10">
        <f>+SUMIF(CATEGORIAS[[#All],[SUBGRUPO]],A22,CATEGORIAS[[#All],[PROVISIONES]])</f>
        <v>0</v>
      </c>
      <c r="I22" s="10">
        <f t="shared" si="6"/>
        <v>0</v>
      </c>
      <c r="K22" s="10">
        <f>+SUMIF(CATEGORIAS[[#All],[SUBGRUPO]],A22,CATEGORIAS[[#All],[COSTO ACUMULADO
ANTERIOR]])
+SUMIF(CATEGORIAS[[#All],[SUBGRUPO]],A22,CATEGORIAS[[#All],[CAMBIO DE
CATEGORIA
ANTERIOR]])</f>
        <v>0</v>
      </c>
      <c r="L22" s="10">
        <f>+SUMIF(CATEGORIAS[[#All],[SUBGRUPO]],A22,CATEGORIAS[[#All],[PROVISIONES
ANTERIOR]])</f>
        <v>0</v>
      </c>
      <c r="M22" s="10">
        <f t="shared" si="7"/>
        <v>0</v>
      </c>
      <c r="O22" s="10">
        <f t="shared" si="8"/>
        <v>0</v>
      </c>
      <c r="P22" s="10">
        <f t="shared" si="9"/>
        <v>0</v>
      </c>
      <c r="Q22" s="10">
        <f t="shared" si="10"/>
        <v>0</v>
      </c>
      <c r="R22" s="125">
        <f t="shared" si="0"/>
        <v>0</v>
      </c>
    </row>
    <row r="23" spans="1:18" ht="8.25" customHeight="1" x14ac:dyDescent="0.25">
      <c r="R23" s="125">
        <f t="shared" si="0"/>
        <v>0</v>
      </c>
    </row>
    <row r="24" spans="1:18" ht="15" customHeight="1" x14ac:dyDescent="0.25">
      <c r="A24" s="14" t="str">
        <f>'Matriz de Produccion'!A24</f>
        <v>0B00</v>
      </c>
      <c r="B24" s="81" t="str">
        <f>'Matriz de Produccion'!B24:B24</f>
        <v>B - MATERIALES</v>
      </c>
      <c r="D24" s="82">
        <f>SUM(D25:D35)</f>
        <v>455675553.39120007</v>
      </c>
      <c r="E24" s="82">
        <f>SUM(E25:E35)</f>
        <v>484453453.90711045</v>
      </c>
      <c r="G24" s="84">
        <f>SUM(G25:G32)</f>
        <v>178343975</v>
      </c>
      <c r="H24" s="84">
        <f t="shared" ref="H24:I24" si="11">SUM(H25:H32)</f>
        <v>23088563</v>
      </c>
      <c r="I24" s="84">
        <f t="shared" si="11"/>
        <v>201432538</v>
      </c>
      <c r="K24" s="84">
        <f>SUM(K25:K32)</f>
        <v>130582736</v>
      </c>
      <c r="L24" s="84">
        <f t="shared" ref="L24:M24" si="12">SUM(L25:L32)</f>
        <v>14296354</v>
      </c>
      <c r="M24" s="84">
        <f t="shared" si="12"/>
        <v>144879090</v>
      </c>
      <c r="O24" s="84">
        <f t="shared" ref="O24:Q24" si="13">SUM(O25:O32)</f>
        <v>47761239</v>
      </c>
      <c r="P24" s="84">
        <f t="shared" ref="P24" si="14">SUM(P25:P32)</f>
        <v>8792209</v>
      </c>
      <c r="Q24" s="84">
        <f t="shared" si="13"/>
        <v>56553448</v>
      </c>
      <c r="R24" s="125">
        <f t="shared" si="0"/>
        <v>1745859159.2983105</v>
      </c>
    </row>
    <row r="25" spans="1:18" ht="15" customHeight="1" x14ac:dyDescent="0.25">
      <c r="A25" s="14" t="str">
        <f>'Matriz de Produccion'!A25</f>
        <v>0B01</v>
      </c>
      <c r="B25" s="6" t="str">
        <f>VLOOKUP(A25,'Analisis por Categorias'!B:C,2,FALSE)</f>
        <v xml:space="preserve">Civil  </v>
      </c>
      <c r="D25" s="5">
        <f>SUMIF(CATEGORIAS[[#All],[SUBGRUPO]],A25,CATEGORIAS[[#All],[PRESUPUESTO
(ORIGINAL)]])</f>
        <v>64602231.871699996</v>
      </c>
      <c r="E25" s="5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80014991.922130093</v>
      </c>
      <c r="G25" s="10">
        <f>+SUMIF(CATEGORIAS[[#All],[SUBGRUPO]],A25,CATEGORIAS[[#All],[COSTO
ACUMULADO  AX]])
+SUMIF(CATEGORIAS[[#All],[SUBGRUPO]],A25,CATEGORIAS[[#All],[CAMBIO DE
CATEGORIA]])</f>
        <v>21679270</v>
      </c>
      <c r="H25" s="10">
        <f>+SUMIF(CATEGORIAS[[#All],[SUBGRUPO]],A25,CATEGORIAS[[#All],[PROVISIONES]])</f>
        <v>0</v>
      </c>
      <c r="I25" s="10">
        <f t="shared" ref="I25:I35" si="15">G25+H25</f>
        <v>21679270</v>
      </c>
      <c r="K25" s="10">
        <f>+SUMIF(CATEGORIAS[[#All],[SUBGRUPO]],A25,CATEGORIAS[[#All],[COSTO ACUMULADO
ANTERIOR]])
+SUMIF(CATEGORIAS[[#All],[SUBGRUPO]],A25,CATEGORIAS[[#All],[CAMBIO DE
CATEGORIA
ANTERIOR]])</f>
        <v>15537355</v>
      </c>
      <c r="L25" s="10">
        <f>+SUMIF(CATEGORIAS[[#All],[SUBGRUPO]],A25,CATEGORIAS[[#All],[PROVISIONES
ANTERIOR]])</f>
        <v>7</v>
      </c>
      <c r="M25" s="10">
        <f t="shared" ref="M25:M35" si="16">K25+L25</f>
        <v>15537362</v>
      </c>
      <c r="O25" s="10">
        <f t="shared" ref="O25:O35" si="17">G25-K25</f>
        <v>6141915</v>
      </c>
      <c r="P25" s="10">
        <f t="shared" ref="P25:P35" si="18">H25-L25</f>
        <v>-7</v>
      </c>
      <c r="Q25" s="10">
        <f t="shared" ref="Q25:Q35" si="19">I25-M25</f>
        <v>6141908</v>
      </c>
      <c r="R25" s="125">
        <f t="shared" si="0"/>
        <v>231334303.7938301</v>
      </c>
    </row>
    <row r="26" spans="1:18" ht="15.6" customHeight="1" x14ac:dyDescent="0.25">
      <c r="A26" s="14" t="str">
        <f>'Matriz de Produccion'!A26</f>
        <v>0B02</v>
      </c>
      <c r="B26" s="6" t="str">
        <f>VLOOKUP(A26,'Analisis por Categorias'!B:C,2,FALSE)</f>
        <v xml:space="preserve">Estructura </v>
      </c>
      <c r="D26" s="5">
        <f>SUMIF(CATEGORIAS[[#All],[SUBGRUPO]],A26,CATEGORIAS[[#All],[PRESUPUESTO
(ORIGINAL)]])</f>
        <v>53940890.952500001</v>
      </c>
      <c r="E26" s="5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53972095.138021633</v>
      </c>
      <c r="G26" s="10">
        <f>+SUMIF(CATEGORIAS[[#All],[SUBGRUPO]],A26,CATEGORIAS[[#All],[COSTO
ACUMULADO  AX]])
+SUMIF(CATEGORIAS[[#All],[SUBGRUPO]],A26,CATEGORIAS[[#All],[CAMBIO DE
CATEGORIA]])</f>
        <v>2417393</v>
      </c>
      <c r="H26" s="10">
        <f>+SUMIF(CATEGORIAS[[#All],[SUBGRUPO]],A26,CATEGORIAS[[#All],[PROVISIONES]])</f>
        <v>183926</v>
      </c>
      <c r="I26" s="10">
        <f t="shared" si="15"/>
        <v>2601319</v>
      </c>
      <c r="K26" s="10">
        <f>+SUMIF(CATEGORIAS[[#All],[SUBGRUPO]],A26,CATEGORIAS[[#All],[COSTO ACUMULADO
ANTERIOR]])
+SUMIF(CATEGORIAS[[#All],[SUBGRUPO]],A26,CATEGORIAS[[#All],[CAMBIO DE
CATEGORIA
ANTERIOR]])</f>
        <v>483865</v>
      </c>
      <c r="L26" s="10">
        <f>+SUMIF(CATEGORIAS[[#All],[SUBGRUPO]],A26,CATEGORIAS[[#All],[PROVISIONES
ANTERIOR]])</f>
        <v>200000</v>
      </c>
      <c r="M26" s="88">
        <f t="shared" si="16"/>
        <v>683865</v>
      </c>
      <c r="O26" s="88">
        <f t="shared" si="17"/>
        <v>1933528</v>
      </c>
      <c r="P26" s="88">
        <f t="shared" si="18"/>
        <v>-16074</v>
      </c>
      <c r="Q26" s="88">
        <f t="shared" si="19"/>
        <v>1917454</v>
      </c>
      <c r="R26" s="125"/>
    </row>
    <row r="27" spans="1:18" ht="15" customHeight="1" x14ac:dyDescent="0.25">
      <c r="A27" s="14" t="str">
        <f>'Matriz de Produccion'!A27</f>
        <v>0B03</v>
      </c>
      <c r="B27" s="6" t="str">
        <f>VLOOKUP(A27,'Analisis por Categorias'!B:C,2,FALSE)</f>
        <v xml:space="preserve">Aislación </v>
      </c>
      <c r="D27" s="5">
        <f>SUMIF(CATEGORIAS[[#All],[SUBGRUPO]],A27,CATEGORIAS[[#All],[PRESUPUESTO
(ORIGINAL)]])</f>
        <v>18524724.390000001</v>
      </c>
      <c r="E27" s="5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18524724.390000001</v>
      </c>
      <c r="G27" s="10">
        <f>+SUMIF(CATEGORIAS[[#All],[SUBGRUPO]],A27,CATEGORIAS[[#All],[COSTO
ACUMULADO  AX]])
+SUMIF(CATEGORIAS[[#All],[SUBGRUPO]],A27,CATEGORIAS[[#All],[CAMBIO DE
CATEGORIA]])</f>
        <v>0</v>
      </c>
      <c r="H27" s="10">
        <f>+SUMIF(CATEGORIAS[[#All],[SUBGRUPO]],A27,CATEGORIAS[[#All],[PROVISIONES]])</f>
        <v>0</v>
      </c>
      <c r="I27" s="10">
        <f t="shared" si="15"/>
        <v>0</v>
      </c>
      <c r="K27" s="10">
        <f>+SUMIF(CATEGORIAS[[#All],[SUBGRUPO]],A27,CATEGORIAS[[#All],[COSTO ACUMULADO
ANTERIOR]])
+SUMIF(CATEGORIAS[[#All],[SUBGRUPO]],A27,CATEGORIAS[[#All],[CAMBIO DE
CATEGORIA
ANTERIOR]])</f>
        <v>0</v>
      </c>
      <c r="L27" s="10">
        <f>+SUMIF(CATEGORIAS[[#All],[SUBGRUPO]],A27,CATEGORIAS[[#All],[PROVISIONES
ANTERIOR]])</f>
        <v>0</v>
      </c>
      <c r="M27" s="88">
        <f t="shared" si="16"/>
        <v>0</v>
      </c>
      <c r="O27" s="88">
        <f t="shared" si="17"/>
        <v>0</v>
      </c>
      <c r="P27" s="88">
        <f t="shared" si="18"/>
        <v>0</v>
      </c>
      <c r="Q27" s="88">
        <f t="shared" si="19"/>
        <v>0</v>
      </c>
      <c r="R27" s="125">
        <f t="shared" ref="R27:R55" si="20">SUM(D27:Q27)</f>
        <v>37049448.780000001</v>
      </c>
    </row>
    <row r="28" spans="1:18" ht="15" customHeight="1" x14ac:dyDescent="0.25">
      <c r="A28" s="14" t="str">
        <f>'Matriz de Produccion'!A28</f>
        <v>0B04</v>
      </c>
      <c r="B28" s="6" t="str">
        <f>VLOOKUP(A28,'Analisis por Categorias'!B:C,2,FALSE)</f>
        <v xml:space="preserve">Mecánica </v>
      </c>
      <c r="D28" s="5">
        <f>SUMIF(CATEGORIAS[[#All],[SUBGRUPO]],A28,CATEGORIAS[[#All],[PRESUPUESTO
(ORIGINAL)]])</f>
        <v>65364960.930500001</v>
      </c>
      <c r="E28" s="5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67762997.860876352</v>
      </c>
      <c r="G28" s="10">
        <f>+SUMIF(CATEGORIAS[[#All],[SUBGRUPO]],A28,CATEGORIAS[[#All],[COSTO
ACUMULADO  AX]])
+SUMIF(CATEGORIAS[[#All],[SUBGRUPO]],A28,CATEGORIAS[[#All],[CAMBIO DE
CATEGORIA]])</f>
        <v>13809891</v>
      </c>
      <c r="H28" s="10">
        <f>+SUMIF(CATEGORIAS[[#All],[SUBGRUPO]],A28,CATEGORIAS[[#All],[PROVISIONES]])</f>
        <v>1409058</v>
      </c>
      <c r="I28" s="10">
        <f t="shared" si="15"/>
        <v>15218949</v>
      </c>
      <c r="K28" s="10">
        <f>+SUMIF(CATEGORIAS[[#All],[SUBGRUPO]],A28,CATEGORIAS[[#All],[COSTO ACUMULADO
ANTERIOR]])
+SUMIF(CATEGORIAS[[#All],[SUBGRUPO]],A28,CATEGORIAS[[#All],[CAMBIO DE
CATEGORIA
ANTERIOR]])</f>
        <v>6439094</v>
      </c>
      <c r="L28" s="10">
        <f>+SUMIF(CATEGORIAS[[#All],[SUBGRUPO]],A28,CATEGORIAS[[#All],[PROVISIONES
ANTERIOR]])</f>
        <v>2384277</v>
      </c>
      <c r="M28" s="10">
        <f t="shared" si="16"/>
        <v>8823371</v>
      </c>
      <c r="O28" s="10">
        <f t="shared" si="17"/>
        <v>7370797</v>
      </c>
      <c r="P28" s="10">
        <f t="shared" si="18"/>
        <v>-975219</v>
      </c>
      <c r="Q28" s="10">
        <f t="shared" si="19"/>
        <v>6395578</v>
      </c>
      <c r="R28" s="125">
        <f t="shared" si="20"/>
        <v>194003754.79137635</v>
      </c>
    </row>
    <row r="29" spans="1:18" ht="15" customHeight="1" x14ac:dyDescent="0.25">
      <c r="A29" s="14" t="str">
        <f>'Matriz de Produccion'!A29</f>
        <v>0B05</v>
      </c>
      <c r="B29" s="6" t="str">
        <f>VLOOKUP(A29,'Analisis por Categorias'!B:C,2,FALSE)</f>
        <v xml:space="preserve">Cañería </v>
      </c>
      <c r="D29" s="5">
        <f>SUMIF(CATEGORIAS[[#All],[SUBGRUPO]],A29,CATEGORIAS[[#All],[PRESUPUESTO
(ORIGINAL)]])</f>
        <v>137998078.26400003</v>
      </c>
      <c r="E29" s="5">
        <f>+SUMIF(CATEGORIAS[[#All],[SUBGRUPO]],A29,CATEGORIAS[[#All],[PRODUCCION
PARTIDAS
ORIGINALES
ACTUAL]])
+SUMIF(CATEGORIAS[[#All],[SUBGRUPO]],A29,CATEGORIAS[[#All],[PRODUCCION
ADICIONALES
ACTUAL]])
+SUMIF(CATEGORIAS[[#All],[SUBGRUPO]],A29,CATEGORIAS[[#All],[PROYECCION
DE INGRESO
DEL SALDO]])</f>
        <v>141119778.0112316</v>
      </c>
      <c r="G29" s="10">
        <f>+SUMIF(CATEGORIAS[[#All],[SUBGRUPO]],A29,CATEGORIAS[[#All],[COSTO
ACUMULADO  AX]])
+SUMIF(CATEGORIAS[[#All],[SUBGRUPO]],A29,CATEGORIAS[[#All],[CAMBIO DE
CATEGORIA]])</f>
        <v>99308544</v>
      </c>
      <c r="H29" s="10">
        <f>+SUMIF(CATEGORIAS[[#All],[SUBGRUPO]],A29,CATEGORIAS[[#All],[PROVISIONES]])</f>
        <v>21495579</v>
      </c>
      <c r="I29" s="10">
        <f t="shared" si="15"/>
        <v>120804123</v>
      </c>
      <c r="K29" s="10">
        <f>+SUMIF(CATEGORIAS[[#All],[SUBGRUPO]],A29,CATEGORIAS[[#All],[COSTO ACUMULADO
ANTERIOR]])
+SUMIF(CATEGORIAS[[#All],[SUBGRUPO]],A29,CATEGORIAS[[#All],[CAMBIO DE
CATEGORIA
ANTERIOR]])</f>
        <v>89025343</v>
      </c>
      <c r="L29" s="10">
        <f>+SUMIF(CATEGORIAS[[#All],[SUBGRUPO]],A29,CATEGORIAS[[#All],[PROVISIONES
ANTERIOR]])</f>
        <v>9912070</v>
      </c>
      <c r="M29" s="88">
        <f t="shared" si="16"/>
        <v>98937413</v>
      </c>
      <c r="O29" s="88">
        <f t="shared" si="17"/>
        <v>10283201</v>
      </c>
      <c r="P29" s="88">
        <f t="shared" si="18"/>
        <v>11583509</v>
      </c>
      <c r="Q29" s="88">
        <f t="shared" si="19"/>
        <v>21866710</v>
      </c>
      <c r="R29" s="125">
        <f t="shared" si="20"/>
        <v>762334348.2752316</v>
      </c>
    </row>
    <row r="30" spans="1:18" ht="15" customHeight="1" x14ac:dyDescent="0.25">
      <c r="A30" s="14" t="str">
        <f>'Matriz de Produccion'!A30</f>
        <v>0B06</v>
      </c>
      <c r="B30" s="6" t="str">
        <f>VLOOKUP(A30,'Analisis por Categorias'!B:C,2,FALSE)</f>
        <v>Electricidad &amp; Instrumentación</v>
      </c>
      <c r="D30" s="5">
        <f>SUMIF(CATEGORIAS[[#All],[SUBGRUPO]],A30,CATEGORIAS[[#All],[PRESUPUESTO
(ORIGINAL)]])</f>
        <v>115244666.9825</v>
      </c>
      <c r="E30" s="5">
        <f>+SUMIF(CATEGORIAS[[#All],[SUBGRUPO]],A30,CATEGORIAS[[#All],[PRODUCCION
PARTIDAS
ORIGINALES
ACTUAL]])
+SUMIF(CATEGORIAS[[#All],[SUBGRUPO]],A30,CATEGORIAS[[#All],[PRODUCCION
ADICIONALES
ACTUAL]])
+SUMIF(CATEGORIAS[[#All],[SUBGRUPO]],A30,CATEGORIAS[[#All],[PROYECCION
DE INGRESO
DEL SALDO]])</f>
        <v>123058866.58485076</v>
      </c>
      <c r="G30" s="10">
        <f>+SUMIF(CATEGORIAS[[#All],[SUBGRUPO]],A30,CATEGORIAS[[#All],[COSTO
ACUMULADO  AX]])
+SUMIF(CATEGORIAS[[#All],[SUBGRUPO]],A30,CATEGORIAS[[#All],[CAMBIO DE
CATEGORIA]])</f>
        <v>41128877</v>
      </c>
      <c r="H30" s="10">
        <f>+SUMIF(CATEGORIAS[[#All],[SUBGRUPO]],A30,CATEGORIAS[[#All],[PROVISIONES]])</f>
        <v>0</v>
      </c>
      <c r="I30" s="10">
        <f t="shared" si="15"/>
        <v>41128877</v>
      </c>
      <c r="K30" s="10">
        <f>+SUMIF(CATEGORIAS[[#All],[SUBGRUPO]],A30,CATEGORIAS[[#All],[COSTO ACUMULADO
ANTERIOR]])
+SUMIF(CATEGORIAS[[#All],[SUBGRUPO]],A30,CATEGORIAS[[#All],[CAMBIO DE
CATEGORIA
ANTERIOR]])</f>
        <v>19097079</v>
      </c>
      <c r="L30" s="10">
        <f>+SUMIF(CATEGORIAS[[#All],[SUBGRUPO]],A30,CATEGORIAS[[#All],[PROVISIONES
ANTERIOR]])</f>
        <v>1800000</v>
      </c>
      <c r="M30" s="88">
        <f t="shared" si="16"/>
        <v>20897079</v>
      </c>
      <c r="O30" s="88">
        <f t="shared" si="17"/>
        <v>22031798</v>
      </c>
      <c r="P30" s="88">
        <f t="shared" si="18"/>
        <v>-1800000</v>
      </c>
      <c r="Q30" s="88">
        <f t="shared" si="19"/>
        <v>20231798</v>
      </c>
      <c r="R30" s="125">
        <f t="shared" si="20"/>
        <v>402819041.56735075</v>
      </c>
    </row>
    <row r="31" spans="1:18" ht="15" customHeight="1" x14ac:dyDescent="0.25">
      <c r="A31" s="14" t="str">
        <f>'Matriz de Produccion'!A31</f>
        <v>0B07</v>
      </c>
      <c r="B31" s="6" t="str">
        <f>VLOOKUP(A31,'Analisis por Categorias'!B:C,2,FALSE)</f>
        <v xml:space="preserve">Caldera </v>
      </c>
      <c r="D31" s="5">
        <f>SUMIF(CATEGORIAS[[#All],[SUBGRUPO]],A31,CATEGORIAS[[#All],[PRESUPUESTO
(ORIGINAL)]])</f>
        <v>0</v>
      </c>
      <c r="E31" s="5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0</v>
      </c>
      <c r="G31" s="10">
        <f>+SUMIF(CATEGORIAS[[#All],[SUBGRUPO]],A31,CATEGORIAS[[#All],[COSTO
ACUMULADO  AX]])
+SUMIF(CATEGORIAS[[#All],[SUBGRUPO]],A31,CATEGORIAS[[#All],[CAMBIO DE
CATEGORIA]])</f>
        <v>0</v>
      </c>
      <c r="H31" s="10">
        <f>+SUMIF(CATEGORIAS[[#All],[SUBGRUPO]],A31,CATEGORIAS[[#All],[PROVISIONES]])</f>
        <v>0</v>
      </c>
      <c r="I31" s="10">
        <f t="shared" si="15"/>
        <v>0</v>
      </c>
      <c r="K31" s="10">
        <f>+SUMIF(CATEGORIAS[[#All],[SUBGRUPO]],A31,CATEGORIAS[[#All],[COSTO ACUMULADO
ANTERIOR]])
+SUMIF(CATEGORIAS[[#All],[SUBGRUPO]],A31,CATEGORIAS[[#All],[CAMBIO DE
CATEGORIA
ANTERIOR]])</f>
        <v>0</v>
      </c>
      <c r="L31" s="10">
        <f>+SUMIF(CATEGORIAS[[#All],[SUBGRUPO]],A31,CATEGORIAS[[#All],[PROVISIONES
ANTERIOR]])</f>
        <v>0</v>
      </c>
      <c r="M31" s="88">
        <f t="shared" si="16"/>
        <v>0</v>
      </c>
      <c r="O31" s="88">
        <f t="shared" si="17"/>
        <v>0</v>
      </c>
      <c r="P31" s="88">
        <f t="shared" si="18"/>
        <v>0</v>
      </c>
      <c r="Q31" s="88">
        <f t="shared" si="19"/>
        <v>0</v>
      </c>
      <c r="R31" s="125">
        <f t="shared" si="20"/>
        <v>0</v>
      </c>
    </row>
    <row r="32" spans="1:18" ht="15" customHeight="1" x14ac:dyDescent="0.25">
      <c r="A32" s="14" t="str">
        <f>'Matriz de Produccion'!A32</f>
        <v>0B08</v>
      </c>
      <c r="B32" s="6" t="str">
        <f>VLOOKUP(A32,'Analisis por Categorias'!B:C,2,FALSE)</f>
        <v xml:space="preserve">Ductos </v>
      </c>
      <c r="D32" s="5">
        <f>SUMIF(CATEGORIAS[[#All],[SUBGRUPO]],A32,CATEGORIAS[[#All],[PRESUPUESTO
(ORIGINAL)]])</f>
        <v>0</v>
      </c>
      <c r="E32" s="5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0</v>
      </c>
      <c r="G32" s="10">
        <f>+SUMIF(CATEGORIAS[[#All],[SUBGRUPO]],A32,CATEGORIAS[[#All],[COSTO
ACUMULADO  AX]])
+SUMIF(CATEGORIAS[[#All],[SUBGRUPO]],A32,CATEGORIAS[[#All],[CAMBIO DE
CATEGORIA]])</f>
        <v>0</v>
      </c>
      <c r="H32" s="10">
        <f>+SUMIF(CATEGORIAS[[#All],[SUBGRUPO]],A32,CATEGORIAS[[#All],[PROVISIONES]])</f>
        <v>0</v>
      </c>
      <c r="I32" s="10">
        <f t="shared" si="15"/>
        <v>0</v>
      </c>
      <c r="K32" s="10">
        <f>+SUMIF(CATEGORIAS[[#All],[SUBGRUPO]],A32,CATEGORIAS[[#All],[COSTO ACUMULADO
ANTERIOR]])
+SUMIF(CATEGORIAS[[#All],[SUBGRUPO]],A32,CATEGORIAS[[#All],[CAMBIO DE
CATEGORIA
ANTERIOR]])</f>
        <v>0</v>
      </c>
      <c r="L32" s="10">
        <f>+SUMIF(CATEGORIAS[[#All],[SUBGRUPO]],A32,CATEGORIAS[[#All],[PROVISIONES
ANTERIOR]])</f>
        <v>0</v>
      </c>
      <c r="M32" s="88">
        <f t="shared" si="16"/>
        <v>0</v>
      </c>
      <c r="O32" s="88">
        <f t="shared" si="17"/>
        <v>0</v>
      </c>
      <c r="P32" s="88">
        <f t="shared" si="18"/>
        <v>0</v>
      </c>
      <c r="Q32" s="88">
        <f t="shared" si="19"/>
        <v>0</v>
      </c>
      <c r="R32" s="125">
        <f t="shared" si="20"/>
        <v>0</v>
      </c>
    </row>
    <row r="33" spans="1:21" ht="15" customHeight="1" x14ac:dyDescent="0.25">
      <c r="A33" s="14" t="str">
        <f>'Matriz de Produccion'!A33</f>
        <v>0B09</v>
      </c>
      <c r="B33" s="6" t="str">
        <f>VLOOKUP(A33,'Analisis por Categorias'!B:C,2,FALSE)</f>
        <v xml:space="preserve">Estanque </v>
      </c>
      <c r="D33" s="5">
        <f>SUMIF(CATEGORIAS[[#All],[SUBGRUPO]],A33,CATEGORIAS[[#All],[PRESUPUESTO
(ORIGINAL)]])</f>
        <v>0</v>
      </c>
      <c r="E33" s="5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0</v>
      </c>
      <c r="G33" s="10">
        <f>+SUMIF(CATEGORIAS[[#All],[SUBGRUPO]],A33,CATEGORIAS[[#All],[COSTO
ACUMULADO  AX]])
+SUMIF(CATEGORIAS[[#All],[SUBGRUPO]],A33,CATEGORIAS[[#All],[CAMBIO DE
CATEGORIA]])</f>
        <v>0</v>
      </c>
      <c r="H33" s="10">
        <f>+SUMIF(CATEGORIAS[[#All],[SUBGRUPO]],A33,CATEGORIAS[[#All],[PROVISIONES]])</f>
        <v>0</v>
      </c>
      <c r="I33" s="10">
        <f t="shared" si="15"/>
        <v>0</v>
      </c>
      <c r="K33" s="10">
        <f>+SUMIF(CATEGORIAS[[#All],[SUBGRUPO]],A33,CATEGORIAS[[#All],[COSTO ACUMULADO
ANTERIOR]])
+SUMIF(CATEGORIAS[[#All],[SUBGRUPO]],A33,CATEGORIAS[[#All],[CAMBIO DE
CATEGORIA
ANTERIOR]])</f>
        <v>0</v>
      </c>
      <c r="L33" s="10">
        <f>+SUMIF(CATEGORIAS[[#All],[SUBGRUPO]],A33,CATEGORIAS[[#All],[PROVISIONES
ANTERIOR]])</f>
        <v>0</v>
      </c>
      <c r="M33" s="88">
        <f t="shared" si="16"/>
        <v>0</v>
      </c>
      <c r="O33" s="88">
        <f t="shared" si="17"/>
        <v>0</v>
      </c>
      <c r="P33" s="88">
        <f t="shared" si="18"/>
        <v>0</v>
      </c>
      <c r="Q33" s="88">
        <f t="shared" si="19"/>
        <v>0</v>
      </c>
      <c r="R33" s="125">
        <f t="shared" si="20"/>
        <v>0</v>
      </c>
    </row>
    <row r="34" spans="1:21" ht="15" customHeight="1" x14ac:dyDescent="0.25">
      <c r="A34" s="14" t="str">
        <f>'Matriz de Produccion'!A34</f>
        <v>0B10</v>
      </c>
      <c r="B34" s="6" t="str">
        <f>VLOOKUP(A34,'Analisis por Categorias'!B:C,2,FALSE)</f>
        <v>Arquitectura</v>
      </c>
      <c r="D34" s="5">
        <f>SUMIF(CATEGORIAS[[#All],[SUBGRUPO]],A34,CATEGORIAS[[#All],[PRESUPUESTO
(ORIGINAL)]])</f>
        <v>0</v>
      </c>
      <c r="E34" s="5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0</v>
      </c>
      <c r="G34" s="10">
        <f>+SUMIF(CATEGORIAS[[#All],[SUBGRUPO]],A34,CATEGORIAS[[#All],[COSTO
ACUMULADO  AX]])
+SUMIF(CATEGORIAS[[#All],[SUBGRUPO]],A34,CATEGORIAS[[#All],[CAMBIO DE
CATEGORIA]])</f>
        <v>0</v>
      </c>
      <c r="H34" s="10">
        <f>+SUMIF(CATEGORIAS[[#All],[SUBGRUPO]],A34,CATEGORIAS[[#All],[PROVISIONES]])</f>
        <v>0</v>
      </c>
      <c r="I34" s="10">
        <f t="shared" si="15"/>
        <v>0</v>
      </c>
      <c r="K34" s="10">
        <f>+SUMIF(CATEGORIAS[[#All],[SUBGRUPO]],A34,CATEGORIAS[[#All],[COSTO ACUMULADO
ANTERIOR]])
+SUMIF(CATEGORIAS[[#All],[SUBGRUPO]],A34,CATEGORIAS[[#All],[CAMBIO DE
CATEGORIA
ANTERIOR]])</f>
        <v>0</v>
      </c>
      <c r="L34" s="10">
        <f>+SUMIF(CATEGORIAS[[#All],[SUBGRUPO]],A34,CATEGORIAS[[#All],[PROVISIONES
ANTERIOR]])</f>
        <v>0</v>
      </c>
      <c r="M34" s="88">
        <f t="shared" si="16"/>
        <v>0</v>
      </c>
      <c r="O34" s="88">
        <f t="shared" si="17"/>
        <v>0</v>
      </c>
      <c r="P34" s="88">
        <f t="shared" si="18"/>
        <v>0</v>
      </c>
      <c r="Q34" s="88">
        <f t="shared" si="19"/>
        <v>0</v>
      </c>
      <c r="R34" s="125">
        <f t="shared" si="20"/>
        <v>0</v>
      </c>
    </row>
    <row r="35" spans="1:21" ht="15" customHeight="1" x14ac:dyDescent="0.25">
      <c r="A35" s="14" t="str">
        <f>'Matriz de Produccion'!A35</f>
        <v>0B11</v>
      </c>
      <c r="B35" s="6" t="str">
        <f>VLOOKUP(A35,'Analisis por Categorias'!B:C,2,FALSE)</f>
        <v>Importaciones</v>
      </c>
      <c r="D35" s="5">
        <f>SUMIF(CATEGORIAS[[#All],[SUBGRUPO]],A35,CATEGORIAS[[#All],[PRESUPUESTO
(ORIGINAL)]])</f>
        <v>0</v>
      </c>
      <c r="E35" s="5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0</v>
      </c>
      <c r="G35" s="10">
        <f>+SUMIF(CATEGORIAS[[#All],[SUBGRUPO]],A35,CATEGORIAS[[#All],[COSTO
ACUMULADO  AX]])
+SUMIF(CATEGORIAS[[#All],[SUBGRUPO]],A35,CATEGORIAS[[#All],[CAMBIO DE
CATEGORIA]])</f>
        <v>0</v>
      </c>
      <c r="H35" s="10">
        <f>+SUMIF(CATEGORIAS[[#All],[SUBGRUPO]],A35,CATEGORIAS[[#All],[PROVISIONES]])</f>
        <v>0</v>
      </c>
      <c r="I35" s="10">
        <f t="shared" si="15"/>
        <v>0</v>
      </c>
      <c r="K35" s="10">
        <f>+SUMIF(CATEGORIAS[[#All],[SUBGRUPO]],A35,CATEGORIAS[[#All],[COSTO ACUMULADO
ANTERIOR]])
+SUMIF(CATEGORIAS[[#All],[SUBGRUPO]],A35,CATEGORIAS[[#All],[CAMBIO DE
CATEGORIA
ANTERIOR]])</f>
        <v>0</v>
      </c>
      <c r="L35" s="10">
        <f>+SUMIF(CATEGORIAS[[#All],[SUBGRUPO]],A35,CATEGORIAS[[#All],[PROVISIONES
ANTERIOR]])</f>
        <v>0</v>
      </c>
      <c r="M35" s="88">
        <f t="shared" si="16"/>
        <v>0</v>
      </c>
      <c r="O35" s="88">
        <f t="shared" si="17"/>
        <v>0</v>
      </c>
      <c r="P35" s="88">
        <f t="shared" si="18"/>
        <v>0</v>
      </c>
      <c r="Q35" s="88">
        <f t="shared" si="19"/>
        <v>0</v>
      </c>
      <c r="R35" s="125">
        <f t="shared" si="20"/>
        <v>0</v>
      </c>
    </row>
    <row r="36" spans="1:21" ht="8.25" customHeight="1" x14ac:dyDescent="0.25">
      <c r="R36" s="125">
        <f t="shared" si="20"/>
        <v>0</v>
      </c>
      <c r="U36" s="42"/>
    </row>
    <row r="37" spans="1:21" ht="15" customHeight="1" x14ac:dyDescent="0.25">
      <c r="A37" s="14" t="str">
        <f>'Matriz de Produccion'!A38</f>
        <v>0C00</v>
      </c>
      <c r="B37" s="81" t="str">
        <f>'Matriz de Produccion'!B38:B38</f>
        <v>C - COSTO PROPORCIONAL HH</v>
      </c>
      <c r="D37" s="82">
        <f>SUM(D38:D44)</f>
        <v>274813305.51671207</v>
      </c>
      <c r="E37" s="82">
        <f>SUM(E38:E44)</f>
        <v>299306035.81877053</v>
      </c>
      <c r="G37" s="84">
        <f>SUM(G38:G44)</f>
        <v>79655784.199999988</v>
      </c>
      <c r="H37" s="84">
        <f>SUM(H38:H44)</f>
        <v>11939040</v>
      </c>
      <c r="I37" s="84">
        <f>SUM(I38:I44)</f>
        <v>91594824.199999988</v>
      </c>
      <c r="K37" s="84">
        <f>SUM(K38:K44)</f>
        <v>57320625.799999997</v>
      </c>
      <c r="L37" s="84">
        <f>SUM(L38:L44)</f>
        <v>11387460</v>
      </c>
      <c r="M37" s="84">
        <f>SUM(M38:M44)</f>
        <v>68708085.799999997</v>
      </c>
      <c r="O37" s="84">
        <f>SUM(O38:O44)</f>
        <v>22335158.399999999</v>
      </c>
      <c r="P37" s="84">
        <f>SUM(P38:P44)</f>
        <v>551580</v>
      </c>
      <c r="Q37" s="84">
        <f>SUM(Q38:Q44)</f>
        <v>22886738.399999999</v>
      </c>
      <c r="R37" s="125">
        <f t="shared" si="20"/>
        <v>940498638.13548255</v>
      </c>
    </row>
    <row r="38" spans="1:21" ht="15" customHeight="1" x14ac:dyDescent="0.25">
      <c r="A38" s="14" t="str">
        <f>'Matriz de Produccion'!A39</f>
        <v>0C01</v>
      </c>
      <c r="B38" s="6" t="str">
        <f>VLOOKUP(A38,'Analisis por Categorias'!B:C,2,FALSE)</f>
        <v xml:space="preserve">Seguridad </v>
      </c>
      <c r="D38" s="5">
        <f>SUMIF(CATEGORIAS[[#All],[SUBGRUPO]],A38,CATEGORIAS[[#All],[PRESUPUESTO
(ORIGINAL)]])</f>
        <v>59671798.125000007</v>
      </c>
      <c r="E38" s="5">
        <f>+SUMIF(CATEGORIAS[[#All],[SUBGRUPO]],A38,CATEGORIAS[[#All],[PRODUCCION
PARTIDAS
ORIGINALES
ACTUAL]])
+SUMIF(CATEGORIAS[[#All],[SUBGRUPO]],A38,CATEGORIAS[[#All],[PRODUCCION
ADICIONALES
ACTUAL]])
+SUMIF(CATEGORIAS[[#All],[SUBGRUPO]],A38,CATEGORIAS[[#All],[PROYECCION
DE INGRESO
DEL SALDO]])</f>
        <v>63624321.484849826</v>
      </c>
      <c r="G38" s="10">
        <f>+SUMIF(CATEGORIAS[[#All],[SUBGRUPO]],A38,CATEGORIAS[[#All],[COSTO
ACUMULADO  AX]])
+SUMIF(CATEGORIAS[[#All],[SUBGRUPO]],A38,CATEGORIAS[[#All],[CAMBIO DE
CATEGORIA]])</f>
        <v>35331776</v>
      </c>
      <c r="H38" s="10">
        <f>+SUMIF(CATEGORIAS[[#All],[SUBGRUPO]],A38,CATEGORIAS[[#All],[PROVISIONES]])</f>
        <v>0</v>
      </c>
      <c r="I38" s="10">
        <f t="shared" ref="I38:I44" si="21">G38+H38</f>
        <v>35331776</v>
      </c>
      <c r="K38" s="10">
        <f>+SUMIF(CATEGORIAS[[#All],[SUBGRUPO]],A38,CATEGORIAS[[#All],[COSTO ACUMULADO
ANTERIOR]])
+SUMIF(CATEGORIAS[[#All],[SUBGRUPO]],A38,CATEGORIAS[[#All],[CAMBIO DE
CATEGORIA
ANTERIOR]])</f>
        <v>26244899</v>
      </c>
      <c r="L38" s="10">
        <f>+SUMIF(CATEGORIAS[[#All],[SUBGRUPO]],A38,CATEGORIAS[[#All],[PROVISIONES
ANTERIOR]])</f>
        <v>0</v>
      </c>
      <c r="M38" s="10">
        <f t="shared" ref="M38:M44" si="22">K38+L38</f>
        <v>26244899</v>
      </c>
      <c r="O38" s="10">
        <f t="shared" ref="O38:Q44" si="23">G38-K38</f>
        <v>9086877</v>
      </c>
      <c r="P38" s="10">
        <f t="shared" si="23"/>
        <v>0</v>
      </c>
      <c r="Q38" s="10">
        <f t="shared" si="23"/>
        <v>9086877</v>
      </c>
      <c r="R38" s="125">
        <f t="shared" si="20"/>
        <v>264623223.60984984</v>
      </c>
    </row>
    <row r="39" spans="1:21" ht="15" customHeight="1" x14ac:dyDescent="0.25">
      <c r="A39" s="14" t="str">
        <f>'Matriz de Produccion'!A40</f>
        <v>0C02</v>
      </c>
      <c r="B39" s="6" t="str">
        <f>VLOOKUP(A39,'Analisis por Categorias'!B:C,2,FALSE)</f>
        <v xml:space="preserve">Materiales de Consumo </v>
      </c>
      <c r="D39" s="5">
        <f>SUMIF(CATEGORIAS[[#All],[SUBGRUPO]],A39,CATEGORIAS[[#All],[PRESUPUESTO
(ORIGINAL)]])</f>
        <v>14063139.450000001</v>
      </c>
      <c r="E39" s="5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14517452.479867797</v>
      </c>
      <c r="G39" s="10">
        <f>+SUMIF(CATEGORIAS[[#All],[SUBGRUPO]],A39,CATEGORIAS[[#All],[COSTO
ACUMULADO  AX]])
+SUMIF(CATEGORIAS[[#All],[SUBGRUPO]],A39,CATEGORIAS[[#All],[CAMBIO DE
CATEGORIA]])</f>
        <v>14022512</v>
      </c>
      <c r="H39" s="10">
        <f>+SUMIF(CATEGORIAS[[#All],[SUBGRUPO]],A39,CATEGORIAS[[#All],[PROVISIONES]])</f>
        <v>0</v>
      </c>
      <c r="I39" s="10">
        <f t="shared" si="21"/>
        <v>14022512</v>
      </c>
      <c r="K39" s="10">
        <f>+SUMIF(CATEGORIAS[[#All],[SUBGRUPO]],A39,CATEGORIAS[[#All],[COSTO ACUMULADO
ANTERIOR]])
+SUMIF(CATEGORIAS[[#All],[SUBGRUPO]],A39,CATEGORIAS[[#All],[CAMBIO DE
CATEGORIA
ANTERIOR]])</f>
        <v>8388670</v>
      </c>
      <c r="L39" s="10">
        <f>+SUMIF(CATEGORIAS[[#All],[SUBGRUPO]],A39,CATEGORIAS[[#All],[PROVISIONES
ANTERIOR]])</f>
        <v>0</v>
      </c>
      <c r="M39" s="88">
        <f t="shared" si="22"/>
        <v>8388670</v>
      </c>
      <c r="O39" s="88">
        <f t="shared" si="23"/>
        <v>5633842</v>
      </c>
      <c r="P39" s="88">
        <f t="shared" si="23"/>
        <v>0</v>
      </c>
      <c r="Q39" s="88">
        <f t="shared" si="23"/>
        <v>5633842</v>
      </c>
      <c r="R39" s="125">
        <f t="shared" si="20"/>
        <v>84670639.929867804</v>
      </c>
    </row>
    <row r="40" spans="1:21" ht="15" customHeight="1" x14ac:dyDescent="0.25">
      <c r="A40" s="14" t="str">
        <f>'Matriz de Produccion'!A41</f>
        <v>0C03</v>
      </c>
      <c r="B40" s="6" t="str">
        <f>VLOOKUP(A40,'Analisis por Categorias'!B:C,2,FALSE)</f>
        <v>Herramientas Menores</v>
      </c>
      <c r="D40" s="5">
        <f>SUMIF(CATEGORIAS[[#All],[SUBGRUPO]],A40,CATEGORIAS[[#All],[PRESUPUESTO
(ORIGINAL)]])</f>
        <v>11480361.030000003</v>
      </c>
      <c r="E40" s="5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11934674.059867799</v>
      </c>
      <c r="G40" s="10">
        <f>+SUMIF(CATEGORIAS[[#All],[SUBGRUPO]],A40,CATEGORIAS[[#All],[COSTO
ACUMULADO  AX]])
+SUMIF(CATEGORIAS[[#All],[SUBGRUPO]],A40,CATEGORIAS[[#All],[CAMBIO DE
CATEGORIA]])</f>
        <v>347266</v>
      </c>
      <c r="H40" s="10">
        <f>+SUMIF(CATEGORIAS[[#All],[SUBGRUPO]],A40,CATEGORIAS[[#All],[PROVISIONES]])</f>
        <v>0</v>
      </c>
      <c r="I40" s="10">
        <f t="shared" si="21"/>
        <v>347266</v>
      </c>
      <c r="K40" s="10">
        <f>+SUMIF(CATEGORIAS[[#All],[SUBGRUPO]],A40,CATEGORIAS[[#All],[COSTO ACUMULADO
ANTERIOR]])
+SUMIF(CATEGORIAS[[#All],[SUBGRUPO]],A40,CATEGORIAS[[#All],[CAMBIO DE
CATEGORIA
ANTERIOR]])</f>
        <v>254071</v>
      </c>
      <c r="L40" s="10">
        <f>+SUMIF(CATEGORIAS[[#All],[SUBGRUPO]],A40,CATEGORIAS[[#All],[PROVISIONES
ANTERIOR]])</f>
        <v>0</v>
      </c>
      <c r="M40" s="10">
        <f t="shared" si="22"/>
        <v>254071</v>
      </c>
      <c r="O40" s="10">
        <f t="shared" si="23"/>
        <v>93195</v>
      </c>
      <c r="P40" s="10">
        <f t="shared" si="23"/>
        <v>0</v>
      </c>
      <c r="Q40" s="10">
        <f t="shared" si="23"/>
        <v>93195</v>
      </c>
      <c r="R40" s="125">
        <f t="shared" si="20"/>
        <v>24804099.0898678</v>
      </c>
    </row>
    <row r="41" spans="1:21" ht="15" customHeight="1" x14ac:dyDescent="0.25">
      <c r="A41" s="14" t="str">
        <f>'Matriz de Produccion'!A42</f>
        <v>0C04</v>
      </c>
      <c r="B41" s="6" t="str">
        <f>VLOOKUP(A41,'Analisis por Categorias'!B:C,2,FALSE)</f>
        <v xml:space="preserve">Movilización </v>
      </c>
      <c r="D41" s="5">
        <f>SUMIF(CATEGORIAS[[#All],[SUBGRUPO]],A41,CATEGORIAS[[#All],[PRESUPUESTO
(ORIGINAL)]])</f>
        <v>91680058.290985167</v>
      </c>
      <c r="E41" s="5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97246526.248148844</v>
      </c>
      <c r="G41" s="10">
        <f>+SUMIF(CATEGORIAS[[#All],[SUBGRUPO]],A41,CATEGORIAS[[#All],[COSTO
ACUMULADO  AX]])
+SUMIF(CATEGORIAS[[#All],[SUBGRUPO]],A41,CATEGORIAS[[#All],[CAMBIO DE
CATEGORIA]])</f>
        <v>8647363.8000000007</v>
      </c>
      <c r="H41" s="10">
        <f>+SUMIF(CATEGORIAS[[#All],[SUBGRUPO]],A41,CATEGORIAS[[#All],[PROVISIONES]])</f>
        <v>5946000</v>
      </c>
      <c r="I41" s="10">
        <f t="shared" si="21"/>
        <v>14593363.800000001</v>
      </c>
      <c r="K41" s="10">
        <f>+SUMIF(CATEGORIAS[[#All],[SUBGRUPO]],A41,CATEGORIAS[[#All],[COSTO ACUMULADO
ANTERIOR]])
+SUMIF(CATEGORIAS[[#All],[SUBGRUPO]],A41,CATEGORIAS[[#All],[CAMBIO DE
CATEGORIA
ANTERIOR]])</f>
        <v>8647363.8000000007</v>
      </c>
      <c r="L41" s="10">
        <f>+SUMIF(CATEGORIAS[[#All],[SUBGRUPO]],A41,CATEGORIAS[[#All],[PROVISIONES
ANTERIOR]])</f>
        <v>5946000</v>
      </c>
      <c r="M41" s="10">
        <f t="shared" si="22"/>
        <v>14593363.800000001</v>
      </c>
      <c r="O41" s="10">
        <f t="shared" si="23"/>
        <v>0</v>
      </c>
      <c r="P41" s="10">
        <f t="shared" si="23"/>
        <v>0</v>
      </c>
      <c r="Q41" s="10">
        <f t="shared" si="23"/>
        <v>0</v>
      </c>
      <c r="R41" s="125">
        <f t="shared" si="20"/>
        <v>247300039.73913407</v>
      </c>
    </row>
    <row r="42" spans="1:21" ht="15" customHeight="1" x14ac:dyDescent="0.25">
      <c r="A42" s="14" t="str">
        <f>'Matriz de Produccion'!A43</f>
        <v>0C05</v>
      </c>
      <c r="B42" s="6" t="str">
        <f>VLOOKUP(A42,'Analisis por Categorias'!B:C,2,FALSE)</f>
        <v>Alimentación</v>
      </c>
      <c r="D42" s="5">
        <f>SUMIF(CATEGORIAS[[#All],[SUBGRUPO]],A42,CATEGORIAS[[#All],[PRESUPUESTO
(ORIGINAL)]])</f>
        <v>97917948.620726913</v>
      </c>
      <c r="E42" s="5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111983061.54603626</v>
      </c>
      <c r="G42" s="10">
        <f>+SUMIF(CATEGORIAS[[#All],[SUBGRUPO]],A42,CATEGORIAS[[#All],[COSTO
ACUMULADO  AX]])
+SUMIF(CATEGORIAS[[#All],[SUBGRUPO]],A42,CATEGORIAS[[#All],[CAMBIO DE
CATEGORIA]])</f>
        <v>21306866.399999999</v>
      </c>
      <c r="H42" s="10">
        <f>+SUMIF(CATEGORIAS[[#All],[SUBGRUPO]],A42,CATEGORIAS[[#All],[PROVISIONES]])</f>
        <v>5993040</v>
      </c>
      <c r="I42" s="10">
        <f t="shared" si="21"/>
        <v>27299906.399999999</v>
      </c>
      <c r="K42" s="10">
        <f>+SUMIF(CATEGORIAS[[#All],[SUBGRUPO]],A42,CATEGORIAS[[#All],[COSTO ACUMULADO
ANTERIOR]])
+SUMIF(CATEGORIAS[[#All],[SUBGRUPO]],A42,CATEGORIAS[[#All],[CAMBIO DE
CATEGORIA
ANTERIOR]])</f>
        <v>13785622</v>
      </c>
      <c r="L42" s="10">
        <f>+SUMIF(CATEGORIAS[[#All],[SUBGRUPO]],A42,CATEGORIAS[[#All],[PROVISIONES
ANTERIOR]])</f>
        <v>5441460</v>
      </c>
      <c r="M42" s="10">
        <f t="shared" si="22"/>
        <v>19227082</v>
      </c>
      <c r="O42" s="10">
        <f t="shared" si="23"/>
        <v>7521244.3999999985</v>
      </c>
      <c r="P42" s="10">
        <f t="shared" si="23"/>
        <v>551580</v>
      </c>
      <c r="Q42" s="10">
        <f t="shared" si="23"/>
        <v>8072824.3999999985</v>
      </c>
      <c r="R42" s="125">
        <f t="shared" si="20"/>
        <v>319100635.76676315</v>
      </c>
    </row>
    <row r="43" spans="1:21" ht="15" customHeight="1" x14ac:dyDescent="0.25">
      <c r="A43" s="14" t="str">
        <f>'Matriz de Produccion'!A44</f>
        <v>0C06</v>
      </c>
      <c r="B43" s="6" t="str">
        <f>VLOOKUP(A43,'Analisis por Categorias'!B:C,2,FALSE)</f>
        <v>Hotelería</v>
      </c>
      <c r="D43" s="5">
        <f>SUMIF(CATEGORIAS[[#All],[SUBGRUPO]],A43,CATEGORIAS[[#All],[PRESUPUESTO
(ORIGINAL)]])</f>
        <v>0</v>
      </c>
      <c r="E43" s="5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0</v>
      </c>
      <c r="G43" s="10">
        <f>+SUMIF(CATEGORIAS[[#All],[SUBGRUPO]],A43,CATEGORIAS[[#All],[COSTO
ACUMULADO  AX]])
+SUMIF(CATEGORIAS[[#All],[SUBGRUPO]],A43,CATEGORIAS[[#All],[CAMBIO DE
CATEGORIA]])</f>
        <v>0</v>
      </c>
      <c r="H43" s="10">
        <f>+SUMIF(CATEGORIAS[[#All],[SUBGRUPO]],A43,CATEGORIAS[[#All],[PROVISIONES]])</f>
        <v>0</v>
      </c>
      <c r="I43" s="10">
        <f t="shared" si="21"/>
        <v>0</v>
      </c>
      <c r="K43" s="10">
        <f>+SUMIF(CATEGORIAS[[#All],[SUBGRUPO]],A43,CATEGORIAS[[#All],[COSTO ACUMULADO
ANTERIOR]])
+SUMIF(CATEGORIAS[[#All],[SUBGRUPO]],A43,CATEGORIAS[[#All],[CAMBIO DE
CATEGORIA
ANTERIOR]])</f>
        <v>0</v>
      </c>
      <c r="L43" s="10">
        <f>+SUMIF(CATEGORIAS[[#All],[SUBGRUPO]],A43,CATEGORIAS[[#All],[PROVISIONES
ANTERIOR]])</f>
        <v>0</v>
      </c>
      <c r="M43" s="10">
        <f t="shared" si="22"/>
        <v>0</v>
      </c>
      <c r="O43" s="10">
        <f t="shared" si="23"/>
        <v>0</v>
      </c>
      <c r="P43" s="10">
        <f t="shared" si="23"/>
        <v>0</v>
      </c>
      <c r="Q43" s="10">
        <f t="shared" si="23"/>
        <v>0</v>
      </c>
      <c r="R43" s="125">
        <f t="shared" si="20"/>
        <v>0</v>
      </c>
    </row>
    <row r="44" spans="1:21" ht="15" customHeight="1" x14ac:dyDescent="0.25">
      <c r="A44" s="14" t="str">
        <f>'Matriz de Produccion'!A45</f>
        <v>0C07</v>
      </c>
      <c r="B44" s="6" t="str">
        <f>VLOOKUP(A44,'Analisis por Categorias'!B:C,2,FALSE)</f>
        <v xml:space="preserve">Movilización Interna </v>
      </c>
      <c r="D44" s="5">
        <f>SUMIF(CATEGORIAS[[#All],[SUBGRUPO]],A44,CATEGORIAS[[#All],[PRESUPUESTO
(ORIGINAL)]])</f>
        <v>0</v>
      </c>
      <c r="E44" s="5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0</v>
      </c>
      <c r="G44" s="10">
        <f>+SUMIF(CATEGORIAS[[#All],[SUBGRUPO]],A44,CATEGORIAS[[#All],[COSTO
ACUMULADO  AX]])
+SUMIF(CATEGORIAS[[#All],[SUBGRUPO]],A44,CATEGORIAS[[#All],[CAMBIO DE
CATEGORIA]])</f>
        <v>0</v>
      </c>
      <c r="H44" s="10">
        <f>+SUMIF(CATEGORIAS[[#All],[SUBGRUPO]],A44,CATEGORIAS[[#All],[PROVISIONES]])</f>
        <v>0</v>
      </c>
      <c r="I44" s="10">
        <f t="shared" si="21"/>
        <v>0</v>
      </c>
      <c r="K44" s="10">
        <f>+SUMIF(CATEGORIAS[[#All],[SUBGRUPO]],A44,CATEGORIAS[[#All],[COSTO ACUMULADO
ANTERIOR]])
+SUMIF(CATEGORIAS[[#All],[SUBGRUPO]],A44,CATEGORIAS[[#All],[CAMBIO DE
CATEGORIA
ANTERIOR]])</f>
        <v>0</v>
      </c>
      <c r="L44" s="10">
        <f>+SUMIF(CATEGORIAS[[#All],[SUBGRUPO]],A44,CATEGORIAS[[#All],[PROVISIONES
ANTERIOR]])</f>
        <v>0</v>
      </c>
      <c r="M44" s="88">
        <f t="shared" si="22"/>
        <v>0</v>
      </c>
      <c r="O44" s="88">
        <f t="shared" si="23"/>
        <v>0</v>
      </c>
      <c r="P44" s="88">
        <f t="shared" si="23"/>
        <v>0</v>
      </c>
      <c r="Q44" s="88">
        <f t="shared" si="23"/>
        <v>0</v>
      </c>
      <c r="R44" s="125">
        <f t="shared" si="20"/>
        <v>0</v>
      </c>
    </row>
    <row r="45" spans="1:21" ht="8.25" customHeight="1" x14ac:dyDescent="0.25">
      <c r="R45" s="125">
        <f t="shared" si="20"/>
        <v>0</v>
      </c>
    </row>
    <row r="46" spans="1:21" ht="15" customHeight="1" x14ac:dyDescent="0.25">
      <c r="A46" s="14" t="str">
        <f>'Matriz de Produccion'!A47</f>
        <v>0D00</v>
      </c>
      <c r="B46" s="81" t="str">
        <f>'Matriz de Produccion'!B47:B47</f>
        <v>D - EQUIPOS Y COMBUSTIBLES</v>
      </c>
      <c r="D46" s="82">
        <f>SUM(D47:D56)</f>
        <v>740872631.09810007</v>
      </c>
      <c r="E46" s="82">
        <f>SUM(E47:E56)</f>
        <v>794729067.02900994</v>
      </c>
      <c r="G46" s="84">
        <f>SUM(G47:G56)</f>
        <v>197920453</v>
      </c>
      <c r="H46" s="84">
        <f t="shared" ref="H46:I46" si="24">SUM(H47:H56)</f>
        <v>69545592.178542182</v>
      </c>
      <c r="I46" s="84">
        <f t="shared" si="24"/>
        <v>267466045.17854217</v>
      </c>
      <c r="K46" s="84">
        <f>SUM(K47:K56)</f>
        <v>133373694</v>
      </c>
      <c r="L46" s="84">
        <f t="shared" ref="L46" si="25">SUM(L47:L56)</f>
        <v>68710142.764127776</v>
      </c>
      <c r="M46" s="84">
        <f t="shared" ref="M46" si="26">SUM(M47:M56)</f>
        <v>202083836.76412776</v>
      </c>
      <c r="O46" s="84">
        <f>SUM(O47:O56)</f>
        <v>64546759</v>
      </c>
      <c r="P46" s="84">
        <f t="shared" ref="P46" si="27">SUM(P47:P56)</f>
        <v>835449.41441441467</v>
      </c>
      <c r="Q46" s="84">
        <f t="shared" ref="Q46" si="28">SUM(Q47:Q56)</f>
        <v>65382208.414414413</v>
      </c>
      <c r="R46" s="125">
        <f t="shared" si="20"/>
        <v>2605465878.8412786</v>
      </c>
    </row>
    <row r="47" spans="1:21" ht="15" customHeight="1" x14ac:dyDescent="0.25">
      <c r="A47" s="14" t="str">
        <f>'Matriz de Produccion'!A48</f>
        <v>0D01</v>
      </c>
      <c r="B47" s="6" t="str">
        <f>VLOOKUP(A47,'Analisis por Categorias'!B:C,2,FALSE)</f>
        <v>Equipos Mayores</v>
      </c>
      <c r="D47" s="5">
        <f>SUMIF(CATEGORIAS[[#All],[SUBGRUPO]],A47,CATEGORIAS[[#All],[PRESUPUESTO
(ORIGINAL)]])</f>
        <v>358822229.46900004</v>
      </c>
      <c r="E47" s="5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372617571.34932005</v>
      </c>
      <c r="G47" s="10">
        <f>+SUMIF(CATEGORIAS[[#All],[SUBGRUPO]],A47,CATEGORIAS[[#All],[COSTO
ACUMULADO  AX]])
+SUMIF(CATEGORIAS[[#All],[SUBGRUPO]],A47,CATEGORIAS[[#All],[CAMBIO DE
CATEGORIA]])</f>
        <v>86431310</v>
      </c>
      <c r="H47" s="10">
        <f>+SUMIF(CATEGORIAS[[#All],[SUBGRUPO]],A47,CATEGORIAS[[#All],[PROVISIONES]])</f>
        <v>43112197</v>
      </c>
      <c r="I47" s="10">
        <f t="shared" ref="I47:I56" si="29">G47+H47</f>
        <v>129543507</v>
      </c>
      <c r="K47" s="10">
        <f>+SUMIF(CATEGORIAS[[#All],[SUBGRUPO]],A47,CATEGORIAS[[#All],[COSTO ACUMULADO
ANTERIOR]])
+SUMIF(CATEGORIAS[[#All],[SUBGRUPO]],A47,CATEGORIAS[[#All],[CAMBIO DE
CATEGORIA
ANTERIOR]])</f>
        <v>58337809</v>
      </c>
      <c r="L47" s="10">
        <f>+SUMIF(CATEGORIAS[[#All],[SUBGRUPO]],A47,CATEGORIAS[[#All],[PROVISIONES
ANTERIOR]])</f>
        <v>40690662</v>
      </c>
      <c r="M47" s="10">
        <f t="shared" ref="M47:M56" si="30">K47+L47</f>
        <v>99028471</v>
      </c>
      <c r="O47" s="10">
        <f t="shared" ref="O47:O56" si="31">G47-K47</f>
        <v>28093501</v>
      </c>
      <c r="P47" s="10">
        <f t="shared" ref="P47:P56" si="32">H47-L47</f>
        <v>2421535</v>
      </c>
      <c r="Q47" s="10">
        <f t="shared" ref="Q47:Q56" si="33">I47-M47</f>
        <v>30515036</v>
      </c>
      <c r="R47" s="125">
        <f t="shared" si="20"/>
        <v>1249613828.81832</v>
      </c>
    </row>
    <row r="48" spans="1:21" ht="15" customHeight="1" x14ac:dyDescent="0.25">
      <c r="A48" s="14" t="str">
        <f>'Matriz de Produccion'!A49</f>
        <v>0D02</v>
      </c>
      <c r="B48" s="6" t="str">
        <f>VLOOKUP(A48,'Analisis por Categorias'!B:C,2,FALSE)</f>
        <v>Generador</v>
      </c>
      <c r="D48" s="5">
        <f>SUMIF(CATEGORIAS[[#All],[SUBGRUPO]],A48,CATEGORIAS[[#All],[PRESUPUESTO
(ORIGINAL)]])</f>
        <v>0</v>
      </c>
      <c r="E48" s="5">
        <f>+SUMIF(CATEGORIAS[[#All],[SUBGRUPO]],A48,CATEGORIAS[[#All],[PRODUCCION
PARTIDAS
ORIGINALES
ACTUAL]])
+SUMIF(CATEGORIAS[[#All],[SUBGRUPO]],A48,CATEGORIAS[[#All],[PRODUCCION
ADICIONALES
ACTUAL]])
+SUMIF(CATEGORIAS[[#All],[SUBGRUPO]],A48,CATEGORIAS[[#All],[PROYECCION
DE INGRESO
DEL SALDO]])</f>
        <v>0</v>
      </c>
      <c r="G48" s="10">
        <f>+SUMIF(CATEGORIAS[[#All],[SUBGRUPO]],A48,CATEGORIAS[[#All],[COSTO
ACUMULADO  AX]])
+SUMIF(CATEGORIAS[[#All],[SUBGRUPO]],A48,CATEGORIAS[[#All],[CAMBIO DE
CATEGORIA]])</f>
        <v>0</v>
      </c>
      <c r="H48" s="10">
        <f>+SUMIF(CATEGORIAS[[#All],[SUBGRUPO]],A48,CATEGORIAS[[#All],[PROVISIONES]])</f>
        <v>0</v>
      </c>
      <c r="I48" s="10">
        <f t="shared" si="29"/>
        <v>0</v>
      </c>
      <c r="K48" s="10">
        <f>+SUMIF(CATEGORIAS[[#All],[SUBGRUPO]],A48,CATEGORIAS[[#All],[COSTO ACUMULADO
ANTERIOR]])
+SUMIF(CATEGORIAS[[#All],[SUBGRUPO]],A48,CATEGORIAS[[#All],[CAMBIO DE
CATEGORIA
ANTERIOR]])</f>
        <v>0</v>
      </c>
      <c r="L48" s="10">
        <f>+SUMIF(CATEGORIAS[[#All],[SUBGRUPO]],A48,CATEGORIAS[[#All],[PROVISIONES
ANTERIOR]])</f>
        <v>0</v>
      </c>
      <c r="M48" s="10">
        <f t="shared" si="30"/>
        <v>0</v>
      </c>
      <c r="O48" s="10">
        <f t="shared" si="31"/>
        <v>0</v>
      </c>
      <c r="P48" s="10">
        <f t="shared" si="32"/>
        <v>0</v>
      </c>
      <c r="Q48" s="10">
        <f t="shared" si="33"/>
        <v>0</v>
      </c>
      <c r="R48" s="125">
        <f t="shared" si="20"/>
        <v>0</v>
      </c>
    </row>
    <row r="49" spans="1:18" ht="15" customHeight="1" x14ac:dyDescent="0.25">
      <c r="A49" s="14" t="str">
        <f>'Matriz de Produccion'!A50</f>
        <v>0D03</v>
      </c>
      <c r="B49" s="6" t="str">
        <f>VLOOKUP(A49,'Analisis por Categorias'!B:C,2,FALSE)</f>
        <v>Movimiento de Tierra</v>
      </c>
      <c r="D49" s="5">
        <f>SUMIF(CATEGORIAS[[#All],[SUBGRUPO]],A49,CATEGORIAS[[#All],[PRESUPUESTO
(ORIGINAL)]])</f>
        <v>21492401.631495975</v>
      </c>
      <c r="E49" s="5">
        <f>+SUMIF(CATEGORIAS[[#All],[SUBGRUPO]],A49,CATEGORIAS[[#All],[PRODUCCION
PARTIDAS
ORIGINALES
ACTUAL]])
+SUMIF(CATEGORIAS[[#All],[SUBGRUPO]],A49,CATEGORIAS[[#All],[PRODUCCION
ADICIONALES
ACTUAL]])
+SUMIF(CATEGORIAS[[#All],[SUBGRUPO]],A49,CATEGORIAS[[#All],[PROYECCION
DE INGRESO
DEL SALDO]])</f>
        <v>26718830.777369343</v>
      </c>
      <c r="G49" s="10">
        <f>+SUMIF(CATEGORIAS[[#All],[SUBGRUPO]],A49,CATEGORIAS[[#All],[COSTO
ACUMULADO  AX]])
+SUMIF(CATEGORIAS[[#All],[SUBGRUPO]],A49,CATEGORIAS[[#All],[CAMBIO DE
CATEGORIA]])</f>
        <v>15980000</v>
      </c>
      <c r="H49" s="10">
        <f>+SUMIF(CATEGORIAS[[#All],[SUBGRUPO]],A49,CATEGORIAS[[#All],[PROVISIONES]])</f>
        <v>0</v>
      </c>
      <c r="I49" s="10">
        <f t="shared" si="29"/>
        <v>15980000</v>
      </c>
      <c r="K49" s="10">
        <f>+SUMIF(CATEGORIAS[[#All],[SUBGRUPO]],A49,CATEGORIAS[[#All],[COSTO ACUMULADO
ANTERIOR]])
+SUMIF(CATEGORIAS[[#All],[SUBGRUPO]],A49,CATEGORIAS[[#All],[CAMBIO DE
CATEGORIA
ANTERIOR]])</f>
        <v>11520000</v>
      </c>
      <c r="L49" s="10">
        <f>+SUMIF(CATEGORIAS[[#All],[SUBGRUPO]],A49,CATEGORIAS[[#All],[PROVISIONES
ANTERIOR]])</f>
        <v>4460000</v>
      </c>
      <c r="M49" s="10">
        <f t="shared" si="30"/>
        <v>15980000</v>
      </c>
      <c r="O49" s="10">
        <f t="shared" si="31"/>
        <v>4460000</v>
      </c>
      <c r="P49" s="10">
        <f t="shared" si="32"/>
        <v>-4460000</v>
      </c>
      <c r="Q49" s="10">
        <f t="shared" si="33"/>
        <v>0</v>
      </c>
      <c r="R49" s="125">
        <f t="shared" si="20"/>
        <v>112131232.40886532</v>
      </c>
    </row>
    <row r="50" spans="1:18" ht="15" customHeight="1" x14ac:dyDescent="0.25">
      <c r="A50" s="14" t="str">
        <f>'Matriz de Produccion'!A51</f>
        <v>0D04</v>
      </c>
      <c r="B50" s="6" t="str">
        <f>VLOOKUP(A50,'Analisis por Categorias'!B:C,2,FALSE)</f>
        <v xml:space="preserve">Andamios </v>
      </c>
      <c r="D50" s="5">
        <f>SUMIF(CATEGORIAS[[#All],[SUBGRUPO]],A50,CATEGORIAS[[#All],[PRESUPUESTO
(ORIGINAL)]])</f>
        <v>51679693.519999996</v>
      </c>
      <c r="E50" s="5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52583283.934636705</v>
      </c>
      <c r="G50" s="10">
        <f>+SUMIF(CATEGORIAS[[#All],[SUBGRUPO]],A50,CATEGORIAS[[#All],[COSTO
ACUMULADO  AX]])
+SUMIF(CATEGORIAS[[#All],[SUBGRUPO]],A50,CATEGORIAS[[#All],[CAMBIO DE
CATEGORIA]])</f>
        <v>0</v>
      </c>
      <c r="H50" s="10">
        <f>+SUMIF(CATEGORIAS[[#All],[SUBGRUPO]],A50,CATEGORIAS[[#All],[PROVISIONES]])</f>
        <v>20000000</v>
      </c>
      <c r="I50" s="10">
        <f t="shared" si="29"/>
        <v>20000000</v>
      </c>
      <c r="K50" s="10">
        <f>+SUMIF(CATEGORIAS[[#All],[SUBGRUPO]],A50,CATEGORIAS[[#All],[COSTO ACUMULADO
ANTERIOR]])
+SUMIF(CATEGORIAS[[#All],[SUBGRUPO]],A50,CATEGORIAS[[#All],[CAMBIO DE
CATEGORIA
ANTERIOR]])</f>
        <v>0</v>
      </c>
      <c r="L50" s="10">
        <f>+SUMIF(CATEGORIAS[[#All],[SUBGRUPO]],A50,CATEGORIAS[[#All],[PROVISIONES
ANTERIOR]])</f>
        <v>20000000</v>
      </c>
      <c r="M50" s="10">
        <f t="shared" si="30"/>
        <v>20000000</v>
      </c>
      <c r="O50" s="10">
        <f t="shared" si="31"/>
        <v>0</v>
      </c>
      <c r="P50" s="10">
        <f t="shared" si="32"/>
        <v>0</v>
      </c>
      <c r="Q50" s="10">
        <f t="shared" si="33"/>
        <v>0</v>
      </c>
      <c r="R50" s="125">
        <f t="shared" si="20"/>
        <v>184262977.45463669</v>
      </c>
    </row>
    <row r="51" spans="1:18" ht="15" customHeight="1" x14ac:dyDescent="0.25">
      <c r="A51" s="14" t="str">
        <f>'Matriz de Produccion'!A52</f>
        <v>0D05</v>
      </c>
      <c r="B51" s="6" t="str">
        <f>VLOOKUP(A51,'Analisis por Categorias'!B:C,2,FALSE)</f>
        <v xml:space="preserve">Combustibles </v>
      </c>
      <c r="D51" s="5">
        <f>SUMIF(CATEGORIAS[[#All],[SUBGRUPO]],A51,CATEGORIAS[[#All],[PRESUPUESTO
(ORIGINAL)]])</f>
        <v>119610000</v>
      </c>
      <c r="E51" s="5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119610000</v>
      </c>
      <c r="G51" s="10">
        <f>+SUMIF(CATEGORIAS[[#All],[SUBGRUPO]],A51,CATEGORIAS[[#All],[COSTO
ACUMULADO  AX]])
+SUMIF(CATEGORIAS[[#All],[SUBGRUPO]],A51,CATEGORIAS[[#All],[CAMBIO DE
CATEGORIA]])</f>
        <v>14323271</v>
      </c>
      <c r="H51" s="10">
        <f>+SUMIF(CATEGORIAS[[#All],[SUBGRUPO]],A51,CATEGORIAS[[#All],[PROVISIONES]])</f>
        <v>0</v>
      </c>
      <c r="I51" s="10">
        <f t="shared" si="29"/>
        <v>14323271</v>
      </c>
      <c r="K51" s="10">
        <f>+SUMIF(CATEGORIAS[[#All],[SUBGRUPO]],A51,CATEGORIAS[[#All],[COSTO ACUMULADO
ANTERIOR]])
+SUMIF(CATEGORIAS[[#All],[SUBGRUPO]],A51,CATEGORIAS[[#All],[CAMBIO DE
CATEGORIA
ANTERIOR]])</f>
        <v>8542297</v>
      </c>
      <c r="L51" s="10">
        <f>+SUMIF(CATEGORIAS[[#All],[SUBGRUPO]],A51,CATEGORIAS[[#All],[PROVISIONES
ANTERIOR]])</f>
        <v>0</v>
      </c>
      <c r="M51" s="10">
        <f t="shared" si="30"/>
        <v>8542297</v>
      </c>
      <c r="O51" s="10">
        <f t="shared" si="31"/>
        <v>5780974</v>
      </c>
      <c r="P51" s="10">
        <f t="shared" si="32"/>
        <v>0</v>
      </c>
      <c r="Q51" s="10">
        <f t="shared" si="33"/>
        <v>5780974</v>
      </c>
      <c r="R51" s="125">
        <f t="shared" si="20"/>
        <v>296513084</v>
      </c>
    </row>
    <row r="52" spans="1:18" ht="15" customHeight="1" x14ac:dyDescent="0.25">
      <c r="A52" s="14" t="str">
        <f>'Matriz de Produccion'!A53</f>
        <v>0D06</v>
      </c>
      <c r="B52" s="6" t="str">
        <f>VLOOKUP(A52,'Analisis por Categorias'!B:C,2,FALSE)</f>
        <v xml:space="preserve">Fletes </v>
      </c>
      <c r="D52" s="5">
        <f>SUMIF(CATEGORIAS[[#All],[SUBGRUPO]],A52,CATEGORIAS[[#All],[PRESUPUESTO
(ORIGINAL)]])</f>
        <v>27900000</v>
      </c>
      <c r="E52" s="5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27982433.399999999</v>
      </c>
      <c r="G52" s="10">
        <f>+SUMIF(CATEGORIAS[[#All],[SUBGRUPO]],A52,CATEGORIAS[[#All],[COSTO
ACUMULADO  AX]])
+SUMIF(CATEGORIAS[[#All],[SUBGRUPO]],A52,CATEGORIAS[[#All],[CAMBIO DE
CATEGORIA]])</f>
        <v>1250000</v>
      </c>
      <c r="H52" s="10">
        <f>+SUMIF(CATEGORIAS[[#All],[SUBGRUPO]],A52,CATEGORIAS[[#All],[PROVISIONES]])</f>
        <v>2000000</v>
      </c>
      <c r="I52" s="10">
        <f t="shared" si="29"/>
        <v>3250000</v>
      </c>
      <c r="K52" s="10">
        <f>+SUMIF(CATEGORIAS[[#All],[SUBGRUPO]],A52,CATEGORIAS[[#All],[COSTO ACUMULADO
ANTERIOR]])
+SUMIF(CATEGORIAS[[#All],[SUBGRUPO]],A52,CATEGORIAS[[#All],[CAMBIO DE
CATEGORIA
ANTERIOR]])</f>
        <v>3250000</v>
      </c>
      <c r="L52" s="10">
        <f>+SUMIF(CATEGORIAS[[#All],[SUBGRUPO]],A52,CATEGORIAS[[#All],[PROVISIONES
ANTERIOR]])</f>
        <v>0</v>
      </c>
      <c r="M52" s="10">
        <f t="shared" si="30"/>
        <v>3250000</v>
      </c>
      <c r="O52" s="10">
        <f t="shared" si="31"/>
        <v>-2000000</v>
      </c>
      <c r="P52" s="10">
        <f t="shared" si="32"/>
        <v>2000000</v>
      </c>
      <c r="Q52" s="10">
        <f t="shared" si="33"/>
        <v>0</v>
      </c>
      <c r="R52" s="125">
        <f t="shared" si="20"/>
        <v>68882433.400000006</v>
      </c>
    </row>
    <row r="53" spans="1:18" ht="15" customHeight="1" x14ac:dyDescent="0.25">
      <c r="A53" s="14" t="str">
        <f>'Matriz de Produccion'!A54</f>
        <v>0D07</v>
      </c>
      <c r="B53" s="6" t="str">
        <f>VLOOKUP(A53,'Analisis por Categorias'!B:C,2,FALSE)</f>
        <v>Operador</v>
      </c>
      <c r="D53" s="5">
        <f>SUMIF(CATEGORIAS[[#All],[SUBGRUPO]],A53,CATEGORIAS[[#All],[PRESUPUESTO
(ORIGINAL)]])</f>
        <v>93476144.542770028</v>
      </c>
      <c r="E53" s="5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93476144.542770028</v>
      </c>
      <c r="G53" s="10">
        <f>+SUMIF(CATEGORIAS[[#All],[SUBGRUPO]],A53,CATEGORIAS[[#All],[COSTO
ACUMULADO  AX]])
+SUMIF(CATEGORIAS[[#All],[SUBGRUPO]],A53,CATEGORIAS[[#All],[CAMBIO DE
CATEGORIA]])</f>
        <v>48932267</v>
      </c>
      <c r="H53" s="10">
        <f>+SUMIF(CATEGORIAS[[#All],[SUBGRUPO]],A53,CATEGORIAS[[#All],[PROVISIONES]])</f>
        <v>2325389.0253890259</v>
      </c>
      <c r="I53" s="10">
        <f t="shared" si="29"/>
        <v>51257656.025389023</v>
      </c>
      <c r="K53" s="10">
        <f>+SUMIF(CATEGORIAS[[#All],[SUBGRUPO]],A53,CATEGORIAS[[#All],[COSTO ACUMULADO
ANTERIOR]])
+SUMIF(CATEGORIAS[[#All],[SUBGRUPO]],A53,CATEGORIAS[[#All],[CAMBIO DE
CATEGORIA
ANTERIOR]])</f>
        <v>33848884</v>
      </c>
      <c r="L53" s="10">
        <f>+SUMIF(CATEGORIAS[[#All],[SUBGRUPO]],A53,CATEGORIAS[[#All],[PROVISIONES
ANTERIOR]])</f>
        <v>2109735.8722358723</v>
      </c>
      <c r="M53" s="10">
        <f t="shared" si="30"/>
        <v>35958619.872235872</v>
      </c>
      <c r="O53" s="10">
        <f t="shared" si="31"/>
        <v>15083383</v>
      </c>
      <c r="P53" s="10">
        <f t="shared" si="32"/>
        <v>215653.1531531536</v>
      </c>
      <c r="Q53" s="10">
        <f t="shared" si="33"/>
        <v>15299036.153153151</v>
      </c>
      <c r="R53" s="125">
        <f t="shared" si="20"/>
        <v>391982913.18709624</v>
      </c>
    </row>
    <row r="54" spans="1:18" ht="15" customHeight="1" x14ac:dyDescent="0.25">
      <c r="A54" s="14" t="str">
        <f>'Matriz de Produccion'!A55</f>
        <v>0D08</v>
      </c>
      <c r="B54" s="6" t="str">
        <f>VLOOKUP(A54,'Analisis por Categorias'!B:C,2,FALSE)</f>
        <v>Rigger</v>
      </c>
      <c r="D54" s="5">
        <f>SUMIF(CATEGORIAS[[#All],[SUBGRUPO]],A54,CATEGORIAS[[#All],[PRESUPUESTO
(ORIGINAL)]])</f>
        <v>42918681.456833996</v>
      </c>
      <c r="E54" s="5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42918681.456833996</v>
      </c>
      <c r="G54" s="10">
        <f>+SUMIF(CATEGORIAS[[#All],[SUBGRUPO]],A54,CATEGORIAS[[#All],[COSTO
ACUMULADO  AX]])
+SUMIF(CATEGORIAS[[#All],[SUBGRUPO]],A54,CATEGORIAS[[#All],[CAMBIO DE
CATEGORIA]])</f>
        <v>11060840</v>
      </c>
      <c r="H54" s="10">
        <f>+SUMIF(CATEGORIAS[[#All],[SUBGRUPO]],A54,CATEGORIAS[[#All],[PROVISIONES]])</f>
        <v>1590653.1531531529</v>
      </c>
      <c r="I54" s="10">
        <f t="shared" si="29"/>
        <v>12651493.153153153</v>
      </c>
      <c r="K54" s="10">
        <f>+SUMIF(CATEGORIAS[[#All],[SUBGRUPO]],A54,CATEGORIAS[[#All],[COSTO ACUMULADO
ANTERIOR]])
+SUMIF(CATEGORIAS[[#All],[SUBGRUPO]],A54,CATEGORIAS[[#All],[CAMBIO DE
CATEGORIA
ANTERIOR]])</f>
        <v>7800342</v>
      </c>
      <c r="L54" s="10">
        <f>+SUMIF(CATEGORIAS[[#All],[SUBGRUPO]],A54,CATEGORIAS[[#All],[PROVISIONES
ANTERIOR]])</f>
        <v>954391.89189189184</v>
      </c>
      <c r="M54" s="10">
        <f t="shared" si="30"/>
        <v>8754733.8918918911</v>
      </c>
      <c r="O54" s="10">
        <f t="shared" si="31"/>
        <v>3260498</v>
      </c>
      <c r="P54" s="10">
        <f t="shared" si="32"/>
        <v>636261.26126126107</v>
      </c>
      <c r="Q54" s="10">
        <f t="shared" si="33"/>
        <v>3896759.261261262</v>
      </c>
      <c r="R54" s="125">
        <f t="shared" si="20"/>
        <v>136443335.52628061</v>
      </c>
    </row>
    <row r="55" spans="1:18" ht="15" customHeight="1" x14ac:dyDescent="0.25">
      <c r="A55" s="14" t="str">
        <f>'Matriz de Produccion'!A56</f>
        <v>0D09</v>
      </c>
      <c r="B55" s="6" t="str">
        <f>VLOOKUP(A55,'Analisis por Categorias'!B:C,2,FALSE)</f>
        <v>Equipos menores</v>
      </c>
      <c r="D55" s="5">
        <f>SUMIF(CATEGORIAS[[#All],[SUBGRUPO]],A55,CATEGORIAS[[#All],[PRESUPUESTO
(ORIGINAL)]])</f>
        <v>24973480.478000004</v>
      </c>
      <c r="E55" s="5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58822121.568079934</v>
      </c>
      <c r="G55" s="10">
        <f>+SUMIF(CATEGORIAS[[#All],[SUBGRUPO]],A55,CATEGORIAS[[#All],[COSTO
ACUMULADO  AX]])
+SUMIF(CATEGORIAS[[#All],[SUBGRUPO]],A55,CATEGORIAS[[#All],[CAMBIO DE
CATEGORIA]])</f>
        <v>19942765</v>
      </c>
      <c r="H55" s="10">
        <f>+SUMIF(CATEGORIAS[[#All],[SUBGRUPO]],A55,CATEGORIAS[[#All],[PROVISIONES]])</f>
        <v>517353</v>
      </c>
      <c r="I55" s="10">
        <f t="shared" si="29"/>
        <v>20460118</v>
      </c>
      <c r="K55" s="10">
        <f>+SUMIF(CATEGORIAS[[#All],[SUBGRUPO]],A55,CATEGORIAS[[#All],[COSTO ACUMULADO
ANTERIOR]])
+SUMIF(CATEGORIAS[[#All],[SUBGRUPO]],A55,CATEGORIAS[[#All],[CAMBIO DE
CATEGORIA
ANTERIOR]])</f>
        <v>10074362</v>
      </c>
      <c r="L55" s="10">
        <f>+SUMIF(CATEGORIAS[[#All],[SUBGRUPO]],A55,CATEGORIAS[[#All],[PROVISIONES
ANTERIOR]])</f>
        <v>495353</v>
      </c>
      <c r="M55" s="10">
        <f t="shared" si="30"/>
        <v>10569715</v>
      </c>
      <c r="O55" s="10">
        <f t="shared" si="31"/>
        <v>9868403</v>
      </c>
      <c r="P55" s="10">
        <f t="shared" si="32"/>
        <v>22000</v>
      </c>
      <c r="Q55" s="10">
        <f t="shared" si="33"/>
        <v>9890403</v>
      </c>
      <c r="R55" s="125">
        <f t="shared" si="20"/>
        <v>165636074.04607993</v>
      </c>
    </row>
    <row r="56" spans="1:18" ht="15" customHeight="1" x14ac:dyDescent="0.25">
      <c r="A56" s="14" t="str">
        <f>'Matriz de Produccion'!A57</f>
        <v>0D10</v>
      </c>
      <c r="B56" s="6" t="str">
        <f>VLOOKUP(A56,'Analisis por Categorias'!B:C,2,FALSE)</f>
        <v>Cert. De Equipo</v>
      </c>
      <c r="D56" s="5">
        <f>SUMIF(CATEGORIAS[[#All],[SUBGRUPO]],A56,CATEGORIAS[[#All],[PRESUPUESTO
(ORIGINAL)]])</f>
        <v>0</v>
      </c>
      <c r="E56" s="5">
        <f>+SUMIF(CATEGORIAS[[#All],[SUBGRUPO]],A56,CATEGORIAS[[#All],[PRODUCCION
PARTIDAS
ORIGINALES
ACTUAL]])
+SUMIF(CATEGORIAS[[#All],[SUBGRUPO]],A56,CATEGORIAS[[#All],[PRODUCCION
ADICIONALES
ACTUAL]])
+SUMIF(CATEGORIAS[[#All],[SUBGRUPO]],A56,CATEGORIAS[[#All],[PROYECCION
DE INGRESO
DEL SALDO]])</f>
        <v>0</v>
      </c>
      <c r="G56" s="10">
        <f>+SUMIF(CATEGORIAS[[#All],[SUBGRUPO]],A56,CATEGORIAS[[#All],[COSTO
ACUMULADO  AX]])
+SUMIF(CATEGORIAS[[#All],[SUBGRUPO]],A56,CATEGORIAS[[#All],[CAMBIO DE
CATEGORIA]])</f>
        <v>0</v>
      </c>
      <c r="H56" s="10">
        <f>+SUMIF(CATEGORIAS[[#All],[SUBGRUPO]],A56,CATEGORIAS[[#All],[PROVISIONES]])</f>
        <v>0</v>
      </c>
      <c r="I56" s="10">
        <f t="shared" si="29"/>
        <v>0</v>
      </c>
      <c r="K56" s="10">
        <f>+SUMIF(CATEGORIAS[[#All],[SUBGRUPO]],A56,CATEGORIAS[[#All],[COSTO ACUMULADO
ANTERIOR]])
+SUMIF(CATEGORIAS[[#All],[SUBGRUPO]],A56,CATEGORIAS[[#All],[CAMBIO DE
CATEGORIA
ANTERIOR]])</f>
        <v>0</v>
      </c>
      <c r="L56" s="10">
        <f>+SUMIF(CATEGORIAS[[#All],[SUBGRUPO]],A56,CATEGORIAS[[#All],[PROVISIONES
ANTERIOR]])</f>
        <v>0</v>
      </c>
      <c r="M56" s="10">
        <f t="shared" si="30"/>
        <v>0</v>
      </c>
      <c r="O56" s="10">
        <f t="shared" si="31"/>
        <v>0</v>
      </c>
      <c r="P56" s="10">
        <f t="shared" si="32"/>
        <v>0</v>
      </c>
      <c r="Q56" s="10">
        <f t="shared" si="33"/>
        <v>0</v>
      </c>
      <c r="R56" s="125"/>
    </row>
    <row r="57" spans="1:18" ht="8.25" customHeight="1" x14ac:dyDescent="0.25">
      <c r="R57" s="125">
        <f t="shared" ref="R57:R90" si="34">SUM(D57:Q57)</f>
        <v>0</v>
      </c>
    </row>
    <row r="58" spans="1:18" ht="15" customHeight="1" x14ac:dyDescent="0.25">
      <c r="A58" s="14" t="str">
        <f>'Matriz de Produccion'!A59</f>
        <v>0X00</v>
      </c>
      <c r="B58" s="81" t="str">
        <f>'Matriz de Produccion'!B59:B59</f>
        <v>E - SUBCONTRATOS</v>
      </c>
      <c r="D58" s="82">
        <f>SUM(D59:D69)</f>
        <v>104044850.4409</v>
      </c>
      <c r="E58" s="82">
        <f>SUM(E59:E69)</f>
        <v>105214802.86575359</v>
      </c>
      <c r="G58" s="84">
        <f>SUM(G59:G69)</f>
        <v>37669482</v>
      </c>
      <c r="H58" s="84">
        <f>SUM(H59:H69)</f>
        <v>10000000</v>
      </c>
      <c r="I58" s="84">
        <f>SUM(I59:I69)</f>
        <v>47669482</v>
      </c>
      <c r="K58" s="84">
        <f>SUM(K59:K69)</f>
        <v>695300</v>
      </c>
      <c r="L58" s="84">
        <f>SUM(L59:L69)</f>
        <v>4671906.3603999997</v>
      </c>
      <c r="M58" s="84">
        <f>SUM(M59:M69)</f>
        <v>5367206.3603999997</v>
      </c>
      <c r="O58" s="84">
        <f>SUM(O59:O69)</f>
        <v>36974182</v>
      </c>
      <c r="P58" s="84">
        <f>SUM(P59:P69)</f>
        <v>5328093.6396000003</v>
      </c>
      <c r="Q58" s="84">
        <f>SUM(Q59:Q69)</f>
        <v>42302275.639600001</v>
      </c>
      <c r="R58" s="125">
        <f t="shared" si="34"/>
        <v>399937581.30665362</v>
      </c>
    </row>
    <row r="59" spans="1:18" ht="15" customHeight="1" x14ac:dyDescent="0.25">
      <c r="A59" s="14" t="str">
        <f>'Matriz de Produccion'!A60</f>
        <v>0X01</v>
      </c>
      <c r="B59" s="6" t="str">
        <f>VLOOKUP(A59,'Analisis por Categorias'!B:C,2,FALSE)</f>
        <v xml:space="preserve">Civil  </v>
      </c>
      <c r="D59" s="5">
        <f>SUMIF(CATEGORIAS[[#All],[SUBGRUPO]],A59,CATEGORIAS[[#All],[PRESUPUESTO
(ORIGINAL)]])</f>
        <v>15225366.156400001</v>
      </c>
      <c r="E59" s="5">
        <f>+SUMIF(CATEGORIAS[[#All],[SUBGRUPO]],A59,CATEGORIAS[[#All],[PRODUCCION
PARTIDAS
ORIGINALES
ACTUAL]])
+SUMIF(CATEGORIAS[[#All],[SUBGRUPO]],A59,CATEGORIAS[[#All],[PRODUCCION
ADICIONALES
ACTUAL]])
+SUMIF(CATEGORIAS[[#All],[SUBGRUPO]],A59,CATEGORIAS[[#All],[PROYECCION
DE INGRESO
DEL SALDO]])</f>
        <v>15225366.156399999</v>
      </c>
      <c r="G59" s="10">
        <f>+SUMIF(CATEGORIAS[[#All],[SUBGRUPO]],A59,CATEGORIAS[[#All],[COSTO
ACUMULADO  AX]])
+SUMIF(CATEGORIAS[[#All],[SUBGRUPO]],A59,CATEGORIAS[[#All],[CAMBIO DE
CATEGORIA]])</f>
        <v>1974682</v>
      </c>
      <c r="H59" s="10">
        <f>+SUMIF(CATEGORIAS[[#All],[SUBGRUPO]],A59,CATEGORIAS[[#All],[PROVISIONES]])</f>
        <v>0</v>
      </c>
      <c r="I59" s="10">
        <f t="shared" ref="I59:I69" si="35">G59+H59</f>
        <v>1974682</v>
      </c>
      <c r="K59" s="10">
        <f>+SUMIF(CATEGORIAS[[#All],[SUBGRUPO]],A59,CATEGORIAS[[#All],[COSTO ACUMULADO
ANTERIOR]])
+SUMIF(CATEGORIAS[[#All],[SUBGRUPO]],A59,CATEGORIAS[[#All],[CAMBIO DE
CATEGORIA
ANTERIOR]])</f>
        <v>0</v>
      </c>
      <c r="L59" s="10">
        <f>+SUMIF(CATEGORIAS[[#All],[SUBGRUPO]],A59,CATEGORIAS[[#All],[PROVISIONES
ANTERIOR]])</f>
        <v>4671906.3603999997</v>
      </c>
      <c r="M59" s="10">
        <f t="shared" ref="M59:M69" si="36">K59+L59</f>
        <v>4671906.3603999997</v>
      </c>
      <c r="O59" s="10">
        <f t="shared" ref="O59:O69" si="37">G59-K59</f>
        <v>1974682</v>
      </c>
      <c r="P59" s="10">
        <f t="shared" ref="P59:P69" si="38">H59-L59</f>
        <v>-4671906.3603999997</v>
      </c>
      <c r="Q59" s="10">
        <f t="shared" ref="Q59:Q69" si="39">I59-M59</f>
        <v>-2697224.3603999997</v>
      </c>
      <c r="R59" s="125">
        <f t="shared" si="34"/>
        <v>38349460.312799998</v>
      </c>
    </row>
    <row r="60" spans="1:18" ht="15" customHeight="1" x14ac:dyDescent="0.25">
      <c r="A60" s="14" t="str">
        <f>'Matriz de Produccion'!A61</f>
        <v>0X02</v>
      </c>
      <c r="B60" s="6" t="str">
        <f>VLOOKUP(A60,'Analisis por Categorias'!B:C,2,FALSE)</f>
        <v xml:space="preserve">Mecánica </v>
      </c>
      <c r="D60" s="5">
        <f>SUMIF(CATEGORIAS[[#All],[SUBGRUPO]],A60,CATEGORIAS[[#All],[PRESUPUESTO
(ORIGINAL)]])</f>
        <v>0</v>
      </c>
      <c r="E60" s="5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0</v>
      </c>
      <c r="G60" s="10">
        <f>+SUMIF(CATEGORIAS[[#All],[SUBGRUPO]],A60,CATEGORIAS[[#All],[COSTO
ACUMULADO  AX]])
+SUMIF(CATEGORIAS[[#All],[SUBGRUPO]],A60,CATEGORIAS[[#All],[CAMBIO DE
CATEGORIA]])</f>
        <v>0</v>
      </c>
      <c r="H60" s="10">
        <f>+SUMIF(CATEGORIAS[[#All],[SUBGRUPO]],A60,CATEGORIAS[[#All],[PROVISIONES]])</f>
        <v>0</v>
      </c>
      <c r="I60" s="10">
        <f t="shared" si="35"/>
        <v>0</v>
      </c>
      <c r="K60" s="10">
        <f>+SUMIF(CATEGORIAS[[#All],[SUBGRUPO]],A60,CATEGORIAS[[#All],[COSTO ACUMULADO
ANTERIOR]])
+SUMIF(CATEGORIAS[[#All],[SUBGRUPO]],A60,CATEGORIAS[[#All],[CAMBIO DE
CATEGORIA
ANTERIOR]])</f>
        <v>0</v>
      </c>
      <c r="L60" s="10">
        <f>+SUMIF(CATEGORIAS[[#All],[SUBGRUPO]],A60,CATEGORIAS[[#All],[PROVISIONES
ANTERIOR]])</f>
        <v>0</v>
      </c>
      <c r="M60" s="10">
        <f t="shared" si="36"/>
        <v>0</v>
      </c>
      <c r="O60" s="10">
        <f t="shared" si="37"/>
        <v>0</v>
      </c>
      <c r="P60" s="10">
        <f t="shared" si="38"/>
        <v>0</v>
      </c>
      <c r="Q60" s="10">
        <f t="shared" si="39"/>
        <v>0</v>
      </c>
      <c r="R60" s="125">
        <f t="shared" si="34"/>
        <v>0</v>
      </c>
    </row>
    <row r="61" spans="1:18" ht="15" customHeight="1" x14ac:dyDescent="0.25">
      <c r="A61" s="14" t="str">
        <f>'Matriz de Produccion'!A62</f>
        <v>0X03</v>
      </c>
      <c r="B61" s="6" t="str">
        <f>VLOOKUP(A61,'Analisis por Categorias'!B:C,2,FALSE)</f>
        <v xml:space="preserve">Cañería </v>
      </c>
      <c r="D61" s="5">
        <f>SUMIF(CATEGORIAS[[#All],[SUBGRUPO]],A61,CATEGORIAS[[#All],[PRESUPUESTO
(ORIGINAL)]])</f>
        <v>67096254.284500003</v>
      </c>
      <c r="E61" s="5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68266206.709353596</v>
      </c>
      <c r="G61" s="10">
        <f>+SUMIF(CATEGORIAS[[#All],[SUBGRUPO]],A61,CATEGORIAS[[#All],[COSTO
ACUMULADO  AX]])
+SUMIF(CATEGORIAS[[#All],[SUBGRUPO]],A61,CATEGORIAS[[#All],[CAMBIO DE
CATEGORIA]])</f>
        <v>35694800</v>
      </c>
      <c r="H61" s="10">
        <f>+SUMIF(CATEGORIAS[[#All],[SUBGRUPO]],A61,CATEGORIAS[[#All],[PROVISIONES]])</f>
        <v>10000000</v>
      </c>
      <c r="I61" s="10">
        <f t="shared" si="35"/>
        <v>45694800</v>
      </c>
      <c r="K61" s="10">
        <f>+SUMIF(CATEGORIAS[[#All],[SUBGRUPO]],A61,CATEGORIAS[[#All],[COSTO ACUMULADO
ANTERIOR]])
+SUMIF(CATEGORIAS[[#All],[SUBGRUPO]],A61,CATEGORIAS[[#All],[CAMBIO DE
CATEGORIA
ANTERIOR]])</f>
        <v>695300</v>
      </c>
      <c r="L61" s="10">
        <f>+SUMIF(CATEGORIAS[[#All],[SUBGRUPO]],A61,CATEGORIAS[[#All],[PROVISIONES
ANTERIOR]])</f>
        <v>0</v>
      </c>
      <c r="M61" s="10">
        <f t="shared" si="36"/>
        <v>695300</v>
      </c>
      <c r="O61" s="10">
        <f t="shared" si="37"/>
        <v>34999500</v>
      </c>
      <c r="P61" s="10">
        <f t="shared" si="38"/>
        <v>10000000</v>
      </c>
      <c r="Q61" s="10">
        <f t="shared" si="39"/>
        <v>44999500</v>
      </c>
      <c r="R61" s="125">
        <f t="shared" si="34"/>
        <v>318141660.99385357</v>
      </c>
    </row>
    <row r="62" spans="1:18" ht="15" customHeight="1" x14ac:dyDescent="0.25">
      <c r="A62" s="14" t="str">
        <f>'Matriz de Produccion'!A63</f>
        <v>0X04</v>
      </c>
      <c r="B62" s="6" t="str">
        <f>VLOOKUP(A62,'Analisis por Categorias'!B:C,2,FALSE)</f>
        <v xml:space="preserve">Estructura </v>
      </c>
      <c r="D62" s="5">
        <f>SUMIF(CATEGORIAS[[#All],[SUBGRUPO]],A62,CATEGORIAS[[#All],[PRESUPUESTO
(ORIGINAL)]])</f>
        <v>0</v>
      </c>
      <c r="E62" s="5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0</v>
      </c>
      <c r="G62" s="10">
        <f>+SUMIF(CATEGORIAS[[#All],[SUBGRUPO]],A62,CATEGORIAS[[#All],[COSTO
ACUMULADO  AX]])
+SUMIF(CATEGORIAS[[#All],[SUBGRUPO]],A62,CATEGORIAS[[#All],[CAMBIO DE
CATEGORIA]])</f>
        <v>0</v>
      </c>
      <c r="H62" s="10">
        <f>+SUMIF(CATEGORIAS[[#All],[SUBGRUPO]],A62,CATEGORIAS[[#All],[PROVISIONES]])</f>
        <v>0</v>
      </c>
      <c r="I62" s="10">
        <f t="shared" si="35"/>
        <v>0</v>
      </c>
      <c r="K62" s="10">
        <f>+SUMIF(CATEGORIAS[[#All],[SUBGRUPO]],A62,CATEGORIAS[[#All],[COSTO ACUMULADO
ANTERIOR]])
+SUMIF(CATEGORIAS[[#All],[SUBGRUPO]],A62,CATEGORIAS[[#All],[CAMBIO DE
CATEGORIA
ANTERIOR]])</f>
        <v>0</v>
      </c>
      <c r="L62" s="10">
        <f>+SUMIF(CATEGORIAS[[#All],[SUBGRUPO]],A62,CATEGORIAS[[#All],[PROVISIONES
ANTERIOR]])</f>
        <v>0</v>
      </c>
      <c r="M62" s="10">
        <f t="shared" si="36"/>
        <v>0</v>
      </c>
      <c r="O62" s="10">
        <f t="shared" si="37"/>
        <v>0</v>
      </c>
      <c r="P62" s="10">
        <f t="shared" si="38"/>
        <v>0</v>
      </c>
      <c r="Q62" s="10">
        <f t="shared" si="39"/>
        <v>0</v>
      </c>
      <c r="R62" s="125">
        <f t="shared" si="34"/>
        <v>0</v>
      </c>
    </row>
    <row r="63" spans="1:18" ht="15" customHeight="1" x14ac:dyDescent="0.25">
      <c r="A63" s="14" t="str">
        <f>'Matriz de Produccion'!A64</f>
        <v>0X05</v>
      </c>
      <c r="B63" s="6" t="str">
        <f>VLOOKUP(A63,'Analisis por Categorias'!B:C,2,FALSE)</f>
        <v xml:space="preserve">Aislación </v>
      </c>
      <c r="D63" s="5">
        <f>SUMIF(CATEGORIAS[[#All],[SUBGRUPO]],A63,CATEGORIAS[[#All],[PRESUPUESTO
(ORIGINAL)]])</f>
        <v>0</v>
      </c>
      <c r="E63" s="5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0</v>
      </c>
      <c r="G63" s="10">
        <f>+SUMIF(CATEGORIAS[[#All],[SUBGRUPO]],A63,CATEGORIAS[[#All],[COSTO
ACUMULADO  AX]])
+SUMIF(CATEGORIAS[[#All],[SUBGRUPO]],A63,CATEGORIAS[[#All],[CAMBIO DE
CATEGORIA]])</f>
        <v>0</v>
      </c>
      <c r="H63" s="10">
        <f>+SUMIF(CATEGORIAS[[#All],[SUBGRUPO]],A63,CATEGORIAS[[#All],[PROVISIONES]])</f>
        <v>0</v>
      </c>
      <c r="I63" s="10">
        <f t="shared" si="35"/>
        <v>0</v>
      </c>
      <c r="K63" s="10">
        <f>+SUMIF(CATEGORIAS[[#All],[SUBGRUPO]],A63,CATEGORIAS[[#All],[COSTO ACUMULADO
ANTERIOR]])
+SUMIF(CATEGORIAS[[#All],[SUBGRUPO]],A63,CATEGORIAS[[#All],[CAMBIO DE
CATEGORIA
ANTERIOR]])</f>
        <v>0</v>
      </c>
      <c r="L63" s="10">
        <f>+SUMIF(CATEGORIAS[[#All],[SUBGRUPO]],A63,CATEGORIAS[[#All],[PROVISIONES
ANTERIOR]])</f>
        <v>0</v>
      </c>
      <c r="M63" s="10">
        <f t="shared" si="36"/>
        <v>0</v>
      </c>
      <c r="O63" s="10">
        <f t="shared" si="37"/>
        <v>0</v>
      </c>
      <c r="P63" s="10">
        <f t="shared" si="38"/>
        <v>0</v>
      </c>
      <c r="Q63" s="10">
        <f t="shared" si="39"/>
        <v>0</v>
      </c>
      <c r="R63" s="125">
        <f t="shared" si="34"/>
        <v>0</v>
      </c>
    </row>
    <row r="64" spans="1:18" ht="15" customHeight="1" x14ac:dyDescent="0.25">
      <c r="A64" s="14" t="str">
        <f>'Matriz de Produccion'!A65</f>
        <v>0X06</v>
      </c>
      <c r="B64" s="6" t="str">
        <f>VLOOKUP(A64,'Analisis por Categorias'!B:C,2,FALSE)</f>
        <v>Electricidad &amp; Instrumentación</v>
      </c>
      <c r="D64" s="5">
        <f>SUMIF(CATEGORIAS[[#All],[SUBGRUPO]],A64,CATEGORIAS[[#All],[PRESUPUESTO
(ORIGINAL)]])</f>
        <v>15451230</v>
      </c>
      <c r="E64" s="5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15451230</v>
      </c>
      <c r="G64" s="10">
        <f>+SUMIF(CATEGORIAS[[#All],[SUBGRUPO]],A64,CATEGORIAS[[#All],[COSTO
ACUMULADO  AX]])
+SUMIF(CATEGORIAS[[#All],[SUBGRUPO]],A64,CATEGORIAS[[#All],[CAMBIO DE
CATEGORIA]])</f>
        <v>0</v>
      </c>
      <c r="H64" s="10">
        <f>+SUMIF(CATEGORIAS[[#All],[SUBGRUPO]],A64,CATEGORIAS[[#All],[PROVISIONES]])</f>
        <v>0</v>
      </c>
      <c r="I64" s="10">
        <f t="shared" si="35"/>
        <v>0</v>
      </c>
      <c r="K64" s="10">
        <f>+SUMIF(CATEGORIAS[[#All],[SUBGRUPO]],A64,CATEGORIAS[[#All],[COSTO ACUMULADO
ANTERIOR]])
+SUMIF(CATEGORIAS[[#All],[SUBGRUPO]],A64,CATEGORIAS[[#All],[CAMBIO DE
CATEGORIA
ANTERIOR]])</f>
        <v>0</v>
      </c>
      <c r="L64" s="10">
        <f>+SUMIF(CATEGORIAS[[#All],[SUBGRUPO]],A64,CATEGORIAS[[#All],[PROVISIONES
ANTERIOR]])</f>
        <v>0</v>
      </c>
      <c r="M64" s="10">
        <f t="shared" si="36"/>
        <v>0</v>
      </c>
      <c r="O64" s="10">
        <f t="shared" si="37"/>
        <v>0</v>
      </c>
      <c r="P64" s="10">
        <f t="shared" si="38"/>
        <v>0</v>
      </c>
      <c r="Q64" s="10">
        <f t="shared" si="39"/>
        <v>0</v>
      </c>
      <c r="R64" s="125">
        <f t="shared" si="34"/>
        <v>30902460</v>
      </c>
    </row>
    <row r="65" spans="1:18" ht="15" customHeight="1" x14ac:dyDescent="0.25">
      <c r="A65" s="14" t="str">
        <f>'Matriz de Produccion'!A66</f>
        <v>0X07</v>
      </c>
      <c r="B65" s="6" t="str">
        <f>VLOOKUP(A65,'Analisis por Categorias'!B:C,2,FALSE)</f>
        <v xml:space="preserve">Caldera </v>
      </c>
      <c r="D65" s="5">
        <f>SUMIF(CATEGORIAS[[#All],[SUBGRUPO]],A65,CATEGORIAS[[#All],[PRESUPUESTO
(ORIGINAL)]])</f>
        <v>0</v>
      </c>
      <c r="E65" s="5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0</v>
      </c>
      <c r="G65" s="10">
        <f>+SUMIF(CATEGORIAS[[#All],[SUBGRUPO]],A65,CATEGORIAS[[#All],[COSTO
ACUMULADO  AX]])
+SUMIF(CATEGORIAS[[#All],[SUBGRUPO]],A65,CATEGORIAS[[#All],[CAMBIO DE
CATEGORIA]])</f>
        <v>0</v>
      </c>
      <c r="H65" s="10">
        <f>+SUMIF(CATEGORIAS[[#All],[SUBGRUPO]],A65,CATEGORIAS[[#All],[PROVISIONES]])</f>
        <v>0</v>
      </c>
      <c r="I65" s="10">
        <f t="shared" si="35"/>
        <v>0</v>
      </c>
      <c r="K65" s="10">
        <f>+SUMIF(CATEGORIAS[[#All],[SUBGRUPO]],A65,CATEGORIAS[[#All],[COSTO ACUMULADO
ANTERIOR]])
+SUMIF(CATEGORIAS[[#All],[SUBGRUPO]],A65,CATEGORIAS[[#All],[CAMBIO DE
CATEGORIA
ANTERIOR]])</f>
        <v>0</v>
      </c>
      <c r="L65" s="10">
        <f>+SUMIF(CATEGORIAS[[#All],[SUBGRUPO]],A65,CATEGORIAS[[#All],[PROVISIONES
ANTERIOR]])</f>
        <v>0</v>
      </c>
      <c r="M65" s="10">
        <f t="shared" si="36"/>
        <v>0</v>
      </c>
      <c r="O65" s="10">
        <f t="shared" si="37"/>
        <v>0</v>
      </c>
      <c r="P65" s="10">
        <f t="shared" si="38"/>
        <v>0</v>
      </c>
      <c r="Q65" s="10">
        <f t="shared" si="39"/>
        <v>0</v>
      </c>
      <c r="R65" s="125">
        <f t="shared" si="34"/>
        <v>0</v>
      </c>
    </row>
    <row r="66" spans="1:18" ht="15" customHeight="1" x14ac:dyDescent="0.25">
      <c r="A66" s="14" t="str">
        <f>'Matriz de Produccion'!A67</f>
        <v>0X08</v>
      </c>
      <c r="B66" s="6" t="str">
        <f>VLOOKUP(A66,'Analisis por Categorias'!B:C,2,FALSE)</f>
        <v xml:space="preserve">Ductos </v>
      </c>
      <c r="D66" s="5">
        <f>SUMIF(CATEGORIAS[[#All],[SUBGRUPO]],A66,CATEGORIAS[[#All],[PRESUPUESTO
(ORIGINAL)]])</f>
        <v>0</v>
      </c>
      <c r="E66" s="5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0</v>
      </c>
      <c r="G66" s="10">
        <f>+SUMIF(CATEGORIAS[[#All],[SUBGRUPO]],A66,CATEGORIAS[[#All],[COSTO
ACUMULADO  AX]])
+SUMIF(CATEGORIAS[[#All],[SUBGRUPO]],A66,CATEGORIAS[[#All],[CAMBIO DE
CATEGORIA]])</f>
        <v>0</v>
      </c>
      <c r="H66" s="10">
        <f>+SUMIF(CATEGORIAS[[#All],[SUBGRUPO]],A66,CATEGORIAS[[#All],[PROVISIONES]])</f>
        <v>0</v>
      </c>
      <c r="I66" s="10">
        <f t="shared" si="35"/>
        <v>0</v>
      </c>
      <c r="K66" s="10">
        <f>+SUMIF(CATEGORIAS[[#All],[SUBGRUPO]],A66,CATEGORIAS[[#All],[COSTO ACUMULADO
ANTERIOR]])
+SUMIF(CATEGORIAS[[#All],[SUBGRUPO]],A66,CATEGORIAS[[#All],[CAMBIO DE
CATEGORIA
ANTERIOR]])</f>
        <v>0</v>
      </c>
      <c r="L66" s="10">
        <f>+SUMIF(CATEGORIAS[[#All],[SUBGRUPO]],A66,CATEGORIAS[[#All],[PROVISIONES
ANTERIOR]])</f>
        <v>0</v>
      </c>
      <c r="M66" s="10">
        <f t="shared" si="36"/>
        <v>0</v>
      </c>
      <c r="O66" s="10">
        <f t="shared" si="37"/>
        <v>0</v>
      </c>
      <c r="P66" s="10">
        <f t="shared" si="38"/>
        <v>0</v>
      </c>
      <c r="Q66" s="10">
        <f t="shared" si="39"/>
        <v>0</v>
      </c>
      <c r="R66" s="125">
        <f t="shared" si="34"/>
        <v>0</v>
      </c>
    </row>
    <row r="67" spans="1:18" ht="15" customHeight="1" x14ac:dyDescent="0.25">
      <c r="A67" s="14" t="str">
        <f>'Matriz de Produccion'!A68</f>
        <v>0X09</v>
      </c>
      <c r="B67" s="6" t="str">
        <f>VLOOKUP(A67,'Analisis por Categorias'!B:C,2,FALSE)</f>
        <v xml:space="preserve">Estanque </v>
      </c>
      <c r="D67" s="5">
        <f>SUMIF(CATEGORIAS[[#All],[SUBGRUPO]],A67,CATEGORIAS[[#All],[PRESUPUESTO
(ORIGINAL)]])</f>
        <v>0</v>
      </c>
      <c r="E67" s="5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0</v>
      </c>
      <c r="G67" s="10">
        <f>+SUMIF(CATEGORIAS[[#All],[SUBGRUPO]],A67,CATEGORIAS[[#All],[COSTO
ACUMULADO  AX]])
+SUMIF(CATEGORIAS[[#All],[SUBGRUPO]],A67,CATEGORIAS[[#All],[CAMBIO DE
CATEGORIA]])</f>
        <v>0</v>
      </c>
      <c r="H67" s="10">
        <f>+SUMIF(CATEGORIAS[[#All],[SUBGRUPO]],A67,CATEGORIAS[[#All],[PROVISIONES]])</f>
        <v>0</v>
      </c>
      <c r="I67" s="10">
        <f t="shared" si="35"/>
        <v>0</v>
      </c>
      <c r="K67" s="10">
        <f>+SUMIF(CATEGORIAS[[#All],[SUBGRUPO]],A67,CATEGORIAS[[#All],[COSTO ACUMULADO
ANTERIOR]])
+SUMIF(CATEGORIAS[[#All],[SUBGRUPO]],A67,CATEGORIAS[[#All],[CAMBIO DE
CATEGORIA
ANTERIOR]])</f>
        <v>0</v>
      </c>
      <c r="L67" s="10">
        <f>+SUMIF(CATEGORIAS[[#All],[SUBGRUPO]],A67,CATEGORIAS[[#All],[PROVISIONES
ANTERIOR]])</f>
        <v>0</v>
      </c>
      <c r="M67" s="10">
        <f t="shared" si="36"/>
        <v>0</v>
      </c>
      <c r="O67" s="10">
        <f t="shared" si="37"/>
        <v>0</v>
      </c>
      <c r="P67" s="10">
        <f t="shared" si="38"/>
        <v>0</v>
      </c>
      <c r="Q67" s="10">
        <f t="shared" si="39"/>
        <v>0</v>
      </c>
      <c r="R67" s="125">
        <f t="shared" si="34"/>
        <v>0</v>
      </c>
    </row>
    <row r="68" spans="1:18" ht="15" customHeight="1" x14ac:dyDescent="0.25">
      <c r="A68" s="14" t="str">
        <f>'Matriz de Produccion'!A69</f>
        <v>0X10</v>
      </c>
      <c r="B68" s="6" t="str">
        <f>VLOOKUP(A68,'Analisis por Categorias'!B:C,2,FALSE)</f>
        <v xml:space="preserve">Ingeniería </v>
      </c>
      <c r="D68" s="5">
        <f>SUMIF(CATEGORIAS[[#All],[SUBGRUPO]],A68,CATEGORIAS[[#All],[PRESUPUESTO
(ORIGINAL)]])</f>
        <v>0</v>
      </c>
      <c r="E68" s="5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0</v>
      </c>
      <c r="G68" s="10">
        <f>+SUMIF(CATEGORIAS[[#All],[SUBGRUPO]],A68,CATEGORIAS[[#All],[COSTO
ACUMULADO  AX]])
+SUMIF(CATEGORIAS[[#All],[SUBGRUPO]],A68,CATEGORIAS[[#All],[CAMBIO DE
CATEGORIA]])</f>
        <v>0</v>
      </c>
      <c r="H68" s="10">
        <f>+SUMIF(CATEGORIAS[[#All],[SUBGRUPO]],A68,CATEGORIAS[[#All],[PROVISIONES]])</f>
        <v>0</v>
      </c>
      <c r="I68" s="10">
        <f t="shared" si="35"/>
        <v>0</v>
      </c>
      <c r="K68" s="10">
        <f>+SUMIF(CATEGORIAS[[#All],[SUBGRUPO]],A68,CATEGORIAS[[#All],[COSTO ACUMULADO
ANTERIOR]])
+SUMIF(CATEGORIAS[[#All],[SUBGRUPO]],A68,CATEGORIAS[[#All],[CAMBIO DE
CATEGORIA
ANTERIOR]])</f>
        <v>0</v>
      </c>
      <c r="L68" s="10">
        <f>+SUMIF(CATEGORIAS[[#All],[SUBGRUPO]],A68,CATEGORIAS[[#All],[PROVISIONES
ANTERIOR]])</f>
        <v>0</v>
      </c>
      <c r="M68" s="10">
        <f t="shared" si="36"/>
        <v>0</v>
      </c>
      <c r="O68" s="10">
        <f t="shared" si="37"/>
        <v>0</v>
      </c>
      <c r="P68" s="10">
        <f t="shared" si="38"/>
        <v>0</v>
      </c>
      <c r="Q68" s="10">
        <f t="shared" si="39"/>
        <v>0</v>
      </c>
      <c r="R68" s="125">
        <f t="shared" si="34"/>
        <v>0</v>
      </c>
    </row>
    <row r="69" spans="1:18" x14ac:dyDescent="0.25">
      <c r="A69" s="14" t="str">
        <f>'Matriz de Produccion'!A70</f>
        <v>0X11</v>
      </c>
      <c r="B69" s="6" t="str">
        <f>VLOOKUP(A69,'Analisis por Categorias'!B:C,2,FALSE)</f>
        <v xml:space="preserve">Otras especialidades </v>
      </c>
      <c r="D69" s="5">
        <f>SUMIF(CATEGORIAS[[#All],[SUBGRUPO]],A69,CATEGORIAS[[#All],[PRESUPUESTO
(ORIGINAL)]])</f>
        <v>6272000</v>
      </c>
      <c r="E69" s="5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6272000</v>
      </c>
      <c r="G69" s="10">
        <f>+SUMIF(CATEGORIAS[[#All],[SUBGRUPO]],A69,CATEGORIAS[[#All],[COSTO
ACUMULADO  AX]])
+SUMIF(CATEGORIAS[[#All],[SUBGRUPO]],A69,CATEGORIAS[[#All],[CAMBIO DE
CATEGORIA]])</f>
        <v>0</v>
      </c>
      <c r="H69" s="10">
        <f>+SUMIF(CATEGORIAS[[#All],[SUBGRUPO]],A69,CATEGORIAS[[#All],[PROVISIONES]])</f>
        <v>0</v>
      </c>
      <c r="I69" s="10">
        <f t="shared" si="35"/>
        <v>0</v>
      </c>
      <c r="K69" s="10">
        <f>+SUMIF(CATEGORIAS[[#All],[SUBGRUPO]],A69,CATEGORIAS[[#All],[COSTO ACUMULADO
ANTERIOR]])
+SUMIF(CATEGORIAS[[#All],[SUBGRUPO]],A69,CATEGORIAS[[#All],[CAMBIO DE
CATEGORIA
ANTERIOR]])</f>
        <v>0</v>
      </c>
      <c r="L69" s="10">
        <f>+SUMIF(CATEGORIAS[[#All],[SUBGRUPO]],A69,CATEGORIAS[[#All],[PROVISIONES
ANTERIOR]])</f>
        <v>0</v>
      </c>
      <c r="M69" s="10">
        <f t="shared" si="36"/>
        <v>0</v>
      </c>
      <c r="O69" s="10">
        <f t="shared" si="37"/>
        <v>0</v>
      </c>
      <c r="P69" s="10">
        <f t="shared" si="38"/>
        <v>0</v>
      </c>
      <c r="Q69" s="10">
        <f t="shared" si="39"/>
        <v>0</v>
      </c>
      <c r="R69" s="125">
        <f t="shared" si="34"/>
        <v>12544000</v>
      </c>
    </row>
    <row r="70" spans="1:18" ht="8.25" customHeight="1" x14ac:dyDescent="0.25">
      <c r="R70" s="125">
        <f t="shared" si="34"/>
        <v>0</v>
      </c>
    </row>
    <row r="71" spans="1:18" ht="15" customHeight="1" x14ac:dyDescent="0.25">
      <c r="B71" s="8" t="str">
        <f>'Matriz de Produccion'!B72:B72</f>
        <v>COSTOS INDIRECTOS</v>
      </c>
      <c r="D71" s="1">
        <f>SUM(D137:D142)</f>
        <v>2308544040.0047116</v>
      </c>
      <c r="E71" s="1">
        <f>SUM(E137:E142)</f>
        <v>2350012609.7031851</v>
      </c>
      <c r="G71" s="11">
        <f t="shared" ref="G71:Q71" si="40">SUM(G137:G142)</f>
        <v>690950461.87120008</v>
      </c>
      <c r="H71" s="11">
        <f t="shared" si="40"/>
        <v>331378919.82273543</v>
      </c>
      <c r="I71" s="11">
        <f t="shared" si="40"/>
        <v>1022329381.6939354</v>
      </c>
      <c r="K71" s="11">
        <f t="shared" si="40"/>
        <v>452797828.29788584</v>
      </c>
      <c r="L71" s="11">
        <f t="shared" si="40"/>
        <v>184993458.41235477</v>
      </c>
      <c r="M71" s="11">
        <f t="shared" si="40"/>
        <v>637791286.7102406</v>
      </c>
      <c r="O71" s="11">
        <f t="shared" si="40"/>
        <v>238152633.5733141</v>
      </c>
      <c r="P71" s="11">
        <f t="shared" si="40"/>
        <v>146385461.41038066</v>
      </c>
      <c r="Q71" s="11">
        <f t="shared" si="40"/>
        <v>384538094.98369479</v>
      </c>
      <c r="R71" s="125">
        <f t="shared" si="34"/>
        <v>8747874176.4836388</v>
      </c>
    </row>
    <row r="72" spans="1:18" ht="8.25" customHeight="1" x14ac:dyDescent="0.25">
      <c r="R72" s="125">
        <f t="shared" si="34"/>
        <v>0</v>
      </c>
    </row>
    <row r="73" spans="1:18" ht="15" customHeight="1" x14ac:dyDescent="0.25">
      <c r="A73" s="14" t="str">
        <f>'Matriz de Produccion'!A74</f>
        <v>1F00</v>
      </c>
      <c r="B73" s="81" t="str">
        <f>'Matriz de Produccion'!B74:B74</f>
        <v>F - MANO DE OBRA INDIRECTA</v>
      </c>
      <c r="D73" s="82">
        <f>SUM(D74:D86)</f>
        <v>1205789659.0351105</v>
      </c>
      <c r="E73" s="82">
        <f>SUM(E74:E86)</f>
        <v>1244763716.5351105</v>
      </c>
      <c r="G73" s="84">
        <f>SUM(G74:G84)</f>
        <v>526952352.40000004</v>
      </c>
      <c r="H73" s="84">
        <f>SUM(H74:H84)</f>
        <v>52444720.360360362</v>
      </c>
      <c r="I73" s="84">
        <f>SUM(I74:I84)</f>
        <v>579397072.76036048</v>
      </c>
      <c r="K73" s="84">
        <f>SUM(K74:K84)</f>
        <v>351727024.39999998</v>
      </c>
      <c r="L73" s="84">
        <f>SUM(L74:L84)</f>
        <v>32078638.361998364</v>
      </c>
      <c r="M73" s="84">
        <f>SUM(M74:M84)</f>
        <v>383805662.76199841</v>
      </c>
      <c r="O73" s="84">
        <f>SUM(O74:O84)</f>
        <v>175225328</v>
      </c>
      <c r="P73" s="84">
        <f>SUM(P74:P84)</f>
        <v>20366081.998361997</v>
      </c>
      <c r="Q73" s="84">
        <f>SUM(Q74:Q84)</f>
        <v>195591409.998362</v>
      </c>
      <c r="R73" s="125">
        <f t="shared" si="34"/>
        <v>4768141666.6116619</v>
      </c>
    </row>
    <row r="74" spans="1:18" ht="15" customHeight="1" x14ac:dyDescent="0.25">
      <c r="A74" s="14" t="str">
        <f>'Matriz de Produccion'!A75</f>
        <v>1F01</v>
      </c>
      <c r="B74" s="6" t="str">
        <f>VLOOKUP(A74,'Analisis por Categorias'!B:C,2,FALSE)</f>
        <v xml:space="preserve">Staff Superior </v>
      </c>
      <c r="D74" s="5">
        <f>SUMIF(CATEGORIAS[[#All],[SUBGRUPO]],A74,CATEGORIAS[[#All],[PRESUPUESTO
(ORIGINAL)]])</f>
        <v>344918851.26215672</v>
      </c>
      <c r="E74" s="5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350303135.76215672</v>
      </c>
      <c r="G74" s="10">
        <f>+SUMIF(CATEGORIAS[[#All],[SUBGRUPO]],A74,CATEGORIAS[[#All],[COSTO
ACUMULADO  AX]])
+SUMIF(CATEGORIAS[[#All],[SUBGRUPO]],A74,CATEGORIAS[[#All],[CAMBIO DE
CATEGORIA]])</f>
        <v>134468200.86666667</v>
      </c>
      <c r="H74" s="10">
        <f>+SUMIF(CATEGORIAS[[#All],[SUBGRUPO]],A74,CATEGORIAS[[#All],[PROVISIONES]])</f>
        <v>4749692.874692875</v>
      </c>
      <c r="I74" s="10">
        <f t="shared" ref="I74:I86" si="41">G74+H74</f>
        <v>139217893.74135956</v>
      </c>
      <c r="K74" s="10">
        <f>+SUMIF(CATEGORIAS[[#All],[SUBGRUPO]],A74,CATEGORIAS[[#All],[COSTO ACUMULADO
ANTERIOR]])
+SUMIF(CATEGORIAS[[#All],[SUBGRUPO]],A74,CATEGORIAS[[#All],[CAMBIO DE
CATEGORIA
ANTERIOR]])</f>
        <v>83146550.866666675</v>
      </c>
      <c r="L74" s="10">
        <f>+SUMIF(CATEGORIAS[[#All],[SUBGRUPO]],A74,CATEGORIAS[[#All],[PROVISIONES
ANTERIOR]])</f>
        <v>2666359.5413595415</v>
      </c>
      <c r="M74" s="10">
        <f t="shared" ref="M74:M86" si="42">K74+L74</f>
        <v>85812910.408026218</v>
      </c>
      <c r="O74" s="10">
        <f t="shared" ref="O74:O86" si="43">G74-K74</f>
        <v>51321650</v>
      </c>
      <c r="P74" s="10">
        <f t="shared" ref="P74:P86" si="44">H74-L74</f>
        <v>2083333.3333333335</v>
      </c>
      <c r="Q74" s="10">
        <f t="shared" ref="Q74:Q86" si="45">I74-M74</f>
        <v>53404983.333333343</v>
      </c>
      <c r="R74" s="125">
        <f t="shared" si="34"/>
        <v>1252093561.9897516</v>
      </c>
    </row>
    <row r="75" spans="1:18" ht="15" customHeight="1" x14ac:dyDescent="0.25">
      <c r="A75" s="14" t="str">
        <f>'Matriz de Produccion'!A76</f>
        <v>1F02</v>
      </c>
      <c r="B75" s="6" t="str">
        <f>VLOOKUP(A75,'Analisis por Categorias'!B:C,2,FALSE)</f>
        <v xml:space="preserve">Oficina Técnica </v>
      </c>
      <c r="D75" s="5">
        <f>SUMIF(CATEGORIAS[[#All],[SUBGRUPO]],A75,CATEGORIAS[[#All],[PRESUPUESTO
(ORIGINAL)]])</f>
        <v>175799841.54363027</v>
      </c>
      <c r="E75" s="5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181184126.04363027</v>
      </c>
      <c r="G75" s="10">
        <f>+SUMIF(CATEGORIAS[[#All],[SUBGRUPO]],A75,CATEGORIAS[[#All],[COSTO
ACUMULADO  AX]])
+SUMIF(CATEGORIAS[[#All],[SUBGRUPO]],A75,CATEGORIAS[[#All],[CAMBIO DE
CATEGORIA]])</f>
        <v>86316552.466666669</v>
      </c>
      <c r="H75" s="10">
        <f>+SUMIF(CATEGORIAS[[#All],[SUBGRUPO]],A75,CATEGORIAS[[#All],[PROVISIONES]])</f>
        <v>6355343.9803439807</v>
      </c>
      <c r="I75" s="10">
        <f t="shared" si="41"/>
        <v>92671896.447010651</v>
      </c>
      <c r="K75" s="10">
        <f>+SUMIF(CATEGORIAS[[#All],[SUBGRUPO]],A75,CATEGORIAS[[#All],[COSTO ACUMULADO
ANTERIOR]])
+SUMIF(CATEGORIAS[[#All],[SUBGRUPO]],A75,CATEGORIAS[[#All],[CAMBIO DE
CATEGORIA
ANTERIOR]])</f>
        <v>60095011.466666669</v>
      </c>
      <c r="L75" s="10">
        <f>+SUMIF(CATEGORIAS[[#All],[SUBGRUPO]],A75,CATEGORIAS[[#All],[PROVISIONES
ANTERIOR]])</f>
        <v>3794686.7321867328</v>
      </c>
      <c r="M75" s="88">
        <f t="shared" si="42"/>
        <v>63889698.198853403</v>
      </c>
      <c r="O75" s="88">
        <f t="shared" si="43"/>
        <v>26221541</v>
      </c>
      <c r="P75" s="88">
        <f t="shared" si="44"/>
        <v>2560657.2481572479</v>
      </c>
      <c r="Q75" s="88">
        <f t="shared" si="45"/>
        <v>28782198.248157248</v>
      </c>
      <c r="R75" s="125">
        <f t="shared" si="34"/>
        <v>727671553.37530315</v>
      </c>
    </row>
    <row r="76" spans="1:18" ht="15" customHeight="1" x14ac:dyDescent="0.25">
      <c r="A76" s="14" t="str">
        <f>'Matriz de Produccion'!A77</f>
        <v>1F03</v>
      </c>
      <c r="B76" s="6" t="str">
        <f>VLOOKUP(A76,'Analisis por Categorias'!B:C,2,FALSE)</f>
        <v xml:space="preserve">Supervisión </v>
      </c>
      <c r="D76" s="5">
        <f>SUMIF(CATEGORIAS[[#All],[SUBGRUPO]],A76,CATEGORIAS[[#All],[PRESUPUESTO
(ORIGINAL)]])</f>
        <v>101081023.761336</v>
      </c>
      <c r="E76" s="5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107107341.261336</v>
      </c>
      <c r="G76" s="10">
        <f>+SUMIF(CATEGORIAS[[#All],[SUBGRUPO]],A76,CATEGORIAS[[#All],[COSTO
ACUMULADO  AX]])
+SUMIF(CATEGORIAS[[#All],[SUBGRUPO]],A76,CATEGORIAS[[#All],[CAMBIO DE
CATEGORIA]])</f>
        <v>56856905</v>
      </c>
      <c r="H76" s="10">
        <f>+SUMIF(CATEGORIAS[[#All],[SUBGRUPO]],A76,CATEGORIAS[[#All],[PROVISIONES]])</f>
        <v>6629811.6298116306</v>
      </c>
      <c r="I76" s="10">
        <f t="shared" si="41"/>
        <v>63486716.62981163</v>
      </c>
      <c r="K76" s="10">
        <f>+SUMIF(CATEGORIAS[[#All],[SUBGRUPO]],A76,CATEGORIAS[[#All],[COSTO ACUMULADO
ANTERIOR]])
+SUMIF(CATEGORIAS[[#All],[SUBGRUPO]],A76,CATEGORIAS[[#All],[CAMBIO DE
CATEGORIA
ANTERIOR]])</f>
        <v>38706014</v>
      </c>
      <c r="L76" s="10">
        <f>+SUMIF(CATEGORIAS[[#All],[SUBGRUPO]],A76,CATEGORIAS[[#All],[PROVISIONES
ANTERIOR]])</f>
        <v>3645577.3955773958</v>
      </c>
      <c r="M76" s="10">
        <f t="shared" si="42"/>
        <v>42351591.395577393</v>
      </c>
      <c r="O76" s="10">
        <f t="shared" si="43"/>
        <v>18150891</v>
      </c>
      <c r="P76" s="10">
        <f t="shared" si="44"/>
        <v>2984234.2342342348</v>
      </c>
      <c r="Q76" s="10">
        <f t="shared" si="45"/>
        <v>21135125.234234236</v>
      </c>
      <c r="R76" s="125">
        <f t="shared" si="34"/>
        <v>462135231.54191846</v>
      </c>
    </row>
    <row r="77" spans="1:18" ht="15" customHeight="1" x14ac:dyDescent="0.25">
      <c r="A77" s="14" t="str">
        <f>'Matriz de Produccion'!A78</f>
        <v>1F04</v>
      </c>
      <c r="B77" s="6" t="str">
        <f>VLOOKUP(A77,'Analisis por Categorias'!B:C,2,FALSE)</f>
        <v>Prevención de Riesgos</v>
      </c>
      <c r="D77" s="5">
        <f>SUMIF(CATEGORIAS[[#All],[SUBGRUPO]],A77,CATEGORIAS[[#All],[PRESUPUESTO
(ORIGINAL)]])</f>
        <v>141429555.02720675</v>
      </c>
      <c r="E77" s="5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147455872.52720675</v>
      </c>
      <c r="G77" s="10">
        <f>+SUMIF(CATEGORIAS[[#All],[SUBGRUPO]],A77,CATEGORIAS[[#All],[COSTO
ACUMULADO  AX]])
+SUMIF(CATEGORIAS[[#All],[SUBGRUPO]],A77,CATEGORIAS[[#All],[CAMBIO DE
CATEGORIA]])</f>
        <v>54964509</v>
      </c>
      <c r="H77" s="10">
        <f>+SUMIF(CATEGORIAS[[#All],[SUBGRUPO]],A77,CATEGORIAS[[#All],[PROVISIONES]])</f>
        <v>6668714.1687141694</v>
      </c>
      <c r="I77" s="10">
        <f t="shared" si="41"/>
        <v>61633223.168714166</v>
      </c>
      <c r="K77" s="10">
        <f>+SUMIF(CATEGORIAS[[#All],[SUBGRUPO]],A77,CATEGORIAS[[#All],[COSTO ACUMULADO
ANTERIOR]])
+SUMIF(CATEGORIAS[[#All],[SUBGRUPO]],A77,CATEGORIAS[[#All],[CAMBIO DE
CATEGORIA
ANTERIOR]])</f>
        <v>34014097</v>
      </c>
      <c r="L77" s="10">
        <f>+SUMIF(CATEGORIAS[[#All],[SUBGRUPO]],A77,CATEGORIAS[[#All],[PROVISIONES
ANTERIOR]])</f>
        <v>3065110.5651105652</v>
      </c>
      <c r="M77" s="88">
        <f t="shared" si="42"/>
        <v>37079207.565110564</v>
      </c>
      <c r="O77" s="88">
        <f t="shared" si="43"/>
        <v>20950412</v>
      </c>
      <c r="P77" s="88">
        <f t="shared" si="44"/>
        <v>3603603.6036036042</v>
      </c>
      <c r="Q77" s="88">
        <f t="shared" si="45"/>
        <v>24554015.603603601</v>
      </c>
      <c r="R77" s="125">
        <f t="shared" si="34"/>
        <v>535418320.22927016</v>
      </c>
    </row>
    <row r="78" spans="1:18" ht="15" customHeight="1" x14ac:dyDescent="0.25">
      <c r="A78" s="14" t="str">
        <f>'Matriz de Produccion'!A79</f>
        <v>1F05</v>
      </c>
      <c r="B78" s="6" t="str">
        <f>VLOOKUP(A78,'Analisis por Categorias'!B:C,2,FALSE)</f>
        <v xml:space="preserve">Control De Calidad </v>
      </c>
      <c r="D78" s="5">
        <f>SUMIF(CATEGORIAS[[#All],[SUBGRUPO]],A78,CATEGORIAS[[#All],[PRESUPUESTO
(ORIGINAL)]])</f>
        <v>62286053.993973345</v>
      </c>
      <c r="E78" s="5">
        <f>+SUMIF(CATEGORIAS[[#All],[SUBGRUPO]],A78,CATEGORIAS[[#All],[PRODUCCION
PARTIDAS
ORIGINALES
ACTUAL]])
+SUMIF(CATEGORIAS[[#All],[SUBGRUPO]],A78,CATEGORIAS[[#All],[PRODUCCION
ADICIONALES
ACTUAL]])
+SUMIF(CATEGORIAS[[#All],[SUBGRUPO]],A78,CATEGORIAS[[#All],[PROYECCION
DE INGRESO
DEL SALDO]])</f>
        <v>67670338.493973345</v>
      </c>
      <c r="G78" s="10">
        <f>+SUMIF(CATEGORIAS[[#All],[SUBGRUPO]],A78,CATEGORIAS[[#All],[COSTO
ACUMULADO  AX]])
+SUMIF(CATEGORIAS[[#All],[SUBGRUPO]],A78,CATEGORIAS[[#All],[CAMBIO DE
CATEGORIA]])</f>
        <v>24141241</v>
      </c>
      <c r="H78" s="10">
        <f>+SUMIF(CATEGORIAS[[#All],[SUBGRUPO]],A78,CATEGORIAS[[#All],[PROVISIONES]])</f>
        <v>2792792.7927927929</v>
      </c>
      <c r="I78" s="10">
        <f t="shared" si="41"/>
        <v>26934033.792792793</v>
      </c>
      <c r="K78" s="10">
        <f>+SUMIF(CATEGORIAS[[#All],[SUBGRUPO]],A78,CATEGORIAS[[#All],[COSTO ACUMULADO
ANTERIOR]])
+SUMIF(CATEGORIAS[[#All],[SUBGRUPO]],A78,CATEGORIAS[[#All],[CAMBIO DE
CATEGORIA
ANTERIOR]])</f>
        <v>16622874</v>
      </c>
      <c r="L78" s="10">
        <f>+SUMIF(CATEGORIAS[[#All],[SUBGRUPO]],A78,CATEGORIAS[[#All],[PROVISIONES
ANTERIOR]])</f>
        <v>1497747.7477477479</v>
      </c>
      <c r="M78" s="10">
        <f t="shared" si="42"/>
        <v>18120621.747747749</v>
      </c>
      <c r="O78" s="10">
        <f t="shared" si="43"/>
        <v>7518367</v>
      </c>
      <c r="P78" s="10">
        <f t="shared" si="44"/>
        <v>1295045.045045045</v>
      </c>
      <c r="Q78" s="10">
        <f t="shared" si="45"/>
        <v>8813412.0450450443</v>
      </c>
      <c r="R78" s="125">
        <f t="shared" si="34"/>
        <v>237692527.65911788</v>
      </c>
    </row>
    <row r="79" spans="1:18" ht="15" customHeight="1" x14ac:dyDescent="0.25">
      <c r="A79" s="14" t="str">
        <f>'Matriz de Produccion'!A80</f>
        <v>1F06</v>
      </c>
      <c r="B79" s="6" t="str">
        <f>VLOOKUP(A79,'Analisis por Categorias'!B:C,2,FALSE)</f>
        <v xml:space="preserve">Administración </v>
      </c>
      <c r="D79" s="5">
        <f>SUMIF(CATEGORIAS[[#All],[SUBGRUPO]],A79,CATEGORIAS[[#All],[PRESUPUESTO
(ORIGINAL)]])</f>
        <v>50846869.032810956</v>
      </c>
      <c r="E79" s="5">
        <f>+SUMIF(CATEGORIAS[[#All],[SUBGRUPO]],A79,CATEGORIAS[[#All],[PRODUCCION
PARTIDAS
ORIGINALES
ACTUAL]])
+SUMIF(CATEGORIAS[[#All],[SUBGRUPO]],A79,CATEGORIAS[[#All],[PRODUCCION
ADICIONALES
ACTUAL]])
+SUMIF(CATEGORIAS[[#All],[SUBGRUPO]],A79,CATEGORIAS[[#All],[PROYECCION
DE INGRESO
DEL SALDO]])</f>
        <v>56231153.532810956</v>
      </c>
      <c r="G79" s="10">
        <f>+SUMIF(CATEGORIAS[[#All],[SUBGRUPO]],A79,CATEGORIAS[[#All],[COSTO
ACUMULADO  AX]])
+SUMIF(CATEGORIAS[[#All],[SUBGRUPO]],A79,CATEGORIAS[[#All],[CAMBIO DE
CATEGORIA]])</f>
        <v>22187498</v>
      </c>
      <c r="H79" s="10">
        <f>+SUMIF(CATEGORIAS[[#All],[SUBGRUPO]],A79,CATEGORIAS[[#All],[PROVISIONES]])</f>
        <v>2752610.5651105647</v>
      </c>
      <c r="I79" s="10">
        <f t="shared" si="41"/>
        <v>24940108.565110564</v>
      </c>
      <c r="K79" s="10">
        <f>+SUMIF(CATEGORIAS[[#All],[SUBGRUPO]],A79,CATEGORIAS[[#All],[COSTO ACUMULADO
ANTERIOR]])
+SUMIF(CATEGORIAS[[#All],[SUBGRUPO]],A79,CATEGORIAS[[#All],[CAMBIO DE
CATEGORIA
ANTERIOR]])</f>
        <v>16289686</v>
      </c>
      <c r="L79" s="10">
        <f>+SUMIF(CATEGORIAS[[#All],[SUBGRUPO]],A79,CATEGORIAS[[#All],[PROVISIONES
ANTERIOR]])</f>
        <v>1698914.8239148241</v>
      </c>
      <c r="M79" s="88">
        <f t="shared" si="42"/>
        <v>17988600.823914826</v>
      </c>
      <c r="O79" s="88">
        <f t="shared" si="43"/>
        <v>5897812</v>
      </c>
      <c r="P79" s="88">
        <f t="shared" si="44"/>
        <v>1053695.7411957406</v>
      </c>
      <c r="Q79" s="88">
        <f t="shared" si="45"/>
        <v>6951507.7411957383</v>
      </c>
      <c r="R79" s="125">
        <f t="shared" si="34"/>
        <v>206838456.82606417</v>
      </c>
    </row>
    <row r="80" spans="1:18" ht="15" customHeight="1" x14ac:dyDescent="0.25">
      <c r="A80" s="14" t="str">
        <f>'Matriz de Produccion'!A81</f>
        <v>1F07</v>
      </c>
      <c r="B80" s="6" t="str">
        <f>VLOOKUP(A80,'Analisis por Categorias'!B:C,2,FALSE)</f>
        <v xml:space="preserve">Servicios </v>
      </c>
      <c r="D80" s="5">
        <f>SUMIF(CATEGORIAS[[#All],[SUBGRUPO]],A80,CATEGORIAS[[#All],[PRESUPUESTO
(ORIGINAL)]])</f>
        <v>102860837.03514537</v>
      </c>
      <c r="E80" s="5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108245121.53514537</v>
      </c>
      <c r="G80" s="10">
        <f>+SUMIF(CATEGORIAS[[#All],[SUBGRUPO]],A80,CATEGORIAS[[#All],[COSTO
ACUMULADO  AX]])
+SUMIF(CATEGORIAS[[#All],[SUBGRUPO]],A80,CATEGORIAS[[#All],[CAMBIO DE
CATEGORIA]])</f>
        <v>98325115.066666663</v>
      </c>
      <c r="H80" s="10">
        <f>+SUMIF(CATEGORIAS[[#All],[SUBGRUPO]],A80,CATEGORIAS[[#All],[PROVISIONES]])</f>
        <v>11301392.301392302</v>
      </c>
      <c r="I80" s="10">
        <f t="shared" si="41"/>
        <v>109626507.36805896</v>
      </c>
      <c r="K80" s="10">
        <f>+SUMIF(CATEGORIAS[[#All],[SUBGRUPO]],A80,CATEGORIAS[[#All],[COSTO ACUMULADO
ANTERIOR]])
+SUMIF(CATEGORIAS[[#All],[SUBGRUPO]],A80,CATEGORIAS[[#All],[CAMBIO DE
CATEGORIA
ANTERIOR]])</f>
        <v>67903533.066666663</v>
      </c>
      <c r="L80" s="10">
        <f>+SUMIF(CATEGORIAS[[#All],[SUBGRUPO]],A80,CATEGORIAS[[#All],[PROVISIONES
ANTERIOR]])</f>
        <v>6414004.9140049154</v>
      </c>
      <c r="M80" s="88">
        <f t="shared" si="42"/>
        <v>74317537.980671585</v>
      </c>
      <c r="O80" s="88">
        <f t="shared" si="43"/>
        <v>30421582</v>
      </c>
      <c r="P80" s="88">
        <f t="shared" si="44"/>
        <v>4887387.3873873865</v>
      </c>
      <c r="Q80" s="88">
        <f t="shared" si="45"/>
        <v>35308969.38738738</v>
      </c>
      <c r="R80" s="125">
        <f t="shared" si="34"/>
        <v>649611988.04252672</v>
      </c>
    </row>
    <row r="81" spans="1:18" ht="15" customHeight="1" x14ac:dyDescent="0.25">
      <c r="A81" s="14" t="str">
        <f>'Matriz de Produccion'!A82</f>
        <v>1F08</v>
      </c>
      <c r="B81" s="6" t="str">
        <f>VLOOKUP(A81,'Analisis por Categorias'!B:C,2,FALSE)</f>
        <v>Topografia</v>
      </c>
      <c r="D81" s="5">
        <f>SUMIF(CATEGORIAS[[#All],[SUBGRUPO]],A81,CATEGORIAS[[#All],[PRESUPUESTO
(ORIGINAL)]])</f>
        <v>47989913.093136542</v>
      </c>
      <c r="E81" s="5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47989913.093136542</v>
      </c>
      <c r="G81" s="10">
        <f>+SUMIF(CATEGORIAS[[#All],[SUBGRUPO]],A81,CATEGORIAS[[#All],[COSTO
ACUMULADO  AX]])
+SUMIF(CATEGORIAS[[#All],[SUBGRUPO]],A81,CATEGORIAS[[#All],[CAMBIO DE
CATEGORIA]])</f>
        <v>28154823</v>
      </c>
      <c r="H81" s="10">
        <f>+SUMIF(CATEGORIAS[[#All],[SUBGRUPO]],A81,CATEGORIAS[[#All],[PROVISIONES]])</f>
        <v>3235002.0475020478</v>
      </c>
      <c r="I81" s="10">
        <f t="shared" si="41"/>
        <v>31389825.047502048</v>
      </c>
      <c r="K81" s="10">
        <f>+SUMIF(CATEGORIAS[[#All],[SUBGRUPO]],A81,CATEGORIAS[[#All],[COSTO ACUMULADO
ANTERIOR]])
+SUMIF(CATEGORIAS[[#All],[SUBGRUPO]],A81,CATEGORIAS[[#All],[CAMBIO DE
CATEGORIA
ANTERIOR]])</f>
        <v>19050300</v>
      </c>
      <c r="L81" s="10">
        <f>+SUMIF(CATEGORIAS[[#All],[SUBGRUPO]],A81,CATEGORIAS[[#All],[PROVISIONES
ANTERIOR]])</f>
        <v>1704596.6420966422</v>
      </c>
      <c r="M81" s="88">
        <f t="shared" si="42"/>
        <v>20754896.642096642</v>
      </c>
      <c r="O81" s="88">
        <f t="shared" si="43"/>
        <v>9104523</v>
      </c>
      <c r="P81" s="88">
        <f t="shared" si="44"/>
        <v>1530405.4054054057</v>
      </c>
      <c r="Q81" s="88">
        <f t="shared" si="45"/>
        <v>10634928.405405406</v>
      </c>
      <c r="R81" s="125">
        <f t="shared" si="34"/>
        <v>221539126.37628126</v>
      </c>
    </row>
    <row r="82" spans="1:18" ht="15" customHeight="1" x14ac:dyDescent="0.25">
      <c r="A82" s="14" t="str">
        <f>'Matriz de Produccion'!A83</f>
        <v>1F09</v>
      </c>
      <c r="B82" s="6" t="str">
        <f>VLOOKUP(A82,'Analisis por Categorias'!B:C,2,FALSE)</f>
        <v xml:space="preserve">Movilización </v>
      </c>
      <c r="D82" s="5">
        <f>SUMIF(CATEGORIAS[[#All],[SUBGRUPO]],A82,CATEGORIAS[[#All],[PRESUPUESTO
(ORIGINAL)]])</f>
        <v>50970000.000000015</v>
      </c>
      <c r="E82" s="5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50970000.000000015</v>
      </c>
      <c r="G82" s="10">
        <f>+SUMIF(CATEGORIAS[[#All],[SUBGRUPO]],A82,CATEGORIAS[[#All],[COSTO
ACUMULADO  AX]])
+SUMIF(CATEGORIAS[[#All],[SUBGRUPO]],A82,CATEGORIAS[[#All],[CAMBIO DE
CATEGORIA]])</f>
        <v>6114282</v>
      </c>
      <c r="H82" s="10">
        <f>+SUMIF(CATEGORIAS[[#All],[SUBGRUPO]],A82,CATEGORIAS[[#All],[PROVISIONES]])</f>
        <v>3964000</v>
      </c>
      <c r="I82" s="10">
        <f t="shared" si="41"/>
        <v>10078282</v>
      </c>
      <c r="K82" s="10">
        <f>+SUMIF(CATEGORIAS[[#All],[SUBGRUPO]],A82,CATEGORIAS[[#All],[COSTO ACUMULADO
ANTERIOR]])
+SUMIF(CATEGORIAS[[#All],[SUBGRUPO]],A82,CATEGORIAS[[#All],[CAMBIO DE
CATEGORIA
ANTERIOR]])</f>
        <v>5793409</v>
      </c>
      <c r="L82" s="10">
        <f>+SUMIF(CATEGORIAS[[#All],[SUBGRUPO]],A82,CATEGORIAS[[#All],[PROVISIONES
ANTERIOR]])</f>
        <v>3964000</v>
      </c>
      <c r="M82" s="88">
        <f t="shared" si="42"/>
        <v>9757409</v>
      </c>
      <c r="O82" s="88">
        <f t="shared" si="43"/>
        <v>320873</v>
      </c>
      <c r="P82" s="88">
        <f t="shared" si="44"/>
        <v>0</v>
      </c>
      <c r="Q82" s="88">
        <f t="shared" si="45"/>
        <v>320873</v>
      </c>
      <c r="R82" s="125">
        <f t="shared" si="34"/>
        <v>142253128.00000003</v>
      </c>
    </row>
    <row r="83" spans="1:18" ht="15" customHeight="1" x14ac:dyDescent="0.25">
      <c r="A83" s="14" t="str">
        <f>'Matriz de Produccion'!A84</f>
        <v>1F10</v>
      </c>
      <c r="B83" s="6" t="str">
        <f>VLOOKUP(A83,'Analisis por Categorias'!B:C,2,FALSE)</f>
        <v>Hotelería</v>
      </c>
      <c r="D83" s="5">
        <f>SUMIF(CATEGORIAS[[#All],[SUBGRUPO]],A83,CATEGORIAS[[#All],[PRESUPUESTO
(ORIGINAL)]])</f>
        <v>0</v>
      </c>
      <c r="E83" s="5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0</v>
      </c>
      <c r="G83" s="10">
        <f>+SUMIF(CATEGORIAS[[#All],[SUBGRUPO]],A83,CATEGORIAS[[#All],[COSTO
ACUMULADO  AX]])
+SUMIF(CATEGORIAS[[#All],[SUBGRUPO]],A83,CATEGORIAS[[#All],[CAMBIO DE
CATEGORIA]])</f>
        <v>0</v>
      </c>
      <c r="H83" s="10">
        <f>+SUMIF(CATEGORIAS[[#All],[SUBGRUPO]],A83,CATEGORIAS[[#All],[PROVISIONES]])</f>
        <v>0</v>
      </c>
      <c r="I83" s="10">
        <f t="shared" si="41"/>
        <v>0</v>
      </c>
      <c r="K83" s="10">
        <f>+SUMIF(CATEGORIAS[[#All],[SUBGRUPO]],A83,CATEGORIAS[[#All],[COSTO ACUMULADO
ANTERIOR]])
+SUMIF(CATEGORIAS[[#All],[SUBGRUPO]],A83,CATEGORIAS[[#All],[CAMBIO DE
CATEGORIA
ANTERIOR]])</f>
        <v>0</v>
      </c>
      <c r="L83" s="10">
        <f>+SUMIF(CATEGORIAS[[#All],[SUBGRUPO]],A83,CATEGORIAS[[#All],[PROVISIONES
ANTERIOR]])</f>
        <v>0</v>
      </c>
      <c r="M83" s="10">
        <f t="shared" si="42"/>
        <v>0</v>
      </c>
      <c r="O83" s="10">
        <f t="shared" si="43"/>
        <v>0</v>
      </c>
      <c r="P83" s="10">
        <f t="shared" si="44"/>
        <v>0</v>
      </c>
      <c r="Q83" s="10">
        <f t="shared" si="45"/>
        <v>0</v>
      </c>
      <c r="R83" s="125">
        <f t="shared" si="34"/>
        <v>0</v>
      </c>
    </row>
    <row r="84" spans="1:18" ht="15" customHeight="1" x14ac:dyDescent="0.25">
      <c r="A84" s="14" t="str">
        <f>'Matriz de Produccion'!A85</f>
        <v>1F11</v>
      </c>
      <c r="B84" s="6" t="str">
        <f>VLOOKUP(A84,'Analisis por Categorias'!B:C,2,FALSE)</f>
        <v>Alojamiento y Alimentación</v>
      </c>
      <c r="D84" s="5">
        <f>SUMIF(CATEGORIAS[[#All],[SUBGRUPO]],A84,CATEGORIAS[[#All],[PRESUPUESTO
(ORIGINAL)]])</f>
        <v>127606714.28571428</v>
      </c>
      <c r="E84" s="5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127606714.28571428</v>
      </c>
      <c r="G84" s="10">
        <f>+SUMIF(CATEGORIAS[[#All],[SUBGRUPO]],A84,CATEGORIAS[[#All],[COSTO
ACUMULADO  AX]])
+SUMIF(CATEGORIAS[[#All],[SUBGRUPO]],A84,CATEGORIAS[[#All],[CAMBIO DE
CATEGORIA]])</f>
        <v>15423226</v>
      </c>
      <c r="H84" s="10">
        <f>+SUMIF(CATEGORIAS[[#All],[SUBGRUPO]],A84,CATEGORIAS[[#All],[PROVISIONES]])</f>
        <v>3995360</v>
      </c>
      <c r="I84" s="10">
        <f t="shared" si="41"/>
        <v>19418586</v>
      </c>
      <c r="K84" s="10">
        <f>+SUMIF(CATEGORIAS[[#All],[SUBGRUPO]],A84,CATEGORIAS[[#All],[COSTO ACUMULADO
ANTERIOR]])
+SUMIF(CATEGORIAS[[#All],[SUBGRUPO]],A84,CATEGORIAS[[#All],[CAMBIO DE
CATEGORIA
ANTERIOR]])</f>
        <v>10105549</v>
      </c>
      <c r="L84" s="10">
        <f>+SUMIF(CATEGORIAS[[#All],[SUBGRUPO]],A84,CATEGORIAS[[#All],[PROVISIONES
ANTERIOR]])</f>
        <v>3627640</v>
      </c>
      <c r="M84" s="10">
        <f t="shared" si="42"/>
        <v>13733189</v>
      </c>
      <c r="O84" s="10">
        <f t="shared" si="43"/>
        <v>5317677</v>
      </c>
      <c r="P84" s="10">
        <f t="shared" si="44"/>
        <v>367720</v>
      </c>
      <c r="Q84" s="10">
        <f t="shared" si="45"/>
        <v>5685397</v>
      </c>
      <c r="R84" s="125">
        <f t="shared" si="34"/>
        <v>332887772.57142854</v>
      </c>
    </row>
    <row r="85" spans="1:18" ht="15" customHeight="1" x14ac:dyDescent="0.25">
      <c r="A85" s="14" t="str">
        <f>'Matriz de Produccion'!A86</f>
        <v>1F12</v>
      </c>
      <c r="B85" s="6" t="str">
        <f>VLOOKUP(A85,'Analisis por Categorias'!B:C,2,FALSE)</f>
        <v>Provisiones</v>
      </c>
      <c r="D85" s="5">
        <f>SUMIF(CATEGORIAS[[#All],[SUBGRUPO]],A85,CATEGORIAS[[#All],[PRESUPUESTO
(ORIGINAL)]])</f>
        <v>0</v>
      </c>
      <c r="E85" s="5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0</v>
      </c>
      <c r="G85" s="10">
        <f>+SUMIF(CATEGORIAS[[#All],[SUBGRUPO]],A85,CATEGORIAS[[#All],[COSTO
ACUMULADO  AX]])
+SUMIF(CATEGORIAS[[#All],[SUBGRUPO]],A85,CATEGORIAS[[#All],[CAMBIO DE
CATEGORIA]])</f>
        <v>0</v>
      </c>
      <c r="H85" s="10">
        <f>+SUMIF(CATEGORIAS[[#All],[SUBGRUPO]],A85,CATEGORIAS[[#All],[PROVISIONES]])</f>
        <v>0</v>
      </c>
      <c r="I85" s="10">
        <f t="shared" si="41"/>
        <v>0</v>
      </c>
      <c r="K85" s="10">
        <f>+SUMIF(CATEGORIAS[[#All],[SUBGRUPO]],A85,CATEGORIAS[[#All],[COSTO ACUMULADO
ANTERIOR]])
+SUMIF(CATEGORIAS[[#All],[SUBGRUPO]],A85,CATEGORIAS[[#All],[CAMBIO DE
CATEGORIA
ANTERIOR]])</f>
        <v>0</v>
      </c>
      <c r="L85" s="10">
        <f>+SUMIF(CATEGORIAS[[#All],[SUBGRUPO]],A85,CATEGORIAS[[#All],[PROVISIONES
ANTERIOR]])</f>
        <v>0</v>
      </c>
      <c r="M85" s="10">
        <f t="shared" si="42"/>
        <v>0</v>
      </c>
      <c r="O85" s="10">
        <f t="shared" si="43"/>
        <v>0</v>
      </c>
      <c r="P85" s="10">
        <f t="shared" si="44"/>
        <v>0</v>
      </c>
      <c r="Q85" s="10">
        <f t="shared" si="45"/>
        <v>0</v>
      </c>
      <c r="R85" s="125">
        <f t="shared" si="34"/>
        <v>0</v>
      </c>
    </row>
    <row r="86" spans="1:18" ht="15" customHeight="1" x14ac:dyDescent="0.25">
      <c r="A86" s="14" t="str">
        <f>'Matriz de Produccion'!A87</f>
        <v>1F13</v>
      </c>
      <c r="B86" s="6" t="str">
        <f>VLOOKUP(A86,'Analisis por Categorias'!B:C,2,FALSE)</f>
        <v>Otros</v>
      </c>
      <c r="D86" s="5">
        <f>SUMIF(CATEGORIAS[[#All],[SUBGRUPO]],A86,CATEGORIAS[[#All],[PRESUPUESTO
(ORIGINAL)]])</f>
        <v>0</v>
      </c>
      <c r="E86" s="5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0</v>
      </c>
      <c r="G86" s="10">
        <f>+SUMIF(CATEGORIAS[[#All],[SUBGRUPO]],A86,CATEGORIAS[[#All],[COSTO
ACUMULADO  AX]])
+SUMIF(CATEGORIAS[[#All],[SUBGRUPO]],A86,CATEGORIAS[[#All],[CAMBIO DE
CATEGORIA]])</f>
        <v>0</v>
      </c>
      <c r="H86" s="10">
        <f>+SUMIF(CATEGORIAS[[#All],[SUBGRUPO]],A86,CATEGORIAS[[#All],[PROVISIONES]])</f>
        <v>0</v>
      </c>
      <c r="I86" s="10">
        <f t="shared" si="41"/>
        <v>0</v>
      </c>
      <c r="K86" s="10">
        <f>+SUMIF(CATEGORIAS[[#All],[SUBGRUPO]],A86,CATEGORIAS[[#All],[COSTO ACUMULADO
ANTERIOR]])
+SUMIF(CATEGORIAS[[#All],[SUBGRUPO]],A86,CATEGORIAS[[#All],[CAMBIO DE
CATEGORIA
ANTERIOR]])</f>
        <v>0</v>
      </c>
      <c r="L86" s="10">
        <f>+SUMIF(CATEGORIAS[[#All],[SUBGRUPO]],A86,CATEGORIAS[[#All],[PROVISIONES
ANTERIOR]])</f>
        <v>0</v>
      </c>
      <c r="M86" s="10">
        <f t="shared" si="42"/>
        <v>0</v>
      </c>
      <c r="O86" s="10">
        <f t="shared" si="43"/>
        <v>0</v>
      </c>
      <c r="P86" s="10">
        <f t="shared" si="44"/>
        <v>0</v>
      </c>
      <c r="Q86" s="10">
        <f t="shared" si="45"/>
        <v>0</v>
      </c>
      <c r="R86" s="125">
        <f t="shared" si="34"/>
        <v>0</v>
      </c>
    </row>
    <row r="87" spans="1:18" ht="8.25" customHeight="1" x14ac:dyDescent="0.25">
      <c r="R87" s="125">
        <f t="shared" si="34"/>
        <v>0</v>
      </c>
    </row>
    <row r="88" spans="1:18" ht="15" customHeight="1" x14ac:dyDescent="0.25">
      <c r="A88" s="14" t="str">
        <f>'Matriz de Produccion'!A89</f>
        <v>1G00</v>
      </c>
      <c r="B88" s="81" t="str">
        <f>'Matriz de Produccion'!B89:B89</f>
        <v>G - EQUIPOS INDIRECTOS</v>
      </c>
      <c r="D88" s="82">
        <f>SUM(D89:D93)</f>
        <v>90537194.880000025</v>
      </c>
      <c r="E88" s="82">
        <f>SUM(E89:E93)</f>
        <v>90537194.880000025</v>
      </c>
      <c r="G88" s="84">
        <f>SUM(G89:G93)</f>
        <v>19630647</v>
      </c>
      <c r="H88" s="84">
        <f>SUM(H89:H93)</f>
        <v>2500000</v>
      </c>
      <c r="I88" s="84">
        <f>SUM(I89:I93)</f>
        <v>22130647</v>
      </c>
      <c r="K88" s="84">
        <f>SUM(K89:K93)</f>
        <v>13501214</v>
      </c>
      <c r="L88" s="84">
        <f>SUM(L89:L93)</f>
        <v>5354338</v>
      </c>
      <c r="M88" s="84">
        <f>SUM(M89:M93)</f>
        <v>18855552</v>
      </c>
      <c r="O88" s="84">
        <f>SUM(O89:O93)</f>
        <v>6129433</v>
      </c>
      <c r="P88" s="84">
        <f>SUM(P89:P93)</f>
        <v>-2854338</v>
      </c>
      <c r="Q88" s="84">
        <f>SUM(Q89:Q93)</f>
        <v>3275095</v>
      </c>
      <c r="R88" s="125">
        <f t="shared" si="34"/>
        <v>269596977.76000005</v>
      </c>
    </row>
    <row r="89" spans="1:18" ht="15" customHeight="1" x14ac:dyDescent="0.25">
      <c r="A89" s="14" t="str">
        <f>'Matriz de Produccion'!A90</f>
        <v>1G01</v>
      </c>
      <c r="B89" s="6" t="str">
        <f>VLOOKUP(A89,'Analisis por Categorias'!B:C,2,FALSE)</f>
        <v>Camionetas</v>
      </c>
      <c r="D89" s="5">
        <f>SUMIF(CATEGORIAS[[#All],[SUBGRUPO]],A89,CATEGORIAS[[#All],[PRESUPUESTO
(ORIGINAL)]])</f>
        <v>87729840.00000003</v>
      </c>
      <c r="E89" s="5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87729840.00000003</v>
      </c>
      <c r="G89" s="10">
        <f>+SUMIF(CATEGORIAS[[#All],[SUBGRUPO]],A89,CATEGORIAS[[#All],[COSTO
ACUMULADO  AX]])
+SUMIF(CATEGORIAS[[#All],[SUBGRUPO]],A89,CATEGORIAS[[#All],[CAMBIO DE
CATEGORIA]])</f>
        <v>19630647</v>
      </c>
      <c r="H89" s="10">
        <f>+SUMIF(CATEGORIAS[[#All],[SUBGRUPO]],A89,CATEGORIAS[[#All],[PROVISIONES]])</f>
        <v>2500000</v>
      </c>
      <c r="I89" s="10">
        <f>G89+H89</f>
        <v>22130647</v>
      </c>
      <c r="K89" s="10">
        <f>+SUMIF(CATEGORIAS[[#All],[SUBGRUPO]],A89,CATEGORIAS[[#All],[COSTO ACUMULADO
ANTERIOR]])
+SUMIF(CATEGORIAS[[#All],[SUBGRUPO]],A89,CATEGORIAS[[#All],[CAMBIO DE
CATEGORIA
ANTERIOR]])</f>
        <v>13501214</v>
      </c>
      <c r="L89" s="10">
        <f>+SUMIF(CATEGORIAS[[#All],[SUBGRUPO]],A89,CATEGORIAS[[#All],[PROVISIONES
ANTERIOR]])</f>
        <v>5354338</v>
      </c>
      <c r="M89" s="10">
        <f>K89+L89</f>
        <v>18855552</v>
      </c>
      <c r="O89" s="10">
        <f t="shared" ref="O89:Q93" si="46">G89-K89</f>
        <v>6129433</v>
      </c>
      <c r="P89" s="10">
        <f t="shared" si="46"/>
        <v>-2854338</v>
      </c>
      <c r="Q89" s="10">
        <f t="shared" si="46"/>
        <v>3275095</v>
      </c>
      <c r="R89" s="125">
        <f t="shared" si="34"/>
        <v>263982268.00000006</v>
      </c>
    </row>
    <row r="90" spans="1:18" ht="15" customHeight="1" x14ac:dyDescent="0.25">
      <c r="A90" s="14" t="str">
        <f>'Matriz de Produccion'!A91</f>
        <v>1G02</v>
      </c>
      <c r="B90" s="6" t="str">
        <f>VLOOKUP(A90,'Analisis por Categorias'!B:C,2,FALSE)</f>
        <v>Buses, Mini buses, Van y Sprinter</v>
      </c>
      <c r="D90" s="5">
        <f>SUMIF(CATEGORIAS[[#All],[SUBGRUPO]],A90,CATEGORIAS[[#All],[PRESUPUESTO
(ORIGINAL)]])</f>
        <v>0</v>
      </c>
      <c r="E90" s="5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10">
        <f>+SUMIF(CATEGORIAS[[#All],[SUBGRUPO]],A90,CATEGORIAS[[#All],[COSTO
ACUMULADO  AX]])
+SUMIF(CATEGORIAS[[#All],[SUBGRUPO]],A90,CATEGORIAS[[#All],[CAMBIO DE
CATEGORIA]])</f>
        <v>0</v>
      </c>
      <c r="H90" s="10">
        <f>+SUMIF(CATEGORIAS[[#All],[SUBGRUPO]],A90,CATEGORIAS[[#All],[PROVISIONES]])</f>
        <v>0</v>
      </c>
      <c r="I90" s="10">
        <f>G90+H90</f>
        <v>0</v>
      </c>
      <c r="K90" s="10">
        <f>+SUMIF(CATEGORIAS[[#All],[SUBGRUPO]],A90,CATEGORIAS[[#All],[COSTO ACUMULADO
ANTERIOR]])
+SUMIF(CATEGORIAS[[#All],[SUBGRUPO]],A90,CATEGORIAS[[#All],[CAMBIO DE
CATEGORIA
ANTERIOR]])</f>
        <v>0</v>
      </c>
      <c r="L90" s="10">
        <f>+SUMIF(CATEGORIAS[[#All],[SUBGRUPO]],A90,CATEGORIAS[[#All],[PROVISIONES
ANTERIOR]])</f>
        <v>0</v>
      </c>
      <c r="M90" s="10">
        <f>K90+L90</f>
        <v>0</v>
      </c>
      <c r="O90" s="10">
        <f t="shared" si="46"/>
        <v>0</v>
      </c>
      <c r="P90" s="10">
        <f t="shared" si="46"/>
        <v>0</v>
      </c>
      <c r="Q90" s="10">
        <f t="shared" si="46"/>
        <v>0</v>
      </c>
      <c r="R90" s="125">
        <f t="shared" si="34"/>
        <v>0</v>
      </c>
    </row>
    <row r="91" spans="1:18" ht="15" customHeight="1" x14ac:dyDescent="0.25">
      <c r="A91" s="14" t="str">
        <f>'Matriz de Produccion'!A92</f>
        <v>1G03</v>
      </c>
      <c r="B91" s="6" t="str">
        <f>VLOOKUP(A91,'Analisis por Categorias'!B:C,2,FALSE)</f>
        <v xml:space="preserve">Equipo topográfico </v>
      </c>
      <c r="D91" s="5">
        <f>SUMIF(CATEGORIAS[[#All],[SUBGRUPO]],A91,CATEGORIAS[[#All],[PRESUPUESTO
(ORIGINAL)]])</f>
        <v>2807354.88</v>
      </c>
      <c r="E91" s="5">
        <f>+SUMIF(CATEGORIAS[[#All],[SUBGRUPO]],A91,CATEGORIAS[[#All],[PRODUCCION
PARTIDAS
ORIGINALES
ACTUAL]])
+SUMIF(CATEGORIAS[[#All],[SUBGRUPO]],A91,CATEGORIAS[[#All],[PRODUCCION
ADICIONALES
ACTUAL]])
+SUMIF(CATEGORIAS[[#All],[SUBGRUPO]],A91,CATEGORIAS[[#All],[PROYECCION
DE INGRESO
DEL SALDO]])</f>
        <v>2807354.88</v>
      </c>
      <c r="G91" s="10">
        <f>+SUMIF(CATEGORIAS[[#All],[SUBGRUPO]],A91,CATEGORIAS[[#All],[COSTO
ACUMULADO  AX]])
+SUMIF(CATEGORIAS[[#All],[SUBGRUPO]],A91,CATEGORIAS[[#All],[CAMBIO DE
CATEGORIA]])</f>
        <v>0</v>
      </c>
      <c r="H91" s="10">
        <f>+SUMIF(CATEGORIAS[[#All],[SUBGRUPO]],A91,CATEGORIAS[[#All],[PROVISIONES]])</f>
        <v>0</v>
      </c>
      <c r="I91" s="10">
        <f>G91+H91</f>
        <v>0</v>
      </c>
      <c r="K91" s="10">
        <f>+SUMIF(CATEGORIAS[[#All],[SUBGRUPO]],A91,CATEGORIAS[[#All],[COSTO ACUMULADO
ANTERIOR]])
+SUMIF(CATEGORIAS[[#All],[SUBGRUPO]],A91,CATEGORIAS[[#All],[CAMBIO DE
CATEGORIA
ANTERIOR]])</f>
        <v>0</v>
      </c>
      <c r="L91" s="10">
        <f>+SUMIF(CATEGORIAS[[#All],[SUBGRUPO]],A91,CATEGORIAS[[#All],[PROVISIONES
ANTERIOR]])</f>
        <v>0</v>
      </c>
      <c r="M91" s="10">
        <f>K91+L91</f>
        <v>0</v>
      </c>
      <c r="O91" s="10">
        <f t="shared" si="46"/>
        <v>0</v>
      </c>
      <c r="P91" s="10">
        <f t="shared" si="46"/>
        <v>0</v>
      </c>
      <c r="Q91" s="10">
        <f t="shared" si="46"/>
        <v>0</v>
      </c>
      <c r="R91" s="125"/>
    </row>
    <row r="92" spans="1:18" ht="15" customHeight="1" x14ac:dyDescent="0.25">
      <c r="A92" s="14" t="str">
        <f>'Matriz de Produccion'!A93</f>
        <v>1G04</v>
      </c>
      <c r="B92" s="6" t="str">
        <f>VLOOKUP(A92,'Analisis por Categorias'!B:C,2,FALSE)</f>
        <v xml:space="preserve">Combustibles </v>
      </c>
      <c r="D92" s="5">
        <f>SUMIF(CATEGORIAS[[#All],[SUBGRUPO]],A92,CATEGORIAS[[#All],[PRESUPUESTO
(ORIGINAL)]])</f>
        <v>0</v>
      </c>
      <c r="E92" s="5">
        <f>+SUMIF(CATEGORIAS[[#All],[SUBGRUPO]],A92,CATEGORIAS[[#All],[PRODUCCION
PARTIDAS
ORIGINALES
ACTUAL]])
+SUMIF(CATEGORIAS[[#All],[SUBGRUPO]],A92,CATEGORIAS[[#All],[PRODUCCION
ADICIONALES
ACTUAL]])
+SUMIF(CATEGORIAS[[#All],[SUBGRUPO]],A92,CATEGORIAS[[#All],[PROYECCION
DE INGRESO
DEL SALDO]])</f>
        <v>0</v>
      </c>
      <c r="G92" s="10">
        <f>+SUMIF(CATEGORIAS[[#All],[SUBGRUPO]],A92,CATEGORIAS[[#All],[COSTO
ACUMULADO  AX]])
+SUMIF(CATEGORIAS[[#All],[SUBGRUPO]],A92,CATEGORIAS[[#All],[CAMBIO DE
CATEGORIA]])</f>
        <v>0</v>
      </c>
      <c r="H92" s="10">
        <f>+SUMIF(CATEGORIAS[[#All],[SUBGRUPO]],A92,CATEGORIAS[[#All],[PROVISIONES]])</f>
        <v>0</v>
      </c>
      <c r="I92" s="10">
        <f>G92+H92</f>
        <v>0</v>
      </c>
      <c r="K92" s="10">
        <f>+SUMIF(CATEGORIAS[[#All],[SUBGRUPO]],A92,CATEGORIAS[[#All],[COSTO ACUMULADO
ANTERIOR]])
+SUMIF(CATEGORIAS[[#All],[SUBGRUPO]],A92,CATEGORIAS[[#All],[CAMBIO DE
CATEGORIA
ANTERIOR]])</f>
        <v>0</v>
      </c>
      <c r="L92" s="10">
        <f>+SUMIF(CATEGORIAS[[#All],[SUBGRUPO]],A92,CATEGORIAS[[#All],[PROVISIONES
ANTERIOR]])</f>
        <v>0</v>
      </c>
      <c r="M92" s="10">
        <f>K92+L92</f>
        <v>0</v>
      </c>
      <c r="O92" s="10">
        <f t="shared" si="46"/>
        <v>0</v>
      </c>
      <c r="P92" s="10">
        <f t="shared" si="46"/>
        <v>0</v>
      </c>
      <c r="Q92" s="10">
        <f t="shared" si="46"/>
        <v>0</v>
      </c>
      <c r="R92" s="125"/>
    </row>
    <row r="93" spans="1:18" ht="15" customHeight="1" x14ac:dyDescent="0.25">
      <c r="A93" s="14" t="str">
        <f>'Matriz de Produccion'!A94</f>
        <v>1G05</v>
      </c>
      <c r="B93" s="6" t="str">
        <f>VLOOKUP(A93,'Analisis por Categorias'!B:C,2,FALSE)</f>
        <v xml:space="preserve">Otros Equipos </v>
      </c>
      <c r="D93" s="5">
        <f>SUMIF(CATEGORIAS[[#All],[SUBGRUPO]],A93,CATEGORIAS[[#All],[PRESUPUESTO
(ORIGINAL)]])</f>
        <v>0</v>
      </c>
      <c r="E93" s="5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0</v>
      </c>
      <c r="G93" s="10">
        <f>+SUMIF(CATEGORIAS[[#All],[SUBGRUPO]],A93,CATEGORIAS[[#All],[COSTO
ACUMULADO  AX]])
+SUMIF(CATEGORIAS[[#All],[SUBGRUPO]],A93,CATEGORIAS[[#All],[CAMBIO DE
CATEGORIA]])</f>
        <v>0</v>
      </c>
      <c r="H93" s="10">
        <f>+SUMIF(CATEGORIAS[[#All],[SUBGRUPO]],A93,CATEGORIAS[[#All],[PROVISIONES]])</f>
        <v>0</v>
      </c>
      <c r="I93" s="10">
        <f>G93+H93</f>
        <v>0</v>
      </c>
      <c r="K93" s="10">
        <f>+SUMIF(CATEGORIAS[[#All],[SUBGRUPO]],A93,CATEGORIAS[[#All],[COSTO ACUMULADO
ANTERIOR]])
+SUMIF(CATEGORIAS[[#All],[SUBGRUPO]],A93,CATEGORIAS[[#All],[CAMBIO DE
CATEGORIA
ANTERIOR]])</f>
        <v>0</v>
      </c>
      <c r="L93" s="10">
        <f>+SUMIF(CATEGORIAS[[#All],[SUBGRUPO]],A93,CATEGORIAS[[#All],[PROVISIONES
ANTERIOR]])</f>
        <v>0</v>
      </c>
      <c r="M93" s="10">
        <f>K93+L93</f>
        <v>0</v>
      </c>
      <c r="O93" s="10">
        <f t="shared" si="46"/>
        <v>0</v>
      </c>
      <c r="P93" s="10">
        <f t="shared" si="46"/>
        <v>0</v>
      </c>
      <c r="Q93" s="10">
        <f t="shared" si="46"/>
        <v>0</v>
      </c>
      <c r="R93" s="125"/>
    </row>
    <row r="94" spans="1:18" ht="8.25" customHeight="1" x14ac:dyDescent="0.25">
      <c r="R94" s="125">
        <f t="shared" ref="R94:R125" si="47">SUM(D94:Q94)</f>
        <v>0</v>
      </c>
    </row>
    <row r="95" spans="1:18" ht="15" customHeight="1" x14ac:dyDescent="0.25">
      <c r="A95" s="14" t="str">
        <f>'Matriz de Produccion'!A96</f>
        <v>1H00</v>
      </c>
      <c r="B95" s="81" t="str">
        <f>'Matriz de Produccion'!B96:B96</f>
        <v>H - INSTALACIÓN DE FAENAS</v>
      </c>
      <c r="D95" s="82">
        <f>SUM(D96:D105)</f>
        <v>164811573.62139496</v>
      </c>
      <c r="E95" s="82">
        <f>SUM(E96:E105)</f>
        <v>166757070.55323496</v>
      </c>
      <c r="G95" s="84">
        <f>SUM(G96:G105)</f>
        <v>44396032</v>
      </c>
      <c r="H95" s="84">
        <f>SUM(H96:H105)</f>
        <v>293003</v>
      </c>
      <c r="I95" s="84">
        <f>SUM(I96:I105)</f>
        <v>44689035</v>
      </c>
      <c r="K95" s="84">
        <f>SUM(K96:K105)</f>
        <v>21680687</v>
      </c>
      <c r="L95" s="84">
        <f>SUM(L96:L105)</f>
        <v>408000</v>
      </c>
      <c r="M95" s="84">
        <f>SUM(M96:M105)</f>
        <v>22088687</v>
      </c>
      <c r="O95" s="84">
        <f>SUM(O96:O105)</f>
        <v>22715345</v>
      </c>
      <c r="P95" s="84">
        <f>SUM(P96:P105)</f>
        <v>-114997</v>
      </c>
      <c r="Q95" s="84">
        <f>SUM(Q96:Q105)</f>
        <v>22600348</v>
      </c>
      <c r="R95" s="125">
        <f t="shared" si="47"/>
        <v>510324784.17462993</v>
      </c>
    </row>
    <row r="96" spans="1:18" ht="15" customHeight="1" x14ac:dyDescent="0.25">
      <c r="A96" s="14" t="str">
        <f>'Matriz de Produccion'!A97</f>
        <v>1H01</v>
      </c>
      <c r="B96" s="6" t="str">
        <f>VLOOKUP(A96,'Analisis por Categorias'!B:C,2,FALSE)</f>
        <v>Mano De Obra</v>
      </c>
      <c r="D96" s="5">
        <f>SUMIF(CATEGORIAS[[#All],[SUBGRUPO]],A96,CATEGORIAS[[#All],[PRESUPUESTO
(ORIGINAL)]])</f>
        <v>10998290.191088844</v>
      </c>
      <c r="E96" s="5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10998290.191088844</v>
      </c>
      <c r="G96" s="10">
        <f>+SUMIF(CATEGORIAS[[#All],[SUBGRUPO]],A96,CATEGORIAS[[#All],[COSTO
ACUMULADO  AX]])
+SUMIF(CATEGORIAS[[#All],[SUBGRUPO]],A96,CATEGORIAS[[#All],[CAMBIO DE
CATEGORIA]])</f>
        <v>12194049</v>
      </c>
      <c r="H96" s="10">
        <f>+SUMIF(CATEGORIAS[[#All],[SUBGRUPO]],A96,CATEGORIAS[[#All],[PROVISIONES]])</f>
        <v>0</v>
      </c>
      <c r="I96" s="10">
        <f t="shared" ref="I96:I105" si="48">G96+H96</f>
        <v>12194049</v>
      </c>
      <c r="K96" s="10">
        <f>+SUMIF(CATEGORIAS[[#All],[SUBGRUPO]],A96,CATEGORIAS[[#All],[COSTO ACUMULADO
ANTERIOR]])
+SUMIF(CATEGORIAS[[#All],[SUBGRUPO]],A96,CATEGORIAS[[#All],[CAMBIO DE
CATEGORIA
ANTERIOR]])</f>
        <v>0</v>
      </c>
      <c r="L96" s="10">
        <f>+SUMIF(CATEGORIAS[[#All],[SUBGRUPO]],A96,CATEGORIAS[[#All],[PROVISIONES
ANTERIOR]])</f>
        <v>0</v>
      </c>
      <c r="M96" s="10">
        <f t="shared" ref="M96:M105" si="49">K96+L96</f>
        <v>0</v>
      </c>
      <c r="O96" s="10">
        <f t="shared" ref="O96:O105" si="50">G96-K96</f>
        <v>12194049</v>
      </c>
      <c r="P96" s="10">
        <f t="shared" ref="P96:P105" si="51">H96-L96</f>
        <v>0</v>
      </c>
      <c r="Q96" s="10">
        <f t="shared" ref="Q96:Q105" si="52">I96-M96</f>
        <v>12194049</v>
      </c>
      <c r="R96" s="125">
        <f t="shared" si="47"/>
        <v>70772776.382177681</v>
      </c>
    </row>
    <row r="97" spans="1:18" ht="15" customHeight="1" x14ac:dyDescent="0.25">
      <c r="A97" s="14" t="str">
        <f>'Matriz de Produccion'!A98</f>
        <v>1H02</v>
      </c>
      <c r="B97" s="6" t="str">
        <f>VLOOKUP(A97,'Analisis por Categorias'!B:C,2,FALSE)</f>
        <v xml:space="preserve">Containers </v>
      </c>
      <c r="D97" s="5">
        <f>SUMIF(CATEGORIAS[[#All],[SUBGRUPO]],A97,CATEGORIAS[[#All],[PRESUPUESTO
(ORIGINAL)]])</f>
        <v>24060000</v>
      </c>
      <c r="E97" s="5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24060000</v>
      </c>
      <c r="G97" s="10">
        <f>+SUMIF(CATEGORIAS[[#All],[SUBGRUPO]],A97,CATEGORIAS[[#All],[COSTO
ACUMULADO  AX]])
+SUMIF(CATEGORIAS[[#All],[SUBGRUPO]],A97,CATEGORIAS[[#All],[CAMBIO DE
CATEGORIA]])</f>
        <v>12168294</v>
      </c>
      <c r="H97" s="10">
        <f>+SUMIF(CATEGORIAS[[#All],[SUBGRUPO]],A97,CATEGORIAS[[#All],[PROVISIONES]])</f>
        <v>150000</v>
      </c>
      <c r="I97" s="10">
        <f t="shared" si="48"/>
        <v>12318294</v>
      </c>
      <c r="K97" s="10">
        <f>+SUMIF(CATEGORIAS[[#All],[SUBGRUPO]],A97,CATEGORIAS[[#All],[COSTO ACUMULADO
ANTERIOR]])
+SUMIF(CATEGORIAS[[#All],[SUBGRUPO]],A97,CATEGORIAS[[#All],[CAMBIO DE
CATEGORIA
ANTERIOR]])</f>
        <v>7398452</v>
      </c>
      <c r="L97" s="10">
        <f>+SUMIF(CATEGORIAS[[#All],[SUBGRUPO]],A97,CATEGORIAS[[#All],[PROVISIONES
ANTERIOR]])</f>
        <v>180000</v>
      </c>
      <c r="M97" s="10">
        <f t="shared" si="49"/>
        <v>7578452</v>
      </c>
      <c r="O97" s="10">
        <f t="shared" si="50"/>
        <v>4769842</v>
      </c>
      <c r="P97" s="10">
        <f t="shared" si="51"/>
        <v>-30000</v>
      </c>
      <c r="Q97" s="10">
        <f t="shared" si="52"/>
        <v>4739842</v>
      </c>
      <c r="R97" s="125">
        <f t="shared" si="47"/>
        <v>97393176</v>
      </c>
    </row>
    <row r="98" spans="1:18" ht="15" customHeight="1" x14ac:dyDescent="0.25">
      <c r="A98" s="14" t="str">
        <f>'Matriz de Produccion'!A99</f>
        <v>1H03</v>
      </c>
      <c r="B98" s="6" t="str">
        <f>VLOOKUP(A98,'Analisis por Categorias'!B:C,2,FALSE)</f>
        <v xml:space="preserve">Materiales </v>
      </c>
      <c r="D98" s="5">
        <f>SUMIF(CATEGORIAS[[#All],[SUBGRUPO]],A98,CATEGORIAS[[#All],[PRESUPUESTO
(ORIGINAL)]])</f>
        <v>33295000</v>
      </c>
      <c r="E98" s="5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33295000</v>
      </c>
      <c r="G98" s="10">
        <f>+SUMIF(CATEGORIAS[[#All],[SUBGRUPO]],A98,CATEGORIAS[[#All],[COSTO
ACUMULADO  AX]])
+SUMIF(CATEGORIAS[[#All],[SUBGRUPO]],A98,CATEGORIAS[[#All],[CAMBIO DE
CATEGORIA]])</f>
        <v>10570940</v>
      </c>
      <c r="H98" s="10">
        <f>+SUMIF(CATEGORIAS[[#All],[SUBGRUPO]],A98,CATEGORIAS[[#All],[PROVISIONES]])</f>
        <v>0</v>
      </c>
      <c r="I98" s="10">
        <f t="shared" si="48"/>
        <v>10570940</v>
      </c>
      <c r="K98" s="10">
        <f>+SUMIF(CATEGORIAS[[#All],[SUBGRUPO]],A98,CATEGORIAS[[#All],[COSTO ACUMULADO
ANTERIOR]])
+SUMIF(CATEGORIAS[[#All],[SUBGRUPO]],A98,CATEGORIAS[[#All],[CAMBIO DE
CATEGORIA
ANTERIOR]])</f>
        <v>10213669</v>
      </c>
      <c r="L98" s="10">
        <f>+SUMIF(CATEGORIAS[[#All],[SUBGRUPO]],A98,CATEGORIAS[[#All],[PROVISIONES
ANTERIOR]])</f>
        <v>0</v>
      </c>
      <c r="M98" s="10">
        <f t="shared" si="49"/>
        <v>10213669</v>
      </c>
      <c r="O98" s="10">
        <f t="shared" si="50"/>
        <v>357271</v>
      </c>
      <c r="P98" s="10">
        <f t="shared" si="51"/>
        <v>0</v>
      </c>
      <c r="Q98" s="10">
        <f t="shared" si="52"/>
        <v>357271</v>
      </c>
      <c r="R98" s="125">
        <f t="shared" si="47"/>
        <v>108873760</v>
      </c>
    </row>
    <row r="99" spans="1:18" ht="15" customHeight="1" x14ac:dyDescent="0.25">
      <c r="A99" s="14" t="str">
        <f>'Matriz de Produccion'!A100</f>
        <v>1H04</v>
      </c>
      <c r="B99" s="6" t="str">
        <f>VLOOKUP(A99,'Analisis por Categorias'!B:C,2,FALSE)</f>
        <v xml:space="preserve">Energía Eléctrica </v>
      </c>
      <c r="D99" s="5">
        <f>SUMIF(CATEGORIAS[[#All],[SUBGRUPO]],A99,CATEGORIAS[[#All],[PRESUPUESTO
(ORIGINAL)]])</f>
        <v>31512000</v>
      </c>
      <c r="E99" s="5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33457496.931840003</v>
      </c>
      <c r="G99" s="10">
        <f>+SUMIF(CATEGORIAS[[#All],[SUBGRUPO]],A99,CATEGORIAS[[#All],[COSTO
ACUMULADO  AX]])
+SUMIF(CATEGORIAS[[#All],[SUBGRUPO]],A99,CATEGORIAS[[#All],[CAMBIO DE
CATEGORIA]])</f>
        <v>4618840</v>
      </c>
      <c r="H99" s="10">
        <f>+SUMIF(CATEGORIAS[[#All],[SUBGRUPO]],A99,CATEGORIAS[[#All],[PROVISIONES]])</f>
        <v>318000</v>
      </c>
      <c r="I99" s="10">
        <f t="shared" si="48"/>
        <v>4936840</v>
      </c>
      <c r="K99" s="10">
        <f>+SUMIF(CATEGORIAS[[#All],[SUBGRUPO]],A99,CATEGORIAS[[#All],[COSTO ACUMULADO
ANTERIOR]])
+SUMIF(CATEGORIAS[[#All],[SUBGRUPO]],A99,CATEGORIAS[[#All],[CAMBIO DE
CATEGORIA
ANTERIOR]])</f>
        <v>1930840</v>
      </c>
      <c r="L99" s="10">
        <f>+SUMIF(CATEGORIAS[[#All],[SUBGRUPO]],A99,CATEGORIAS[[#All],[PROVISIONES
ANTERIOR]])</f>
        <v>228000</v>
      </c>
      <c r="M99" s="10">
        <f t="shared" si="49"/>
        <v>2158840</v>
      </c>
      <c r="O99" s="10">
        <f t="shared" si="50"/>
        <v>2688000</v>
      </c>
      <c r="P99" s="10">
        <f t="shared" si="51"/>
        <v>90000</v>
      </c>
      <c r="Q99" s="10">
        <f t="shared" si="52"/>
        <v>2778000</v>
      </c>
      <c r="R99" s="125">
        <f t="shared" si="47"/>
        <v>84716856.931840003</v>
      </c>
    </row>
    <row r="100" spans="1:18" ht="15" customHeight="1" x14ac:dyDescent="0.25">
      <c r="A100" s="14" t="str">
        <f>'Matriz de Produccion'!A101</f>
        <v>1H05</v>
      </c>
      <c r="B100" s="6" t="str">
        <f>VLOOKUP(A100,'Analisis por Categorias'!B:C,2,FALSE)</f>
        <v xml:space="preserve">Mobiliario </v>
      </c>
      <c r="D100" s="5">
        <f>SUMIF(CATEGORIAS[[#All],[SUBGRUPO]],A100,CATEGORIAS[[#All],[PRESUPUESTO
(ORIGINAL)]])</f>
        <v>3695000.0000000005</v>
      </c>
      <c r="E100" s="5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3695000.0000000005</v>
      </c>
      <c r="G100" s="10">
        <f>+SUMIF(CATEGORIAS[[#All],[SUBGRUPO]],A100,CATEGORIAS[[#All],[COSTO
ACUMULADO  AX]])
+SUMIF(CATEGORIAS[[#All],[SUBGRUPO]],A100,CATEGORIAS[[#All],[CAMBIO DE
CATEGORIA]])</f>
        <v>1378909</v>
      </c>
      <c r="H100" s="10">
        <f>+SUMIF(CATEGORIAS[[#All],[SUBGRUPO]],A100,CATEGORIAS[[#All],[PROVISIONES]])</f>
        <v>0</v>
      </c>
      <c r="I100" s="10">
        <f t="shared" si="48"/>
        <v>1378909</v>
      </c>
      <c r="K100" s="10">
        <f>+SUMIF(CATEGORIAS[[#All],[SUBGRUPO]],A100,CATEGORIAS[[#All],[COSTO ACUMULADO
ANTERIOR]])
+SUMIF(CATEGORIAS[[#All],[SUBGRUPO]],A100,CATEGORIAS[[#All],[CAMBIO DE
CATEGORIA
ANTERIOR]])</f>
        <v>422726</v>
      </c>
      <c r="L100" s="10">
        <f>+SUMIF(CATEGORIAS[[#All],[SUBGRUPO]],A100,CATEGORIAS[[#All],[PROVISIONES
ANTERIOR]])</f>
        <v>0</v>
      </c>
      <c r="M100" s="10">
        <f t="shared" si="49"/>
        <v>422726</v>
      </c>
      <c r="O100" s="10">
        <f t="shared" si="50"/>
        <v>956183</v>
      </c>
      <c r="P100" s="10">
        <f t="shared" si="51"/>
        <v>0</v>
      </c>
      <c r="Q100" s="10">
        <f t="shared" si="52"/>
        <v>956183</v>
      </c>
      <c r="R100" s="125">
        <f t="shared" si="47"/>
        <v>12905636</v>
      </c>
    </row>
    <row r="101" spans="1:18" ht="15" customHeight="1" x14ac:dyDescent="0.25">
      <c r="A101" s="14" t="str">
        <f>'Matriz de Produccion'!A102</f>
        <v>1H06</v>
      </c>
      <c r="B101" s="6" t="str">
        <f>VLOOKUP(A101,'Analisis por Categorias'!B:C,2,FALSE)</f>
        <v xml:space="preserve">Baños Químicos </v>
      </c>
      <c r="D101" s="5">
        <f>SUMIF(CATEGORIAS[[#All],[SUBGRUPO]],A101,CATEGORIAS[[#All],[PRESUPUESTO
(ORIGINAL)]])</f>
        <v>28435644.852235559</v>
      </c>
      <c r="E101" s="5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28435644.852235559</v>
      </c>
      <c r="G101" s="10">
        <f>+SUMIF(CATEGORIAS[[#All],[SUBGRUPO]],A101,CATEGORIAS[[#All],[COSTO
ACUMULADO  AX]])
+SUMIF(CATEGORIAS[[#All],[SUBGRUPO]],A101,CATEGORIAS[[#All],[CAMBIO DE
CATEGORIA]])</f>
        <v>3465000</v>
      </c>
      <c r="H101" s="10">
        <f>+SUMIF(CATEGORIAS[[#All],[SUBGRUPO]],A101,CATEGORIAS[[#All],[PROVISIONES]])</f>
        <v>-174997</v>
      </c>
      <c r="I101" s="10">
        <f t="shared" si="48"/>
        <v>3290003</v>
      </c>
      <c r="K101" s="10">
        <f>+SUMIF(CATEGORIAS[[#All],[SUBGRUPO]],A101,CATEGORIAS[[#All],[COSTO ACUMULADO
ANTERIOR]])
+SUMIF(CATEGORIAS[[#All],[SUBGRUPO]],A101,CATEGORIAS[[#All],[CAMBIO DE
CATEGORIA
ANTERIOR]])</f>
        <v>1715000</v>
      </c>
      <c r="L101" s="10">
        <f>+SUMIF(CATEGORIAS[[#All],[SUBGRUPO]],A101,CATEGORIAS[[#All],[PROVISIONES
ANTERIOR]])</f>
        <v>0</v>
      </c>
      <c r="M101" s="10">
        <f t="shared" si="49"/>
        <v>1715000</v>
      </c>
      <c r="O101" s="10">
        <f t="shared" si="50"/>
        <v>1750000</v>
      </c>
      <c r="P101" s="10">
        <f t="shared" si="51"/>
        <v>-174997</v>
      </c>
      <c r="Q101" s="10">
        <f t="shared" si="52"/>
        <v>1575003</v>
      </c>
      <c r="R101" s="125">
        <f t="shared" si="47"/>
        <v>70031301.704471111</v>
      </c>
    </row>
    <row r="102" spans="1:18" ht="15" customHeight="1" x14ac:dyDescent="0.25">
      <c r="A102" s="14" t="str">
        <f>'Matriz de Produccion'!A103</f>
        <v>1H07</v>
      </c>
      <c r="B102" s="6" t="str">
        <f>VLOOKUP(A102,'Analisis por Categorias'!B:C,2,FALSE)</f>
        <v>Servicios Básicos (Luz, Agua, Gas)</v>
      </c>
      <c r="D102" s="5">
        <f>SUMIF(CATEGORIAS[[#All],[SUBGRUPO]],A102,CATEGORIAS[[#All],[PRESUPUESTO
(ORIGINAL)]])</f>
        <v>8500000</v>
      </c>
      <c r="E102" s="5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8500000</v>
      </c>
      <c r="G102" s="10">
        <f>+SUMIF(CATEGORIAS[[#All],[SUBGRUPO]],A102,CATEGORIAS[[#All],[COSTO
ACUMULADO  AX]])
+SUMIF(CATEGORIAS[[#All],[SUBGRUPO]],A102,CATEGORIAS[[#All],[CAMBIO DE
CATEGORIA]])</f>
        <v>0</v>
      </c>
      <c r="H102" s="10">
        <f>+SUMIF(CATEGORIAS[[#All],[SUBGRUPO]],A102,CATEGORIAS[[#All],[PROVISIONES]])</f>
        <v>0</v>
      </c>
      <c r="I102" s="10">
        <f t="shared" si="48"/>
        <v>0</v>
      </c>
      <c r="K102" s="10">
        <f>+SUMIF(CATEGORIAS[[#All],[SUBGRUPO]],A102,CATEGORIAS[[#All],[COSTO ACUMULADO
ANTERIOR]])
+SUMIF(CATEGORIAS[[#All],[SUBGRUPO]],A102,CATEGORIAS[[#All],[CAMBIO DE
CATEGORIA
ANTERIOR]])</f>
        <v>0</v>
      </c>
      <c r="L102" s="10">
        <f>+SUMIF(CATEGORIAS[[#All],[SUBGRUPO]],A102,CATEGORIAS[[#All],[PROVISIONES
ANTERIOR]])</f>
        <v>0</v>
      </c>
      <c r="M102" s="10">
        <f t="shared" si="49"/>
        <v>0</v>
      </c>
      <c r="O102" s="10">
        <f t="shared" si="50"/>
        <v>0</v>
      </c>
      <c r="P102" s="10">
        <f t="shared" si="51"/>
        <v>0</v>
      </c>
      <c r="Q102" s="10">
        <f t="shared" si="52"/>
        <v>0</v>
      </c>
      <c r="R102" s="125">
        <f t="shared" si="47"/>
        <v>17000000</v>
      </c>
    </row>
    <row r="103" spans="1:18" ht="15" customHeight="1" x14ac:dyDescent="0.25">
      <c r="A103" s="14" t="str">
        <f>'Matriz de Produccion'!A104</f>
        <v>1H08</v>
      </c>
      <c r="B103" s="6" t="str">
        <f>VLOOKUP(A103,'Analisis por Categorias'!B:C,2,FALSE)</f>
        <v xml:space="preserve">Fletes </v>
      </c>
      <c r="D103" s="5">
        <f>SUMIF(CATEGORIAS[[#All],[SUBGRUPO]],A103,CATEGORIAS[[#All],[PRESUPUESTO
(ORIGINAL)]])</f>
        <v>16315638.578070559</v>
      </c>
      <c r="E103" s="5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16315638.578070559</v>
      </c>
      <c r="G103" s="10">
        <f>+SUMIF(CATEGORIAS[[#All],[SUBGRUPO]],A103,CATEGORIAS[[#All],[COSTO
ACUMULADO  AX]])
+SUMIF(CATEGORIAS[[#All],[SUBGRUPO]],A103,CATEGORIAS[[#All],[CAMBIO DE
CATEGORIA]])</f>
        <v>0</v>
      </c>
      <c r="H103" s="10">
        <f>+SUMIF(CATEGORIAS[[#All],[SUBGRUPO]],A103,CATEGORIAS[[#All],[PROVISIONES]])</f>
        <v>0</v>
      </c>
      <c r="I103" s="10">
        <f t="shared" si="48"/>
        <v>0</v>
      </c>
      <c r="K103" s="10">
        <f>+SUMIF(CATEGORIAS[[#All],[SUBGRUPO]],A103,CATEGORIAS[[#All],[COSTO ACUMULADO
ANTERIOR]])
+SUMIF(CATEGORIAS[[#All],[SUBGRUPO]],A103,CATEGORIAS[[#All],[CAMBIO DE
CATEGORIA
ANTERIOR]])</f>
        <v>0</v>
      </c>
      <c r="L103" s="10">
        <f>+SUMIF(CATEGORIAS[[#All],[SUBGRUPO]],A103,CATEGORIAS[[#All],[PROVISIONES
ANTERIOR]])</f>
        <v>0</v>
      </c>
      <c r="M103" s="10">
        <f t="shared" si="49"/>
        <v>0</v>
      </c>
      <c r="O103" s="10">
        <f t="shared" si="50"/>
        <v>0</v>
      </c>
      <c r="P103" s="10">
        <f t="shared" si="51"/>
        <v>0</v>
      </c>
      <c r="Q103" s="10">
        <f t="shared" si="52"/>
        <v>0</v>
      </c>
      <c r="R103" s="125">
        <f t="shared" si="47"/>
        <v>32631277.156141117</v>
      </c>
    </row>
    <row r="104" spans="1:18" ht="15" customHeight="1" x14ac:dyDescent="0.25">
      <c r="A104" s="14" t="str">
        <f>'Matriz de Produccion'!A105</f>
        <v>1H09</v>
      </c>
      <c r="B104" s="6" t="str">
        <f>VLOOKUP(A104,'Analisis por Categorias'!B:C,2,FALSE)</f>
        <v xml:space="preserve">Combustibles </v>
      </c>
      <c r="D104" s="5">
        <f>SUMIF(CATEGORIAS[[#All],[SUBGRUPO]],A104,CATEGORIAS[[#All],[PRESUPUESTO
(ORIGINAL)]])</f>
        <v>0</v>
      </c>
      <c r="E104" s="5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10">
        <f>+SUMIF(CATEGORIAS[[#All],[SUBGRUPO]],A104,CATEGORIAS[[#All],[COSTO
ACUMULADO  AX]])
+SUMIF(CATEGORIAS[[#All],[SUBGRUPO]],A104,CATEGORIAS[[#All],[CAMBIO DE
CATEGORIA]])</f>
        <v>0</v>
      </c>
      <c r="H104" s="10">
        <f>+SUMIF(CATEGORIAS[[#All],[SUBGRUPO]],A104,CATEGORIAS[[#All],[PROVISIONES]])</f>
        <v>0</v>
      </c>
      <c r="I104" s="10">
        <f t="shared" si="48"/>
        <v>0</v>
      </c>
      <c r="K104" s="10">
        <f>+SUMIF(CATEGORIAS[[#All],[SUBGRUPO]],A104,CATEGORIAS[[#All],[COSTO ACUMULADO
ANTERIOR]])
+SUMIF(CATEGORIAS[[#All],[SUBGRUPO]],A104,CATEGORIAS[[#All],[CAMBIO DE
CATEGORIA
ANTERIOR]])</f>
        <v>0</v>
      </c>
      <c r="L104" s="10">
        <f>+SUMIF(CATEGORIAS[[#All],[SUBGRUPO]],A104,CATEGORIAS[[#All],[PROVISIONES
ANTERIOR]])</f>
        <v>0</v>
      </c>
      <c r="M104" s="10">
        <f t="shared" si="49"/>
        <v>0</v>
      </c>
      <c r="O104" s="10">
        <f t="shared" si="50"/>
        <v>0</v>
      </c>
      <c r="P104" s="10">
        <f t="shared" si="51"/>
        <v>0</v>
      </c>
      <c r="Q104" s="10">
        <f t="shared" si="52"/>
        <v>0</v>
      </c>
      <c r="R104" s="125">
        <f t="shared" si="47"/>
        <v>0</v>
      </c>
    </row>
    <row r="105" spans="1:18" ht="15" customHeight="1" x14ac:dyDescent="0.25">
      <c r="A105" s="14" t="str">
        <f>'Matriz de Produccion'!A106</f>
        <v>1H10</v>
      </c>
      <c r="B105" s="6" t="str">
        <f>VLOOKUP(A105,'Analisis por Categorias'!B:C,2,FALSE)</f>
        <v xml:space="preserve">Permisos De Construcción </v>
      </c>
      <c r="D105" s="5">
        <f>SUMIF(CATEGORIAS[[#All],[SUBGRUPO]],A105,CATEGORIAS[[#All],[PRESUPUESTO
(ORIGINAL)]])</f>
        <v>8000000.0000000019</v>
      </c>
      <c r="E105" s="5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8000000.0000000019</v>
      </c>
      <c r="G105" s="10">
        <f>+SUMIF(CATEGORIAS[[#All],[SUBGRUPO]],A105,CATEGORIAS[[#All],[COSTO
ACUMULADO  AX]])
+SUMIF(CATEGORIAS[[#All],[SUBGRUPO]],A105,CATEGORIAS[[#All],[CAMBIO DE
CATEGORIA]])</f>
        <v>0</v>
      </c>
      <c r="H105" s="10">
        <f>+SUMIF(CATEGORIAS[[#All],[SUBGRUPO]],A105,CATEGORIAS[[#All],[PROVISIONES]])</f>
        <v>0</v>
      </c>
      <c r="I105" s="10">
        <f t="shared" si="48"/>
        <v>0</v>
      </c>
      <c r="K105" s="10">
        <f>+SUMIF(CATEGORIAS[[#All],[SUBGRUPO]],A105,CATEGORIAS[[#All],[COSTO ACUMULADO
ANTERIOR]])
+SUMIF(CATEGORIAS[[#All],[SUBGRUPO]],A105,CATEGORIAS[[#All],[CAMBIO DE
CATEGORIA
ANTERIOR]])</f>
        <v>0</v>
      </c>
      <c r="L105" s="10">
        <f>+SUMIF(CATEGORIAS[[#All],[SUBGRUPO]],A105,CATEGORIAS[[#All],[PROVISIONES
ANTERIOR]])</f>
        <v>0</v>
      </c>
      <c r="M105" s="10">
        <f t="shared" si="49"/>
        <v>0</v>
      </c>
      <c r="O105" s="10">
        <f t="shared" si="50"/>
        <v>0</v>
      </c>
      <c r="P105" s="10">
        <f t="shared" si="51"/>
        <v>0</v>
      </c>
      <c r="Q105" s="10">
        <f t="shared" si="52"/>
        <v>0</v>
      </c>
      <c r="R105" s="125">
        <f t="shared" si="47"/>
        <v>16000000.000000004</v>
      </c>
    </row>
    <row r="106" spans="1:18" ht="8.25" customHeight="1" x14ac:dyDescent="0.25">
      <c r="R106" s="125">
        <f t="shared" si="47"/>
        <v>0</v>
      </c>
    </row>
    <row r="107" spans="1:18" ht="14.25" customHeight="1" x14ac:dyDescent="0.25">
      <c r="A107" s="14" t="str">
        <f>'Matriz de Produccion'!A108</f>
        <v>1I00</v>
      </c>
      <c r="B107" s="81" t="str">
        <f>'Matriz de Produccion'!B108:B108</f>
        <v>I - GASTOS GENERALES</v>
      </c>
      <c r="D107" s="82">
        <f>SUM(D108:D119)</f>
        <v>235079922.81330013</v>
      </c>
      <c r="E107" s="82">
        <f>SUM(E108:E119)</f>
        <v>235628938.07993358</v>
      </c>
      <c r="G107" s="84">
        <f>SUM(G108:G118)</f>
        <v>90137143.471200004</v>
      </c>
      <c r="H107" s="84">
        <f>SUM(H108:H118)</f>
        <v>0</v>
      </c>
      <c r="I107" s="84">
        <f>SUM(I108:I118)</f>
        <v>90137143.471200004</v>
      </c>
      <c r="K107" s="84">
        <f>SUM(K108:K118)</f>
        <v>55564885</v>
      </c>
      <c r="L107" s="84">
        <f>SUM(L108:L118)</f>
        <v>5150957</v>
      </c>
      <c r="M107" s="84">
        <f>SUM(M108:M118)</f>
        <v>60715842</v>
      </c>
      <c r="O107" s="84">
        <f>SUM(O108:O118)</f>
        <v>34572258.471200004</v>
      </c>
      <c r="P107" s="84">
        <f>SUM(P108:P118)</f>
        <v>-5150957</v>
      </c>
      <c r="Q107" s="84">
        <f>SUM(Q108:Q118)</f>
        <v>29421301.4712</v>
      </c>
      <c r="R107" s="125">
        <f t="shared" si="47"/>
        <v>831257434.77803373</v>
      </c>
    </row>
    <row r="108" spans="1:18" ht="15" customHeight="1" x14ac:dyDescent="0.25">
      <c r="A108" s="14" t="str">
        <f>'Matriz de Produccion'!A109</f>
        <v>1I01</v>
      </c>
      <c r="B108" s="6" t="str">
        <f>VLOOKUP(A108,'Analisis por Categorias'!B:C,2,FALSE)</f>
        <v xml:space="preserve">Gastos contratación </v>
      </c>
      <c r="D108" s="5">
        <f>SUMIF(CATEGORIAS[[#All],[SUBGRUPO]],A108,CATEGORIAS[[#All],[PRESUPUESTO
(ORIGINAL)]])</f>
        <v>169007626.47784966</v>
      </c>
      <c r="E108" s="5">
        <f>+SUMIF(CATEGORIAS[[#All],[SUBGRUPO]],A108,CATEGORIAS[[#All],[PRODUCCION
PARTIDAS
ORIGINALES
ACTUAL]])
+SUMIF(CATEGORIAS[[#All],[SUBGRUPO]],A108,CATEGORIAS[[#All],[PRODUCCION
ADICIONALES
ACTUAL]])
+SUMIF(CATEGORIAS[[#All],[SUBGRUPO]],A108,CATEGORIAS[[#All],[PROYECCION
DE INGRESO
DEL SALDO]])</f>
        <v>169007626.47784966</v>
      </c>
      <c r="G108" s="10">
        <f>+SUMIF(CATEGORIAS[[#All],[SUBGRUPO]],A108,CATEGORIAS[[#All],[COSTO
ACUMULADO  AX]])
+SUMIF(CATEGORIAS[[#All],[SUBGRUPO]],A108,CATEGORIAS[[#All],[CAMBIO DE
CATEGORIA]])</f>
        <v>26964885</v>
      </c>
      <c r="H108" s="10">
        <f>+SUMIF(CATEGORIAS[[#All],[SUBGRUPO]],A108,CATEGORIAS[[#All],[PROVISIONES]])</f>
        <v>0</v>
      </c>
      <c r="I108" s="10">
        <f t="shared" ref="I108:I119" si="53">G108+H108</f>
        <v>26964885</v>
      </c>
      <c r="K108" s="10">
        <f>+SUMIF(CATEGORIAS[[#All],[SUBGRUPO]],A108,CATEGORIAS[[#All],[COSTO ACUMULADO
ANTERIOR]])
+SUMIF(CATEGORIAS[[#All],[SUBGRUPO]],A108,CATEGORIAS[[#All],[CAMBIO DE
CATEGORIA
ANTERIOR]])</f>
        <v>16830921</v>
      </c>
      <c r="L108" s="10">
        <f>+SUMIF(CATEGORIAS[[#All],[SUBGRUPO]],A108,CATEGORIAS[[#All],[PROVISIONES
ANTERIOR]])</f>
        <v>782000</v>
      </c>
      <c r="M108" s="10">
        <f t="shared" ref="M108:M119" si="54">K108+L108</f>
        <v>17612921</v>
      </c>
      <c r="O108" s="10">
        <f t="shared" ref="O108:O119" si="55">G108-K108</f>
        <v>10133964</v>
      </c>
      <c r="P108" s="10">
        <f t="shared" ref="P108:P119" si="56">H108-L108</f>
        <v>-782000</v>
      </c>
      <c r="Q108" s="10">
        <f t="shared" ref="Q108:Q119" si="57">I108-M108</f>
        <v>9351964</v>
      </c>
      <c r="R108" s="125">
        <f t="shared" si="47"/>
        <v>445874792.95569932</v>
      </c>
    </row>
    <row r="109" spans="1:18" ht="15" customHeight="1" x14ac:dyDescent="0.25">
      <c r="A109" s="14" t="str">
        <f>'Matriz de Produccion'!A110</f>
        <v>1I02</v>
      </c>
      <c r="B109" s="6" t="str">
        <f>VLOOKUP(A109,'Analisis por Categorias'!B:C,2,FALSE)</f>
        <v>Otros Gastos Generales</v>
      </c>
      <c r="D109" s="5">
        <f>SUMIF(CATEGORIAS[[#All],[SUBGRUPO]],A109,CATEGORIAS[[#All],[PRESUPUESTO
(ORIGINAL)]])</f>
        <v>1470322.9617211157</v>
      </c>
      <c r="E109" s="5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1470322.9617211157</v>
      </c>
      <c r="G109" s="10">
        <f>+SUMIF(CATEGORIAS[[#All],[SUBGRUPO]],A109,CATEGORIAS[[#All],[COSTO
ACUMULADO  AX]])
+SUMIF(CATEGORIAS[[#All],[SUBGRUPO]],A109,CATEGORIAS[[#All],[CAMBIO DE
CATEGORIA]])</f>
        <v>22077561</v>
      </c>
      <c r="H109" s="10">
        <f>+SUMIF(CATEGORIAS[[#All],[SUBGRUPO]],A109,CATEGORIAS[[#All],[PROVISIONES]])</f>
        <v>0</v>
      </c>
      <c r="I109" s="10">
        <f t="shared" si="53"/>
        <v>22077561</v>
      </c>
      <c r="K109" s="10">
        <f>+SUMIF(CATEGORIAS[[#All],[SUBGRUPO]],A109,CATEGORIAS[[#All],[COSTO ACUMULADO
ANTERIOR]])
+SUMIF(CATEGORIAS[[#All],[SUBGRUPO]],A109,CATEGORIAS[[#All],[CAMBIO DE
CATEGORIA
ANTERIOR]])</f>
        <v>6022340</v>
      </c>
      <c r="L109" s="10">
        <f>+SUMIF(CATEGORIAS[[#All],[SUBGRUPO]],A109,CATEGORIAS[[#All],[PROVISIONES
ANTERIOR]])</f>
        <v>4368957</v>
      </c>
      <c r="M109" s="10">
        <f t="shared" si="54"/>
        <v>10391297</v>
      </c>
      <c r="O109" s="10">
        <f t="shared" si="55"/>
        <v>16055221</v>
      </c>
      <c r="P109" s="10">
        <f t="shared" si="56"/>
        <v>-4368957</v>
      </c>
      <c r="Q109" s="10">
        <f t="shared" si="57"/>
        <v>11686264</v>
      </c>
      <c r="R109" s="125">
        <f t="shared" si="47"/>
        <v>91250889.92344223</v>
      </c>
    </row>
    <row r="110" spans="1:18" ht="15" customHeight="1" x14ac:dyDescent="0.25">
      <c r="A110" s="14" t="str">
        <f>'Matriz de Produccion'!A111</f>
        <v>1I03</v>
      </c>
      <c r="B110" s="6" t="str">
        <f>VLOOKUP(A110,'Analisis por Categorias'!B:C,2,FALSE)</f>
        <v>Internet</v>
      </c>
      <c r="D110" s="5">
        <f>SUMIF(CATEGORIAS[[#All],[SUBGRUPO]],A110,CATEGORIAS[[#All],[PRESUPUESTO
(ORIGINAL)]])</f>
        <v>3623408.6400000006</v>
      </c>
      <c r="E110" s="5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3623408.6400000006</v>
      </c>
      <c r="G110" s="10">
        <f>+SUMIF(CATEGORIAS[[#All],[SUBGRUPO]],A110,CATEGORIAS[[#All],[COSTO
ACUMULADO  AX]])
+SUMIF(CATEGORIAS[[#All],[SUBGRUPO]],A110,CATEGORIAS[[#All],[CAMBIO DE
CATEGORIA]])</f>
        <v>29404</v>
      </c>
      <c r="H110" s="10">
        <f>+SUMIF(CATEGORIAS[[#All],[SUBGRUPO]],A110,CATEGORIAS[[#All],[PROVISIONES]])</f>
        <v>0</v>
      </c>
      <c r="I110" s="10">
        <f t="shared" si="53"/>
        <v>29404</v>
      </c>
      <c r="K110" s="10">
        <f>+SUMIF(CATEGORIAS[[#All],[SUBGRUPO]],A110,CATEGORIAS[[#All],[COSTO ACUMULADO
ANTERIOR]])
+SUMIF(CATEGORIAS[[#All],[SUBGRUPO]],A110,CATEGORIAS[[#All],[CAMBIO DE
CATEGORIA
ANTERIOR]])</f>
        <v>29404</v>
      </c>
      <c r="L110" s="10">
        <f>+SUMIF(CATEGORIAS[[#All],[SUBGRUPO]],A110,CATEGORIAS[[#All],[PROVISIONES
ANTERIOR]])</f>
        <v>0</v>
      </c>
      <c r="M110" s="88">
        <f t="shared" si="54"/>
        <v>29404</v>
      </c>
      <c r="O110" s="88">
        <f t="shared" si="55"/>
        <v>0</v>
      </c>
      <c r="P110" s="88">
        <f t="shared" si="56"/>
        <v>0</v>
      </c>
      <c r="Q110" s="88">
        <f t="shared" si="57"/>
        <v>0</v>
      </c>
      <c r="R110" s="125">
        <f t="shared" si="47"/>
        <v>7364433.2800000012</v>
      </c>
    </row>
    <row r="111" spans="1:18" ht="15" customHeight="1" x14ac:dyDescent="0.25">
      <c r="A111" s="14" t="str">
        <f>'Matriz de Produccion'!A112</f>
        <v>1I04</v>
      </c>
      <c r="B111" s="6" t="str">
        <f>VLOOKUP(A111,'Analisis por Categorias'!B:C,2,FALSE)</f>
        <v xml:space="preserve">Fletes generales de Obra </v>
      </c>
      <c r="D111" s="5">
        <f>SUMIF(CATEGORIAS[[#All],[SUBGRUPO]],A111,CATEGORIAS[[#All],[PRESUPUESTO
(ORIGINAL)]])</f>
        <v>17524296.883200001</v>
      </c>
      <c r="E111" s="5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18073312.149833452</v>
      </c>
      <c r="G111" s="10">
        <f>+SUMIF(CATEGORIAS[[#All],[SUBGRUPO]],A111,CATEGORIAS[[#All],[COSTO
ACUMULADO  AX]])
+SUMIF(CATEGORIAS[[#All],[SUBGRUPO]],A111,CATEGORIAS[[#All],[CAMBIO DE
CATEGORIA]])</f>
        <v>27236392</v>
      </c>
      <c r="H111" s="10">
        <f>+SUMIF(CATEGORIAS[[#All],[SUBGRUPO]],A111,CATEGORIAS[[#All],[PROVISIONES]])</f>
        <v>0</v>
      </c>
      <c r="I111" s="10">
        <f t="shared" si="53"/>
        <v>27236392</v>
      </c>
      <c r="K111" s="10">
        <f>+SUMIF(CATEGORIAS[[#All],[SUBGRUPO]],A111,CATEGORIAS[[#All],[COSTO ACUMULADO
ANTERIOR]])
+SUMIF(CATEGORIAS[[#All],[SUBGRUPO]],A111,CATEGORIAS[[#All],[CAMBIO DE
CATEGORIA
ANTERIOR]])</f>
        <v>23440182</v>
      </c>
      <c r="L111" s="10">
        <f>+SUMIF(CATEGORIAS[[#All],[SUBGRUPO]],A111,CATEGORIAS[[#All],[PROVISIONES
ANTERIOR]])</f>
        <v>0</v>
      </c>
      <c r="M111" s="10">
        <f t="shared" si="54"/>
        <v>23440182</v>
      </c>
      <c r="O111" s="10">
        <f t="shared" si="55"/>
        <v>3796210</v>
      </c>
      <c r="P111" s="10">
        <f t="shared" si="56"/>
        <v>0</v>
      </c>
      <c r="Q111" s="10">
        <f t="shared" si="57"/>
        <v>3796210</v>
      </c>
      <c r="R111" s="125">
        <f t="shared" si="47"/>
        <v>144543177.03303346</v>
      </c>
    </row>
    <row r="112" spans="1:18" ht="15" customHeight="1" x14ac:dyDescent="0.25">
      <c r="A112" s="14" t="str">
        <f>'Matriz de Produccion'!A113</f>
        <v>1I05</v>
      </c>
      <c r="B112" s="6" t="str">
        <f>VLOOKUP(A112,'Analisis por Categorias'!B:C,2,FALSE)</f>
        <v>Telecomunicaciones</v>
      </c>
      <c r="D112" s="5">
        <f>SUMIF(CATEGORIAS[[#All],[SUBGRUPO]],A112,CATEGORIAS[[#All],[PRESUPUESTO
(ORIGINAL)]])</f>
        <v>11671910.636503397</v>
      </c>
      <c r="E112" s="5">
        <f>+SUMIF(CATEGORIAS[[#All],[SUBGRUPO]],A112,CATEGORIAS[[#All],[PRODUCCION
PARTIDAS
ORIGINALES
ACTUAL]])
+SUMIF(CATEGORIAS[[#All],[SUBGRUPO]],A112,CATEGORIAS[[#All],[PRODUCCION
ADICIONALES
ACTUAL]])
+SUMIF(CATEGORIAS[[#All],[SUBGRUPO]],A112,CATEGORIAS[[#All],[PROYECCION
DE INGRESO
DEL SALDO]])</f>
        <v>11671910.636503397</v>
      </c>
      <c r="G112" s="10">
        <f>+SUMIF(CATEGORIAS[[#All],[SUBGRUPO]],A112,CATEGORIAS[[#All],[COSTO
ACUMULADO  AX]])
+SUMIF(CATEGORIAS[[#All],[SUBGRUPO]],A112,CATEGORIAS[[#All],[CAMBIO DE
CATEGORIA]])</f>
        <v>479028</v>
      </c>
      <c r="H112" s="10">
        <f>+SUMIF(CATEGORIAS[[#All],[SUBGRUPO]],A112,CATEGORIAS[[#All],[PROVISIONES]])</f>
        <v>0</v>
      </c>
      <c r="I112" s="10">
        <f t="shared" si="53"/>
        <v>479028</v>
      </c>
      <c r="K112" s="10">
        <f>+SUMIF(CATEGORIAS[[#All],[SUBGRUPO]],A112,CATEGORIAS[[#All],[COSTO ACUMULADO
ANTERIOR]])
+SUMIF(CATEGORIAS[[#All],[SUBGRUPO]],A112,CATEGORIAS[[#All],[CAMBIO DE
CATEGORIA
ANTERIOR]])</f>
        <v>314313</v>
      </c>
      <c r="L112" s="10">
        <f>+SUMIF(CATEGORIAS[[#All],[SUBGRUPO]],A112,CATEGORIAS[[#All],[PROVISIONES
ANTERIOR]])</f>
        <v>0</v>
      </c>
      <c r="M112" s="88">
        <f t="shared" si="54"/>
        <v>314313</v>
      </c>
      <c r="O112" s="88">
        <f t="shared" si="55"/>
        <v>164715</v>
      </c>
      <c r="P112" s="88">
        <f t="shared" si="56"/>
        <v>0</v>
      </c>
      <c r="Q112" s="88">
        <f t="shared" si="57"/>
        <v>164715</v>
      </c>
      <c r="R112" s="125">
        <f t="shared" si="47"/>
        <v>25259933.273006793</v>
      </c>
    </row>
    <row r="113" spans="1:18" ht="15" customHeight="1" x14ac:dyDescent="0.25">
      <c r="A113" s="14" t="str">
        <f>'Matriz de Produccion'!A114</f>
        <v>1I06</v>
      </c>
      <c r="B113" s="6" t="str">
        <f>VLOOKUP(A113,'Analisis por Categorias'!B:C,2,FALSE)</f>
        <v>Computación y Software</v>
      </c>
      <c r="D113" s="5">
        <f>SUMIF(CATEGORIAS[[#All],[SUBGRUPO]],A113,CATEGORIAS[[#All],[PRESUPUESTO
(ORIGINAL)]])</f>
        <v>14068881.920000002</v>
      </c>
      <c r="E113" s="5">
        <f>+SUMIF(CATEGORIAS[[#All],[SUBGRUPO]],A113,CATEGORIAS[[#All],[PRODUCCION
PARTIDAS
ORIGINALES
ACTUAL]])
+SUMIF(CATEGORIAS[[#All],[SUBGRUPO]],A113,CATEGORIAS[[#All],[PRODUCCION
ADICIONALES
ACTUAL]])
+SUMIF(CATEGORIAS[[#All],[SUBGRUPO]],A113,CATEGORIAS[[#All],[PROYECCION
DE INGRESO
DEL SALDO]])</f>
        <v>14068881.920000002</v>
      </c>
      <c r="G113" s="10">
        <f>+SUMIF(CATEGORIAS[[#All],[SUBGRUPO]],A113,CATEGORIAS[[#All],[COSTO
ACUMULADO  AX]])
+SUMIF(CATEGORIAS[[#All],[SUBGRUPO]],A113,CATEGORIAS[[#All],[CAMBIO DE
CATEGORIA]])</f>
        <v>2169496.4711999996</v>
      </c>
      <c r="H113" s="10">
        <f>+SUMIF(CATEGORIAS[[#All],[SUBGRUPO]],A113,CATEGORIAS[[#All],[PROVISIONES]])</f>
        <v>0</v>
      </c>
      <c r="I113" s="10">
        <f t="shared" si="53"/>
        <v>2169496.4711999996</v>
      </c>
      <c r="K113" s="10">
        <f>+SUMIF(CATEGORIAS[[#All],[SUBGRUPO]],A113,CATEGORIAS[[#All],[COSTO ACUMULADO
ANTERIOR]])
+SUMIF(CATEGORIAS[[#All],[SUBGRUPO]],A113,CATEGORIAS[[#All],[CAMBIO DE
CATEGORIA
ANTERIOR]])</f>
        <v>386565</v>
      </c>
      <c r="L113" s="10">
        <f>+SUMIF(CATEGORIAS[[#All],[SUBGRUPO]],A113,CATEGORIAS[[#All],[PROVISIONES
ANTERIOR]])</f>
        <v>0</v>
      </c>
      <c r="M113" s="10">
        <f t="shared" si="54"/>
        <v>386565</v>
      </c>
      <c r="O113" s="10">
        <f t="shared" si="55"/>
        <v>1782931.4711999996</v>
      </c>
      <c r="P113" s="10">
        <f t="shared" si="56"/>
        <v>0</v>
      </c>
      <c r="Q113" s="10">
        <f t="shared" si="57"/>
        <v>1782931.4711999996</v>
      </c>
      <c r="R113" s="125">
        <f t="shared" si="47"/>
        <v>36815749.724799998</v>
      </c>
    </row>
    <row r="114" spans="1:18" ht="15" customHeight="1" x14ac:dyDescent="0.25">
      <c r="A114" s="14" t="str">
        <f>'Matriz de Produccion'!A115</f>
        <v>1I07</v>
      </c>
      <c r="B114" s="6" t="str">
        <f>VLOOKUP(A114,'Analisis por Categorias'!B:C,2,FALSE)</f>
        <v>Gastos Oficina</v>
      </c>
      <c r="D114" s="5">
        <f>SUMIF(CATEGORIAS[[#All],[SUBGRUPO]],A114,CATEGORIAS[[#All],[PRESUPUESTO
(ORIGINAL)]])</f>
        <v>6170090.2575000012</v>
      </c>
      <c r="E114" s="5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6170090.2575000012</v>
      </c>
      <c r="G114" s="10">
        <f>+SUMIF(CATEGORIAS[[#All],[SUBGRUPO]],A114,CATEGORIAS[[#All],[COSTO
ACUMULADO  AX]])
+SUMIF(CATEGORIAS[[#All],[SUBGRUPO]],A114,CATEGORIAS[[#All],[CAMBIO DE
CATEGORIA]])</f>
        <v>4091211</v>
      </c>
      <c r="H114" s="10">
        <f>+SUMIF(CATEGORIAS[[#All],[SUBGRUPO]],A114,CATEGORIAS[[#All],[PROVISIONES]])</f>
        <v>0</v>
      </c>
      <c r="I114" s="10">
        <f t="shared" si="53"/>
        <v>4091211</v>
      </c>
      <c r="K114" s="10">
        <f>+SUMIF(CATEGORIAS[[#All],[SUBGRUPO]],A114,CATEGORIAS[[#All],[COSTO ACUMULADO
ANTERIOR]])
+SUMIF(CATEGORIAS[[#All],[SUBGRUPO]],A114,CATEGORIAS[[#All],[CAMBIO DE
CATEGORIA
ANTERIOR]])</f>
        <v>3473123</v>
      </c>
      <c r="L114" s="10">
        <f>+SUMIF(CATEGORIAS[[#All],[SUBGRUPO]],A114,CATEGORIAS[[#All],[PROVISIONES
ANTERIOR]])</f>
        <v>0</v>
      </c>
      <c r="M114" s="10">
        <f t="shared" si="54"/>
        <v>3473123</v>
      </c>
      <c r="O114" s="10">
        <f t="shared" si="55"/>
        <v>618088</v>
      </c>
      <c r="P114" s="10">
        <f t="shared" si="56"/>
        <v>0</v>
      </c>
      <c r="Q114" s="10">
        <f t="shared" si="57"/>
        <v>618088</v>
      </c>
      <c r="R114" s="125">
        <f t="shared" si="47"/>
        <v>28705024.515000001</v>
      </c>
    </row>
    <row r="115" spans="1:18" ht="15" customHeight="1" x14ac:dyDescent="0.25">
      <c r="A115" s="14" t="str">
        <f>'Matriz de Produccion'!A116</f>
        <v>1I08</v>
      </c>
      <c r="B115" s="6" t="str">
        <f>VLOOKUP(A115,'Analisis por Categorias'!B:C,2,FALSE)</f>
        <v>Calificaciones</v>
      </c>
      <c r="D115" s="5">
        <f>SUMIF(CATEGORIAS[[#All],[SUBGRUPO]],A115,CATEGORIAS[[#All],[PRESUPUESTO
(ORIGINAL)]])</f>
        <v>0</v>
      </c>
      <c r="E115" s="5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0</v>
      </c>
      <c r="G115" s="10">
        <f>+SUMIF(CATEGORIAS[[#All],[SUBGRUPO]],A115,CATEGORIAS[[#All],[COSTO
ACUMULADO  AX]])
+SUMIF(CATEGORIAS[[#All],[SUBGRUPO]],A115,CATEGORIAS[[#All],[CAMBIO DE
CATEGORIA]])</f>
        <v>0</v>
      </c>
      <c r="H115" s="10">
        <f>+SUMIF(CATEGORIAS[[#All],[SUBGRUPO]],A115,CATEGORIAS[[#All],[PROVISIONES]])</f>
        <v>0</v>
      </c>
      <c r="I115" s="10">
        <f t="shared" si="53"/>
        <v>0</v>
      </c>
      <c r="K115" s="10">
        <f>+SUMIF(CATEGORIAS[[#All],[SUBGRUPO]],A115,CATEGORIAS[[#All],[COSTO ACUMULADO
ANTERIOR]])
+SUMIF(CATEGORIAS[[#All],[SUBGRUPO]],A115,CATEGORIAS[[#All],[CAMBIO DE
CATEGORIA
ANTERIOR]])</f>
        <v>0</v>
      </c>
      <c r="L115" s="10">
        <f>+SUMIF(CATEGORIAS[[#All],[SUBGRUPO]],A115,CATEGORIAS[[#All],[PROVISIONES
ANTERIOR]])</f>
        <v>0</v>
      </c>
      <c r="M115" s="10">
        <f t="shared" si="54"/>
        <v>0</v>
      </c>
      <c r="O115" s="10">
        <f t="shared" si="55"/>
        <v>0</v>
      </c>
      <c r="P115" s="10">
        <f t="shared" si="56"/>
        <v>0</v>
      </c>
      <c r="Q115" s="10">
        <f t="shared" si="57"/>
        <v>0</v>
      </c>
      <c r="R115" s="125">
        <f t="shared" si="47"/>
        <v>0</v>
      </c>
    </row>
    <row r="116" spans="1:18" ht="15" customHeight="1" x14ac:dyDescent="0.25">
      <c r="A116" s="14" t="str">
        <f>'Matriz de Produccion'!A117</f>
        <v>1I09</v>
      </c>
      <c r="B116" s="6" t="str">
        <f>VLOOKUP(A116,'Analisis por Categorias'!B:C,2,FALSE)</f>
        <v>Seguridad MOI</v>
      </c>
      <c r="D116" s="5">
        <f>SUMIF(CATEGORIAS[[#All],[SUBGRUPO]],A116,CATEGORIAS[[#All],[PRESUPUESTO
(ORIGINAL)]])</f>
        <v>6483651.42857143</v>
      </c>
      <c r="E116" s="5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6483651.42857143</v>
      </c>
      <c r="G116" s="10">
        <f>+SUMIF(CATEGORIAS[[#All],[SUBGRUPO]],A116,CATEGORIAS[[#All],[COSTO
ACUMULADO  AX]])
+SUMIF(CATEGORIAS[[#All],[SUBGRUPO]],A116,CATEGORIAS[[#All],[CAMBIO DE
CATEGORIA]])</f>
        <v>4714066</v>
      </c>
      <c r="H116" s="10">
        <f>+SUMIF(CATEGORIAS[[#All],[SUBGRUPO]],A116,CATEGORIAS[[#All],[PROVISIONES]])</f>
        <v>0</v>
      </c>
      <c r="I116" s="10">
        <f t="shared" si="53"/>
        <v>4714066</v>
      </c>
      <c r="K116" s="10">
        <f>+SUMIF(CATEGORIAS[[#All],[SUBGRUPO]],A116,CATEGORIAS[[#All],[COSTO ACUMULADO
ANTERIOR]])
+SUMIF(CATEGORIAS[[#All],[SUBGRUPO]],A116,CATEGORIAS[[#All],[CAMBIO DE
CATEGORIA
ANTERIOR]])</f>
        <v>3647037</v>
      </c>
      <c r="L116" s="10">
        <f>+SUMIF(CATEGORIAS[[#All],[SUBGRUPO]],A116,CATEGORIAS[[#All],[PROVISIONES
ANTERIOR]])</f>
        <v>0</v>
      </c>
      <c r="M116" s="10">
        <f t="shared" si="54"/>
        <v>3647037</v>
      </c>
      <c r="O116" s="10">
        <f t="shared" si="55"/>
        <v>1067029</v>
      </c>
      <c r="P116" s="10">
        <f t="shared" si="56"/>
        <v>0</v>
      </c>
      <c r="Q116" s="10">
        <f t="shared" si="57"/>
        <v>1067029</v>
      </c>
      <c r="R116" s="125">
        <f t="shared" si="47"/>
        <v>31823566.857142858</v>
      </c>
    </row>
    <row r="117" spans="1:18" ht="15" customHeight="1" x14ac:dyDescent="0.25">
      <c r="A117" s="14" t="str">
        <f>'Matriz de Produccion'!A118</f>
        <v>1I10</v>
      </c>
      <c r="B117" s="6" t="str">
        <f>VLOOKUP(A117,'Analisis por Categorias'!B:C,2,FALSE)</f>
        <v>Agua y café Oficina</v>
      </c>
      <c r="D117" s="5">
        <f>SUMIF(CATEGORIAS[[#All],[SUBGRUPO]],A117,CATEGORIAS[[#All],[PRESUPUESTO
(ORIGINAL)]])</f>
        <v>5059733.6079545459</v>
      </c>
      <c r="E117" s="5">
        <f>+SUMIF(CATEGORIAS[[#All],[SUBGRUPO]],A117,CATEGORIAS[[#All],[PRODUCCION
PARTIDAS
ORIGINALES
ACTUAL]])
+SUMIF(CATEGORIAS[[#All],[SUBGRUPO]],A117,CATEGORIAS[[#All],[PRODUCCION
ADICIONALES
ACTUAL]])
+SUMIF(CATEGORIAS[[#All],[SUBGRUPO]],A117,CATEGORIAS[[#All],[PROYECCION
DE INGRESO
DEL SALDO]])</f>
        <v>5059733.6079545459</v>
      </c>
      <c r="G117" s="10">
        <f>+SUMIF(CATEGORIAS[[#All],[SUBGRUPO]],A117,CATEGORIAS[[#All],[COSTO
ACUMULADO  AX]])
+SUMIF(CATEGORIAS[[#All],[SUBGRUPO]],A117,CATEGORIAS[[#All],[CAMBIO DE
CATEGORIA]])</f>
        <v>2375100</v>
      </c>
      <c r="H117" s="10">
        <f>+SUMIF(CATEGORIAS[[#All],[SUBGRUPO]],A117,CATEGORIAS[[#All],[PROVISIONES]])</f>
        <v>0</v>
      </c>
      <c r="I117" s="10">
        <f t="shared" si="53"/>
        <v>2375100</v>
      </c>
      <c r="K117" s="10">
        <f>+SUMIF(CATEGORIAS[[#All],[SUBGRUPO]],A117,CATEGORIAS[[#All],[COSTO ACUMULADO
ANTERIOR]])
+SUMIF(CATEGORIAS[[#All],[SUBGRUPO]],A117,CATEGORIAS[[#All],[CAMBIO DE
CATEGORIA
ANTERIOR]])</f>
        <v>1421000</v>
      </c>
      <c r="L117" s="10">
        <f>+SUMIF(CATEGORIAS[[#All],[SUBGRUPO]],A117,CATEGORIAS[[#All],[PROVISIONES
ANTERIOR]])</f>
        <v>0</v>
      </c>
      <c r="M117" s="10">
        <f t="shared" si="54"/>
        <v>1421000</v>
      </c>
      <c r="O117" s="10">
        <f t="shared" si="55"/>
        <v>954100</v>
      </c>
      <c r="P117" s="10">
        <f t="shared" si="56"/>
        <v>0</v>
      </c>
      <c r="Q117" s="10">
        <f t="shared" si="57"/>
        <v>954100</v>
      </c>
      <c r="R117" s="125">
        <f t="shared" si="47"/>
        <v>19619867.215909094</v>
      </c>
    </row>
    <row r="118" spans="1:18" ht="15" hidden="1" customHeight="1" x14ac:dyDescent="0.25">
      <c r="A118" s="14" t="str">
        <f>'Matriz de Produccion'!A119</f>
        <v>1I13</v>
      </c>
      <c r="B118" s="6" t="e">
        <f>VLOOKUP(A118,'Analisis por Categorias'!B:C,2,FALSE)</f>
        <v>#N/A</v>
      </c>
      <c r="D118" s="5">
        <f>SUMIF(CATEGORIAS[[#All],[SUBGRUPO]],A118,CATEGORIAS[[#All],[PRESUPUESTO
(ORIGINAL)]])</f>
        <v>0</v>
      </c>
      <c r="E118" s="5">
        <f>+SUMIF(CATEGORIAS[[#All],[SUBGRUPO]],A118,CATEGORIAS[[#All],[PRODUCCION
PARTIDAS
ORIGINALES
ACTUAL]])
+SUMIF(CATEGORIAS[[#All],[SUBGRUPO]],A118,CATEGORIAS[[#All],[PRODUCCION
ADICIONALES
ACTUAL]])
+SUMIF(CATEGORIAS[[#All],[SUBGRUPO]],A118,CATEGORIAS[[#All],[PROYECCION
DE INGRESO
DEL SALDO]])</f>
        <v>0</v>
      </c>
      <c r="G118" s="10">
        <f>+SUMIF(CATEGORIAS[[#All],[SUBGRUPO]],A118,CATEGORIAS[[#All],[COSTO
ACUMULADO  AX]])
+SUMIF(CATEGORIAS[[#All],[SUBGRUPO]],A118,CATEGORIAS[[#All],[CAMBIO DE
CATEGORIA]])</f>
        <v>0</v>
      </c>
      <c r="H118" s="10">
        <f>+SUMIF(CATEGORIAS[[#All],[SUBGRUPO]],A118,CATEGORIAS[[#All],[PROVISIONES]])</f>
        <v>0</v>
      </c>
      <c r="I118" s="10">
        <f t="shared" si="53"/>
        <v>0</v>
      </c>
      <c r="K118" s="10">
        <f>+SUMIF(CATEGORIAS[[#All],[SUBGRUPO]],A118,CATEGORIAS[[#All],[COSTO ACUMULADO
ANTERIOR]])
+SUMIF(CATEGORIAS[[#All],[SUBGRUPO]],A118,CATEGORIAS[[#All],[CAMBIO DE
CATEGORIA
ANTERIOR]])</f>
        <v>0</v>
      </c>
      <c r="L118" s="10">
        <f>+SUMIF(CATEGORIAS[[#All],[SUBGRUPO]],A118,CATEGORIAS[[#All],[PROVISIONES
ANTERIOR]])</f>
        <v>0</v>
      </c>
      <c r="M118" s="10">
        <f t="shared" si="54"/>
        <v>0</v>
      </c>
      <c r="O118" s="10">
        <f t="shared" si="55"/>
        <v>0</v>
      </c>
      <c r="P118" s="10">
        <f t="shared" si="56"/>
        <v>0</v>
      </c>
      <c r="Q118" s="10">
        <f t="shared" si="57"/>
        <v>0</v>
      </c>
      <c r="R118" s="125">
        <f t="shared" si="47"/>
        <v>0</v>
      </c>
    </row>
    <row r="119" spans="1:18" ht="15" hidden="1" customHeight="1" x14ac:dyDescent="0.25">
      <c r="A119" s="14" t="str">
        <f>'Matriz de Produccion'!A120</f>
        <v>1I14</v>
      </c>
      <c r="B119" s="6" t="e">
        <f>VLOOKUP(A119,'Analisis por Categorias'!B:C,2,FALSE)</f>
        <v>#N/A</v>
      </c>
      <c r="D119" s="5">
        <f>SUMIF(CATEGORIAS[[#All],[SUBGRUPO]],A119,CATEGORIAS[[#All],[PRESUPUESTO
(ORIGINAL)]])</f>
        <v>0</v>
      </c>
      <c r="E119" s="5">
        <f>+SUMIF(CATEGORIAS[[#All],[SUBGRUPO]],A119,CATEGORIAS[[#All],[PRODUCCION
PARTIDAS
ORIGINALES
ACTUAL]])
+SUMIF(CATEGORIAS[[#All],[SUBGRUPO]],A119,CATEGORIAS[[#All],[PRODUCCION
ADICIONALES
ACTUAL]])
+SUMIF(CATEGORIAS[[#All],[SUBGRUPO]],A119,CATEGORIAS[[#All],[PROYECCION
DE INGRESO
DEL SALDO]])</f>
        <v>0</v>
      </c>
      <c r="G119" s="10">
        <f>+SUMIF(CATEGORIAS[[#All],[SUBGRUPO]],A119,CATEGORIAS[[#All],[COSTO
ACUMULADO  AX]])
+SUMIF(CATEGORIAS[[#All],[SUBGRUPO]],A119,CATEGORIAS[[#All],[CAMBIO DE
CATEGORIA]])</f>
        <v>0</v>
      </c>
      <c r="H119" s="10">
        <f>+SUMIF(CATEGORIAS[[#All],[SUBGRUPO]],A119,CATEGORIAS[[#All],[PROVISIONES]])</f>
        <v>0</v>
      </c>
      <c r="I119" s="10">
        <f t="shared" si="53"/>
        <v>0</v>
      </c>
      <c r="K119" s="10">
        <f>+SUMIF(CATEGORIAS[[#All],[SUBGRUPO]],A119,CATEGORIAS[[#All],[COSTO ACUMULADO
ANTERIOR]])
+SUMIF(CATEGORIAS[[#All],[SUBGRUPO]],A119,CATEGORIAS[[#All],[CAMBIO DE
CATEGORIA
ANTERIOR]])</f>
        <v>0</v>
      </c>
      <c r="L119" s="10">
        <f>+SUMIF(CATEGORIAS[[#All],[SUBGRUPO]],A119,CATEGORIAS[[#All],[PROVISIONES
ANTERIOR]])</f>
        <v>0</v>
      </c>
      <c r="M119" s="10">
        <f t="shared" si="54"/>
        <v>0</v>
      </c>
      <c r="O119" s="10">
        <f t="shared" si="55"/>
        <v>0</v>
      </c>
      <c r="P119" s="10">
        <f t="shared" si="56"/>
        <v>0</v>
      </c>
      <c r="Q119" s="10">
        <f t="shared" si="57"/>
        <v>0</v>
      </c>
      <c r="R119" s="125">
        <f t="shared" si="47"/>
        <v>0</v>
      </c>
    </row>
    <row r="120" spans="1:18" ht="8.25" customHeight="1" x14ac:dyDescent="0.25">
      <c r="R120" s="125">
        <f t="shared" si="47"/>
        <v>0</v>
      </c>
    </row>
    <row r="121" spans="1:18" ht="14.25" customHeight="1" x14ac:dyDescent="0.25">
      <c r="A121" s="14" t="str">
        <f>'Matriz de Produccion'!A122</f>
        <v>1J00</v>
      </c>
      <c r="B121" s="81" t="s">
        <v>229</v>
      </c>
      <c r="D121" s="82">
        <f>SUM(D122:D124)</f>
        <v>81343992.782874912</v>
      </c>
      <c r="E121" s="82">
        <f>SUM(E122:E124)</f>
        <v>81343992.782874912</v>
      </c>
      <c r="G121" s="84">
        <f>SUM(G122:G124)</f>
        <v>9834287</v>
      </c>
      <c r="H121" s="84">
        <f>SUM(H122:H124)</f>
        <v>28155933.001961302</v>
      </c>
      <c r="I121" s="84">
        <f>SUM(I122:I124)</f>
        <v>37990220.001961306</v>
      </c>
      <c r="K121" s="84">
        <f>SUM(K122:K124)</f>
        <v>10324017.89788588</v>
      </c>
      <c r="L121" s="84">
        <f>SUM(L122:L124)</f>
        <v>9911566.0006314199</v>
      </c>
      <c r="M121" s="84">
        <f>SUM(M122:M124)</f>
        <v>20235583.898517299</v>
      </c>
      <c r="O121" s="84">
        <f>SUM(O122:O124)</f>
        <v>-489730.8978858795</v>
      </c>
      <c r="P121" s="84">
        <f>SUM(P122:P124)</f>
        <v>18244367.00132988</v>
      </c>
      <c r="Q121" s="84">
        <f>SUM(Q122:Q124)</f>
        <v>17754636.103444003</v>
      </c>
      <c r="R121" s="125">
        <f t="shared" si="47"/>
        <v>314648865.57359505</v>
      </c>
    </row>
    <row r="122" spans="1:18" ht="15" customHeight="1" x14ac:dyDescent="0.25">
      <c r="A122" s="14" t="str">
        <f>'Matriz de Produccion'!A123</f>
        <v>1J01</v>
      </c>
      <c r="B122" s="6" t="str">
        <f>VLOOKUP(A122,'Analisis por Categorias'!B:C,2,FALSE)</f>
        <v>Boletas de Garantia</v>
      </c>
      <c r="D122" s="5">
        <f>SUMIF(CATEGORIAS[[#All],[SUBGRUPO]],A122,CATEGORIAS[[#All],[PRESUPUESTO
(ORIGINAL)]])</f>
        <v>27257060.439430937</v>
      </c>
      <c r="E122" s="5">
        <f>+SUMIF(CATEGORIAS[[#All],[SUBGRUPO]],A122,CATEGORIAS[[#All],[PRODUCCION
PARTIDAS
ORIGINALES
ACTUAL]])
+SUMIF(CATEGORIAS[[#All],[SUBGRUPO]],A122,CATEGORIAS[[#All],[PRODUCCION
ADICIONALES
ACTUAL]])
+SUMIF(CATEGORIAS[[#All],[SUBGRUPO]],A122,CATEGORIAS[[#All],[PROYECCION
DE INGRESO
DEL SALDO]])</f>
        <v>27257060.439430937</v>
      </c>
      <c r="G122" s="10">
        <f>+SUMIF(CATEGORIAS[[#All],[SUBGRUPO]],A122,CATEGORIAS[[#All],[COSTO
ACUMULADO  AX]])
+SUMIF(CATEGORIAS[[#All],[SUBGRUPO]],A122,CATEGORIAS[[#All],[CAMBIO DE
CATEGORIA]])</f>
        <v>9880369</v>
      </c>
      <c r="H122" s="10">
        <f>+SUMIF(CATEGORIAS[[#All],[SUBGRUPO]],A122,CATEGORIAS[[#All],[PROVISIONES]])</f>
        <v>2849541.1909679007</v>
      </c>
      <c r="I122" s="10">
        <f>G122+H122</f>
        <v>12729910.190967901</v>
      </c>
      <c r="K122" s="10">
        <f>+SUMIF(CATEGORIAS[[#All],[SUBGRUPO]],A122,CATEGORIAS[[#All],[COSTO ACUMULADO
ANTERIOR]])
+SUMIF(CATEGORIAS[[#All],[SUBGRUPO]],A122,CATEGORIAS[[#All],[CAMBIO DE
CATEGORIA
ANTERIOR]])</f>
        <v>6780617.8978858795</v>
      </c>
      <c r="L122" s="10">
        <f>+SUMIF(CATEGORIAS[[#All],[SUBGRUPO]],A122,CATEGORIAS[[#All],[PROVISIONES
ANTERIOR]])</f>
        <v>0</v>
      </c>
      <c r="M122" s="10">
        <f>K122+L122</f>
        <v>6780617.8978858795</v>
      </c>
      <c r="O122" s="10">
        <f t="shared" ref="O122:Q124" si="58">G122-K122</f>
        <v>3099751.1021141205</v>
      </c>
      <c r="P122" s="10">
        <f t="shared" si="58"/>
        <v>2849541.1909679007</v>
      </c>
      <c r="Q122" s="10">
        <f t="shared" si="58"/>
        <v>5949292.2930820212</v>
      </c>
      <c r="R122" s="125">
        <f t="shared" si="47"/>
        <v>105433761.64273348</v>
      </c>
    </row>
    <row r="123" spans="1:18" ht="15" customHeight="1" x14ac:dyDescent="0.25">
      <c r="A123" s="14" t="str">
        <f>'Matriz de Produccion'!A124</f>
        <v>1J02</v>
      </c>
      <c r="B123" s="6" t="str">
        <f>VLOOKUP(A123,'Analisis por Categorias'!B:C,2,FALSE)</f>
        <v>Seguros</v>
      </c>
      <c r="D123" s="5">
        <f>SUMIF(CATEGORIAS[[#All],[SUBGRUPO]],A123,CATEGORIAS[[#All],[PRESUPUESTO
(ORIGINAL)]])</f>
        <v>26265253.552345507</v>
      </c>
      <c r="E123" s="5">
        <f>+SUMIF(CATEGORIAS[[#All],[SUBGRUPO]],A123,CATEGORIAS[[#All],[PRODUCCION
PARTIDAS
ORIGINALES
ACTUAL]])
+SUMIF(CATEGORIAS[[#All],[SUBGRUPO]],A123,CATEGORIAS[[#All],[PRODUCCION
ADICIONALES
ACTUAL]])
+SUMIF(CATEGORIAS[[#All],[SUBGRUPO]],A123,CATEGORIAS[[#All],[PROYECCION
DE INGRESO
DEL SALDO]])</f>
        <v>26265253.552345507</v>
      </c>
      <c r="G123" s="10">
        <f>+SUMIF(CATEGORIAS[[#All],[SUBGRUPO]],A123,CATEGORIAS[[#All],[COSTO
ACUMULADO  AX]])
+SUMIF(CATEGORIAS[[#All],[SUBGRUPO]],A123,CATEGORIAS[[#All],[CAMBIO DE
CATEGORIA]])</f>
        <v>990070</v>
      </c>
      <c r="H123" s="10">
        <f>+SUMIF(CATEGORIAS[[#All],[SUBGRUPO]],A123,CATEGORIAS[[#All],[PROVISIONES]])</f>
        <v>11276634.973830201</v>
      </c>
      <c r="I123" s="10">
        <f>G123+H123</f>
        <v>12266704.973830201</v>
      </c>
      <c r="K123" s="10">
        <f>+SUMIF(CATEGORIAS[[#All],[SUBGRUPO]],A123,CATEGORIAS[[#All],[COSTO ACUMULADO
ANTERIOR]])
+SUMIF(CATEGORIAS[[#All],[SUBGRUPO]],A123,CATEGORIAS[[#All],[CAMBIO DE
CATEGORIA
ANTERIOR]])</f>
        <v>567079</v>
      </c>
      <c r="L123" s="10">
        <f>+SUMIF(CATEGORIAS[[#All],[SUBGRUPO]],A123,CATEGORIAS[[#All],[PROVISIONES
ANTERIOR]])</f>
        <v>5966811.50243684</v>
      </c>
      <c r="M123" s="10">
        <f>K123+L123</f>
        <v>6533890.50243684</v>
      </c>
      <c r="O123" s="10">
        <f t="shared" si="58"/>
        <v>422991</v>
      </c>
      <c r="P123" s="10">
        <f t="shared" si="58"/>
        <v>5309823.4713933608</v>
      </c>
      <c r="Q123" s="10">
        <f t="shared" si="58"/>
        <v>5732814.4713933608</v>
      </c>
      <c r="R123" s="125">
        <f t="shared" si="47"/>
        <v>101597327.00001183</v>
      </c>
    </row>
    <row r="124" spans="1:18" ht="15" customHeight="1" x14ac:dyDescent="0.25">
      <c r="A124" s="14" t="str">
        <f>'Matriz de Produccion'!A125</f>
        <v>1J03</v>
      </c>
      <c r="B124" s="6" t="str">
        <f>VLOOKUP(A124,'Analisis por Categorias'!B:C,2,FALSE)</f>
        <v>Gastos Financieros</v>
      </c>
      <c r="D124" s="5">
        <f>SUMIF(CATEGORIAS[[#All],[SUBGRUPO]],A124,CATEGORIAS[[#All],[PRESUPUESTO
(ORIGINAL)]])</f>
        <v>27821678.791098461</v>
      </c>
      <c r="E124" s="5">
        <f>+SUMIF(CATEGORIAS[[#All],[SUBGRUPO]],A124,CATEGORIAS[[#All],[PRODUCCION
PARTIDAS
ORIGINALES
ACTUAL]])
+SUMIF(CATEGORIAS[[#All],[SUBGRUPO]],A124,CATEGORIAS[[#All],[PRODUCCION
ADICIONALES
ACTUAL]])
+SUMIF(CATEGORIAS[[#All],[SUBGRUPO]],A124,CATEGORIAS[[#All],[PROYECCION
DE INGRESO
DEL SALDO]])</f>
        <v>27821678.791098461</v>
      </c>
      <c r="G124" s="10">
        <f>+SUMIF(CATEGORIAS[[#All],[SUBGRUPO]],A124,CATEGORIAS[[#All],[COSTO
ACUMULADO  AX]])
+SUMIF(CATEGORIAS[[#All],[SUBGRUPO]],A124,CATEGORIAS[[#All],[CAMBIO DE
CATEGORIA]])</f>
        <v>-1036152</v>
      </c>
      <c r="H124" s="10">
        <f>+SUMIF(CATEGORIAS[[#All],[SUBGRUPO]],A124,CATEGORIAS[[#All],[PROVISIONES]])</f>
        <v>14029756.837163201</v>
      </c>
      <c r="I124" s="10">
        <f>G124+H124</f>
        <v>12993604.837163201</v>
      </c>
      <c r="K124" s="10">
        <f>+SUMIF(CATEGORIAS[[#All],[SUBGRUPO]],A124,CATEGORIAS[[#All],[COSTO ACUMULADO
ANTERIOR]])
+SUMIF(CATEGORIAS[[#All],[SUBGRUPO]],A124,CATEGORIAS[[#All],[CAMBIO DE
CATEGORIA
ANTERIOR]])</f>
        <v>2976321</v>
      </c>
      <c r="L124" s="10">
        <f>+SUMIF(CATEGORIAS[[#All],[SUBGRUPO]],A124,CATEGORIAS[[#All],[PROVISIONES
ANTERIOR]])</f>
        <v>3944754.49819458</v>
      </c>
      <c r="M124" s="10">
        <f>K124+L124</f>
        <v>6921075.49819458</v>
      </c>
      <c r="O124" s="10">
        <f t="shared" si="58"/>
        <v>-4012473</v>
      </c>
      <c r="P124" s="10">
        <f t="shared" si="58"/>
        <v>10085002.33896862</v>
      </c>
      <c r="Q124" s="10">
        <f t="shared" si="58"/>
        <v>6072529.3389686206</v>
      </c>
      <c r="R124" s="125">
        <f t="shared" si="47"/>
        <v>107617776.9308497</v>
      </c>
    </row>
    <row r="125" spans="1:18" ht="8.25" customHeight="1" x14ac:dyDescent="0.25">
      <c r="R125" s="125">
        <f t="shared" si="47"/>
        <v>0</v>
      </c>
    </row>
    <row r="126" spans="1:18" ht="13.5" customHeight="1" x14ac:dyDescent="0.25">
      <c r="A126" s="14" t="str">
        <f>'Matriz de Produccion'!A127</f>
        <v>1K00</v>
      </c>
      <c r="B126" s="81" t="s">
        <v>233</v>
      </c>
      <c r="D126" s="82">
        <f>SUM(D127:D129)</f>
        <v>530981696.87203121</v>
      </c>
      <c r="E126" s="82">
        <f>SUM(E127:E129)</f>
        <v>530981696.87203121</v>
      </c>
      <c r="G126" s="84">
        <f>SUM(G127:G129)</f>
        <v>0</v>
      </c>
      <c r="H126" s="84">
        <f>SUM(H127:H129)</f>
        <v>247985263.46041375</v>
      </c>
      <c r="I126" s="84">
        <f>SUM(I127:I129)</f>
        <v>247985263.46041375</v>
      </c>
      <c r="K126" s="84">
        <f>SUM(K127:K129)</f>
        <v>0</v>
      </c>
      <c r="L126" s="84">
        <f>SUM(L127:L129)</f>
        <v>132089959.049725</v>
      </c>
      <c r="M126" s="84">
        <f>SUM(M127:M129)</f>
        <v>132089959.049725</v>
      </c>
      <c r="O126" s="84">
        <f>SUM(O127:O129)</f>
        <v>0</v>
      </c>
      <c r="P126" s="84">
        <f>SUM(P127:P129)</f>
        <v>115895304.41068879</v>
      </c>
      <c r="Q126" s="84">
        <f>SUM(Q127:Q129)</f>
        <v>115895304.41068879</v>
      </c>
      <c r="R126" s="125">
        <f t="shared" ref="R126:R157" si="59">SUM(D126:Q126)</f>
        <v>2053904447.5857177</v>
      </c>
    </row>
    <row r="127" spans="1:18" ht="15" customHeight="1" x14ac:dyDescent="0.25">
      <c r="A127" s="14" t="str">
        <f>'Matriz de Produccion'!A128</f>
        <v>1K01</v>
      </c>
      <c r="B127" s="6" t="str">
        <f>VLOOKUP(A127,'Analisis por Categorias'!B:C,2,FALSE)</f>
        <v xml:space="preserve">Oficina Central </v>
      </c>
      <c r="D127" s="5">
        <f>SUMIF(CATEGORIAS[[#All],[SUBGRUPO]],A127,CATEGORIAS[[#All],[PRESUPUESTO
(ORIGINAL)]])</f>
        <v>212392678.74881247</v>
      </c>
      <c r="E127" s="5">
        <f>+SUMIF(CATEGORIAS[[#All],[SUBGRUPO]],A127,CATEGORIAS[[#All],[PRODUCCION
PARTIDAS
ORIGINALES
ACTUAL]])
+SUMIF(CATEGORIAS[[#All],[SUBGRUPO]],A127,CATEGORIAS[[#All],[PRODUCCION
ADICIONALES
ACTUAL]])
+SUMIF(CATEGORIAS[[#All],[SUBGRUPO]],A127,CATEGORIAS[[#All],[PROYECCION
DE INGRESO
DEL SALDO]])</f>
        <v>212392678.74881247</v>
      </c>
      <c r="G127" s="10">
        <f>+SUMIF(CATEGORIAS[[#All],[SUBGRUPO]],A127,CATEGORIAS[[#All],[COSTO
ACUMULADO  AX]])
+SUMIF(CATEGORIAS[[#All],[SUBGRUPO]],A127,CATEGORIAS[[#All],[CAMBIO DE
CATEGORIA]])</f>
        <v>0</v>
      </c>
      <c r="H127" s="10">
        <f>+SUMIF(CATEGORIAS[[#All],[SUBGRUPO]],A127,CATEGORIAS[[#All],[PROVISIONES]])</f>
        <v>99194105.384165511</v>
      </c>
      <c r="I127" s="10">
        <f>G127+H127</f>
        <v>99194105.384165511</v>
      </c>
      <c r="K127" s="10">
        <f>+SUMIF(CATEGORIAS[[#All],[SUBGRUPO]],A127,CATEGORIAS[[#All],[COSTO ACUMULADO
ANTERIOR]])
+SUMIF(CATEGORIAS[[#All],[SUBGRUPO]],A127,CATEGORIAS[[#All],[CAMBIO DE
CATEGORIA
ANTERIOR]])</f>
        <v>0</v>
      </c>
      <c r="L127" s="10">
        <f>+SUMIF(CATEGORIAS[[#All],[SUBGRUPO]],A127,CATEGORIAS[[#All],[PROVISIONES
ANTERIOR]])</f>
        <v>52835983.619889997</v>
      </c>
      <c r="M127" s="10">
        <f>K127+L127</f>
        <v>52835983.619889997</v>
      </c>
      <c r="O127" s="10">
        <f t="shared" ref="O127:Q129" si="60">G127-K127</f>
        <v>0</v>
      </c>
      <c r="P127" s="10">
        <f t="shared" si="60"/>
        <v>46358121.764275514</v>
      </c>
      <c r="Q127" s="10">
        <f t="shared" si="60"/>
        <v>46358121.764275514</v>
      </c>
      <c r="R127" s="125">
        <f t="shared" si="59"/>
        <v>821561779.03428698</v>
      </c>
    </row>
    <row r="128" spans="1:18" ht="15" customHeight="1" x14ac:dyDescent="0.25">
      <c r="A128" s="14" t="str">
        <f>'Matriz de Produccion'!A129</f>
        <v>1K02</v>
      </c>
      <c r="B128" s="6" t="str">
        <f>VLOOKUP(A128,'Analisis por Categorias'!B:C,2,FALSE)</f>
        <v xml:space="preserve">Imprevistos </v>
      </c>
      <c r="D128" s="5">
        <f>SUMIF(CATEGORIAS[[#All],[SUBGRUPO]],A128,CATEGORIAS[[#All],[PRESUPUESTO
(ORIGINAL)]])</f>
        <v>106196339.37440623</v>
      </c>
      <c r="E128" s="5">
        <f>+SUMIF(CATEGORIAS[[#All],[SUBGRUPO]],A128,CATEGORIAS[[#All],[PRODUCCION
PARTIDAS
ORIGINALES
ACTUAL]])
+SUMIF(CATEGORIAS[[#All],[SUBGRUPO]],A128,CATEGORIAS[[#All],[PRODUCCION
ADICIONALES
ACTUAL]])
+SUMIF(CATEGORIAS[[#All],[SUBGRUPO]],A128,CATEGORIAS[[#All],[PROYECCION
DE INGRESO
DEL SALDO]])</f>
        <v>106196339.37440623</v>
      </c>
      <c r="G128" s="10">
        <f>+SUMIF(CATEGORIAS[[#All],[SUBGRUPO]],A128,CATEGORIAS[[#All],[COSTO
ACUMULADO  AX]])
+SUMIF(CATEGORIAS[[#All],[SUBGRUPO]],A128,CATEGORIAS[[#All],[CAMBIO DE
CATEGORIA]])</f>
        <v>0</v>
      </c>
      <c r="H128" s="10">
        <f>+SUMIF(CATEGORIAS[[#All],[SUBGRUPO]],A128,CATEGORIAS[[#All],[PROVISIONES]])</f>
        <v>49597052.692082755</v>
      </c>
      <c r="I128" s="10">
        <f>G128+H128</f>
        <v>49597052.692082755</v>
      </c>
      <c r="K128" s="10">
        <f>+SUMIF(CATEGORIAS[[#All],[SUBGRUPO]],A128,CATEGORIAS[[#All],[COSTO ACUMULADO
ANTERIOR]])
+SUMIF(CATEGORIAS[[#All],[SUBGRUPO]],A128,CATEGORIAS[[#All],[CAMBIO DE
CATEGORIA
ANTERIOR]])</f>
        <v>0</v>
      </c>
      <c r="L128" s="10">
        <f>+SUMIF(CATEGORIAS[[#All],[SUBGRUPO]],A128,CATEGORIAS[[#All],[PROVISIONES
ANTERIOR]])</f>
        <v>26417991.809944998</v>
      </c>
      <c r="M128" s="88">
        <f>K128+L128</f>
        <v>26417991.809944998</v>
      </c>
      <c r="O128" s="88">
        <f t="shared" si="60"/>
        <v>0</v>
      </c>
      <c r="P128" s="88">
        <f t="shared" si="60"/>
        <v>23179060.882137757</v>
      </c>
      <c r="Q128" s="88">
        <f t="shared" si="60"/>
        <v>23179060.882137757</v>
      </c>
      <c r="R128" s="125">
        <f t="shared" si="59"/>
        <v>410780889.51714349</v>
      </c>
    </row>
    <row r="129" spans="1:27" ht="15" customHeight="1" x14ac:dyDescent="0.25">
      <c r="A129" s="14" t="str">
        <f>'Matriz de Produccion'!A130</f>
        <v>1K03</v>
      </c>
      <c r="B129" s="6" t="str">
        <f>VLOOKUP(A129,'Analisis por Categorias'!B:C,2,FALSE)</f>
        <v xml:space="preserve">Utilidades </v>
      </c>
      <c r="D129" s="5">
        <f>SUMIF(CATEGORIAS[[#All],[SUBGRUPO]],A129,CATEGORIAS[[#All],[PRESUPUESTO
(ORIGINAL)]])</f>
        <v>212392678.74881247</v>
      </c>
      <c r="E129" s="5">
        <f>+SUMIF(CATEGORIAS[[#All],[SUBGRUPO]],A129,CATEGORIAS[[#All],[PRODUCCION
PARTIDAS
ORIGINALES
ACTUAL]])
+SUMIF(CATEGORIAS[[#All],[SUBGRUPO]],A129,CATEGORIAS[[#All],[PRODUCCION
ADICIONALES
ACTUAL]])
+SUMIF(CATEGORIAS[[#All],[SUBGRUPO]],A129,CATEGORIAS[[#All],[PROYECCION
DE INGRESO
DEL SALDO]])</f>
        <v>212392678.74881247</v>
      </c>
      <c r="G129" s="10">
        <f>+SUMIF(CATEGORIAS[[#All],[SUBGRUPO]],A129,CATEGORIAS[[#All],[COSTO
ACUMULADO  AX]])
+SUMIF(CATEGORIAS[[#All],[SUBGRUPO]],A129,CATEGORIAS[[#All],[CAMBIO DE
CATEGORIA]])</f>
        <v>0</v>
      </c>
      <c r="H129" s="10">
        <f>+SUMIF(CATEGORIAS[[#All],[SUBGRUPO]],A129,CATEGORIAS[[#All],[PROVISIONES]])</f>
        <v>99194105.384165511</v>
      </c>
      <c r="I129" s="10">
        <f>G129+H129</f>
        <v>99194105.384165511</v>
      </c>
      <c r="K129" s="10">
        <f>+SUMIF(CATEGORIAS[[#All],[SUBGRUPO]],A129,CATEGORIAS[[#All],[COSTO ACUMULADO
ANTERIOR]])
+SUMIF(CATEGORIAS[[#All],[SUBGRUPO]],A129,CATEGORIAS[[#All],[CAMBIO DE
CATEGORIA
ANTERIOR]])</f>
        <v>0</v>
      </c>
      <c r="L129" s="10">
        <f>+SUMIF(CATEGORIAS[[#All],[SUBGRUPO]],A129,CATEGORIAS[[#All],[PROVISIONES
ANTERIOR]])</f>
        <v>52835983.619889997</v>
      </c>
      <c r="M129" s="10">
        <f>K129+L129</f>
        <v>52835983.619889997</v>
      </c>
      <c r="O129" s="10">
        <f t="shared" si="60"/>
        <v>0</v>
      </c>
      <c r="P129" s="10">
        <f t="shared" si="60"/>
        <v>46358121.764275514</v>
      </c>
      <c r="Q129" s="10">
        <f t="shared" si="60"/>
        <v>46358121.764275514</v>
      </c>
      <c r="R129" s="125">
        <f t="shared" si="59"/>
        <v>821561779.03428698</v>
      </c>
    </row>
    <row r="130" spans="1:27" ht="8.25" customHeight="1" x14ac:dyDescent="0.25">
      <c r="R130" s="125">
        <f t="shared" si="59"/>
        <v>0</v>
      </c>
    </row>
    <row r="131" spans="1:27" x14ac:dyDescent="0.25">
      <c r="B131" s="7" t="s">
        <v>234</v>
      </c>
      <c r="D131" s="350">
        <f>SUM(D132:D142)</f>
        <v>5309816968.7201071</v>
      </c>
      <c r="E131" s="350">
        <f>SUM(E132:E142)</f>
        <v>5514917512.4993162</v>
      </c>
      <c r="G131" s="353">
        <f>SUM(G132:G142)</f>
        <v>1927922695.0712001</v>
      </c>
      <c r="H131" s="353">
        <f>SUM(H132:H142)</f>
        <v>539676869.30103195</v>
      </c>
      <c r="I131" s="353">
        <f>SUM(I132:I142)</f>
        <v>2467599564.372232</v>
      </c>
      <c r="K131" s="353">
        <f>SUM(K132:K142)</f>
        <v>1214599901.0978856</v>
      </c>
      <c r="L131" s="353">
        <f>SUM(L132:L142)</f>
        <v>332240832.59339356</v>
      </c>
      <c r="M131" s="353">
        <f>SUM(M132:M142)</f>
        <v>1546840733.6912796</v>
      </c>
      <c r="O131" s="353">
        <f>SUM(O132:O142)</f>
        <v>713322793.97331405</v>
      </c>
      <c r="P131" s="353">
        <f>SUM(P132:P142)</f>
        <v>207436036.70763832</v>
      </c>
      <c r="Q131" s="353">
        <f>SUM(Q132:Q142)</f>
        <v>920758830.68095231</v>
      </c>
      <c r="R131" s="125">
        <f t="shared" si="59"/>
        <v>20695132738.708351</v>
      </c>
    </row>
    <row r="132" spans="1:27" x14ac:dyDescent="0.25">
      <c r="A132" s="14" t="str">
        <f>'Matriz de Produccion'!A133</f>
        <v>0A00</v>
      </c>
      <c r="B132" s="81" t="s">
        <v>168</v>
      </c>
      <c r="D132" s="360">
        <f>D9</f>
        <v>1425866588.2684827</v>
      </c>
      <c r="E132" s="360">
        <f>E9</f>
        <v>1481201543.175487</v>
      </c>
      <c r="G132" s="85">
        <f>G9</f>
        <v>743382539</v>
      </c>
      <c r="H132" s="85">
        <f>H9</f>
        <v>93724754.299754322</v>
      </c>
      <c r="I132" s="88">
        <f t="shared" ref="I132:I142" si="61">G132+H132</f>
        <v>837107293.29975438</v>
      </c>
      <c r="K132" s="88">
        <f>K9</f>
        <v>439829717</v>
      </c>
      <c r="L132" s="361">
        <f>L9</f>
        <v>48181511.056511059</v>
      </c>
      <c r="M132" s="88">
        <f t="shared" ref="M132:M142" si="62">K132+L132</f>
        <v>488011228.05651104</v>
      </c>
      <c r="O132" s="88">
        <f>O9</f>
        <v>303552822</v>
      </c>
      <c r="P132" s="88">
        <f>P9</f>
        <v>45543243.243243255</v>
      </c>
      <c r="Q132" s="88">
        <f t="shared" ref="Q132:Q142" si="63">O132+P132</f>
        <v>349096065.24324328</v>
      </c>
      <c r="R132" s="125">
        <f t="shared" si="59"/>
        <v>6255497304.6429863</v>
      </c>
      <c r="T132" s="135"/>
    </row>
    <row r="133" spans="1:27" x14ac:dyDescent="0.25">
      <c r="A133" s="14" t="str">
        <f>'Matriz de Produccion'!A134</f>
        <v>0B00</v>
      </c>
      <c r="B133" s="81" t="s">
        <v>180</v>
      </c>
      <c r="D133" s="360">
        <f>D24</f>
        <v>455675553.39120007</v>
      </c>
      <c r="E133" s="360">
        <f>E24</f>
        <v>484453453.90711045</v>
      </c>
      <c r="G133" s="85">
        <f>G24</f>
        <v>178343975</v>
      </c>
      <c r="H133" s="85">
        <f>H24</f>
        <v>23088563</v>
      </c>
      <c r="I133" s="88">
        <f t="shared" si="61"/>
        <v>201432538</v>
      </c>
      <c r="K133" s="88">
        <f>K24</f>
        <v>130582736</v>
      </c>
      <c r="L133" s="361">
        <f>L24</f>
        <v>14296354</v>
      </c>
      <c r="M133" s="88">
        <f t="shared" si="62"/>
        <v>144879090</v>
      </c>
      <c r="O133" s="88">
        <f>O24</f>
        <v>47761239</v>
      </c>
      <c r="P133" s="88">
        <f>P24</f>
        <v>8792209</v>
      </c>
      <c r="Q133" s="88">
        <f t="shared" si="63"/>
        <v>56553448</v>
      </c>
      <c r="R133" s="125">
        <f t="shared" si="59"/>
        <v>1745859159.2983105</v>
      </c>
      <c r="T133" s="135"/>
    </row>
    <row r="134" spans="1:27" x14ac:dyDescent="0.25">
      <c r="A134" s="14" t="str">
        <f>'Matriz de Produccion'!A135</f>
        <v>0C00</v>
      </c>
      <c r="B134" s="81" t="s">
        <v>185</v>
      </c>
      <c r="D134" s="360">
        <f>D37</f>
        <v>274813305.51671207</v>
      </c>
      <c r="E134" s="360">
        <f>E37</f>
        <v>299306035.81877053</v>
      </c>
      <c r="G134" s="85">
        <f>G37</f>
        <v>79655784.199999988</v>
      </c>
      <c r="H134" s="85">
        <f>H37</f>
        <v>11939040</v>
      </c>
      <c r="I134" s="88">
        <f t="shared" si="61"/>
        <v>91594824.199999988</v>
      </c>
      <c r="K134" s="88">
        <f>K37</f>
        <v>57320625.799999997</v>
      </c>
      <c r="L134" s="361">
        <f>L37</f>
        <v>11387460</v>
      </c>
      <c r="M134" s="88">
        <f t="shared" si="62"/>
        <v>68708085.799999997</v>
      </c>
      <c r="O134" s="88">
        <f>O37</f>
        <v>22335158.399999999</v>
      </c>
      <c r="P134" s="88">
        <f>P37</f>
        <v>551580</v>
      </c>
      <c r="Q134" s="88">
        <f t="shared" si="63"/>
        <v>22886738.399999999</v>
      </c>
      <c r="R134" s="125">
        <f t="shared" si="59"/>
        <v>940498638.13548255</v>
      </c>
      <c r="T134" s="135"/>
    </row>
    <row r="135" spans="1:27" x14ac:dyDescent="0.25">
      <c r="A135" s="14" t="str">
        <f>'Matriz de Produccion'!A136</f>
        <v>0D00</v>
      </c>
      <c r="B135" s="81" t="s">
        <v>190</v>
      </c>
      <c r="D135" s="360">
        <f>D46</f>
        <v>740872631.09810007</v>
      </c>
      <c r="E135" s="360">
        <f>E46</f>
        <v>794729067.02900994</v>
      </c>
      <c r="G135" s="85">
        <f>G46</f>
        <v>197920453</v>
      </c>
      <c r="H135" s="85">
        <f>H46</f>
        <v>69545592.178542182</v>
      </c>
      <c r="I135" s="88">
        <f t="shared" si="61"/>
        <v>267466045.1785422</v>
      </c>
      <c r="K135" s="88">
        <f>K46</f>
        <v>133373694</v>
      </c>
      <c r="L135" s="361">
        <f>L46</f>
        <v>68710142.764127776</v>
      </c>
      <c r="M135" s="88">
        <f t="shared" si="62"/>
        <v>202083836.76412779</v>
      </c>
      <c r="O135" s="88">
        <f>O46</f>
        <v>64546759</v>
      </c>
      <c r="P135" s="88">
        <f>P46</f>
        <v>835449.41441441467</v>
      </c>
      <c r="Q135" s="88">
        <f t="shared" si="63"/>
        <v>65382208.414414413</v>
      </c>
      <c r="R135" s="125">
        <f t="shared" si="59"/>
        <v>2605465878.8412786</v>
      </c>
      <c r="T135" s="135"/>
      <c r="W135" s="228">
        <v>3100</v>
      </c>
      <c r="X135" s="14" t="s">
        <v>242</v>
      </c>
      <c r="Y135" s="228">
        <v>53865</v>
      </c>
      <c r="Z135" s="228">
        <v>166981500</v>
      </c>
      <c r="AA135" s="14">
        <f>Y135*W135</f>
        <v>166981500</v>
      </c>
    </row>
    <row r="136" spans="1:27" x14ac:dyDescent="0.25">
      <c r="A136" s="14" t="str">
        <f>'Matriz de Produccion'!A137</f>
        <v>0X00</v>
      </c>
      <c r="B136" s="81" t="s">
        <v>196</v>
      </c>
      <c r="D136" s="360">
        <f>D58</f>
        <v>104044850.4409</v>
      </c>
      <c r="E136" s="360">
        <f>E58</f>
        <v>105214802.86575359</v>
      </c>
      <c r="G136" s="85">
        <f>G58</f>
        <v>37669482</v>
      </c>
      <c r="H136" s="85">
        <f>H58</f>
        <v>10000000</v>
      </c>
      <c r="I136" s="88">
        <f t="shared" si="61"/>
        <v>47669482</v>
      </c>
      <c r="K136" s="88">
        <f>K58</f>
        <v>695300</v>
      </c>
      <c r="L136" s="361">
        <f>L58</f>
        <v>4671906.3603999997</v>
      </c>
      <c r="M136" s="88">
        <f t="shared" si="62"/>
        <v>5367206.3603999997</v>
      </c>
      <c r="O136" s="88">
        <f>O58</f>
        <v>36974182</v>
      </c>
      <c r="P136" s="88">
        <f>P58</f>
        <v>5328093.6396000003</v>
      </c>
      <c r="Q136" s="88">
        <f t="shared" si="63"/>
        <v>42302275.639600001</v>
      </c>
      <c r="R136" s="125">
        <f t="shared" si="59"/>
        <v>399937581.30665362</v>
      </c>
      <c r="T136" s="135"/>
      <c r="W136" s="14">
        <v>900</v>
      </c>
      <c r="X136" s="14" t="s">
        <v>242</v>
      </c>
      <c r="Y136" s="228">
        <v>41059</v>
      </c>
      <c r="Z136" s="228">
        <v>36953100</v>
      </c>
      <c r="AA136" s="14">
        <f t="shared" ref="AA136:AA138" si="64">Y136*W136</f>
        <v>36953100</v>
      </c>
    </row>
    <row r="137" spans="1:27" x14ac:dyDescent="0.25">
      <c r="A137" s="14" t="str">
        <f>'Matriz de Produccion'!A138</f>
        <v>1F00</v>
      </c>
      <c r="B137" s="81" t="s">
        <v>205</v>
      </c>
      <c r="D137" s="360">
        <f>D73</f>
        <v>1205789659.0351105</v>
      </c>
      <c r="E137" s="360">
        <f>E73</f>
        <v>1244763716.5351105</v>
      </c>
      <c r="G137" s="85">
        <f>G73</f>
        <v>526952352.40000004</v>
      </c>
      <c r="H137" s="85">
        <f>H73</f>
        <v>52444720.360360362</v>
      </c>
      <c r="I137" s="88">
        <f t="shared" si="61"/>
        <v>579397072.76036036</v>
      </c>
      <c r="K137" s="88">
        <f>K73</f>
        <v>351727024.39999998</v>
      </c>
      <c r="L137" s="361">
        <f>L73</f>
        <v>32078638.361998364</v>
      </c>
      <c r="M137" s="88">
        <f t="shared" si="62"/>
        <v>383805662.76199836</v>
      </c>
      <c r="O137" s="88">
        <f>O73</f>
        <v>175225328</v>
      </c>
      <c r="P137" s="88">
        <f>P73</f>
        <v>20366081.998361997</v>
      </c>
      <c r="Q137" s="88">
        <f t="shared" si="63"/>
        <v>195591409.998362</v>
      </c>
      <c r="R137" s="125">
        <f t="shared" si="59"/>
        <v>4768141666.6116619</v>
      </c>
      <c r="T137" s="135"/>
      <c r="W137" s="228">
        <v>2600</v>
      </c>
      <c r="X137" s="14" t="s">
        <v>242</v>
      </c>
      <c r="Y137" s="228">
        <v>34461</v>
      </c>
      <c r="Z137" s="228">
        <v>89598600</v>
      </c>
      <c r="AA137" s="14">
        <f t="shared" si="64"/>
        <v>89598600</v>
      </c>
    </row>
    <row r="138" spans="1:27" x14ac:dyDescent="0.25">
      <c r="A138" s="14" t="str">
        <f>'Matriz de Produccion'!A139</f>
        <v>1G00</v>
      </c>
      <c r="B138" s="81" t="s">
        <v>207</v>
      </c>
      <c r="D138" s="360">
        <f>D88</f>
        <v>90537194.880000025</v>
      </c>
      <c r="E138" s="360">
        <f>E88</f>
        <v>90537194.880000025</v>
      </c>
      <c r="G138" s="85">
        <f>G88</f>
        <v>19630647</v>
      </c>
      <c r="H138" s="85">
        <f>H88</f>
        <v>2500000</v>
      </c>
      <c r="I138" s="88">
        <f t="shared" si="61"/>
        <v>22130647</v>
      </c>
      <c r="K138" s="88">
        <f>K88</f>
        <v>13501214</v>
      </c>
      <c r="L138" s="361">
        <f>L88</f>
        <v>5354338</v>
      </c>
      <c r="M138" s="88">
        <f t="shared" si="62"/>
        <v>18855552</v>
      </c>
      <c r="O138" s="88">
        <f>O88</f>
        <v>6129433</v>
      </c>
      <c r="P138" s="88">
        <f>P88</f>
        <v>-2854338</v>
      </c>
      <c r="Q138" s="88">
        <f t="shared" si="63"/>
        <v>3275095</v>
      </c>
      <c r="R138" s="125">
        <f t="shared" si="59"/>
        <v>269596977.76000005</v>
      </c>
      <c r="T138" s="135"/>
      <c r="V138" s="228"/>
      <c r="W138" s="228">
        <v>2000</v>
      </c>
      <c r="X138" s="14" t="s">
        <v>242</v>
      </c>
      <c r="Y138" s="228">
        <v>45896</v>
      </c>
      <c r="Z138" s="228">
        <v>91792000</v>
      </c>
      <c r="AA138" s="14">
        <f t="shared" si="64"/>
        <v>91792000</v>
      </c>
    </row>
    <row r="139" spans="1:27" x14ac:dyDescent="0.25">
      <c r="A139" s="14" t="str">
        <f>'Matriz de Produccion'!A140</f>
        <v>1H00</v>
      </c>
      <c r="B139" s="81" t="s">
        <v>212</v>
      </c>
      <c r="D139" s="360">
        <f>D95</f>
        <v>164811573.62139496</v>
      </c>
      <c r="E139" s="360">
        <f>E95</f>
        <v>166757070.55323496</v>
      </c>
      <c r="G139" s="85">
        <f>G95</f>
        <v>44396032</v>
      </c>
      <c r="H139" s="85">
        <f>H95</f>
        <v>293003</v>
      </c>
      <c r="I139" s="88">
        <f t="shared" si="61"/>
        <v>44689035</v>
      </c>
      <c r="K139" s="88">
        <f>K95</f>
        <v>21680687</v>
      </c>
      <c r="L139" s="361">
        <f>L95</f>
        <v>408000</v>
      </c>
      <c r="M139" s="88">
        <f t="shared" si="62"/>
        <v>22088687</v>
      </c>
      <c r="O139" s="88">
        <f>O95</f>
        <v>22715345</v>
      </c>
      <c r="P139" s="88">
        <f>P95</f>
        <v>-114997</v>
      </c>
      <c r="Q139" s="88">
        <f t="shared" si="63"/>
        <v>22600348</v>
      </c>
      <c r="R139" s="125">
        <f t="shared" si="59"/>
        <v>510324784.17462993</v>
      </c>
      <c r="T139" s="135"/>
    </row>
    <row r="140" spans="1:27" x14ac:dyDescent="0.25">
      <c r="A140" s="14" t="str">
        <f>'Matriz de Produccion'!A141</f>
        <v>1I00</v>
      </c>
      <c r="B140" s="81" t="s">
        <v>221</v>
      </c>
      <c r="D140" s="360">
        <f>D107</f>
        <v>235079922.81330013</v>
      </c>
      <c r="E140" s="360">
        <f>E107</f>
        <v>235628938.07993358</v>
      </c>
      <c r="G140" s="85">
        <f>G107</f>
        <v>90137143.471200004</v>
      </c>
      <c r="H140" s="85">
        <f>H107</f>
        <v>0</v>
      </c>
      <c r="I140" s="88">
        <f t="shared" si="61"/>
        <v>90137143.471200004</v>
      </c>
      <c r="K140" s="88">
        <f>K107</f>
        <v>55564885</v>
      </c>
      <c r="L140" s="361">
        <f>L107</f>
        <v>5150957</v>
      </c>
      <c r="M140" s="88">
        <f t="shared" si="62"/>
        <v>60715842</v>
      </c>
      <c r="O140" s="88">
        <f>O107</f>
        <v>34572258.471200004</v>
      </c>
      <c r="P140" s="88">
        <f>P107</f>
        <v>-5150957</v>
      </c>
      <c r="Q140" s="88">
        <f t="shared" si="63"/>
        <v>29421301.471200004</v>
      </c>
      <c r="R140" s="125">
        <f t="shared" si="59"/>
        <v>831257434.77803373</v>
      </c>
      <c r="T140" s="135"/>
      <c r="V140" s="228"/>
    </row>
    <row r="141" spans="1:27" ht="15" customHeight="1" x14ac:dyDescent="0.25">
      <c r="A141" s="14" t="str">
        <f>'Matriz de Produccion'!A142</f>
        <v>1J00</v>
      </c>
      <c r="B141" s="81" t="s">
        <v>229</v>
      </c>
      <c r="D141" s="360">
        <f>D121</f>
        <v>81343992.782874912</v>
      </c>
      <c r="E141" s="360">
        <f>E121</f>
        <v>81343992.782874912</v>
      </c>
      <c r="F141" s="360"/>
      <c r="G141" s="360">
        <f>G121</f>
        <v>9834287</v>
      </c>
      <c r="H141" s="360">
        <f>H121</f>
        <v>28155933.001961302</v>
      </c>
      <c r="I141" s="88">
        <f t="shared" si="61"/>
        <v>37990220.001961306</v>
      </c>
      <c r="K141" s="88">
        <f>K121</f>
        <v>10324017.89788588</v>
      </c>
      <c r="L141" s="88">
        <f>L121</f>
        <v>9911566.0006314199</v>
      </c>
      <c r="M141" s="88">
        <f t="shared" si="62"/>
        <v>20235583.898517299</v>
      </c>
      <c r="O141" s="88">
        <f>O121</f>
        <v>-489730.8978858795</v>
      </c>
      <c r="P141" s="88">
        <f>P121</f>
        <v>18244367.00132988</v>
      </c>
      <c r="Q141" s="88">
        <f t="shared" si="63"/>
        <v>17754636.103444003</v>
      </c>
      <c r="R141" s="125">
        <f t="shared" si="59"/>
        <v>314648865.57359505</v>
      </c>
      <c r="T141" s="135"/>
    </row>
    <row r="142" spans="1:27" ht="15" customHeight="1" x14ac:dyDescent="0.25">
      <c r="A142" s="14" t="str">
        <f>A126</f>
        <v>1K00</v>
      </c>
      <c r="B142" s="81" t="s">
        <v>233</v>
      </c>
      <c r="D142" s="360">
        <f>D126</f>
        <v>530981696.87203121</v>
      </c>
      <c r="E142" s="360">
        <f>E126</f>
        <v>530981696.87203121</v>
      </c>
      <c r="F142" s="360"/>
      <c r="G142" s="360">
        <f>G126</f>
        <v>0</v>
      </c>
      <c r="H142" s="360">
        <f>H126</f>
        <v>247985263.46041375</v>
      </c>
      <c r="I142" s="88">
        <f t="shared" si="61"/>
        <v>247985263.46041375</v>
      </c>
      <c r="K142" s="360">
        <f>K126</f>
        <v>0</v>
      </c>
      <c r="L142" s="360">
        <f>L126</f>
        <v>132089959.049725</v>
      </c>
      <c r="M142" s="88">
        <f t="shared" si="62"/>
        <v>132089959.049725</v>
      </c>
      <c r="O142" s="360">
        <f>O126</f>
        <v>0</v>
      </c>
      <c r="P142" s="360">
        <f>P126</f>
        <v>115895304.41068879</v>
      </c>
      <c r="Q142" s="88">
        <f t="shared" si="63"/>
        <v>115895304.41068879</v>
      </c>
      <c r="R142" s="125">
        <f t="shared" si="59"/>
        <v>2053904447.5857177</v>
      </c>
      <c r="T142" s="135"/>
    </row>
    <row r="143" spans="1:27" s="123" customFormat="1" x14ac:dyDescent="0.25">
      <c r="I143" s="127"/>
      <c r="V143" s="123">
        <v>477.86900000000003</v>
      </c>
    </row>
    <row r="144" spans="1:27" s="123" customFormat="1" x14ac:dyDescent="0.25">
      <c r="D144" s="125">
        <f t="shared" ref="D144:R144" si="65">SUM(D7:D142)/5</f>
        <v>5309816968.7201061</v>
      </c>
      <c r="E144" s="125">
        <f t="shared" si="65"/>
        <v>5514917512.4993153</v>
      </c>
      <c r="F144" s="125">
        <f t="shared" si="65"/>
        <v>0</v>
      </c>
      <c r="G144" s="125">
        <f t="shared" si="65"/>
        <v>1927922695.0712001</v>
      </c>
      <c r="H144" s="125">
        <f t="shared" si="65"/>
        <v>539676869.30103183</v>
      </c>
      <c r="I144" s="125">
        <f t="shared" si="65"/>
        <v>2467599564.3722324</v>
      </c>
      <c r="J144" s="125">
        <f t="shared" si="65"/>
        <v>0</v>
      </c>
      <c r="K144" s="125">
        <f t="shared" si="65"/>
        <v>1214599901.0978856</v>
      </c>
      <c r="L144" s="125">
        <f t="shared" si="65"/>
        <v>332240832.59339356</v>
      </c>
      <c r="M144" s="125">
        <f t="shared" si="65"/>
        <v>1546840733.6912799</v>
      </c>
      <c r="N144" s="125">
        <f t="shared" si="65"/>
        <v>0</v>
      </c>
      <c r="O144" s="125">
        <f t="shared" si="65"/>
        <v>713322793.97331429</v>
      </c>
      <c r="P144" s="125">
        <f t="shared" si="65"/>
        <v>207436036.70763832</v>
      </c>
      <c r="Q144" s="125">
        <f t="shared" si="65"/>
        <v>920758830.68095243</v>
      </c>
      <c r="R144" s="125">
        <f t="shared" si="65"/>
        <v>20670346144.338249</v>
      </c>
      <c r="V144" s="123">
        <v>477.86900000000003</v>
      </c>
    </row>
    <row r="145" spans="4:22" s="123" customFormat="1" x14ac:dyDescent="0.25">
      <c r="D145" s="125">
        <f>D131-D144</f>
        <v>0</v>
      </c>
      <c r="E145" s="125">
        <f t="shared" ref="E145:Q145" si="66">E131-E144</f>
        <v>0</v>
      </c>
      <c r="F145" s="125">
        <f t="shared" si="66"/>
        <v>0</v>
      </c>
      <c r="G145" s="125">
        <f t="shared" si="66"/>
        <v>0</v>
      </c>
      <c r="H145" s="125">
        <f t="shared" si="66"/>
        <v>0</v>
      </c>
      <c r="I145" s="125">
        <f t="shared" si="66"/>
        <v>0</v>
      </c>
      <c r="J145" s="125">
        <f t="shared" si="66"/>
        <v>0</v>
      </c>
      <c r="K145" s="125">
        <f t="shared" si="66"/>
        <v>0</v>
      </c>
      <c r="L145" s="125">
        <f t="shared" si="66"/>
        <v>0</v>
      </c>
      <c r="M145" s="125">
        <f t="shared" si="66"/>
        <v>0</v>
      </c>
      <c r="N145" s="125">
        <f t="shared" si="66"/>
        <v>0</v>
      </c>
      <c r="O145" s="125">
        <f t="shared" si="66"/>
        <v>0</v>
      </c>
      <c r="P145" s="125">
        <f t="shared" si="66"/>
        <v>0</v>
      </c>
      <c r="Q145" s="125">
        <f t="shared" si="66"/>
        <v>0</v>
      </c>
      <c r="R145" s="123">
        <f>-SUM(D144:Q144)+R144</f>
        <v>-24786594.370098114</v>
      </c>
      <c r="V145" s="123">
        <v>477.86900000000003</v>
      </c>
    </row>
    <row r="147" spans="4:22" x14ac:dyDescent="0.25">
      <c r="G147" s="135"/>
      <c r="H147" s="135"/>
      <c r="I147" s="135"/>
    </row>
  </sheetData>
  <sheetProtection selectLockedCells="1" autoFilter="0" selectUnlockedCells="1"/>
  <mergeCells count="8">
    <mergeCell ref="G4:I4"/>
    <mergeCell ref="K4:M4"/>
    <mergeCell ref="O4:Q4"/>
    <mergeCell ref="G1:M1"/>
    <mergeCell ref="B1:D1"/>
    <mergeCell ref="O1:Q1"/>
    <mergeCell ref="G2:M2"/>
    <mergeCell ref="O2:P2"/>
  </mergeCells>
  <pageMargins left="0.70866141732283472" right="0.70866141732283472" top="0.74803149606299213" bottom="0.74803149606299213" header="0.31496062992125984" footer="0.31496062992125984"/>
  <pageSetup scale="35" fitToHeight="0" orientation="landscape" r:id="rId1"/>
  <rowBreaks count="2" manualBreakCount="2">
    <brk id="70" max="16383" man="1"/>
    <brk id="13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AD157"/>
  <sheetViews>
    <sheetView zoomScaleNormal="100" workbookViewId="0">
      <pane xSplit="5" ySplit="5" topLeftCell="F6" activePane="bottomRight" state="frozenSplit"/>
      <selection activeCell="R21" sqref="R21"/>
      <selection pane="topRight" activeCell="R21" sqref="R21"/>
      <selection pane="bottomLeft" activeCell="R21" sqref="R21"/>
      <selection pane="bottomRight" activeCell="G2" sqref="G2:M2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85546875" style="14" customWidth="1"/>
    <col min="6" max="6" width="1.42578125" style="14" customWidth="1"/>
    <col min="7" max="9" width="15.7109375" style="14" customWidth="1"/>
    <col min="10" max="10" width="1.42578125" style="14" customWidth="1"/>
    <col min="11" max="13" width="15.7109375" style="14" customWidth="1"/>
    <col min="14" max="14" width="1.42578125" style="14" customWidth="1"/>
    <col min="15" max="15" width="17" style="14" customWidth="1"/>
    <col min="16" max="17" width="15.7109375" style="14" customWidth="1"/>
    <col min="18" max="18" width="4.85546875" style="123" customWidth="1"/>
    <col min="19" max="19" width="12.7109375" style="254" bestFit="1" customWidth="1"/>
    <col min="20" max="20" width="12.7109375" style="14" bestFit="1" customWidth="1"/>
    <col min="21" max="22" width="13.5703125" style="14" bestFit="1" customWidth="1"/>
    <col min="23" max="16384" width="11.42578125" style="14"/>
  </cols>
  <sheetData>
    <row r="1" spans="1:30" ht="49.5" customHeight="1" x14ac:dyDescent="0.25">
      <c r="B1" s="404"/>
      <c r="C1" s="404"/>
      <c r="D1" s="404"/>
      <c r="E1" s="97"/>
      <c r="G1" s="403" t="s">
        <v>243</v>
      </c>
      <c r="H1" s="403"/>
      <c r="I1" s="403"/>
      <c r="J1" s="403"/>
      <c r="K1" s="403"/>
      <c r="L1" s="403"/>
      <c r="M1" s="403"/>
      <c r="O1" s="404" t="str">
        <f>'Matriz de Produccion'!O1:Q1</f>
        <v>CC: EIMI00412 
MONTAJE ELECTROMECÁNICO " PROYECTO NUEVAS PRENSAS DE LODOS"</v>
      </c>
      <c r="P1" s="404"/>
      <c r="Q1" s="404"/>
    </row>
    <row r="2" spans="1:30" ht="20.25" customHeight="1" x14ac:dyDescent="0.3">
      <c r="B2" s="64" t="str">
        <f>Indice!C4</f>
        <v>INFORME DE COSTOS N° 3</v>
      </c>
      <c r="G2" s="405" t="str">
        <f>'Matriz de Produccion'!G2:M2</f>
        <v>Periodo : diciembre 2025</v>
      </c>
      <c r="H2" s="405"/>
      <c r="I2" s="405"/>
      <c r="J2" s="405"/>
      <c r="K2" s="405"/>
      <c r="L2" s="405"/>
      <c r="M2" s="405"/>
      <c r="O2" s="406" t="s">
        <v>244</v>
      </c>
      <c r="P2" s="406"/>
      <c r="Q2" s="64" t="s">
        <v>154</v>
      </c>
    </row>
    <row r="3" spans="1:30" ht="8.25" customHeight="1" x14ac:dyDescent="0.25">
      <c r="G3" s="44"/>
      <c r="H3" s="44"/>
      <c r="I3" s="44"/>
      <c r="K3" s="44"/>
      <c r="L3" s="44"/>
      <c r="M3" s="44"/>
    </row>
    <row r="4" spans="1:30" x14ac:dyDescent="0.25">
      <c r="B4" s="80" t="s">
        <v>80</v>
      </c>
      <c r="D4" s="80" t="s">
        <v>80</v>
      </c>
      <c r="E4" s="80" t="s">
        <v>80</v>
      </c>
      <c r="G4" s="409" t="s">
        <v>155</v>
      </c>
      <c r="H4" s="401"/>
      <c r="I4" s="402"/>
      <c r="K4" s="409" t="s">
        <v>156</v>
      </c>
      <c r="L4" s="401"/>
      <c r="M4" s="402"/>
      <c r="O4" s="409" t="s">
        <v>157</v>
      </c>
      <c r="P4" s="401"/>
      <c r="Q4" s="402"/>
    </row>
    <row r="5" spans="1:30" s="89" customFormat="1" ht="36.75" customHeight="1" x14ac:dyDescent="0.2">
      <c r="B5" s="90" t="s">
        <v>158</v>
      </c>
      <c r="D5" s="90" t="s">
        <v>159</v>
      </c>
      <c r="E5" s="90" t="s">
        <v>160</v>
      </c>
      <c r="G5" s="91" t="s">
        <v>163</v>
      </c>
      <c r="H5" s="93" t="s">
        <v>239</v>
      </c>
      <c r="I5" s="90" t="s">
        <v>245</v>
      </c>
      <c r="K5" s="91" t="s">
        <v>164</v>
      </c>
      <c r="L5" s="93" t="s">
        <v>240</v>
      </c>
      <c r="M5" s="90" t="s">
        <v>246</v>
      </c>
      <c r="O5" s="91" t="s">
        <v>247</v>
      </c>
      <c r="P5" s="93" t="s">
        <v>248</v>
      </c>
      <c r="Q5" s="90" t="s">
        <v>249</v>
      </c>
      <c r="R5" s="124"/>
      <c r="S5" s="255"/>
      <c r="W5" s="284"/>
      <c r="X5" s="284"/>
    </row>
    <row r="6" spans="1:30" ht="8.25" customHeight="1" x14ac:dyDescent="0.25"/>
    <row r="7" spans="1:30" ht="15" customHeight="1" x14ac:dyDescent="0.25">
      <c r="B7" s="8" t="str">
        <f>'Matriz de Produccion'!B7:B7</f>
        <v>COSTOS DIRECTOS</v>
      </c>
      <c r="D7" s="1">
        <f>SUM(D132:D136)</f>
        <v>3001272928.715395</v>
      </c>
      <c r="E7" s="1">
        <f>SUM(E132:E136)</f>
        <v>3164904902.7961316</v>
      </c>
      <c r="G7" s="12">
        <f>SUM(G132:G136)</f>
        <v>1169080495.4208283</v>
      </c>
      <c r="H7" s="11">
        <f>SUM(H132:H136)</f>
        <v>1445270182.6782966</v>
      </c>
      <c r="I7" s="2">
        <f>SUM(I132:I136)</f>
        <v>-276189687.25746816</v>
      </c>
      <c r="K7" s="12">
        <f>SUM(K132:K136)</f>
        <v>813324951.34912038</v>
      </c>
      <c r="L7" s="11">
        <f>SUM(L132:L136)</f>
        <v>909049446.98103869</v>
      </c>
      <c r="M7" s="2">
        <f>SUM(M132:M136)</f>
        <v>-95724495.63191849</v>
      </c>
      <c r="O7" s="12">
        <f>SUM(O132:O136)</f>
        <v>355755544.07170796</v>
      </c>
      <c r="P7" s="11">
        <f>SUM(P132:P136)</f>
        <v>536220735.69725758</v>
      </c>
      <c r="Q7" s="2">
        <f>SUM(Q132:Q136)</f>
        <v>-180465191.62554961</v>
      </c>
      <c r="R7" s="125">
        <f t="shared" ref="R7:R52" si="0">SUM(D7:Q7)</f>
        <v>10842499813.194841</v>
      </c>
    </row>
    <row r="8" spans="1:30" ht="8.25" customHeight="1" x14ac:dyDescent="0.25">
      <c r="R8" s="125">
        <f t="shared" si="0"/>
        <v>0</v>
      </c>
    </row>
    <row r="9" spans="1:30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SUM(D10:D22)</f>
        <v>1425866588.2684827</v>
      </c>
      <c r="E9" s="82">
        <f>SUM(E10:E22)</f>
        <v>1481201543.175487</v>
      </c>
      <c r="G9" s="83">
        <f>SUM(G10:G22)</f>
        <v>527910094.65412843</v>
      </c>
      <c r="H9" s="84">
        <f>SUM(H10:H22)</f>
        <v>837107293.29975438</v>
      </c>
      <c r="I9" s="87">
        <f>SUM(I10:I22)</f>
        <v>-309197198.64562589</v>
      </c>
      <c r="K9" s="83">
        <f>SUM(K10:K22)</f>
        <v>362716973.56080329</v>
      </c>
      <c r="L9" s="84">
        <f>SUM(L10:L22)</f>
        <v>488011228.05651104</v>
      </c>
      <c r="M9" s="87">
        <f>SUM(M10:M22)</f>
        <v>-125294254.49570778</v>
      </c>
      <c r="O9" s="83">
        <f>SUM(O10:O22)</f>
        <v>165193121.09332505</v>
      </c>
      <c r="P9" s="84">
        <f>SUM(P10:P22)</f>
        <v>349096065.24324322</v>
      </c>
      <c r="Q9" s="87">
        <f>SUM(Q10:Q22)</f>
        <v>-183902944.14991811</v>
      </c>
      <c r="R9" s="125">
        <f t="shared" si="0"/>
        <v>5018708510.060483</v>
      </c>
      <c r="S9" s="265"/>
      <c r="T9" s="245"/>
      <c r="W9" s="268"/>
      <c r="X9" s="268"/>
      <c r="Y9" s="243"/>
      <c r="AD9" s="228"/>
    </row>
    <row r="10" spans="1:30" ht="15" customHeight="1" x14ac:dyDescent="0.25">
      <c r="A10" s="14" t="str">
        <f>'Matriz de Produccion'!A10</f>
        <v>0A01</v>
      </c>
      <c r="B10" s="6" t="s">
        <v>169</v>
      </c>
      <c r="D10" s="3">
        <f>SUMIF(CATEGORIAS[[#All],[SUBGRUPO]],A10,CATEGORIAS[[#All],[PRESUPUESTO
(ORIGINAL)]])</f>
        <v>145972510.11940765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160579142.0074611</v>
      </c>
      <c r="G10" s="71">
        <f>+SUMIF(CATEGORIAS[[#All],[SUBGRUPO]],A10,CATEGORIAS[[#All],[PRODUCCION
PARTIDAS
ORIGINALES
ACTUAL]])
+SUMIF(CATEGORIAS[[#All],[SUBGRUPO]],A10,CATEGORIAS[[#All],[PRODUCCION
ADICIONALES
ACTUAL]])</f>
        <v>116629607.26106611</v>
      </c>
      <c r="H10" s="71">
        <f>+SUMIF(CATEGORIAS[[#All],[SUBGRUPO]],A10,CATEGORIAS[[#All],[COSTO
ACUMULADO  AX]])
+SUMIF(CATEGORIAS[[#All],[SUBGRUPO]],A10,CATEGORIAS[[#All],[CAMBIO DE
CATEGORIA]])
+SUMIF(CATEGORIAS[[#All],[SUBGRUPO]],A10,CATEGORIAS[[#All],[PROVISIONES]])</f>
        <v>107831577.92547092</v>
      </c>
      <c r="I10" s="71">
        <f t="shared" ref="I10:I22" si="1">G10-H10</f>
        <v>8798029.3355951905</v>
      </c>
      <c r="K10" s="71">
        <f>+SUMIF(CATEGORIAS[[#All],[SUBGRUPO]],A10,CATEGORIAS[[#All],[PRODUCCION
ANTERIOR]])
+SUMIF(CATEGORIAS[[#All],[SUBGRUPO]],A10,CATEGORIAS[[#All],[PRODUCCION
ADICIONALES
ANTERIOR]])</f>
        <v>108352958.69567256</v>
      </c>
      <c r="L10" s="71">
        <f>+SUMIF(CATEGORIAS[[#All],[SUBGRUPO]],A10,CATEGORIAS[[#All],[COSTO ACUMULADO
ANTERIOR]])
+SUMIF(CATEGORIAS[[#All],[SUBGRUPO]],A10,CATEGORIAS[[#All],[CAMBIO DE
CATEGORIA
ANTERIOR]])
+SUMIF(CATEGORIAS[[#All],[SUBGRUPO]],A10,CATEGORIAS[[#All],[PROVISIONES
ANTERIOR]])</f>
        <v>59801089.837837838</v>
      </c>
      <c r="M10" s="71">
        <f t="shared" ref="M10:M16" si="2">K10-L10</f>
        <v>48551868.857834719</v>
      </c>
      <c r="O10" s="71">
        <f t="shared" ref="O10:O22" si="3">G10-K10</f>
        <v>8276648.5653935522</v>
      </c>
      <c r="P10" s="71">
        <f t="shared" ref="P10:Q16" si="4">H10-L10</f>
        <v>48030488.087633081</v>
      </c>
      <c r="Q10" s="71">
        <f t="shared" si="4"/>
        <v>-39753839.522239529</v>
      </c>
      <c r="R10" s="125">
        <f t="shared" si="0"/>
        <v>773070081.17113304</v>
      </c>
      <c r="S10" s="257"/>
      <c r="T10" s="245"/>
      <c r="U10" s="245"/>
      <c r="V10" s="246"/>
      <c r="W10" s="283"/>
      <c r="X10" s="268"/>
      <c r="Y10" s="243"/>
    </row>
    <row r="11" spans="1:30" ht="15.6" customHeight="1" x14ac:dyDescent="0.25">
      <c r="A11" s="14" t="str">
        <f>'Matriz de Produccion'!A11</f>
        <v>0A02</v>
      </c>
      <c r="B11" s="6" t="str">
        <f>VLOOKUP(A11,'Analisis por Categorias'!B:C,2,FALSE)</f>
        <v xml:space="preserve">Estructura </v>
      </c>
      <c r="D11" s="3">
        <f>SUMIF(CATEGORIAS[[#All],[SUBGRUPO]],A11,CATEGORIAS[[#All],[PRESUPUESTO
(ORIGINAL)]])</f>
        <v>179875614.88135654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180487648.97945336</v>
      </c>
      <c r="G11" s="71">
        <f>+SUMIF(CATEGORIAS[[#All],[SUBGRUPO]],A11,CATEGORIAS[[#All],[PRODUCCION
PARTIDAS
ORIGINALES
ACTUAL]])
+SUMIF(CATEGORIAS[[#All],[SUBGRUPO]],A11,CATEGORIAS[[#All],[PRODUCCION
ADICIONALES
ACTUAL]])</f>
        <v>70290747.356451824</v>
      </c>
      <c r="H11" s="71">
        <f>+SUMIF(CATEGORIAS[[#All],[SUBGRUPO]],A11,CATEGORIAS[[#All],[COSTO
ACUMULADO  AX]])
+SUMIF(CATEGORIAS[[#All],[SUBGRUPO]],A11,CATEGORIAS[[#All],[CAMBIO DE
CATEGORIA]])
+SUMIF(CATEGORIAS[[#All],[SUBGRUPO]],A11,CATEGORIAS[[#All],[PROVISIONES]])</f>
        <v>151358428.37592137</v>
      </c>
      <c r="I11" s="71">
        <f t="shared" si="1"/>
        <v>-81067681.019469544</v>
      </c>
      <c r="K11" s="71">
        <f>+SUMIF(CATEGORIAS[[#All],[SUBGRUPO]],A11,CATEGORIAS[[#All],[PRODUCCION
ANTERIOR]])
+SUMIF(CATEGORIAS[[#All],[SUBGRUPO]],A11,CATEGORIAS[[#All],[PRODUCCION
ADICIONALES
ANTERIOR]])</f>
        <v>51754746.892240822</v>
      </c>
      <c r="L11" s="71">
        <f>+SUMIF(CATEGORIAS[[#All],[SUBGRUPO]],A11,CATEGORIAS[[#All],[COSTO ACUMULADO
ANTERIOR]])
+SUMIF(CATEGORIAS[[#All],[SUBGRUPO]],A11,CATEGORIAS[[#All],[CAMBIO DE
CATEGORIA
ANTERIOR]])
+SUMIF(CATEGORIAS[[#All],[SUBGRUPO]],A11,CATEGORIAS[[#All],[PROVISIONES
ANTERIOR]])</f>
        <v>89684529.239148244</v>
      </c>
      <c r="M11" s="71">
        <f t="shared" si="2"/>
        <v>-37929782.346907422</v>
      </c>
      <c r="O11" s="85">
        <f t="shared" si="3"/>
        <v>18536000.464211002</v>
      </c>
      <c r="P11" s="85">
        <f t="shared" ref="P11" si="5">H11-L11</f>
        <v>61673899.136773124</v>
      </c>
      <c r="Q11" s="85">
        <f t="shared" ref="Q11" si="6">I11-M11</f>
        <v>-43137898.672562122</v>
      </c>
      <c r="R11" s="125">
        <f t="shared" si="0"/>
        <v>641526253.28661716</v>
      </c>
      <c r="S11" s="257"/>
      <c r="T11" s="245"/>
      <c r="U11" s="245"/>
      <c r="V11" s="246"/>
      <c r="W11" s="283"/>
      <c r="X11" s="268"/>
      <c r="Y11" s="243"/>
    </row>
    <row r="12" spans="1:30" ht="15" customHeight="1" x14ac:dyDescent="0.25">
      <c r="A12" s="14" t="str">
        <f>'Matriz de Produccion'!A12</f>
        <v>0A03</v>
      </c>
      <c r="B12" s="6" t="s">
        <v>172</v>
      </c>
      <c r="D12" s="3">
        <f>SUMIF(CATEGORIAS[[#All],[SUBGRUPO]],A12,CATEGORIAS[[#All],[PRESUPUESTO
(ORIGINAL)]])</f>
        <v>133250804.19788337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141912209.13214433</v>
      </c>
      <c r="G12" s="71">
        <f>+SUMIF(CATEGORIAS[[#All],[SUBGRUPO]],A12,CATEGORIAS[[#All],[PRODUCCION
PARTIDAS
ORIGINALES
ACTUAL]])
+SUMIF(CATEGORIAS[[#All],[SUBGRUPO]],A12,CATEGORIAS[[#All],[PRODUCCION
ADICIONALES
ACTUAL]])</f>
        <v>57846586.577987425</v>
      </c>
      <c r="H12" s="71">
        <f>+SUMIF(CATEGORIAS[[#All],[SUBGRUPO]],A12,CATEGORIAS[[#All],[COSTO
ACUMULADO  AX]])
+SUMIF(CATEGORIAS[[#All],[SUBGRUPO]],A12,CATEGORIAS[[#All],[CAMBIO DE
CATEGORIA]])
+SUMIF(CATEGORIAS[[#All],[SUBGRUPO]],A12,CATEGORIAS[[#All],[PROVISIONES]])</f>
        <v>148436878.86732188</v>
      </c>
      <c r="I12" s="71">
        <f t="shared" si="1"/>
        <v>-90590292.289334446</v>
      </c>
      <c r="K12" s="71">
        <f>+SUMIF(CATEGORIAS[[#All],[SUBGRUPO]],A12,CATEGORIAS[[#All],[PRODUCCION
ANTERIOR]])
+SUMIF(CATEGORIAS[[#All],[SUBGRUPO]],A12,CATEGORIAS[[#All],[PRODUCCION
ADICIONALES
ANTERIOR]])</f>
        <v>38952120.182997897</v>
      </c>
      <c r="L12" s="71">
        <f>+SUMIF(CATEGORIAS[[#All],[SUBGRUPO]],A12,CATEGORIAS[[#All],[COSTO ACUMULADO
ANTERIOR]])
+SUMIF(CATEGORIAS[[#All],[SUBGRUPO]],A12,CATEGORIAS[[#All],[CAMBIO DE
CATEGORIA
ANTERIOR]])
+SUMIF(CATEGORIAS[[#All],[SUBGRUPO]],A12,CATEGORIAS[[#All],[PROVISIONES
ANTERIOR]])</f>
        <v>100444661.12039313</v>
      </c>
      <c r="M12" s="71">
        <f t="shared" si="2"/>
        <v>-61492540.93739523</v>
      </c>
      <c r="O12" s="85">
        <f t="shared" si="3"/>
        <v>18894466.394989528</v>
      </c>
      <c r="P12" s="85">
        <f t="shared" si="4"/>
        <v>47992217.746928751</v>
      </c>
      <c r="Q12" s="85">
        <f t="shared" si="4"/>
        <v>-29097751.351939216</v>
      </c>
      <c r="R12" s="125">
        <f t="shared" si="0"/>
        <v>506549359.64197743</v>
      </c>
      <c r="S12" s="257"/>
      <c r="T12" s="245"/>
      <c r="U12" s="245"/>
      <c r="V12" s="246"/>
      <c r="W12" s="267"/>
      <c r="X12" s="268"/>
      <c r="Y12" s="243"/>
    </row>
    <row r="13" spans="1:30" ht="15" customHeight="1" x14ac:dyDescent="0.25">
      <c r="A13" s="14" t="str">
        <f>'Matriz de Produccion'!A13</f>
        <v>0A04</v>
      </c>
      <c r="B13" s="6" t="s">
        <v>174</v>
      </c>
      <c r="D13" s="3">
        <f>SUMIF(CATEGORIAS[[#All],[SUBGRUPO]],A13,CATEGORIAS[[#All],[PRESUPUESTO
(ORIGINAL)]])</f>
        <v>473970382.63622206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491658024.79547954</v>
      </c>
      <c r="G13" s="71">
        <f>+SUMIF(CATEGORIAS[[#All],[SUBGRUPO]],A13,CATEGORIAS[[#All],[PRODUCCION
PARTIDAS
ORIGINALES
ACTUAL]])
+SUMIF(CATEGORIAS[[#All],[SUBGRUPO]],A13,CATEGORIAS[[#All],[PRODUCCION
ADICIONALES
ACTUAL]])</f>
        <v>200894249.97315761</v>
      </c>
      <c r="H13" s="71">
        <f>+SUMIF(CATEGORIAS[[#All],[SUBGRUPO]],A13,CATEGORIAS[[#All],[COSTO
ACUMULADO  AX]])
+SUMIF(CATEGORIAS[[#All],[SUBGRUPO]],A13,CATEGORIAS[[#All],[CAMBIO DE
CATEGORIA]])
+SUMIF(CATEGORIAS[[#All],[SUBGRUPO]],A13,CATEGORIAS[[#All],[PROVISIONES]])</f>
        <v>244105285.60933661</v>
      </c>
      <c r="I13" s="71">
        <f t="shared" si="1"/>
        <v>-43211035.636179</v>
      </c>
      <c r="K13" s="71">
        <f>+SUMIF(CATEGORIAS[[#All],[SUBGRUPO]],A13,CATEGORIAS[[#All],[PRODUCCION
ANTERIOR]])
+SUMIF(CATEGORIAS[[#All],[SUBGRUPO]],A13,CATEGORIAS[[#All],[PRODUCCION
ADICIONALES
ANTERIOR]])</f>
        <v>102844870.26156211</v>
      </c>
      <c r="L13" s="71">
        <f>+SUMIF(CATEGORIAS[[#All],[SUBGRUPO]],A13,CATEGORIAS[[#All],[COSTO ACUMULADO
ANTERIOR]])
+SUMIF(CATEGORIAS[[#All],[SUBGRUPO]],A13,CATEGORIAS[[#All],[CAMBIO DE
CATEGORIA
ANTERIOR]])
+SUMIF(CATEGORIAS[[#All],[SUBGRUPO]],A13,CATEGORIAS[[#All],[PROVISIONES
ANTERIOR]])</f>
        <v>146559538.40950042</v>
      </c>
      <c r="M13" s="71">
        <f t="shared" si="2"/>
        <v>-43714668.147938311</v>
      </c>
      <c r="O13" s="71">
        <f t="shared" si="3"/>
        <v>98049379.711595505</v>
      </c>
      <c r="P13" s="71">
        <f t="shared" si="4"/>
        <v>97545747.199836195</v>
      </c>
      <c r="Q13" s="71">
        <f t="shared" si="4"/>
        <v>503632.51175931096</v>
      </c>
      <c r="R13" s="125">
        <f t="shared" si="0"/>
        <v>1769205407.3243322</v>
      </c>
      <c r="S13" s="257"/>
      <c r="T13" s="245"/>
      <c r="U13" s="245"/>
      <c r="V13" s="246"/>
      <c r="W13" s="267"/>
      <c r="X13" s="268"/>
      <c r="Y13" s="243"/>
    </row>
    <row r="14" spans="1:30" ht="15" customHeight="1" x14ac:dyDescent="0.25">
      <c r="A14" s="14" t="str">
        <f>'Matriz de Produccion'!A14</f>
        <v>0A05</v>
      </c>
      <c r="B14" s="6" t="s">
        <v>176</v>
      </c>
      <c r="D14" s="3">
        <f>SUMIF(CATEGORIAS[[#All],[SUBGRUPO]],A14,CATEGORIAS[[#All],[PRESUPUESTO
(ORIGINAL)]])</f>
        <v>387994980.99048454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399730796.30896646</v>
      </c>
      <c r="G14" s="71">
        <f>+SUMIF(CATEGORIAS[[#All],[SUBGRUPO]],A14,CATEGORIAS[[#All],[PRODUCCION
PARTIDAS
ORIGINALES
ACTUAL]])
+SUMIF(CATEGORIAS[[#All],[SUBGRUPO]],A14,CATEGORIAS[[#All],[PRODUCCION
ADICIONALES
ACTUAL]])</f>
        <v>50124937.705190338</v>
      </c>
      <c r="H14" s="71">
        <f>+SUMIF(CATEGORIAS[[#All],[SUBGRUPO]],A14,CATEGORIAS[[#All],[COSTO
ACUMULADO  AX]])
+SUMIF(CATEGORIAS[[#All],[SUBGRUPO]],A14,CATEGORIAS[[#All],[CAMBIO DE
CATEGORIA]])
+SUMIF(CATEGORIAS[[#All],[SUBGRUPO]],A14,CATEGORIAS[[#All],[PROVISIONES]])</f>
        <v>94638932.375102371</v>
      </c>
      <c r="I14" s="71">
        <f t="shared" si="1"/>
        <v>-44513994.669912033</v>
      </c>
      <c r="K14" s="71">
        <f>+SUMIF(CATEGORIAS[[#All],[SUBGRUPO]],A14,CATEGORIAS[[#All],[PRODUCCION
ANTERIOR]])
+SUMIF(CATEGORIAS[[#All],[SUBGRUPO]],A14,CATEGORIAS[[#All],[PRODUCCION
ADICIONALES
ANTERIOR]])</f>
        <v>24686121.662708133</v>
      </c>
      <c r="L14" s="71">
        <f>+SUMIF(CATEGORIAS[[#All],[SUBGRUPO]],A14,CATEGORIAS[[#All],[COSTO ACUMULADO
ANTERIOR]])
+SUMIF(CATEGORIAS[[#All],[SUBGRUPO]],A14,CATEGORIAS[[#All],[CAMBIO DE
CATEGORIA
ANTERIOR]])
+SUMIF(CATEGORIAS[[#All],[SUBGRUPO]],A14,CATEGORIAS[[#All],[PROVISIONES
ANTERIOR]])</f>
        <v>46537928.955773957</v>
      </c>
      <c r="M14" s="71">
        <f t="shared" si="2"/>
        <v>-21851807.293065824</v>
      </c>
      <c r="O14" s="85">
        <f t="shared" si="3"/>
        <v>25438816.042482205</v>
      </c>
      <c r="P14" s="85">
        <f t="shared" si="4"/>
        <v>48101003.419328414</v>
      </c>
      <c r="Q14" s="85">
        <f t="shared" si="4"/>
        <v>-22662187.376846209</v>
      </c>
      <c r="R14" s="125">
        <f t="shared" si="0"/>
        <v>988225528.12021255</v>
      </c>
      <c r="S14" s="257"/>
      <c r="T14" s="245"/>
      <c r="U14" s="245"/>
      <c r="V14" s="246"/>
      <c r="W14" s="283"/>
      <c r="X14" s="268"/>
      <c r="Y14" s="243"/>
    </row>
    <row r="15" spans="1:30" ht="12.6" customHeight="1" x14ac:dyDescent="0.25">
      <c r="A15" s="14" t="str">
        <f>'Matriz de Produccion'!A15</f>
        <v>0A06</v>
      </c>
      <c r="B15" s="6" t="str">
        <f>VLOOKUP(A15,'Analisis por Categorias'!B:C,2,FALSE)</f>
        <v xml:space="preserve">Aislación </v>
      </c>
      <c r="D15" s="3">
        <f>SUMIF(CATEGORIAS[[#All],[SUBGRUPO]],A15,CATEGORIAS[[#All],[PRESUPUESTO
(ORIGINAL)]])</f>
        <v>25004642.625492588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25004642.625492588</v>
      </c>
      <c r="G15" s="71">
        <f>+SUMIF(CATEGORIAS[[#All],[SUBGRUPO]],A15,CATEGORIAS[[#All],[PRODUCCION
PARTIDAS
ORIGINALES
ACTUAL]])
+SUMIF(CATEGORIAS[[#All],[SUBGRUPO]],A15,CATEGORIAS[[#All],[PRODUCCION
ADICIONALES
ACTUAL]])</f>
        <v>0</v>
      </c>
      <c r="H15" s="71">
        <f>+SUMIF(CATEGORIAS[[#All],[SUBGRUPO]],A15,CATEGORIAS[[#All],[COSTO
ACUMULADO  AX]])
+SUMIF(CATEGORIAS[[#All],[SUBGRUPO]],A15,CATEGORIAS[[#All],[CAMBIO DE
CATEGORIA]])
+SUMIF(CATEGORIAS[[#All],[SUBGRUPO]],A15,CATEGORIAS[[#All],[PROVISIONES]])</f>
        <v>0</v>
      </c>
      <c r="I15" s="71">
        <f t="shared" si="1"/>
        <v>0</v>
      </c>
      <c r="K15" s="71">
        <f>+SUMIF(CATEGORIAS[[#All],[SUBGRUPO]],A15,CATEGORIAS[[#All],[PRODUCCION
ANTERIOR]])
+SUMIF(CATEGORIAS[[#All],[SUBGRUPO]],A15,CATEGORIAS[[#All],[PRODUCCION
ADICIONALES
ANTERIOR]])</f>
        <v>13932771.378551349</v>
      </c>
      <c r="L15" s="71">
        <f>+SUMIF(CATEGORIAS[[#All],[SUBGRUPO]],A15,CATEGORIAS[[#All],[COSTO ACUMULADO
ANTERIOR]])
+SUMIF(CATEGORIAS[[#All],[SUBGRUPO]],A15,CATEGORIAS[[#All],[CAMBIO DE
CATEGORIA
ANTERIOR]])
+SUMIF(CATEGORIAS[[#All],[SUBGRUPO]],A15,CATEGORIAS[[#All],[PROVISIONES
ANTERIOR]])</f>
        <v>0</v>
      </c>
      <c r="M15" s="71">
        <f t="shared" ref="M15" si="7">K15-L15</f>
        <v>13932771.378551349</v>
      </c>
      <c r="O15" s="71">
        <f t="shared" si="3"/>
        <v>-13932771.378551349</v>
      </c>
      <c r="P15" s="71">
        <f t="shared" ref="P15" si="8">H15-L15</f>
        <v>0</v>
      </c>
      <c r="Q15" s="71">
        <f t="shared" ref="Q15" si="9">I15-M15</f>
        <v>-13932771.378551349</v>
      </c>
      <c r="R15" s="125">
        <f t="shared" si="0"/>
        <v>50009285.250985175</v>
      </c>
      <c r="T15" s="42"/>
      <c r="U15" s="42"/>
      <c r="V15" s="246"/>
    </row>
    <row r="16" spans="1:30" ht="15" customHeight="1" x14ac:dyDescent="0.25">
      <c r="A16" s="14" t="str">
        <f>'Matriz de Produccion'!A16</f>
        <v>0A07</v>
      </c>
      <c r="B16" s="6" t="str">
        <f>VLOOKUP(A16,'Analisis por Categorias'!B:C,2,FALSE)</f>
        <v xml:space="preserve">Caldera 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
+SUMIF(CATEGORIAS[[#All],[SUBGRUPO]],A16,CATEGORIAS[[#All],[PRODUCCION
ADICIONALES
ACTUAL]])</f>
        <v>0</v>
      </c>
      <c r="H16" s="71">
        <f>+SUMIF(CATEGORIAS[[#All],[SUBGRUPO]],A16,CATEGORIAS[[#All],[COSTO
ACUMULADO  AX]])
+SUMIF(CATEGORIAS[[#All],[SUBGRUPO]],A16,CATEGORIAS[[#All],[CAMBIO DE
CATEGORIA]])
+SUMIF(CATEGORIAS[[#All],[SUBGRUPO]],A16,CATEGORIAS[[#All],[PROVISIONES]])</f>
        <v>0</v>
      </c>
      <c r="I16" s="71">
        <f t="shared" si="1"/>
        <v>0</v>
      </c>
      <c r="K16" s="71">
        <f>+SUMIF(CATEGORIAS[[#All],[SUBGRUPO]],A16,CATEGORIAS[[#All],[PRODUCCION
ANTERIOR]])
+SUMIF(CATEGORIAS[[#All],[SUBGRUPO]],A16,CATEGORIAS[[#All],[PRODUCCION
ADICIONALES
ANTERIOR]])</f>
        <v>0</v>
      </c>
      <c r="L16" s="71">
        <f>+SUMIF(CATEGORIAS[[#All],[SUBGRUPO]],A16,CATEGORIAS[[#All],[COSTO ACUMULADO
ANTERIOR]])
+SUMIF(CATEGORIAS[[#All],[SUBGRUPO]],A16,CATEGORIAS[[#All],[CAMBIO DE
CATEGORIA
ANTERIOR]])
+SUMIF(CATEGORIAS[[#All],[SUBGRUPO]],A16,CATEGORIAS[[#All],[PROVISIONES
ANTERIOR]])</f>
        <v>0</v>
      </c>
      <c r="M16" s="71">
        <f t="shared" si="2"/>
        <v>0</v>
      </c>
      <c r="O16" s="71">
        <f t="shared" si="3"/>
        <v>0</v>
      </c>
      <c r="P16" s="71">
        <f t="shared" si="4"/>
        <v>0</v>
      </c>
      <c r="Q16" s="71">
        <f t="shared" si="4"/>
        <v>0</v>
      </c>
      <c r="R16" s="125">
        <f t="shared" si="0"/>
        <v>0</v>
      </c>
      <c r="T16" s="42"/>
      <c r="U16" s="42"/>
      <c r="V16" s="246"/>
    </row>
    <row r="17" spans="1:22" ht="15" customHeight="1" x14ac:dyDescent="0.25">
      <c r="A17" s="14" t="str">
        <f>'Matriz de Produccion'!A17</f>
        <v>0A08</v>
      </c>
      <c r="B17" s="6" t="str">
        <f>VLOOKUP(A17,'Analisis por Categorias'!B:C,2,FALSE)</f>
        <v xml:space="preserve">Andamios </v>
      </c>
      <c r="D17" s="3">
        <f>SUMIF(CATEGORIAS[[#All],[SUBGRUPO]],A17,CATEGORIAS[[#All],[PRESUPUESTO
(ORIGINAL)]])</f>
        <v>79797652.817636073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81829079.326489776</v>
      </c>
      <c r="G17" s="71">
        <f>+SUMIF(CATEGORIAS[[#All],[SUBGRUPO]],A17,CATEGORIAS[[#All],[PRODUCCION
PARTIDAS
ORIGINALES
ACTUAL]])
+SUMIF(CATEGORIAS[[#All],[SUBGRUPO]],A17,CATEGORIAS[[#All],[PRODUCCION
ADICIONALES
ACTUAL]])</f>
        <v>32123965.780275058</v>
      </c>
      <c r="H17" s="71">
        <f>+SUMIF(CATEGORIAS[[#All],[SUBGRUPO]],A17,CATEGORIAS[[#All],[COSTO
ACUMULADO  AX]])
+SUMIF(CATEGORIAS[[#All],[SUBGRUPO]],A17,CATEGORIAS[[#All],[CAMBIO DE
CATEGORIA]])
+SUMIF(CATEGORIAS[[#All],[SUBGRUPO]],A17,CATEGORIAS[[#All],[PROVISIONES]])</f>
        <v>88410801.121212125</v>
      </c>
      <c r="I17" s="71">
        <f t="shared" si="1"/>
        <v>-56286835.340937063</v>
      </c>
      <c r="K17" s="71">
        <f>+SUMIF(CATEGORIAS[[#All],[SUBGRUPO]],A17,CATEGORIAS[[#All],[PRODUCCION
ANTERIOR]])
+SUMIF(CATEGORIAS[[#All],[SUBGRUPO]],A17,CATEGORIAS[[#All],[PRODUCCION
ADICIONALES
ANTERIOR]])</f>
        <v>22193384.487070415</v>
      </c>
      <c r="L17" s="71">
        <f>+SUMIF(CATEGORIAS[[#All],[SUBGRUPO]],A17,CATEGORIAS[[#All],[COSTO ACUMULADO
ANTERIOR]])
+SUMIF(CATEGORIAS[[#All],[SUBGRUPO]],A17,CATEGORIAS[[#All],[CAMBIO DE
CATEGORIA
ANTERIOR]])
+SUMIF(CATEGORIAS[[#All],[SUBGRUPO]],A17,CATEGORIAS[[#All],[PROVISIONES
ANTERIOR]])</f>
        <v>44983480.493857495</v>
      </c>
      <c r="M17" s="71">
        <f t="shared" ref="M17:M21" si="10">K17-L17</f>
        <v>-22790096.00678708</v>
      </c>
      <c r="O17" s="71">
        <f t="shared" si="3"/>
        <v>9930581.2932046428</v>
      </c>
      <c r="P17" s="71">
        <f t="shared" ref="P17:P21" si="11">H17-L17</f>
        <v>43427320.627354629</v>
      </c>
      <c r="Q17" s="71">
        <f t="shared" ref="Q17:Q21" si="12">I17-M17</f>
        <v>-33496739.334149983</v>
      </c>
      <c r="R17" s="125">
        <f t="shared" si="0"/>
        <v>290122595.26522613</v>
      </c>
      <c r="T17" s="42"/>
      <c r="U17" s="42"/>
      <c r="V17" s="246"/>
    </row>
    <row r="18" spans="1:22" ht="15" customHeight="1" x14ac:dyDescent="0.25">
      <c r="A18" s="14" t="str">
        <f>'Matriz de Produccion'!A18</f>
        <v>0A09</v>
      </c>
      <c r="B18" s="6" t="str">
        <f>VLOOKUP(A18,'Analisis por Categorias'!B:C,2,FALSE)</f>
        <v xml:space="preserve">Ductos </v>
      </c>
      <c r="D18" s="3">
        <f>SUMIF(CATEGORIAS[[#All],[SUBGRUPO]],A18,CATEGORIAS[[#All],[PRESUPUESTO
(ORIGINAL)]])</f>
        <v>0</v>
      </c>
      <c r="E18" s="3">
        <f>+SUMIF(CATEGORIAS[[#All],[SUBGRUPO]],A18,CATEGORIAS[[#All],[PRODUCCION
PARTIDAS
ORIGINALES
ACTUAL]])
+SUMIF(CATEGORIAS[[#All],[SUBGRUPO]],A18,CATEGORIAS[[#All],[PRODUCCION
ADICIONALES
ACTUAL]])
+SUMIF(CATEGORIAS[[#All],[SUBGRUPO]],A18,CATEGORIAS[[#All],[PROYECCION
DE INGRESO
DEL SALDO]])</f>
        <v>0</v>
      </c>
      <c r="G18" s="71">
        <f>+SUMIF(CATEGORIAS[[#All],[SUBGRUPO]],A18,CATEGORIAS[[#All],[PRODUCCION
PARTIDAS
ORIGINALES
ACTUAL]])
+SUMIF(CATEGORIAS[[#All],[SUBGRUPO]],A18,CATEGORIAS[[#All],[PRODUCCION
ADICIONALES
ACTUAL]])</f>
        <v>0</v>
      </c>
      <c r="H18" s="71">
        <f>+SUMIF(CATEGORIAS[[#All],[SUBGRUPO]],A18,CATEGORIAS[[#All],[COSTO
ACUMULADO  AX]])
+SUMIF(CATEGORIAS[[#All],[SUBGRUPO]],A18,CATEGORIAS[[#All],[CAMBIO DE
CATEGORIA]])
+SUMIF(CATEGORIAS[[#All],[SUBGRUPO]],A18,CATEGORIAS[[#All],[PROVISIONES]])</f>
        <v>0</v>
      </c>
      <c r="I18" s="71">
        <f t="shared" si="1"/>
        <v>0</v>
      </c>
      <c r="K18" s="71">
        <f>+SUMIF(CATEGORIAS[[#All],[SUBGRUPO]],A18,CATEGORIAS[[#All],[PRODUCCION
ANTERIOR]])
+SUMIF(CATEGORIAS[[#All],[SUBGRUPO]],A18,CATEGORIAS[[#All],[PRODUCCION
ADICIONALES
ANTERIOR]])</f>
        <v>0</v>
      </c>
      <c r="L18" s="71">
        <f>+SUMIF(CATEGORIAS[[#All],[SUBGRUPO]],A18,CATEGORIAS[[#All],[COSTO ACUMULADO
ANTERIOR]])
+SUMIF(CATEGORIAS[[#All],[SUBGRUPO]],A18,CATEGORIAS[[#All],[CAMBIO DE
CATEGORIA
ANTERIOR]])
+SUMIF(CATEGORIAS[[#All],[SUBGRUPO]],A18,CATEGORIAS[[#All],[PROVISIONES
ANTERIOR]])</f>
        <v>0</v>
      </c>
      <c r="M18" s="71">
        <f t="shared" si="10"/>
        <v>0</v>
      </c>
      <c r="O18" s="71">
        <f t="shared" si="3"/>
        <v>0</v>
      </c>
      <c r="P18" s="71">
        <f t="shared" si="11"/>
        <v>0</v>
      </c>
      <c r="Q18" s="71">
        <f t="shared" si="12"/>
        <v>0</v>
      </c>
      <c r="R18" s="125">
        <f t="shared" si="0"/>
        <v>0</v>
      </c>
      <c r="T18" s="42"/>
      <c r="U18" s="42"/>
      <c r="V18" s="246"/>
    </row>
    <row r="19" spans="1:22" ht="15" customHeight="1" x14ac:dyDescent="0.25">
      <c r="A19" s="14" t="str">
        <f>'Matriz de Produccion'!A19</f>
        <v>0A10</v>
      </c>
      <c r="B19" s="6" t="str">
        <f>VLOOKUP(A19,'Analisis por Categorias'!B:C,2,FALSE)</f>
        <v xml:space="preserve">Comisionamiento </v>
      </c>
      <c r="D19" s="3">
        <f>SUMIF(CATEGORIAS[[#All],[SUBGRUPO]],A19,CATEGORIAS[[#All],[PRESUPUESTO
(ORIGINAL)]])</f>
        <v>0</v>
      </c>
      <c r="E19" s="3">
        <f>+SUMIF(CATEGORIAS[[#All],[SUBGRUPO]],A19,CATEGORIAS[[#All],[PRODUCCION
PARTIDAS
ORIGINALES
ACTUAL]])
+SUMIF(CATEGORIAS[[#All],[SUBGRUPO]],A19,CATEGORIAS[[#All],[PRODUCCION
ADICIONALES
ACTUAL]])
+SUMIF(CATEGORIAS[[#All],[SUBGRUPO]],A19,CATEGORIAS[[#All],[PROYECCION
DE INGRESO
DEL SALDO]])</f>
        <v>0</v>
      </c>
      <c r="G19" s="71">
        <f>+SUMIF(CATEGORIAS[[#All],[SUBGRUPO]],A19,CATEGORIAS[[#All],[PRODUCCION
PARTIDAS
ORIGINALES
ACTUAL]])
+SUMIF(CATEGORIAS[[#All],[SUBGRUPO]],A19,CATEGORIAS[[#All],[PRODUCCION
ADICIONALES
ACTUAL]])</f>
        <v>0</v>
      </c>
      <c r="H19" s="71">
        <f>+SUMIF(CATEGORIAS[[#All],[SUBGRUPO]],A19,CATEGORIAS[[#All],[COSTO
ACUMULADO  AX]])
+SUMIF(CATEGORIAS[[#All],[SUBGRUPO]],A19,CATEGORIAS[[#All],[CAMBIO DE
CATEGORIA]])
+SUMIF(CATEGORIAS[[#All],[SUBGRUPO]],A19,CATEGORIAS[[#All],[PROVISIONES]])</f>
        <v>0</v>
      </c>
      <c r="I19" s="71">
        <f t="shared" si="1"/>
        <v>0</v>
      </c>
      <c r="K19" s="71">
        <f>+SUMIF(CATEGORIAS[[#All],[SUBGRUPO]],A19,CATEGORIAS[[#All],[PRODUCCION
ANTERIOR]])
+SUMIF(CATEGORIAS[[#All],[SUBGRUPO]],A19,CATEGORIAS[[#All],[PRODUCCION
ADICIONALES
ANTERIOR]])</f>
        <v>0</v>
      </c>
      <c r="L19" s="71">
        <f>+SUMIF(CATEGORIAS[[#All],[SUBGRUPO]],A19,CATEGORIAS[[#All],[COSTO ACUMULADO
ANTERIOR]])
+SUMIF(CATEGORIAS[[#All],[SUBGRUPO]],A19,CATEGORIAS[[#All],[CAMBIO DE
CATEGORIA
ANTERIOR]])
+SUMIF(CATEGORIAS[[#All],[SUBGRUPO]],A19,CATEGORIAS[[#All],[PROVISIONES
ANTERIOR]])</f>
        <v>0</v>
      </c>
      <c r="M19" s="71">
        <f t="shared" si="10"/>
        <v>0</v>
      </c>
      <c r="O19" s="71">
        <f t="shared" si="3"/>
        <v>0</v>
      </c>
      <c r="P19" s="71">
        <f t="shared" si="11"/>
        <v>0</v>
      </c>
      <c r="Q19" s="71">
        <f t="shared" si="12"/>
        <v>0</v>
      </c>
      <c r="R19" s="125">
        <f t="shared" si="0"/>
        <v>0</v>
      </c>
      <c r="T19" s="42"/>
      <c r="U19" s="42"/>
      <c r="V19" s="246"/>
    </row>
    <row r="20" spans="1:22" ht="15" customHeight="1" x14ac:dyDescent="0.25">
      <c r="A20" s="14" t="str">
        <f>'Matriz de Produccion'!A20</f>
        <v>0A11</v>
      </c>
      <c r="B20" s="6" t="str">
        <f>VLOOKUP(A20,'Analisis por Categorias'!B:C,2,FALSE)</f>
        <v>Arquitectura</v>
      </c>
      <c r="D20" s="3">
        <f>SUMIF(CATEGORIAS[[#All],[SUBGRUPO]],A20,CATEGORIAS[[#All],[PRESUPUESTO
(ORIGINAL)]])</f>
        <v>0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0</v>
      </c>
      <c r="G20" s="71">
        <f>+SUMIF(CATEGORIAS[[#All],[SUBGRUPO]],A20,CATEGORIAS[[#All],[PRODUCCION
PARTIDAS
ORIGINALES
ACTUAL]])
+SUMIF(CATEGORIAS[[#All],[SUBGRUPO]],A20,CATEGORIAS[[#All],[PRODUCCION
ADICIONALES
ACTUAL]])</f>
        <v>0</v>
      </c>
      <c r="H20" s="71">
        <f>+SUMIF(CATEGORIAS[[#All],[SUBGRUPO]],A20,CATEGORIAS[[#All],[COSTO
ACUMULADO  AX]])
+SUMIF(CATEGORIAS[[#All],[SUBGRUPO]],A20,CATEGORIAS[[#All],[CAMBIO DE
CATEGORIA]])
+SUMIF(CATEGORIAS[[#All],[SUBGRUPO]],A20,CATEGORIAS[[#All],[PROVISIONES]])</f>
        <v>2325389.0253890259</v>
      </c>
      <c r="I20" s="71">
        <f t="shared" si="1"/>
        <v>-2325389.0253890259</v>
      </c>
      <c r="K20" s="71">
        <f>+SUMIF(CATEGORIAS[[#All],[SUBGRUPO]],A20,CATEGORIAS[[#All],[PRODUCCION
ANTERIOR]])
+SUMIF(CATEGORIAS[[#All],[SUBGRUPO]],A20,CATEGORIAS[[#All],[PRODUCCION
ADICIONALES
ANTERIOR]])</f>
        <v>0</v>
      </c>
      <c r="L20" s="71">
        <f>+SUMIF(CATEGORIAS[[#All],[SUBGRUPO]],A20,CATEGORIAS[[#All],[COSTO ACUMULADO
ANTERIOR]])
+SUMIF(CATEGORIAS[[#All],[SUBGRUPO]],A20,CATEGORIAS[[#All],[CAMBIO DE
CATEGORIA
ANTERIOR]])
+SUMIF(CATEGORIAS[[#All],[SUBGRUPO]],A20,CATEGORIAS[[#All],[PROVISIONES
ANTERIOR]])</f>
        <v>0</v>
      </c>
      <c r="M20" s="71">
        <f t="shared" si="10"/>
        <v>0</v>
      </c>
      <c r="O20" s="71">
        <f t="shared" si="3"/>
        <v>0</v>
      </c>
      <c r="P20" s="71">
        <f t="shared" si="11"/>
        <v>2325389.0253890259</v>
      </c>
      <c r="Q20" s="71">
        <f t="shared" si="12"/>
        <v>-2325389.0253890259</v>
      </c>
      <c r="R20" s="125">
        <f t="shared" si="0"/>
        <v>0</v>
      </c>
      <c r="T20" s="42"/>
      <c r="U20" s="42"/>
      <c r="V20" s="246"/>
    </row>
    <row r="21" spans="1:22" ht="15" customHeight="1" x14ac:dyDescent="0.25">
      <c r="A21" s="14" t="str">
        <f>'Matriz de Produccion'!A21</f>
        <v>0A12</v>
      </c>
      <c r="B21" s="6" t="str">
        <f>VLOOKUP(A21,'Analisis por Categorias'!B:C,2,FALSE)</f>
        <v xml:space="preserve">Estanque 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
+SUMIF(CATEGORIAS[[#All],[SUBGRUPO]],A21,CATEGORIAS[[#All],[PRODUCCION
ADICIONALES
ACTUAL]])</f>
        <v>0</v>
      </c>
      <c r="H21" s="71">
        <f>+SUMIF(CATEGORIAS[[#All],[SUBGRUPO]],A21,CATEGORIAS[[#All],[COSTO
ACUMULADO  AX]])
+SUMIF(CATEGORIAS[[#All],[SUBGRUPO]],A21,CATEGORIAS[[#All],[CAMBIO DE
CATEGORIA]])
+SUMIF(CATEGORIAS[[#All],[SUBGRUPO]],A21,CATEGORIAS[[#All],[PROVISIONES]])</f>
        <v>0</v>
      </c>
      <c r="I21" s="71">
        <f t="shared" si="1"/>
        <v>0</v>
      </c>
      <c r="K21" s="71">
        <f>+SUMIF(CATEGORIAS[[#All],[SUBGRUPO]],A21,CATEGORIAS[[#All],[PRODUCCION
ANTERIOR]])
+SUMIF(CATEGORIAS[[#All],[SUBGRUPO]],A21,CATEGORIAS[[#All],[PRODUCCION
ADICIONALES
ANTERIOR]])</f>
        <v>0</v>
      </c>
      <c r="L21" s="71">
        <f>+SUMIF(CATEGORIAS[[#All],[SUBGRUPO]],A21,CATEGORIAS[[#All],[COSTO ACUMULADO
ANTERIOR]])
+SUMIF(CATEGORIAS[[#All],[SUBGRUPO]],A21,CATEGORIAS[[#All],[CAMBIO DE
CATEGORIA
ANTERIOR]])
+SUMIF(CATEGORIAS[[#All],[SUBGRUPO]],A21,CATEGORIAS[[#All],[PROVISIONES
ANTERIOR]])</f>
        <v>0</v>
      </c>
      <c r="M21" s="71">
        <f t="shared" si="10"/>
        <v>0</v>
      </c>
      <c r="O21" s="71">
        <f t="shared" si="3"/>
        <v>0</v>
      </c>
      <c r="P21" s="71">
        <f t="shared" si="11"/>
        <v>0</v>
      </c>
      <c r="Q21" s="71">
        <f t="shared" si="12"/>
        <v>0</v>
      </c>
      <c r="R21" s="125">
        <f t="shared" si="0"/>
        <v>0</v>
      </c>
      <c r="T21" s="42"/>
      <c r="U21" s="42"/>
      <c r="V21" s="246"/>
    </row>
    <row r="22" spans="1:22" ht="15" customHeight="1" x14ac:dyDescent="0.25">
      <c r="A22" s="14" t="str">
        <f>'Matriz de Produccion'!A22</f>
        <v>0A13</v>
      </c>
      <c r="B22" s="6" t="str">
        <f>VLOOKUP(A22,'Analisis por Categorias'!B:C,2,FALSE)</f>
        <v>Multas Costo Directo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
+SUMIF(CATEGORIAS[[#All],[SUBGRUPO]],A22,CATEGORIAS[[#All],[PRODUCCION
ADICIONALES
ACTUAL]])</f>
        <v>0</v>
      </c>
      <c r="H22" s="71">
        <f>+SUMIF(CATEGORIAS[[#All],[SUBGRUPO]],A22,CATEGORIAS[[#All],[COSTO
ACUMULADO  AX]])
+SUMIF(CATEGORIAS[[#All],[SUBGRUPO]],A22,CATEGORIAS[[#All],[CAMBIO DE
CATEGORIA]])
+SUMIF(CATEGORIAS[[#All],[SUBGRUPO]],A22,CATEGORIAS[[#All],[PROVISIONES]])</f>
        <v>0</v>
      </c>
      <c r="I22" s="71">
        <f t="shared" si="1"/>
        <v>0</v>
      </c>
      <c r="K22" s="71">
        <f>+SUMIF(CATEGORIAS[[#All],[SUBGRUPO]],A22,CATEGORIAS[[#All],[PRODUCCION
ANTERIOR]])
+SUMIF(CATEGORIAS[[#All],[SUBGRUPO]],A22,CATEGORIAS[[#All],[PRODUCCION
ADICIONALES
ANTERIOR]])</f>
        <v>0</v>
      </c>
      <c r="L22" s="71">
        <f>+SUMIF(CATEGORIAS[[#All],[SUBGRUPO]],A22,CATEGORIAS[[#All],[COSTO ACUMULADO
ANTERIOR]])
+SUMIF(CATEGORIAS[[#All],[SUBGRUPO]],A22,CATEGORIAS[[#All],[CAMBIO DE
CATEGORIA
ANTERIOR]])
+SUMIF(CATEGORIAS[[#All],[SUBGRUPO]],A22,CATEGORIAS[[#All],[PROVISIONES
ANTERIOR]])</f>
        <v>0</v>
      </c>
      <c r="M22" s="71">
        <f t="shared" ref="M22" si="13">K22-L22</f>
        <v>0</v>
      </c>
      <c r="O22" s="71">
        <f t="shared" si="3"/>
        <v>0</v>
      </c>
      <c r="P22" s="71">
        <f t="shared" ref="P22" si="14">H22-L22</f>
        <v>0</v>
      </c>
      <c r="Q22" s="71">
        <f t="shared" ref="Q22" si="15">I22-M22</f>
        <v>0</v>
      </c>
      <c r="R22" s="125">
        <f t="shared" si="0"/>
        <v>0</v>
      </c>
      <c r="T22" s="42"/>
      <c r="U22" s="42"/>
      <c r="V22" s="246"/>
    </row>
    <row r="23" spans="1:22" ht="8.25" customHeight="1" x14ac:dyDescent="0.25">
      <c r="R23" s="125">
        <f t="shared" si="0"/>
        <v>0</v>
      </c>
      <c r="T23" s="42"/>
      <c r="U23" s="42"/>
      <c r="V23" s="42"/>
    </row>
    <row r="24" spans="1:22" ht="15" customHeight="1" x14ac:dyDescent="0.25">
      <c r="A24" s="14" t="str">
        <f>'Matriz de Produccion'!A24</f>
        <v>0B00</v>
      </c>
      <c r="B24" s="81" t="str">
        <f>'Matriz de Produccion'!B24:B24</f>
        <v>B - MATERIALES</v>
      </c>
      <c r="D24" s="82">
        <f>SUM(D25:D35)</f>
        <v>455675553.39120007</v>
      </c>
      <c r="E24" s="82">
        <f>SUM(E25:E35)</f>
        <v>484453453.90711045</v>
      </c>
      <c r="G24" s="83">
        <f>SUM(G25:G32)</f>
        <v>179167759.27447525</v>
      </c>
      <c r="H24" s="84">
        <f>SUM(H25:H32)</f>
        <v>201432538</v>
      </c>
      <c r="I24" s="87">
        <f>SUM(I25:I32)</f>
        <v>-22264778.725524753</v>
      </c>
      <c r="K24" s="83">
        <f>SUM(K25:K32)</f>
        <v>127286192.39275202</v>
      </c>
      <c r="L24" s="84">
        <f>SUM(L25:L32)</f>
        <v>144879090</v>
      </c>
      <c r="M24" s="87">
        <f>SUM(M25:M32)</f>
        <v>-17592897.607247978</v>
      </c>
      <c r="O24" s="83">
        <f>SUM(O25:O32)</f>
        <v>51881566.881723225</v>
      </c>
      <c r="P24" s="84">
        <f>SUM(P25:P32)</f>
        <v>56553448</v>
      </c>
      <c r="Q24" s="87">
        <f>SUM(Q25:Q32)</f>
        <v>-4671881.1182767749</v>
      </c>
      <c r="R24" s="125">
        <f t="shared" si="0"/>
        <v>1656800044.3962114</v>
      </c>
      <c r="S24" s="256"/>
    </row>
    <row r="25" spans="1:22" ht="15" customHeight="1" x14ac:dyDescent="0.25">
      <c r="A25" s="14" t="str">
        <f>'Matriz de Produccion'!A25</f>
        <v>0B01</v>
      </c>
      <c r="B25" s="6" t="str">
        <f>VLOOKUP(A25,'Analisis por Categorias'!B:C,2,FALSE)</f>
        <v xml:space="preserve">Civil  </v>
      </c>
      <c r="D25" s="3">
        <f>SUMIF(CATEGORIAS[[#All],[SUBGRUPO]],A25,CATEGORIAS[[#All],[PRESUPUESTO
(ORIGINAL)]])</f>
        <v>64602231.871699996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80014991.922130093</v>
      </c>
      <c r="G25" s="71">
        <f>+SUMIF(CATEGORIAS[[#All],[SUBGRUPO]],A25,CATEGORIAS[[#All],[PRODUCCION
PARTIDAS
ORIGINALES
ACTUAL]])
+SUMIF(CATEGORIAS[[#All],[SUBGRUPO]],A25,CATEGORIAS[[#All],[PRODUCCION
ADICIONALES
ACTUAL]])</f>
        <v>26331435.449200004</v>
      </c>
      <c r="H25" s="71">
        <f>+SUMIF(CATEGORIAS[[#All],[SUBGRUPO]],A25,CATEGORIAS[[#All],[COSTO
ACUMULADO  AX]])
+SUMIF(CATEGORIAS[[#All],[SUBGRUPO]],A25,CATEGORIAS[[#All],[CAMBIO DE
CATEGORIA]])
+SUMIF(CATEGORIAS[[#All],[SUBGRUPO]],A25,CATEGORIAS[[#All],[PROVISIONES]])</f>
        <v>21679270</v>
      </c>
      <c r="I25" s="71">
        <f t="shared" ref="I25:I35" si="16">G25-H25</f>
        <v>4652165.4492000043</v>
      </c>
      <c r="K25" s="71">
        <f>+SUMIF(CATEGORIAS[[#All],[SUBGRUPO]],A25,CATEGORIAS[[#All],[PRODUCCION
ANTERIOR]])
+SUMIF(CATEGORIAS[[#All],[SUBGRUPO]],A25,CATEGORIAS[[#All],[PRODUCCION
ADICIONALES
ANTERIOR]])</f>
        <v>23001968.495230965</v>
      </c>
      <c r="L25" s="71">
        <f>+SUMIF(CATEGORIAS[[#All],[SUBGRUPO]],A25,CATEGORIAS[[#All],[COSTO ACUMULADO
ANTERIOR]])
+SUMIF(CATEGORIAS[[#All],[SUBGRUPO]],A25,CATEGORIAS[[#All],[CAMBIO DE
CATEGORIA
ANTERIOR]])
+SUMIF(CATEGORIAS[[#All],[SUBGRUPO]],A25,CATEGORIAS[[#All],[PROVISIONES
ANTERIOR]])</f>
        <v>15537362</v>
      </c>
      <c r="M25" s="71">
        <f>K25-L25</f>
        <v>7464606.4952309653</v>
      </c>
      <c r="O25" s="71">
        <f t="shared" ref="O25:O35" si="17">G25-K25</f>
        <v>3329466.953969039</v>
      </c>
      <c r="P25" s="71">
        <f t="shared" ref="P25:Q29" si="18">H25-L25</f>
        <v>6141908</v>
      </c>
      <c r="Q25" s="71">
        <f t="shared" si="18"/>
        <v>-2812441.046030961</v>
      </c>
      <c r="R25" s="125">
        <f t="shared" si="0"/>
        <v>249942965.59063011</v>
      </c>
      <c r="U25" s="135"/>
    </row>
    <row r="26" spans="1:22" ht="15" customHeight="1" x14ac:dyDescent="0.25">
      <c r="A26" s="14" t="str">
        <f>'Matriz de Produccion'!A26</f>
        <v>0B02</v>
      </c>
      <c r="B26" s="6" t="str">
        <f>VLOOKUP(A26,'Analisis por Categorias'!B:C,2,FALSE)</f>
        <v xml:space="preserve">Estructura </v>
      </c>
      <c r="D26" s="3">
        <f>SUMIF(CATEGORIAS[[#All],[SUBGRUPO]],A26,CATEGORIAS[[#All],[PRESUPUESTO
(ORIGINAL)]])</f>
        <v>53940890.952500001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53972095.138021633</v>
      </c>
      <c r="G26" s="71">
        <f>+SUMIF(CATEGORIAS[[#All],[SUBGRUPO]],A26,CATEGORIAS[[#All],[PRODUCCION
PARTIDAS
ORIGINALES
ACTUAL]])
+SUMIF(CATEGORIAS[[#All],[SUBGRUPO]],A26,CATEGORIAS[[#All],[PRODUCCION
ADICIONALES
ACTUAL]])</f>
        <v>23564052.820621632</v>
      </c>
      <c r="H26" s="71">
        <f>+SUMIF(CATEGORIAS[[#All],[SUBGRUPO]],A26,CATEGORIAS[[#All],[COSTO
ACUMULADO  AX]])
+SUMIF(CATEGORIAS[[#All],[SUBGRUPO]],A26,CATEGORIAS[[#All],[CAMBIO DE
CATEGORIA]])
+SUMIF(CATEGORIAS[[#All],[SUBGRUPO]],A26,CATEGORIAS[[#All],[PROVISIONES]])</f>
        <v>2601319</v>
      </c>
      <c r="I26" s="71">
        <f t="shared" si="16"/>
        <v>20962733.820621632</v>
      </c>
      <c r="K26" s="71">
        <f>+SUMIF(CATEGORIAS[[#All],[SUBGRUPO]],A26,CATEGORIAS[[#All],[PRODUCCION
ANTERIOR]])
+SUMIF(CATEGORIAS[[#All],[SUBGRUPO]],A26,CATEGORIAS[[#All],[PRODUCCION
ADICIONALES
ANTERIOR]])</f>
        <v>21538363.133467454</v>
      </c>
      <c r="L26" s="71">
        <f>+SUMIF(CATEGORIAS[[#All],[SUBGRUPO]],A26,CATEGORIAS[[#All],[COSTO ACUMULADO
ANTERIOR]])
+SUMIF(CATEGORIAS[[#All],[SUBGRUPO]],A26,CATEGORIAS[[#All],[CAMBIO DE
CATEGORIA
ANTERIOR]])
+SUMIF(CATEGORIAS[[#All],[SUBGRUPO]],A26,CATEGORIAS[[#All],[PROVISIONES
ANTERIOR]])</f>
        <v>683865</v>
      </c>
      <c r="M26" s="71">
        <f>K26-L26</f>
        <v>20854498.133467454</v>
      </c>
      <c r="O26" s="85">
        <f t="shared" si="17"/>
        <v>2025689.6871541776</v>
      </c>
      <c r="P26" s="85">
        <f t="shared" ref="P26" si="19">H26-L26</f>
        <v>1917454</v>
      </c>
      <c r="Q26" s="85">
        <f t="shared" ref="Q26" si="20">I26-M26</f>
        <v>108235.68715417758</v>
      </c>
      <c r="R26" s="125">
        <f t="shared" si="0"/>
        <v>202169197.37300819</v>
      </c>
    </row>
    <row r="27" spans="1:22" ht="15" customHeight="1" x14ac:dyDescent="0.25">
      <c r="A27" s="14" t="str">
        <f>'Matriz de Produccion'!A27</f>
        <v>0B03</v>
      </c>
      <c r="B27" s="6" t="str">
        <f>VLOOKUP(A27,'Analisis por Categorias'!B:C,2,FALSE)</f>
        <v xml:space="preserve">Aislación </v>
      </c>
      <c r="D27" s="3">
        <f>SUMIF(CATEGORIAS[[#All],[SUBGRUPO]],A27,CATEGORIAS[[#All],[PRESUPUESTO
(ORIGINAL)]])</f>
        <v>18524724.390000001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18524724.390000001</v>
      </c>
      <c r="G27" s="71">
        <f>+SUMIF(CATEGORIAS[[#All],[SUBGRUPO]],A27,CATEGORIAS[[#All],[PRODUCCION
PARTIDAS
ORIGINALES
ACTUAL]])
+SUMIF(CATEGORIAS[[#All],[SUBGRUPO]],A27,CATEGORIAS[[#All],[PRODUCCION
ADICIONALES
ACTUAL]])</f>
        <v>15433050</v>
      </c>
      <c r="H27" s="71">
        <f>+SUMIF(CATEGORIAS[[#All],[SUBGRUPO]],A27,CATEGORIAS[[#All],[COSTO
ACUMULADO  AX]])
+SUMIF(CATEGORIAS[[#All],[SUBGRUPO]],A27,CATEGORIAS[[#All],[CAMBIO DE
CATEGORIA]])
+SUMIF(CATEGORIAS[[#All],[SUBGRUPO]],A27,CATEGORIAS[[#All],[PROVISIONES]])</f>
        <v>0</v>
      </c>
      <c r="I27" s="71">
        <f t="shared" si="16"/>
        <v>15433050</v>
      </c>
      <c r="K27" s="71">
        <f>+SUMIF(CATEGORIAS[[#All],[SUBGRUPO]],A27,CATEGORIAS[[#All],[PRODUCCION
ANTERIOR]])
+SUMIF(CATEGORIAS[[#All],[SUBGRUPO]],A27,CATEGORIAS[[#All],[PRODUCCION
ADICIONALES
ANTERIOR]])</f>
        <v>15433050</v>
      </c>
      <c r="L27" s="71">
        <f>+SUMIF(CATEGORIAS[[#All],[SUBGRUPO]],A27,CATEGORIAS[[#All],[COSTO ACUMULADO
ANTERIOR]])
+SUMIF(CATEGORIAS[[#All],[SUBGRUPO]],A27,CATEGORIAS[[#All],[CAMBIO DE
CATEGORIA
ANTERIOR]])
+SUMIF(CATEGORIAS[[#All],[SUBGRUPO]],A27,CATEGORIAS[[#All],[PROVISIONES
ANTERIOR]])</f>
        <v>0</v>
      </c>
      <c r="M27" s="71">
        <f>K27-L27</f>
        <v>15433050</v>
      </c>
      <c r="O27" s="85">
        <f t="shared" si="17"/>
        <v>0</v>
      </c>
      <c r="P27" s="85">
        <f t="shared" si="18"/>
        <v>0</v>
      </c>
      <c r="Q27" s="85">
        <f t="shared" si="18"/>
        <v>0</v>
      </c>
      <c r="R27" s="125">
        <f t="shared" si="0"/>
        <v>98781648.780000001</v>
      </c>
    </row>
    <row r="28" spans="1:22" ht="15" customHeight="1" x14ac:dyDescent="0.25">
      <c r="A28" s="14" t="str">
        <f>'Matriz de Produccion'!A28</f>
        <v>0B04</v>
      </c>
      <c r="B28" s="6" t="str">
        <f>VLOOKUP(A28,'Analisis por Categorias'!B:C,2,FALSE)</f>
        <v xml:space="preserve">Mecánica </v>
      </c>
      <c r="D28" s="3">
        <f>SUMIF(CATEGORIAS[[#All],[SUBGRUPO]],A28,CATEGORIAS[[#All],[PRESUPUESTO
(ORIGINAL)]])</f>
        <v>65364960.930500001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67762997.860876352</v>
      </c>
      <c r="G28" s="71">
        <f>+SUMIF(CATEGORIAS[[#All],[SUBGRUPO]],A28,CATEGORIAS[[#All],[PRODUCCION
PARTIDAS
ORIGINALES
ACTUAL]])
+SUMIF(CATEGORIAS[[#All],[SUBGRUPO]],A28,CATEGORIAS[[#All],[PRODUCCION
ADICIONALES
ACTUAL]])</f>
        <v>21505782.406726345</v>
      </c>
      <c r="H28" s="71">
        <f>+SUMIF(CATEGORIAS[[#All],[SUBGRUPO]],A28,CATEGORIAS[[#All],[COSTO
ACUMULADO  AX]])
+SUMIF(CATEGORIAS[[#All],[SUBGRUPO]],A28,CATEGORIAS[[#All],[CAMBIO DE
CATEGORIA]])
+SUMIF(CATEGORIAS[[#All],[SUBGRUPO]],A28,CATEGORIAS[[#All],[PROVISIONES]])</f>
        <v>15218949</v>
      </c>
      <c r="I28" s="71">
        <f t="shared" si="16"/>
        <v>6286833.4067263454</v>
      </c>
      <c r="K28" s="71">
        <f>+SUMIF(CATEGORIAS[[#All],[SUBGRUPO]],A28,CATEGORIAS[[#All],[PRODUCCION
ANTERIOR]])
+SUMIF(CATEGORIAS[[#All],[SUBGRUPO]],A28,CATEGORIAS[[#All],[PRODUCCION
ADICIONALES
ANTERIOR]])</f>
        <v>12306534.190926347</v>
      </c>
      <c r="L28" s="71">
        <f>+SUMIF(CATEGORIAS[[#All],[SUBGRUPO]],A28,CATEGORIAS[[#All],[COSTO ACUMULADO
ANTERIOR]])
+SUMIF(CATEGORIAS[[#All],[SUBGRUPO]],A28,CATEGORIAS[[#All],[CAMBIO DE
CATEGORIA
ANTERIOR]])
+SUMIF(CATEGORIAS[[#All],[SUBGRUPO]],A28,CATEGORIAS[[#All],[PROVISIONES
ANTERIOR]])</f>
        <v>8823371</v>
      </c>
      <c r="M28" s="71">
        <f>K28-L28</f>
        <v>3483163.1909263469</v>
      </c>
      <c r="O28" s="71">
        <f t="shared" si="17"/>
        <v>9199248.2157999985</v>
      </c>
      <c r="P28" s="71">
        <f t="shared" si="18"/>
        <v>6395578</v>
      </c>
      <c r="Q28" s="71">
        <f t="shared" si="18"/>
        <v>2803670.2157999985</v>
      </c>
      <c r="R28" s="125">
        <f t="shared" si="0"/>
        <v>219151088.41828173</v>
      </c>
    </row>
    <row r="29" spans="1:22" ht="15" customHeight="1" x14ac:dyDescent="0.25">
      <c r="A29" s="14" t="str">
        <f>'Matriz de Produccion'!A29</f>
        <v>0B05</v>
      </c>
      <c r="B29" s="6" t="str">
        <f>VLOOKUP(A29,'Analisis por Categorias'!B:C,2,FALSE)</f>
        <v xml:space="preserve">Cañería </v>
      </c>
      <c r="D29" s="3">
        <f>SUMIF(CATEGORIAS[[#All],[SUBGRUPO]],A29,CATEGORIAS[[#All],[PRESUPUESTO
(ORIGINAL)]])</f>
        <v>137998078.26400003</v>
      </c>
      <c r="E29" s="3">
        <f>+SUMIF(CATEGORIAS[[#All],[SUBGRUPO]],A29,CATEGORIAS[[#All],[PRODUCCION
PARTIDAS
ORIGINALES
ACTUAL]])
+SUMIF(CATEGORIAS[[#All],[SUBGRUPO]],A29,CATEGORIAS[[#All],[PRODUCCION
ADICIONALES
ACTUAL]])
+SUMIF(CATEGORIAS[[#All],[SUBGRUPO]],A29,CATEGORIAS[[#All],[PROYECCION
DE INGRESO
DEL SALDO]])</f>
        <v>141119778.0112316</v>
      </c>
      <c r="G29" s="71">
        <f>+SUMIF(CATEGORIAS[[#All],[SUBGRUPO]],A29,CATEGORIAS[[#All],[PRODUCCION
PARTIDAS
ORIGINALES
ACTUAL]])
+SUMIF(CATEGORIAS[[#All],[SUBGRUPO]],A29,CATEGORIAS[[#All],[PRODUCCION
ADICIONALES
ACTUAL]])</f>
        <v>66472511.529203176</v>
      </c>
      <c r="H29" s="71">
        <f>+SUMIF(CATEGORIAS[[#All],[SUBGRUPO]],A29,CATEGORIAS[[#All],[COSTO
ACUMULADO  AX]])
+SUMIF(CATEGORIAS[[#All],[SUBGRUPO]],A29,CATEGORIAS[[#All],[CAMBIO DE
CATEGORIA]])
+SUMIF(CATEGORIAS[[#All],[SUBGRUPO]],A29,CATEGORIAS[[#All],[PROVISIONES]])</f>
        <v>120804123</v>
      </c>
      <c r="I29" s="71">
        <f t="shared" si="16"/>
        <v>-54331611.470796824</v>
      </c>
      <c r="K29" s="71">
        <f>+SUMIF(CATEGORIAS[[#All],[SUBGRUPO]],A29,CATEGORIAS[[#All],[PRODUCCION
ANTERIOR]])
+SUMIF(CATEGORIAS[[#All],[SUBGRUPO]],A29,CATEGORIAS[[#All],[PRODUCCION
ADICIONALES
ANTERIOR]])</f>
        <v>38280599.728303172</v>
      </c>
      <c r="L29" s="71">
        <f>+SUMIF(CATEGORIAS[[#All],[SUBGRUPO]],A29,CATEGORIAS[[#All],[COSTO ACUMULADO
ANTERIOR]])
+SUMIF(CATEGORIAS[[#All],[SUBGRUPO]],A29,CATEGORIAS[[#All],[CAMBIO DE
CATEGORIA
ANTERIOR]])
+SUMIF(CATEGORIAS[[#All],[SUBGRUPO]],A29,CATEGORIAS[[#All],[PROVISIONES
ANTERIOR]])</f>
        <v>98937413</v>
      </c>
      <c r="M29" s="71">
        <f>K29-L29</f>
        <v>-60656813.271696828</v>
      </c>
      <c r="O29" s="85">
        <f t="shared" si="17"/>
        <v>28191911.800900005</v>
      </c>
      <c r="P29" s="85">
        <f t="shared" si="18"/>
        <v>21866710</v>
      </c>
      <c r="Q29" s="85">
        <f t="shared" si="18"/>
        <v>6325201.8009000048</v>
      </c>
      <c r="R29" s="125">
        <f t="shared" si="0"/>
        <v>545007902.39204431</v>
      </c>
    </row>
    <row r="30" spans="1:22" ht="15" customHeight="1" x14ac:dyDescent="0.25">
      <c r="A30" s="14" t="str">
        <f>'Matriz de Produccion'!A30</f>
        <v>0B06</v>
      </c>
      <c r="B30" s="6" t="str">
        <f>VLOOKUP(A30,'Analisis por Categorias'!B:C,2,FALSE)</f>
        <v>Electricidad &amp; Instrumentación</v>
      </c>
      <c r="D30" s="3">
        <f>SUMIF(CATEGORIAS[[#All],[SUBGRUPO]],A30,CATEGORIAS[[#All],[PRESUPUESTO
(ORIGINAL)]])</f>
        <v>115244666.9825</v>
      </c>
      <c r="E30" s="3">
        <f>+SUMIF(CATEGORIAS[[#All],[SUBGRUPO]],A30,CATEGORIAS[[#All],[PRODUCCION
PARTIDAS
ORIGINALES
ACTUAL]])
+SUMIF(CATEGORIAS[[#All],[SUBGRUPO]],A30,CATEGORIAS[[#All],[PRODUCCION
ADICIONALES
ACTUAL]])
+SUMIF(CATEGORIAS[[#All],[SUBGRUPO]],A30,CATEGORIAS[[#All],[PROYECCION
DE INGRESO
DEL SALDO]])</f>
        <v>123058866.58485076</v>
      </c>
      <c r="G30" s="71">
        <f>+SUMIF(CATEGORIAS[[#All],[SUBGRUPO]],A30,CATEGORIAS[[#All],[PRODUCCION
PARTIDAS
ORIGINALES
ACTUAL]])
+SUMIF(CATEGORIAS[[#All],[SUBGRUPO]],A30,CATEGORIAS[[#All],[PRODUCCION
ADICIONALES
ACTUAL]])</f>
        <v>25860927.068724088</v>
      </c>
      <c r="H30" s="71">
        <f>+SUMIF(CATEGORIAS[[#All],[SUBGRUPO]],A30,CATEGORIAS[[#All],[COSTO
ACUMULADO  AX]])
+SUMIF(CATEGORIAS[[#All],[SUBGRUPO]],A30,CATEGORIAS[[#All],[CAMBIO DE
CATEGORIA]])
+SUMIF(CATEGORIAS[[#All],[SUBGRUPO]],A30,CATEGORIAS[[#All],[PROVISIONES]])</f>
        <v>41128877</v>
      </c>
      <c r="I30" s="71">
        <f t="shared" si="16"/>
        <v>-15267949.931275912</v>
      </c>
      <c r="K30" s="71">
        <f>+SUMIF(CATEGORIAS[[#All],[SUBGRUPO]],A30,CATEGORIAS[[#All],[PRODUCCION
ANTERIOR]])
+SUMIF(CATEGORIAS[[#All],[SUBGRUPO]],A30,CATEGORIAS[[#All],[PRODUCCION
ADICIONALES
ANTERIOR]])</f>
        <v>16725676.844824083</v>
      </c>
      <c r="L30" s="71">
        <f>+SUMIF(CATEGORIAS[[#All],[SUBGRUPO]],A30,CATEGORIAS[[#All],[COSTO ACUMULADO
ANTERIOR]])
+SUMIF(CATEGORIAS[[#All],[SUBGRUPO]],A30,CATEGORIAS[[#All],[CAMBIO DE
CATEGORIA
ANTERIOR]])
+SUMIF(CATEGORIAS[[#All],[SUBGRUPO]],A30,CATEGORIAS[[#All],[PROVISIONES
ANTERIOR]])</f>
        <v>20897079</v>
      </c>
      <c r="M30" s="71">
        <f t="shared" ref="M30:M31" si="21">K30-L30</f>
        <v>-4171402.1551759169</v>
      </c>
      <c r="O30" s="85">
        <f t="shared" si="17"/>
        <v>9135250.2239000052</v>
      </c>
      <c r="P30" s="85">
        <f t="shared" ref="P30:P31" si="22">H30-L30</f>
        <v>20231798</v>
      </c>
      <c r="Q30" s="85">
        <f t="shared" ref="Q30:Q31" si="23">I30-M30</f>
        <v>-11096547.776099995</v>
      </c>
      <c r="R30" s="125">
        <f t="shared" si="0"/>
        <v>341747241.84224713</v>
      </c>
    </row>
    <row r="31" spans="1:22" ht="15" customHeight="1" x14ac:dyDescent="0.25">
      <c r="A31" s="14" t="str">
        <f>'Matriz de Produccion'!A31</f>
        <v>0B07</v>
      </c>
      <c r="B31" s="6" t="str">
        <f>VLOOKUP(A31,'Analisis por Categorias'!B:C,2,FALSE)</f>
        <v xml:space="preserve">Caldera </v>
      </c>
      <c r="D31" s="3">
        <f>SUMIF(CATEGORIAS[[#All],[SUBGRUPO]],A31,CATEGORIAS[[#All],[PRESUPUESTO
(ORIGINAL)]])</f>
        <v>0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0</v>
      </c>
      <c r="G31" s="71">
        <f>+SUMIF(CATEGORIAS[[#All],[SUBGRUPO]],A31,CATEGORIAS[[#All],[PRODUCCION
PARTIDAS
ORIGINALES
ACTUAL]])
+SUMIF(CATEGORIAS[[#All],[SUBGRUPO]],A31,CATEGORIAS[[#All],[PRODUCCION
ADICIONALES
ACTUAL]])</f>
        <v>0</v>
      </c>
      <c r="H31" s="71">
        <f>+SUMIF(CATEGORIAS[[#All],[SUBGRUPO]],A31,CATEGORIAS[[#All],[COSTO
ACUMULADO  AX]])
+SUMIF(CATEGORIAS[[#All],[SUBGRUPO]],A31,CATEGORIAS[[#All],[CAMBIO DE
CATEGORIA]])
+SUMIF(CATEGORIAS[[#All],[SUBGRUPO]],A31,CATEGORIAS[[#All],[PROVISIONES]])</f>
        <v>0</v>
      </c>
      <c r="I31" s="71">
        <f t="shared" si="16"/>
        <v>0</v>
      </c>
      <c r="K31" s="71">
        <f>+SUMIF(CATEGORIAS[[#All],[SUBGRUPO]],A31,CATEGORIAS[[#All],[PRODUCCION
ANTERIOR]])
+SUMIF(CATEGORIAS[[#All],[SUBGRUPO]],A31,CATEGORIAS[[#All],[PRODUCCION
ADICIONALES
ANTERIOR]])</f>
        <v>0</v>
      </c>
      <c r="L31" s="71">
        <f>+SUMIF(CATEGORIAS[[#All],[SUBGRUPO]],A31,CATEGORIAS[[#All],[COSTO ACUMULADO
ANTERIOR]])
+SUMIF(CATEGORIAS[[#All],[SUBGRUPO]],A31,CATEGORIAS[[#All],[CAMBIO DE
CATEGORIA
ANTERIOR]])
+SUMIF(CATEGORIAS[[#All],[SUBGRUPO]],A31,CATEGORIAS[[#All],[PROVISIONES
ANTERIOR]])</f>
        <v>0</v>
      </c>
      <c r="M31" s="71">
        <f t="shared" si="21"/>
        <v>0</v>
      </c>
      <c r="O31" s="85">
        <f t="shared" si="17"/>
        <v>0</v>
      </c>
      <c r="P31" s="85">
        <f t="shared" si="22"/>
        <v>0</v>
      </c>
      <c r="Q31" s="85">
        <f t="shared" si="23"/>
        <v>0</v>
      </c>
      <c r="R31" s="125">
        <f t="shared" si="0"/>
        <v>0</v>
      </c>
    </row>
    <row r="32" spans="1:22" ht="15" customHeight="1" x14ac:dyDescent="0.25">
      <c r="A32" s="14" t="str">
        <f>'Matriz de Produccion'!A32</f>
        <v>0B08</v>
      </c>
      <c r="B32" s="6" t="str">
        <f>VLOOKUP(A32,'Analisis por Categorias'!B:C,2,FALSE)</f>
        <v xml:space="preserve">Ductos </v>
      </c>
      <c r="D32" s="3">
        <f>SUMIF(CATEGORIAS[[#All],[SUBGRUPO]],A32,CATEGORIAS[[#All],[PRESUPUESTO
(ORIGINAL)]])</f>
        <v>0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0</v>
      </c>
      <c r="G32" s="71">
        <f>+SUMIF(CATEGORIAS[[#All],[SUBGRUPO]],A32,CATEGORIAS[[#All],[PRODUCCION
PARTIDAS
ORIGINALES
ACTUAL]])
+SUMIF(CATEGORIAS[[#All],[SUBGRUPO]],A32,CATEGORIAS[[#All],[PRODUCCION
ADICIONALES
ACTUAL]])</f>
        <v>0</v>
      </c>
      <c r="H32" s="71">
        <f>+SUMIF(CATEGORIAS[[#All],[SUBGRUPO]],A32,CATEGORIAS[[#All],[COSTO
ACUMULADO  AX]])
+SUMIF(CATEGORIAS[[#All],[SUBGRUPO]],A32,CATEGORIAS[[#All],[CAMBIO DE
CATEGORIA]])
+SUMIF(CATEGORIAS[[#All],[SUBGRUPO]],A32,CATEGORIAS[[#All],[PROVISIONES]])</f>
        <v>0</v>
      </c>
      <c r="I32" s="71">
        <f t="shared" si="16"/>
        <v>0</v>
      </c>
      <c r="K32" s="71">
        <f>+SUMIF(CATEGORIAS[[#All],[SUBGRUPO]],A32,CATEGORIAS[[#All],[PRODUCCION
ANTERIOR]])
+SUMIF(CATEGORIAS[[#All],[SUBGRUPO]],A32,CATEGORIAS[[#All],[PRODUCCION
ADICIONALES
ANTERIOR]])</f>
        <v>0</v>
      </c>
      <c r="L32" s="71">
        <f>+SUMIF(CATEGORIAS[[#All],[SUBGRUPO]],A32,CATEGORIAS[[#All],[COSTO ACUMULADO
ANTERIOR]])
+SUMIF(CATEGORIAS[[#All],[SUBGRUPO]],A32,CATEGORIAS[[#All],[CAMBIO DE
CATEGORIA
ANTERIOR]])
+SUMIF(CATEGORIAS[[#All],[SUBGRUPO]],A32,CATEGORIAS[[#All],[PROVISIONES
ANTERIOR]])</f>
        <v>0</v>
      </c>
      <c r="M32" s="71">
        <f t="shared" ref="M32:M35" si="24">K32-L32</f>
        <v>0</v>
      </c>
      <c r="O32" s="85">
        <f t="shared" si="17"/>
        <v>0</v>
      </c>
      <c r="P32" s="85">
        <f t="shared" ref="P32:P35" si="25">H32-L32</f>
        <v>0</v>
      </c>
      <c r="Q32" s="85">
        <f t="shared" ref="Q32:Q35" si="26">I32-M32</f>
        <v>0</v>
      </c>
      <c r="R32" s="125">
        <f t="shared" si="0"/>
        <v>0</v>
      </c>
    </row>
    <row r="33" spans="1:21" ht="15" customHeight="1" x14ac:dyDescent="0.25">
      <c r="A33" s="14" t="str">
        <f>'Matriz de Produccion'!A33</f>
        <v>0B09</v>
      </c>
      <c r="B33" s="6" t="str">
        <f>VLOOKUP(A33,'Analisis por Categorias'!B:C,2,FALSE)</f>
        <v xml:space="preserve">Estanque </v>
      </c>
      <c r="D33" s="3">
        <f>SUMIF(CATEGORIAS[[#All],[SUBGRUPO]],A33,CATEGORIAS[[#All],[PRESUPUESTO
(ORIGINAL)]])</f>
        <v>0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0</v>
      </c>
      <c r="G33" s="71">
        <f>+SUMIF(CATEGORIAS[[#All],[SUBGRUPO]],A33,CATEGORIAS[[#All],[PRODUCCION
PARTIDAS
ORIGINALES
ACTUAL]])
+SUMIF(CATEGORIAS[[#All],[SUBGRUPO]],A33,CATEGORIAS[[#All],[PRODUCCION
ADICIONALES
ACTUAL]])</f>
        <v>0</v>
      </c>
      <c r="H33" s="71">
        <f>+SUMIF(CATEGORIAS[[#All],[SUBGRUPO]],A33,CATEGORIAS[[#All],[COSTO
ACUMULADO  AX]])
+SUMIF(CATEGORIAS[[#All],[SUBGRUPO]],A33,CATEGORIAS[[#All],[CAMBIO DE
CATEGORIA]])
+SUMIF(CATEGORIAS[[#All],[SUBGRUPO]],A33,CATEGORIAS[[#All],[PROVISIONES]])</f>
        <v>0</v>
      </c>
      <c r="I33" s="71">
        <f t="shared" si="16"/>
        <v>0</v>
      </c>
      <c r="K33" s="71">
        <f>+SUMIF(CATEGORIAS[[#All],[SUBGRUPO]],A33,CATEGORIAS[[#All],[PRODUCCION
ANTERIOR]])
+SUMIF(CATEGORIAS[[#All],[SUBGRUPO]],A33,CATEGORIAS[[#All],[PRODUCCION
ADICIONALES
ANTERIOR]])</f>
        <v>0</v>
      </c>
      <c r="L33" s="71">
        <f>+SUMIF(CATEGORIAS[[#All],[SUBGRUPO]],A33,CATEGORIAS[[#All],[COSTO ACUMULADO
ANTERIOR]])
+SUMIF(CATEGORIAS[[#All],[SUBGRUPO]],A33,CATEGORIAS[[#All],[CAMBIO DE
CATEGORIA
ANTERIOR]])
+SUMIF(CATEGORIAS[[#All],[SUBGRUPO]],A33,CATEGORIAS[[#All],[PROVISIONES
ANTERIOR]])</f>
        <v>0</v>
      </c>
      <c r="M33" s="71">
        <f t="shared" ref="M33:M34" si="27">K33-L33</f>
        <v>0</v>
      </c>
      <c r="O33" s="85">
        <f t="shared" si="17"/>
        <v>0</v>
      </c>
      <c r="P33" s="85">
        <f t="shared" ref="P33:P34" si="28">H33-L33</f>
        <v>0</v>
      </c>
      <c r="Q33" s="85">
        <f t="shared" ref="Q33:Q34" si="29">I33-M33</f>
        <v>0</v>
      </c>
      <c r="R33" s="125">
        <f t="shared" si="0"/>
        <v>0</v>
      </c>
    </row>
    <row r="34" spans="1:21" ht="15" customHeight="1" x14ac:dyDescent="0.25">
      <c r="A34" s="14" t="str">
        <f>'Matriz de Produccion'!A34</f>
        <v>0B10</v>
      </c>
      <c r="B34" s="6" t="str">
        <f>VLOOKUP(A34,'Analisis por Categorias'!B:C,2,FALSE)</f>
        <v>Arquitectura</v>
      </c>
      <c r="D34" s="3">
        <f>SUMIF(CATEGORIAS[[#All],[SUBGRUPO]],A34,CATEGORIAS[[#All],[PRESUPUESTO
(ORIGINAL)]])</f>
        <v>0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0</v>
      </c>
      <c r="G34" s="71">
        <f>+SUMIF(CATEGORIAS[[#All],[SUBGRUPO]],A34,CATEGORIAS[[#All],[PRODUCCION
PARTIDAS
ORIGINALES
ACTUAL]])
+SUMIF(CATEGORIAS[[#All],[SUBGRUPO]],A34,CATEGORIAS[[#All],[PRODUCCION
ADICIONALES
ACTUAL]])</f>
        <v>0</v>
      </c>
      <c r="H34" s="71">
        <f>+SUMIF(CATEGORIAS[[#All],[SUBGRUPO]],A34,CATEGORIAS[[#All],[COSTO
ACUMULADO  AX]])
+SUMIF(CATEGORIAS[[#All],[SUBGRUPO]],A34,CATEGORIAS[[#All],[CAMBIO DE
CATEGORIA]])
+SUMIF(CATEGORIAS[[#All],[SUBGRUPO]],A34,CATEGORIAS[[#All],[PROVISIONES]])</f>
        <v>0</v>
      </c>
      <c r="I34" s="71">
        <f t="shared" si="16"/>
        <v>0</v>
      </c>
      <c r="K34" s="71">
        <f>+SUMIF(CATEGORIAS[[#All],[SUBGRUPO]],A34,CATEGORIAS[[#All],[PRODUCCION
ANTERIOR]])
+SUMIF(CATEGORIAS[[#All],[SUBGRUPO]],A34,CATEGORIAS[[#All],[PRODUCCION
ADICIONALES
ANTERIOR]])</f>
        <v>0</v>
      </c>
      <c r="L34" s="71">
        <f>+SUMIF(CATEGORIAS[[#All],[SUBGRUPO]],A34,CATEGORIAS[[#All],[COSTO ACUMULADO
ANTERIOR]])
+SUMIF(CATEGORIAS[[#All],[SUBGRUPO]],A34,CATEGORIAS[[#All],[CAMBIO DE
CATEGORIA
ANTERIOR]])
+SUMIF(CATEGORIAS[[#All],[SUBGRUPO]],A34,CATEGORIAS[[#All],[PROVISIONES
ANTERIOR]])</f>
        <v>0</v>
      </c>
      <c r="M34" s="71">
        <f t="shared" si="27"/>
        <v>0</v>
      </c>
      <c r="O34" s="85">
        <f t="shared" si="17"/>
        <v>0</v>
      </c>
      <c r="P34" s="85">
        <f t="shared" si="28"/>
        <v>0</v>
      </c>
      <c r="Q34" s="85">
        <f t="shared" si="29"/>
        <v>0</v>
      </c>
      <c r="R34" s="125">
        <f t="shared" si="0"/>
        <v>0</v>
      </c>
    </row>
    <row r="35" spans="1:21" ht="15" customHeight="1" x14ac:dyDescent="0.25">
      <c r="A35" s="14" t="str">
        <f>'Matriz de Produccion'!A35</f>
        <v>0B11</v>
      </c>
      <c r="B35" s="6" t="str">
        <f>VLOOKUP(A35,'Analisis por Categorias'!B:C,2,FALSE)</f>
        <v>Importaciones</v>
      </c>
      <c r="D35" s="3">
        <f>SUMIF(CATEGORIAS[[#All],[SUBGRUPO]],A35,CATEGORIAS[[#All],[PRESUPUESTO
(ORIGINAL)]])</f>
        <v>0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0</v>
      </c>
      <c r="G35" s="71">
        <f>+SUMIF(CATEGORIAS[[#All],[SUBGRUPO]],A35,CATEGORIAS[[#All],[PRODUCCION
PARTIDAS
ORIGINALES
ACTUAL]])
+SUMIF(CATEGORIAS[[#All],[SUBGRUPO]],A35,CATEGORIAS[[#All],[PRODUCCION
ADICIONALES
ACTUAL]])</f>
        <v>0</v>
      </c>
      <c r="H35" s="71">
        <f>+SUMIF(CATEGORIAS[[#All],[SUBGRUPO]],A35,CATEGORIAS[[#All],[COSTO
ACUMULADO  AX]])
+SUMIF(CATEGORIAS[[#All],[SUBGRUPO]],A35,CATEGORIAS[[#All],[CAMBIO DE
CATEGORIA]])
+SUMIF(CATEGORIAS[[#All],[SUBGRUPO]],A35,CATEGORIAS[[#All],[PROVISIONES]])</f>
        <v>0</v>
      </c>
      <c r="I35" s="71">
        <f t="shared" si="16"/>
        <v>0</v>
      </c>
      <c r="K35" s="71">
        <f>+SUMIF(CATEGORIAS[[#All],[SUBGRUPO]],A35,CATEGORIAS[[#All],[PRODUCCION
ANTERIOR]])
+SUMIF(CATEGORIAS[[#All],[SUBGRUPO]],A35,CATEGORIAS[[#All],[PRODUCCION
ADICIONALES
ANTERIOR]])</f>
        <v>0</v>
      </c>
      <c r="L35" s="71">
        <f>+SUMIF(CATEGORIAS[[#All],[SUBGRUPO]],A35,CATEGORIAS[[#All],[COSTO ACUMULADO
ANTERIOR]])
+SUMIF(CATEGORIAS[[#All],[SUBGRUPO]],A35,CATEGORIAS[[#All],[CAMBIO DE
CATEGORIA
ANTERIOR]])
+SUMIF(CATEGORIAS[[#All],[SUBGRUPO]],A35,CATEGORIAS[[#All],[PROVISIONES
ANTERIOR]])</f>
        <v>0</v>
      </c>
      <c r="M35" s="71">
        <f t="shared" si="24"/>
        <v>0</v>
      </c>
      <c r="O35" s="85">
        <f t="shared" si="17"/>
        <v>0</v>
      </c>
      <c r="P35" s="85">
        <f t="shared" si="25"/>
        <v>0</v>
      </c>
      <c r="Q35" s="85">
        <f t="shared" si="26"/>
        <v>0</v>
      </c>
      <c r="R35" s="125">
        <f t="shared" si="0"/>
        <v>0</v>
      </c>
    </row>
    <row r="36" spans="1:21" ht="8.25" customHeight="1" x14ac:dyDescent="0.25">
      <c r="R36" s="125">
        <f t="shared" si="0"/>
        <v>0</v>
      </c>
      <c r="U36" s="42"/>
    </row>
    <row r="37" spans="1:21" ht="12.75" customHeight="1" x14ac:dyDescent="0.25">
      <c r="A37" s="14" t="str">
        <f>'Matriz de Produccion'!A38</f>
        <v>0C00</v>
      </c>
      <c r="B37" s="81" t="str">
        <f>'Matriz de Produccion'!B38:B38</f>
        <v>C - COSTO PROPORCIONAL HH</v>
      </c>
      <c r="D37" s="82">
        <f>SUM(D38:D44)</f>
        <v>274813305.51671207</v>
      </c>
      <c r="E37" s="82">
        <f>SUM(E38:E44)</f>
        <v>299306035.81877053</v>
      </c>
      <c r="G37" s="83">
        <f>SUM(G38:G44)</f>
        <v>102376261.30977447</v>
      </c>
      <c r="H37" s="84">
        <f>SUM(H38:H44)</f>
        <v>91594824.199999988</v>
      </c>
      <c r="I37" s="87">
        <f>SUM(I38:I44)</f>
        <v>10781437.10977447</v>
      </c>
      <c r="K37" s="83">
        <f>SUM(K38:K44)</f>
        <v>71002932.765240744</v>
      </c>
      <c r="L37" s="84">
        <f>SUM(L38:L44)</f>
        <v>68708085.799999997</v>
      </c>
      <c r="M37" s="87">
        <f>SUM(M38:M44)</f>
        <v>2294846.9652407356</v>
      </c>
      <c r="O37" s="83">
        <f>SUM(O38:O44)</f>
        <v>31373328.544533733</v>
      </c>
      <c r="P37" s="84">
        <f>SUM(P38:P44)</f>
        <v>22886738.399999999</v>
      </c>
      <c r="Q37" s="87">
        <f>SUM(Q38:Q44)</f>
        <v>8486590.1445337348</v>
      </c>
      <c r="R37" s="125">
        <f t="shared" si="0"/>
        <v>983624386.57458043</v>
      </c>
      <c r="S37" s="256"/>
    </row>
    <row r="38" spans="1:21" ht="15" customHeight="1" x14ac:dyDescent="0.25">
      <c r="A38" s="14" t="str">
        <f>'Matriz de Produccion'!A39</f>
        <v>0C01</v>
      </c>
      <c r="B38" s="6" t="str">
        <f>VLOOKUP(A38,'Analisis por Categorias'!B:C,2,FALSE)</f>
        <v xml:space="preserve">Seguridad </v>
      </c>
      <c r="D38" s="3">
        <f>SUMIF(CATEGORIAS[[#All],[SUBGRUPO]],A38,CATEGORIAS[[#All],[PRESUPUESTO
(ORIGINAL)]])</f>
        <v>59671798.125000007</v>
      </c>
      <c r="E38" s="3">
        <f>+SUMIF(CATEGORIAS[[#All],[SUBGRUPO]],A38,CATEGORIAS[[#All],[PRODUCCION
PARTIDAS
ORIGINALES
ACTUAL]])
+SUMIF(CATEGORIAS[[#All],[SUBGRUPO]],A38,CATEGORIAS[[#All],[PRODUCCION
ADICIONALES
ACTUAL]])
+SUMIF(CATEGORIAS[[#All],[SUBGRUPO]],A38,CATEGORIAS[[#All],[PROYECCION
DE INGRESO
DEL SALDO]])</f>
        <v>63624321.484849826</v>
      </c>
      <c r="G38" s="71">
        <f>+SUMIF(CATEGORIAS[[#All],[SUBGRUPO]],A38,CATEGORIAS[[#All],[PRODUCCION
PARTIDAS
ORIGINALES
ACTUAL]])
+SUMIF(CATEGORIAS[[#All],[SUBGRUPO]],A38,CATEGORIAS[[#All],[PRODUCCION
ADICIONALES
ACTUAL]])</f>
        <v>22703669.606045146</v>
      </c>
      <c r="H38" s="71">
        <f>+SUMIF(CATEGORIAS[[#All],[SUBGRUPO]],A38,CATEGORIAS[[#All],[COSTO
ACUMULADO  AX]])
+SUMIF(CATEGORIAS[[#All],[SUBGRUPO]],A38,CATEGORIAS[[#All],[CAMBIO DE
CATEGORIA]])
+SUMIF(CATEGORIAS[[#All],[SUBGRUPO]],A38,CATEGORIAS[[#All],[PROVISIONES]])</f>
        <v>35331776</v>
      </c>
      <c r="I38" s="71">
        <f t="shared" ref="I38:I44" si="30">G38-H38</f>
        <v>-12628106.393954854</v>
      </c>
      <c r="K38" s="71">
        <f>+SUMIF(CATEGORIAS[[#All],[SUBGRUPO]],A38,CATEGORIAS[[#All],[PRODUCCION
ANTERIOR]])
+SUMIF(CATEGORIAS[[#All],[SUBGRUPO]],A38,CATEGORIAS[[#All],[PRODUCCION
ADICIONALES
ANTERIOR]])</f>
        <v>15392724.222272741</v>
      </c>
      <c r="L38" s="71">
        <f>+SUMIF(CATEGORIAS[[#All],[SUBGRUPO]],A38,CATEGORIAS[[#All],[COSTO ACUMULADO
ANTERIOR]])
+SUMIF(CATEGORIAS[[#All],[SUBGRUPO]],A38,CATEGORIAS[[#All],[CAMBIO DE
CATEGORIA
ANTERIOR]])
+SUMIF(CATEGORIAS[[#All],[SUBGRUPO]],A38,CATEGORIAS[[#All],[PROVISIONES
ANTERIOR]])</f>
        <v>26244899</v>
      </c>
      <c r="M38" s="71">
        <f t="shared" ref="M38:M44" si="31">K38-L38</f>
        <v>-10852174.777727259</v>
      </c>
      <c r="O38" s="71">
        <f t="shared" ref="O38:O44" si="32">G38-K38</f>
        <v>7310945.3837724049</v>
      </c>
      <c r="P38" s="71">
        <f t="shared" ref="P38:Q44" si="33">H38-L38</f>
        <v>9086877</v>
      </c>
      <c r="Q38" s="71">
        <f t="shared" si="33"/>
        <v>-1775931.6162275951</v>
      </c>
      <c r="R38" s="125">
        <f t="shared" si="0"/>
        <v>214110798.03403047</v>
      </c>
    </row>
    <row r="39" spans="1:21" ht="15" customHeight="1" x14ac:dyDescent="0.25">
      <c r="A39" s="14" t="str">
        <f>'Matriz de Produccion'!A40</f>
        <v>0C02</v>
      </c>
      <c r="B39" s="6" t="str">
        <f>VLOOKUP(A39,'Analisis por Categorias'!B:C,2,FALSE)</f>
        <v xml:space="preserve">Materiales de Consumo </v>
      </c>
      <c r="D39" s="3">
        <f>SUMIF(CATEGORIAS[[#All],[SUBGRUPO]],A39,CATEGORIAS[[#All],[PRESUPUESTO
(ORIGINAL)]])</f>
        <v>14063139.450000001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14517452.479867797</v>
      </c>
      <c r="G39" s="71">
        <f>+SUMIF(CATEGORIAS[[#All],[SUBGRUPO]],A39,CATEGORIAS[[#All],[PRODUCCION
PARTIDAS
ORIGINALES
ACTUAL]])
+SUMIF(CATEGORIAS[[#All],[SUBGRUPO]],A39,CATEGORIAS[[#All],[PRODUCCION
ADICIONALES
ACTUAL]])</f>
        <v>4959072.760569633</v>
      </c>
      <c r="H39" s="71">
        <f>+SUMIF(CATEGORIAS[[#All],[SUBGRUPO]],A39,CATEGORIAS[[#All],[COSTO
ACUMULADO  AX]])
+SUMIF(CATEGORIAS[[#All],[SUBGRUPO]],A39,CATEGORIAS[[#All],[CAMBIO DE
CATEGORIA]])
+SUMIF(CATEGORIAS[[#All],[SUBGRUPO]],A39,CATEGORIAS[[#All],[PROVISIONES]])</f>
        <v>14022512</v>
      </c>
      <c r="I39" s="71">
        <f t="shared" si="30"/>
        <v>-9063439.2394303679</v>
      </c>
      <c r="K39" s="71">
        <f>+SUMIF(CATEGORIAS[[#All],[SUBGRUPO]],A39,CATEGORIAS[[#All],[PRODUCCION
ANTERIOR]])
+SUMIF(CATEGORIAS[[#All],[SUBGRUPO]],A39,CATEGORIAS[[#All],[PRODUCCION
ADICIONALES
ANTERIOR]])</f>
        <v>3349265.3615696314</v>
      </c>
      <c r="L39" s="71">
        <f>+SUMIF(CATEGORIAS[[#All],[SUBGRUPO]],A39,CATEGORIAS[[#All],[COSTO ACUMULADO
ANTERIOR]])
+SUMIF(CATEGORIAS[[#All],[SUBGRUPO]],A39,CATEGORIAS[[#All],[CAMBIO DE
CATEGORIA
ANTERIOR]])
+SUMIF(CATEGORIAS[[#All],[SUBGRUPO]],A39,CATEGORIAS[[#All],[PROVISIONES
ANTERIOR]])</f>
        <v>8388670</v>
      </c>
      <c r="M39" s="71">
        <f t="shared" si="31"/>
        <v>-5039404.6384303682</v>
      </c>
      <c r="O39" s="85">
        <f t="shared" si="32"/>
        <v>1609807.3990000016</v>
      </c>
      <c r="P39" s="85">
        <f t="shared" si="33"/>
        <v>5633842</v>
      </c>
      <c r="Q39" s="85">
        <f t="shared" si="33"/>
        <v>-4024034.6009999998</v>
      </c>
      <c r="R39" s="125">
        <f t="shared" si="0"/>
        <v>48416882.972146332</v>
      </c>
      <c r="U39" s="242"/>
    </row>
    <row r="40" spans="1:21" ht="15" customHeight="1" x14ac:dyDescent="0.25">
      <c r="A40" s="14" t="str">
        <f>'Matriz de Produccion'!A41</f>
        <v>0C03</v>
      </c>
      <c r="B40" s="6" t="str">
        <f>VLOOKUP(A40,'Analisis por Categorias'!B:C,2,FALSE)</f>
        <v>Herramientas Menores</v>
      </c>
      <c r="D40" s="3">
        <f>SUMIF(CATEGORIAS[[#All],[SUBGRUPO]],A40,CATEGORIAS[[#All],[PRESUPUESTO
(ORIGINAL)]])</f>
        <v>11480361.030000003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11934674.059867799</v>
      </c>
      <c r="G40" s="71">
        <f>+SUMIF(CATEGORIAS[[#All],[SUBGRUPO]],A40,CATEGORIAS[[#All],[PRODUCCION
PARTIDAS
ORIGINALES
ACTUAL]])
+SUMIF(CATEGORIAS[[#All],[SUBGRUPO]],A40,CATEGORIAS[[#All],[PRODUCCION
ADICIONALES
ACTUAL]])</f>
        <v>4147332.9075696324</v>
      </c>
      <c r="H40" s="71">
        <f>+SUMIF(CATEGORIAS[[#All],[SUBGRUPO]],A40,CATEGORIAS[[#All],[COSTO
ACUMULADO  AX]])
+SUMIF(CATEGORIAS[[#All],[SUBGRUPO]],A40,CATEGORIAS[[#All],[CAMBIO DE
CATEGORIA]])
+SUMIF(CATEGORIAS[[#All],[SUBGRUPO]],A40,CATEGORIAS[[#All],[PROVISIONES]])</f>
        <v>347266</v>
      </c>
      <c r="I40" s="71">
        <f t="shared" si="30"/>
        <v>3800066.9075696324</v>
      </c>
      <c r="K40" s="71">
        <f>+SUMIF(CATEGORIAS[[#All],[SUBGRUPO]],A40,CATEGORIAS[[#All],[PRODUCCION
ANTERIOR]])
+SUMIF(CATEGORIAS[[#All],[SUBGRUPO]],A40,CATEGORIAS[[#All],[PRODUCCION
ADICIONALES
ANTERIOR]])</f>
        <v>2847391.4135696311</v>
      </c>
      <c r="L40" s="71">
        <f>+SUMIF(CATEGORIAS[[#All],[SUBGRUPO]],A40,CATEGORIAS[[#All],[COSTO ACUMULADO
ANTERIOR]])
+SUMIF(CATEGORIAS[[#All],[SUBGRUPO]],A40,CATEGORIAS[[#All],[CAMBIO DE
CATEGORIA
ANTERIOR]])
+SUMIF(CATEGORIAS[[#All],[SUBGRUPO]],A40,CATEGORIAS[[#All],[PROVISIONES
ANTERIOR]])</f>
        <v>254071</v>
      </c>
      <c r="M40" s="71">
        <f t="shared" ref="M40" si="34">K40-L40</f>
        <v>2593320.4135696311</v>
      </c>
      <c r="O40" s="71">
        <f t="shared" si="32"/>
        <v>1299941.4940000013</v>
      </c>
      <c r="P40" s="71">
        <f t="shared" ref="P40" si="35">H40-L40</f>
        <v>93195</v>
      </c>
      <c r="Q40" s="71">
        <f t="shared" ref="Q40" si="36">I40-M40</f>
        <v>1206746.4940000013</v>
      </c>
      <c r="R40" s="125">
        <f t="shared" si="0"/>
        <v>40004366.720146328</v>
      </c>
      <c r="T40" s="248"/>
    </row>
    <row r="41" spans="1:21" ht="15" customHeight="1" x14ac:dyDescent="0.25">
      <c r="A41" s="14" t="str">
        <f>'Matriz de Produccion'!A42</f>
        <v>0C04</v>
      </c>
      <c r="B41" s="6" t="str">
        <f>VLOOKUP(A41,'Analisis por Categorias'!B:C,2,FALSE)</f>
        <v xml:space="preserve">Movilización </v>
      </c>
      <c r="D41" s="3">
        <f>SUMIF(CATEGORIAS[[#All],[SUBGRUPO]],A41,CATEGORIAS[[#All],[PRESUPUESTO
(ORIGINAL)]])</f>
        <v>91680058.290985167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97246526.248148844</v>
      </c>
      <c r="G41" s="71">
        <f>+SUMIF(CATEGORIAS[[#All],[SUBGRUPO]],A41,CATEGORIAS[[#All],[PRODUCCION
PARTIDAS
ORIGINALES
ACTUAL]])
+SUMIF(CATEGORIAS[[#All],[SUBGRUPO]],A41,CATEGORIAS[[#All],[PRODUCCION
ADICIONALES
ACTUAL]])</f>
        <v>33939880.111195005</v>
      </c>
      <c r="H41" s="71">
        <f>+SUMIF(CATEGORIAS[[#All],[SUBGRUPO]],A41,CATEGORIAS[[#All],[COSTO
ACUMULADO  AX]])
+SUMIF(CATEGORIAS[[#All],[SUBGRUPO]],A41,CATEGORIAS[[#All],[CAMBIO DE
CATEGORIA]])
+SUMIF(CATEGORIAS[[#All],[SUBGRUPO]],A41,CATEGORIAS[[#All],[PROVISIONES]])</f>
        <v>14593363.800000001</v>
      </c>
      <c r="I41" s="71">
        <f t="shared" si="30"/>
        <v>19346516.311195005</v>
      </c>
      <c r="K41" s="71">
        <f>+SUMIF(CATEGORIAS[[#All],[SUBGRUPO]],A41,CATEGORIAS[[#All],[PRODUCCION
ANTERIOR]])
+SUMIF(CATEGORIAS[[#All],[SUBGRUPO]],A41,CATEGORIAS[[#All],[PRODUCCION
ADICIONALES
ANTERIOR]])</f>
        <v>23678703.957965869</v>
      </c>
      <c r="L41" s="71">
        <f>+SUMIF(CATEGORIAS[[#All],[SUBGRUPO]],A41,CATEGORIAS[[#All],[COSTO ACUMULADO
ANTERIOR]])
+SUMIF(CATEGORIAS[[#All],[SUBGRUPO]],A41,CATEGORIAS[[#All],[CAMBIO DE
CATEGORIA
ANTERIOR]])
+SUMIF(CATEGORIAS[[#All],[SUBGRUPO]],A41,CATEGORIAS[[#All],[PROVISIONES
ANTERIOR]])</f>
        <v>14593363.800000001</v>
      </c>
      <c r="M41" s="71">
        <f t="shared" si="31"/>
        <v>9085340.1579658687</v>
      </c>
      <c r="O41" s="71">
        <f t="shared" si="32"/>
        <v>10261176.153229136</v>
      </c>
      <c r="P41" s="71">
        <f t="shared" si="33"/>
        <v>0</v>
      </c>
      <c r="Q41" s="71">
        <f t="shared" si="33"/>
        <v>10261176.153229136</v>
      </c>
      <c r="R41" s="125">
        <f t="shared" si="0"/>
        <v>324686104.98391402</v>
      </c>
      <c r="T41" s="248"/>
    </row>
    <row r="42" spans="1:21" ht="15" customHeight="1" x14ac:dyDescent="0.25">
      <c r="A42" s="14" t="str">
        <f>'Matriz de Produccion'!A43</f>
        <v>0C05</v>
      </c>
      <c r="B42" s="6" t="str">
        <f>VLOOKUP(A42,'Analisis por Categorias'!B:C,2,FALSE)</f>
        <v>Alimentación</v>
      </c>
      <c r="D42" s="3">
        <f>SUMIF(CATEGORIAS[[#All],[SUBGRUPO]],A42,CATEGORIAS[[#All],[PRESUPUESTO
(ORIGINAL)]])</f>
        <v>97917948.620726913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111983061.54603626</v>
      </c>
      <c r="G42" s="71">
        <f>+SUMIF(CATEGORIAS[[#All],[SUBGRUPO]],A42,CATEGORIAS[[#All],[PRODUCCION
PARTIDAS
ORIGINALES
ACTUAL]])
+SUMIF(CATEGORIAS[[#All],[SUBGRUPO]],A42,CATEGORIAS[[#All],[PRODUCCION
ADICIONALES
ACTUAL]])</f>
        <v>36626305.924395055</v>
      </c>
      <c r="H42" s="71">
        <f>+SUMIF(CATEGORIAS[[#All],[SUBGRUPO]],A42,CATEGORIAS[[#All],[COSTO
ACUMULADO  AX]])
+SUMIF(CATEGORIAS[[#All],[SUBGRUPO]],A42,CATEGORIAS[[#All],[CAMBIO DE
CATEGORIA]])
+SUMIF(CATEGORIAS[[#All],[SUBGRUPO]],A42,CATEGORIAS[[#All],[PROVISIONES]])</f>
        <v>27299906.399999999</v>
      </c>
      <c r="I42" s="71">
        <f t="shared" si="30"/>
        <v>9326399.5243950561</v>
      </c>
      <c r="K42" s="71">
        <f>+SUMIF(CATEGORIAS[[#All],[SUBGRUPO]],A42,CATEGORIAS[[#All],[PRODUCCION
ANTERIOR]])
+SUMIF(CATEGORIAS[[#All],[SUBGRUPO]],A42,CATEGORIAS[[#All],[PRODUCCION
ADICIONALES
ANTERIOR]])</f>
        <v>25734847.809862863</v>
      </c>
      <c r="L42" s="71">
        <f>+SUMIF(CATEGORIAS[[#All],[SUBGRUPO]],A42,CATEGORIAS[[#All],[COSTO ACUMULADO
ANTERIOR]])
+SUMIF(CATEGORIAS[[#All],[SUBGRUPO]],A42,CATEGORIAS[[#All],[CAMBIO DE
CATEGORIA
ANTERIOR]])
+SUMIF(CATEGORIAS[[#All],[SUBGRUPO]],A42,CATEGORIAS[[#All],[PROVISIONES
ANTERIOR]])</f>
        <v>19227082</v>
      </c>
      <c r="M42" s="71">
        <f t="shared" ref="M42:M43" si="37">K42-L42</f>
        <v>6507765.8098628633</v>
      </c>
      <c r="O42" s="71">
        <f t="shared" si="32"/>
        <v>10891458.114532191</v>
      </c>
      <c r="P42" s="71">
        <f t="shared" ref="P42:P43" si="38">H42-L42</f>
        <v>8072824.3999999985</v>
      </c>
      <c r="Q42" s="71">
        <f t="shared" ref="Q42:Q43" si="39">I42-M42</f>
        <v>2818633.7145321928</v>
      </c>
      <c r="R42" s="125">
        <f t="shared" si="0"/>
        <v>356406233.86434335</v>
      </c>
      <c r="T42" s="248"/>
    </row>
    <row r="43" spans="1:21" ht="15" customHeight="1" x14ac:dyDescent="0.25">
      <c r="A43" s="14" t="str">
        <f>'Matriz de Produccion'!A44</f>
        <v>0C06</v>
      </c>
      <c r="B43" s="6" t="str">
        <f>VLOOKUP(A43,'Analisis por Categorias'!B:C,2,FALSE)</f>
        <v>Hotelería</v>
      </c>
      <c r="D43" s="3">
        <f>SUMIF(CATEGORIAS[[#All],[SUBGRUPO]],A43,CATEGORIAS[[#All],[PRESUPUESTO
(ORIGINAL)]])</f>
        <v>0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0</v>
      </c>
      <c r="G43" s="71">
        <f>+SUMIF(CATEGORIAS[[#All],[SUBGRUPO]],A43,CATEGORIAS[[#All],[PRODUCCION
PARTIDAS
ORIGINALES
ACTUAL]])
+SUMIF(CATEGORIAS[[#All],[SUBGRUPO]],A43,CATEGORIAS[[#All],[PRODUCCION
ADICIONALES
ACTUAL]])</f>
        <v>0</v>
      </c>
      <c r="H43" s="71">
        <f>+SUMIF(CATEGORIAS[[#All],[SUBGRUPO]],A43,CATEGORIAS[[#All],[COSTO
ACUMULADO  AX]])
+SUMIF(CATEGORIAS[[#All],[SUBGRUPO]],A43,CATEGORIAS[[#All],[CAMBIO DE
CATEGORIA]])
+SUMIF(CATEGORIAS[[#All],[SUBGRUPO]],A43,CATEGORIAS[[#All],[PROVISIONES]])</f>
        <v>0</v>
      </c>
      <c r="I43" s="71">
        <f t="shared" si="30"/>
        <v>0</v>
      </c>
      <c r="K43" s="71">
        <f>+SUMIF(CATEGORIAS[[#All],[SUBGRUPO]],A43,CATEGORIAS[[#All],[PRODUCCION
ANTERIOR]])
+SUMIF(CATEGORIAS[[#All],[SUBGRUPO]],A43,CATEGORIAS[[#All],[PRODUCCION
ADICIONALES
ANTERIOR]])</f>
        <v>0</v>
      </c>
      <c r="L43" s="71">
        <f>+SUMIF(CATEGORIAS[[#All],[SUBGRUPO]],A43,CATEGORIAS[[#All],[COSTO ACUMULADO
ANTERIOR]])
+SUMIF(CATEGORIAS[[#All],[SUBGRUPO]],A43,CATEGORIAS[[#All],[CAMBIO DE
CATEGORIA
ANTERIOR]])
+SUMIF(CATEGORIAS[[#All],[SUBGRUPO]],A43,CATEGORIAS[[#All],[PROVISIONES
ANTERIOR]])</f>
        <v>0</v>
      </c>
      <c r="M43" s="71">
        <f t="shared" si="37"/>
        <v>0</v>
      </c>
      <c r="O43" s="71">
        <f t="shared" si="32"/>
        <v>0</v>
      </c>
      <c r="P43" s="71">
        <f t="shared" si="38"/>
        <v>0</v>
      </c>
      <c r="Q43" s="71">
        <f t="shared" si="39"/>
        <v>0</v>
      </c>
      <c r="R43" s="125">
        <f t="shared" si="0"/>
        <v>0</v>
      </c>
      <c r="T43" s="248"/>
    </row>
    <row r="44" spans="1:21" ht="15" customHeight="1" x14ac:dyDescent="0.25">
      <c r="A44" s="14" t="str">
        <f>'Matriz de Produccion'!A45</f>
        <v>0C07</v>
      </c>
      <c r="B44" s="6" t="str">
        <f>VLOOKUP(A44,'Analisis por Categorias'!B:C,2,FALSE)</f>
        <v xml:space="preserve">Movilización Interna </v>
      </c>
      <c r="D44" s="3">
        <f>SUMIF(CATEGORIAS[[#All],[SUBGRUPO]],A44,CATEGORIAS[[#All],[PRESUPUESTO
(ORIGINAL)]])</f>
        <v>0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0</v>
      </c>
      <c r="G44" s="71">
        <f>+SUMIF(CATEGORIAS[[#All],[SUBGRUPO]],A44,CATEGORIAS[[#All],[PRODUCCION
PARTIDAS
ORIGINALES
ACTUAL]])
+SUMIF(CATEGORIAS[[#All],[SUBGRUPO]],A44,CATEGORIAS[[#All],[PRODUCCION
ADICIONALES
ACTUAL]])</f>
        <v>0</v>
      </c>
      <c r="H44" s="71">
        <f>+SUMIF(CATEGORIAS[[#All],[SUBGRUPO]],A44,CATEGORIAS[[#All],[COSTO
ACUMULADO  AX]])
+SUMIF(CATEGORIAS[[#All],[SUBGRUPO]],A44,CATEGORIAS[[#All],[CAMBIO DE
CATEGORIA]])
+SUMIF(CATEGORIAS[[#All],[SUBGRUPO]],A44,CATEGORIAS[[#All],[PROVISIONES]])</f>
        <v>0</v>
      </c>
      <c r="I44" s="71">
        <f t="shared" si="30"/>
        <v>0</v>
      </c>
      <c r="K44" s="71">
        <f>+SUMIF(CATEGORIAS[[#All],[SUBGRUPO]],A44,CATEGORIAS[[#All],[PRODUCCION
ANTERIOR]])
+SUMIF(CATEGORIAS[[#All],[SUBGRUPO]],A44,CATEGORIAS[[#All],[PRODUCCION
ADICIONALES
ANTERIOR]])</f>
        <v>0</v>
      </c>
      <c r="L44" s="71">
        <f>+SUMIF(CATEGORIAS[[#All],[SUBGRUPO]],A44,CATEGORIAS[[#All],[COSTO ACUMULADO
ANTERIOR]])
+SUMIF(CATEGORIAS[[#All],[SUBGRUPO]],A44,CATEGORIAS[[#All],[CAMBIO DE
CATEGORIA
ANTERIOR]])
+SUMIF(CATEGORIAS[[#All],[SUBGRUPO]],A44,CATEGORIAS[[#All],[PROVISIONES
ANTERIOR]])</f>
        <v>0</v>
      </c>
      <c r="M44" s="71">
        <f t="shared" si="31"/>
        <v>0</v>
      </c>
      <c r="O44" s="85">
        <f t="shared" si="32"/>
        <v>0</v>
      </c>
      <c r="P44" s="85">
        <f t="shared" si="33"/>
        <v>0</v>
      </c>
      <c r="Q44" s="85">
        <f t="shared" si="33"/>
        <v>0</v>
      </c>
      <c r="R44" s="125">
        <f t="shared" si="0"/>
        <v>0</v>
      </c>
    </row>
    <row r="45" spans="1:21" ht="8.25" customHeight="1" x14ac:dyDescent="0.25">
      <c r="R45" s="125">
        <f t="shared" si="0"/>
        <v>0</v>
      </c>
    </row>
    <row r="46" spans="1:21" ht="15" customHeight="1" x14ac:dyDescent="0.25">
      <c r="A46" s="14" t="str">
        <f>'Matriz de Produccion'!A47</f>
        <v>0D00</v>
      </c>
      <c r="B46" s="81" t="str">
        <f>'Matriz de Produccion'!B47:B47</f>
        <v>D - EQUIPOS Y COMBUSTIBLES</v>
      </c>
      <c r="D46" s="82">
        <f>SUM(D47:D56)</f>
        <v>740872631.09810007</v>
      </c>
      <c r="E46" s="82">
        <f>SUM(E47:E56)</f>
        <v>794729067.02900994</v>
      </c>
      <c r="G46" s="83">
        <f>SUM(G47:G56)</f>
        <v>311132349.85919666</v>
      </c>
      <c r="H46" s="84">
        <f>SUM(H47:H56)</f>
        <v>267466045.17854217</v>
      </c>
      <c r="I46" s="87">
        <f>SUM(I47:I56)</f>
        <v>43666304.680654474</v>
      </c>
      <c r="K46" s="83">
        <f>SUM(K47:K56)</f>
        <v>211569496.08057067</v>
      </c>
      <c r="L46" s="84">
        <f>SUM(L47:L56)</f>
        <v>202083836.76412776</v>
      </c>
      <c r="M46" s="87">
        <f>SUM(M47:M56)</f>
        <v>9485659.3164429404</v>
      </c>
      <c r="O46" s="83">
        <f>SUM(O47:O56)</f>
        <v>99562853.778625935</v>
      </c>
      <c r="P46" s="84">
        <f>SUM(P47:P56)</f>
        <v>65382208.414414413</v>
      </c>
      <c r="Q46" s="87">
        <f>SUM(Q47:Q56)</f>
        <v>34180645.364211529</v>
      </c>
      <c r="R46" s="125">
        <f t="shared" si="0"/>
        <v>2780131097.5638967</v>
      </c>
      <c r="S46" s="256"/>
    </row>
    <row r="47" spans="1:21" ht="15" customHeight="1" x14ac:dyDescent="0.25">
      <c r="A47" s="14" t="str">
        <f>'Matriz de Produccion'!A48</f>
        <v>0D01</v>
      </c>
      <c r="B47" s="6" t="str">
        <f>VLOOKUP(A47,'Analisis por Categorias'!B:C,2,FALSE)</f>
        <v>Equipos Mayores</v>
      </c>
      <c r="D47" s="3">
        <f>SUMIF(CATEGORIAS[[#All],[SUBGRUPO]],A47,CATEGORIAS[[#All],[PRESUPUESTO
(ORIGINAL)]])</f>
        <v>358822229.46900004</v>
      </c>
      <c r="E47" s="3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372617571.34932005</v>
      </c>
      <c r="G47" s="71">
        <f>+SUMIF(CATEGORIAS[[#All],[SUBGRUPO]],A47,CATEGORIAS[[#All],[PRODUCCION
PARTIDAS
ORIGINALES
ACTUAL]])
+SUMIF(CATEGORIAS[[#All],[SUBGRUPO]],A47,CATEGORIAS[[#All],[PRODUCCION
ADICIONALES
ACTUAL]])</f>
        <v>128359954.75691205</v>
      </c>
      <c r="H47" s="71">
        <f>+SUMIF(CATEGORIAS[[#All],[SUBGRUPO]],A47,CATEGORIAS[[#All],[COSTO
ACUMULADO  AX]])
+SUMIF(CATEGORIAS[[#All],[SUBGRUPO]],A47,CATEGORIAS[[#All],[CAMBIO DE
CATEGORIA]])
+SUMIF(CATEGORIAS[[#All],[SUBGRUPO]],A47,CATEGORIAS[[#All],[PROVISIONES]])</f>
        <v>129543507</v>
      </c>
      <c r="I47" s="71">
        <f t="shared" ref="I47:I56" si="40">G47-H47</f>
        <v>-1183552.2430879474</v>
      </c>
      <c r="K47" s="71">
        <f>+SUMIF(CATEGORIAS[[#All],[SUBGRUPO]],A47,CATEGORIAS[[#All],[PRODUCCION
ANTERIOR]])
+SUMIF(CATEGORIAS[[#All],[SUBGRUPO]],A47,CATEGORIAS[[#All],[PRODUCCION
ADICIONALES
ANTERIOR]])</f>
        <v>93469516.312360942</v>
      </c>
      <c r="L47" s="71">
        <f>+SUMIF(CATEGORIAS[[#All],[SUBGRUPO]],A47,CATEGORIAS[[#All],[COSTO ACUMULADO
ANTERIOR]])
+SUMIF(CATEGORIAS[[#All],[SUBGRUPO]],A47,CATEGORIAS[[#All],[CAMBIO DE
CATEGORIA
ANTERIOR]])
+SUMIF(CATEGORIAS[[#All],[SUBGRUPO]],A47,CATEGORIAS[[#All],[PROVISIONES
ANTERIOR]])</f>
        <v>99028471</v>
      </c>
      <c r="M47" s="71">
        <f t="shared" ref="M47:M52" si="41">K47-L47</f>
        <v>-5558954.6876390576</v>
      </c>
      <c r="O47" s="71">
        <f>G47-K47</f>
        <v>34890438.44455111</v>
      </c>
      <c r="P47" s="71">
        <f>H47-L47</f>
        <v>30515036</v>
      </c>
      <c r="Q47" s="71">
        <f t="shared" ref="P47:Q52" si="42">I47-M47</f>
        <v>4375402.4445511103</v>
      </c>
      <c r="R47" s="125">
        <f t="shared" si="0"/>
        <v>1244879619.8459682</v>
      </c>
    </row>
    <row r="48" spans="1:21" ht="15" customHeight="1" x14ac:dyDescent="0.25">
      <c r="A48" s="14" t="str">
        <f>'Matriz de Produccion'!A49</f>
        <v>0D02</v>
      </c>
      <c r="B48" s="6" t="str">
        <f>VLOOKUP(A48,'Analisis por Categorias'!B:C,2,FALSE)</f>
        <v>Generador</v>
      </c>
      <c r="D48" s="3">
        <f>SUMIF(CATEGORIAS[[#All],[SUBGRUPO]],A48,CATEGORIAS[[#All],[PRESUPUESTO
(ORIGINAL)]])</f>
        <v>0</v>
      </c>
      <c r="E48" s="3">
        <f>+SUMIF(CATEGORIAS[[#All],[SUBGRUPO]],A48,CATEGORIAS[[#All],[PRODUCCION
PARTIDAS
ORIGINALES
ACTUAL]])
+SUMIF(CATEGORIAS[[#All],[SUBGRUPO]],A48,CATEGORIAS[[#All],[PRODUCCION
ADICIONALES
ACTUAL]])
+SUMIF(CATEGORIAS[[#All],[SUBGRUPO]],A48,CATEGORIAS[[#All],[PROYECCION
DE INGRESO
DEL SALDO]])</f>
        <v>0</v>
      </c>
      <c r="G48" s="71">
        <f>+SUMIF(CATEGORIAS[[#All],[SUBGRUPO]],A48,CATEGORIAS[[#All],[PRODUCCION
PARTIDAS
ORIGINALES
ACTUAL]])
+SUMIF(CATEGORIAS[[#All],[SUBGRUPO]],A48,CATEGORIAS[[#All],[PRODUCCION
ADICIONALES
ACTUAL]])</f>
        <v>0</v>
      </c>
      <c r="H48" s="71">
        <f>+SUMIF(CATEGORIAS[[#All],[SUBGRUPO]],A48,CATEGORIAS[[#All],[COSTO
ACUMULADO  AX]])
+SUMIF(CATEGORIAS[[#All],[SUBGRUPO]],A48,CATEGORIAS[[#All],[CAMBIO DE
CATEGORIA]])
+SUMIF(CATEGORIAS[[#All],[SUBGRUPO]],A48,CATEGORIAS[[#All],[PROVISIONES]])</f>
        <v>0</v>
      </c>
      <c r="I48" s="71">
        <f t="shared" si="40"/>
        <v>0</v>
      </c>
      <c r="K48" s="71">
        <f>+SUMIF(CATEGORIAS[[#All],[SUBGRUPO]],A48,CATEGORIAS[[#All],[PRODUCCION
ANTERIOR]])
+SUMIF(CATEGORIAS[[#All],[SUBGRUPO]],A48,CATEGORIAS[[#All],[PRODUCCION
ADICIONALES
ANTERIOR]])</f>
        <v>0</v>
      </c>
      <c r="L48" s="71">
        <f>+SUMIF(CATEGORIAS[[#All],[SUBGRUPO]],A48,CATEGORIAS[[#All],[COSTO ACUMULADO
ANTERIOR]])
+SUMIF(CATEGORIAS[[#All],[SUBGRUPO]],A48,CATEGORIAS[[#All],[CAMBIO DE
CATEGORIA
ANTERIOR]])
+SUMIF(CATEGORIAS[[#All],[SUBGRUPO]],A48,CATEGORIAS[[#All],[PROVISIONES
ANTERIOR]])</f>
        <v>0</v>
      </c>
      <c r="M48" s="71">
        <f t="shared" si="41"/>
        <v>0</v>
      </c>
      <c r="O48" s="71">
        <f t="shared" ref="O48:O56" si="43">G48-K48</f>
        <v>0</v>
      </c>
      <c r="P48" s="71">
        <f t="shared" si="42"/>
        <v>0</v>
      </c>
      <c r="Q48" s="71">
        <f t="shared" si="42"/>
        <v>0</v>
      </c>
      <c r="R48" s="125">
        <f t="shared" si="0"/>
        <v>0</v>
      </c>
    </row>
    <row r="49" spans="1:21" ht="15" customHeight="1" x14ac:dyDescent="0.25">
      <c r="A49" s="14" t="str">
        <f>'Matriz de Produccion'!A50</f>
        <v>0D03</v>
      </c>
      <c r="B49" s="6" t="str">
        <f>VLOOKUP(A49,'Analisis por Categorias'!B:C,2,FALSE)</f>
        <v>Movimiento de Tierra</v>
      </c>
      <c r="D49" s="3">
        <f>SUMIF(CATEGORIAS[[#All],[SUBGRUPO]],A49,CATEGORIAS[[#All],[PRESUPUESTO
(ORIGINAL)]])</f>
        <v>21492401.631495975</v>
      </c>
      <c r="E49" s="3">
        <f>+SUMIF(CATEGORIAS[[#All],[SUBGRUPO]],A49,CATEGORIAS[[#All],[PRODUCCION
PARTIDAS
ORIGINALES
ACTUAL]])
+SUMIF(CATEGORIAS[[#All],[SUBGRUPO]],A49,CATEGORIAS[[#All],[PRODUCCION
ADICIONALES
ACTUAL]])
+SUMIF(CATEGORIAS[[#All],[SUBGRUPO]],A49,CATEGORIAS[[#All],[PROYECCION
DE INGRESO
DEL SALDO]])</f>
        <v>26718830.777369343</v>
      </c>
      <c r="G49" s="71">
        <f>+SUMIF(CATEGORIAS[[#All],[SUBGRUPO]],A49,CATEGORIAS[[#All],[PRODUCCION
PARTIDAS
ORIGINALES
ACTUAL]])
+SUMIF(CATEGORIAS[[#All],[SUBGRUPO]],A49,CATEGORIAS[[#All],[PRODUCCION
ADICIONALES
ACTUAL]])</f>
        <v>15420132.1664</v>
      </c>
      <c r="H49" s="71">
        <f>+SUMIF(CATEGORIAS[[#All],[SUBGRUPO]],A49,CATEGORIAS[[#All],[COSTO
ACUMULADO  AX]])
+SUMIF(CATEGORIAS[[#All],[SUBGRUPO]],A49,CATEGORIAS[[#All],[CAMBIO DE
CATEGORIA]])
+SUMIF(CATEGORIAS[[#All],[SUBGRUPO]],A49,CATEGORIAS[[#All],[PROVISIONES]])</f>
        <v>15980000</v>
      </c>
      <c r="I49" s="71">
        <f t="shared" si="40"/>
        <v>-559867.83359999955</v>
      </c>
      <c r="K49" s="71">
        <f>+SUMIF(CATEGORIAS[[#All],[SUBGRUPO]],A49,CATEGORIAS[[#All],[PRODUCCION
ANTERIOR]])
+SUMIF(CATEGORIAS[[#All],[SUBGRUPO]],A49,CATEGORIAS[[#All],[PRODUCCION
ADICIONALES
ANTERIOR]])</f>
        <v>14455990.066400003</v>
      </c>
      <c r="L49" s="71">
        <f>+SUMIF(CATEGORIAS[[#All],[SUBGRUPO]],A49,CATEGORIAS[[#All],[COSTO ACUMULADO
ANTERIOR]])
+SUMIF(CATEGORIAS[[#All],[SUBGRUPO]],A49,CATEGORIAS[[#All],[CAMBIO DE
CATEGORIA
ANTERIOR]])
+SUMIF(CATEGORIAS[[#All],[SUBGRUPO]],A49,CATEGORIAS[[#All],[PROVISIONES
ANTERIOR]])</f>
        <v>15980000</v>
      </c>
      <c r="M49" s="71">
        <f t="shared" si="41"/>
        <v>-1524009.9335999973</v>
      </c>
      <c r="O49" s="71">
        <f t="shared" si="43"/>
        <v>964142.09999999776</v>
      </c>
      <c r="P49" s="71">
        <f t="shared" si="42"/>
        <v>0</v>
      </c>
      <c r="Q49" s="71">
        <f t="shared" si="42"/>
        <v>964142.09999999776</v>
      </c>
      <c r="R49" s="125">
        <f t="shared" si="0"/>
        <v>109891761.07446532</v>
      </c>
    </row>
    <row r="50" spans="1:21" ht="15" customHeight="1" x14ac:dyDescent="0.25">
      <c r="A50" s="14" t="str">
        <f>'Matriz de Produccion'!A51</f>
        <v>0D04</v>
      </c>
      <c r="B50" s="6" t="str">
        <f>VLOOKUP(A50,'Analisis por Categorias'!B:C,2,FALSE)</f>
        <v xml:space="preserve">Andamios </v>
      </c>
      <c r="D50" s="3">
        <f>SUMIF(CATEGORIAS[[#All],[SUBGRUPO]],A50,CATEGORIAS[[#All],[PRESUPUESTO
(ORIGINAL)]])</f>
        <v>51679693.519999996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52583283.934636705</v>
      </c>
      <c r="G50" s="71">
        <f>+SUMIF(CATEGORIAS[[#All],[SUBGRUPO]],A50,CATEGORIAS[[#All],[PRODUCCION
PARTIDAS
ORIGINALES
ACTUAL]])
+SUMIF(CATEGORIAS[[#All],[SUBGRUPO]],A50,CATEGORIAS[[#All],[PRODUCCION
ADICIONALES
ACTUAL]])</f>
        <v>20431073.231132135</v>
      </c>
      <c r="H50" s="71">
        <f>+SUMIF(CATEGORIAS[[#All],[SUBGRUPO]],A50,CATEGORIAS[[#All],[COSTO
ACUMULADO  AX]])
+SUMIF(CATEGORIAS[[#All],[SUBGRUPO]],A50,CATEGORIAS[[#All],[CAMBIO DE
CATEGORIA]])
+SUMIF(CATEGORIAS[[#All],[SUBGRUPO]],A50,CATEGORIAS[[#All],[PROVISIONES]])</f>
        <v>20000000</v>
      </c>
      <c r="I50" s="71">
        <f t="shared" si="40"/>
        <v>431073.2311321348</v>
      </c>
      <c r="K50" s="71">
        <f>+SUMIF(CATEGORIAS[[#All],[SUBGRUPO]],A50,CATEGORIAS[[#All],[PRODUCCION
ANTERIOR]])
+SUMIF(CATEGORIAS[[#All],[SUBGRUPO]],A50,CATEGORIAS[[#All],[PRODUCCION
ADICIONALES
ANTERIOR]])</f>
        <v>12852370.586932538</v>
      </c>
      <c r="L50" s="71">
        <f>+SUMIF(CATEGORIAS[[#All],[SUBGRUPO]],A50,CATEGORIAS[[#All],[COSTO ACUMULADO
ANTERIOR]])
+SUMIF(CATEGORIAS[[#All],[SUBGRUPO]],A50,CATEGORIAS[[#All],[CAMBIO DE
CATEGORIA
ANTERIOR]])
+SUMIF(CATEGORIAS[[#All],[SUBGRUPO]],A50,CATEGORIAS[[#All],[PROVISIONES
ANTERIOR]])</f>
        <v>20000000</v>
      </c>
      <c r="M50" s="71">
        <f t="shared" si="41"/>
        <v>-7147629.4130674619</v>
      </c>
      <c r="O50" s="71">
        <f t="shared" si="43"/>
        <v>7578702.6441995967</v>
      </c>
      <c r="P50" s="71">
        <f t="shared" si="42"/>
        <v>0</v>
      </c>
      <c r="Q50" s="71">
        <f t="shared" si="42"/>
        <v>7578702.6441995967</v>
      </c>
      <c r="R50" s="125">
        <f t="shared" si="0"/>
        <v>185987270.37916529</v>
      </c>
    </row>
    <row r="51" spans="1:21" ht="15" customHeight="1" x14ac:dyDescent="0.25">
      <c r="A51" s="14" t="str">
        <f>'Matriz de Produccion'!A52</f>
        <v>0D05</v>
      </c>
      <c r="B51" s="6" t="str">
        <f>VLOOKUP(A51,'Analisis por Categorias'!B:C,2,FALSE)</f>
        <v xml:space="preserve">Combustibles </v>
      </c>
      <c r="D51" s="3">
        <f>SUMIF(CATEGORIAS[[#All],[SUBGRUPO]],A51,CATEGORIAS[[#All],[PRESUPUESTO
(ORIGINAL)]])</f>
        <v>119610000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119610000</v>
      </c>
      <c r="G51" s="71">
        <f>+SUMIF(CATEGORIAS[[#All],[SUBGRUPO]],A51,CATEGORIAS[[#All],[PRODUCCION
PARTIDAS
ORIGINALES
ACTUAL]])
+SUMIF(CATEGORIAS[[#All],[SUBGRUPO]],A51,CATEGORIAS[[#All],[PRODUCCION
ADICIONALES
ACTUAL]])</f>
        <v>64826093.887091815</v>
      </c>
      <c r="H51" s="71">
        <f>+SUMIF(CATEGORIAS[[#All],[SUBGRUPO]],A51,CATEGORIAS[[#All],[COSTO
ACUMULADO  AX]])
+SUMIF(CATEGORIAS[[#All],[SUBGRUPO]],A51,CATEGORIAS[[#All],[CAMBIO DE
CATEGORIA]])
+SUMIF(CATEGORIAS[[#All],[SUBGRUPO]],A51,CATEGORIAS[[#All],[PROVISIONES]])</f>
        <v>14323271</v>
      </c>
      <c r="I51" s="71">
        <f t="shared" si="40"/>
        <v>50502822.887091815</v>
      </c>
      <c r="K51" s="71">
        <f>+SUMIF(CATEGORIAS[[#All],[SUBGRUPO]],A51,CATEGORIAS[[#All],[PRODUCCION
ANTERIOR]])
+SUMIF(CATEGORIAS[[#All],[SUBGRUPO]],A51,CATEGORIAS[[#All],[PRODUCCION
ADICIONALES
ANTERIOR]])</f>
        <v>45633955.5853322</v>
      </c>
      <c r="L51" s="71">
        <f>+SUMIF(CATEGORIAS[[#All],[SUBGRUPO]],A51,CATEGORIAS[[#All],[COSTO ACUMULADO
ANTERIOR]])
+SUMIF(CATEGORIAS[[#All],[SUBGRUPO]],A51,CATEGORIAS[[#All],[CAMBIO DE
CATEGORIA
ANTERIOR]])
+SUMIF(CATEGORIAS[[#All],[SUBGRUPO]],A51,CATEGORIAS[[#All],[PROVISIONES
ANTERIOR]])</f>
        <v>8542297</v>
      </c>
      <c r="M51" s="71">
        <f t="shared" si="41"/>
        <v>37091658.5853322</v>
      </c>
      <c r="O51" s="71">
        <f t="shared" si="43"/>
        <v>19192138.301759616</v>
      </c>
      <c r="P51" s="71">
        <f t="shared" si="42"/>
        <v>5780974</v>
      </c>
      <c r="Q51" s="71">
        <f t="shared" si="42"/>
        <v>13411164.301759616</v>
      </c>
      <c r="R51" s="125">
        <f t="shared" si="0"/>
        <v>498524375.54836726</v>
      </c>
      <c r="S51" s="258"/>
      <c r="T51" s="279"/>
    </row>
    <row r="52" spans="1:21" ht="15" customHeight="1" x14ac:dyDescent="0.25">
      <c r="A52" s="14" t="str">
        <f>'Matriz de Produccion'!A53</f>
        <v>0D06</v>
      </c>
      <c r="B52" s="6" t="str">
        <f>VLOOKUP(A52,'Analisis por Categorias'!B:C,2,FALSE)</f>
        <v xml:space="preserve">Fletes </v>
      </c>
      <c r="D52" s="3">
        <f>SUMIF(CATEGORIAS[[#All],[SUBGRUPO]],A52,CATEGORIAS[[#All],[PRESUPUESTO
(ORIGINAL)]])</f>
        <v>27900000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27982433.399999999</v>
      </c>
      <c r="G52" s="71">
        <f>+SUMIF(CATEGORIAS[[#All],[SUBGRUPO]],A52,CATEGORIAS[[#All],[PRODUCCION
PARTIDAS
ORIGINALES
ACTUAL]])
+SUMIF(CATEGORIAS[[#All],[SUBGRUPO]],A52,CATEGORIAS[[#All],[PRODUCCION
ADICIONALES
ACTUAL]])</f>
        <v>13030183.321390457</v>
      </c>
      <c r="H52" s="71">
        <f>+SUMIF(CATEGORIAS[[#All],[SUBGRUPO]],A52,CATEGORIAS[[#All],[COSTO
ACUMULADO  AX]])
+SUMIF(CATEGORIAS[[#All],[SUBGRUPO]],A52,CATEGORIAS[[#All],[CAMBIO DE
CATEGORIA]])
+SUMIF(CATEGORIAS[[#All],[SUBGRUPO]],A52,CATEGORIAS[[#All],[PROVISIONES]])</f>
        <v>3250000</v>
      </c>
      <c r="I52" s="71">
        <f t="shared" si="40"/>
        <v>9780183.3213904575</v>
      </c>
      <c r="K52" s="71">
        <f>+SUMIF(CATEGORIAS[[#All],[SUBGRUPO]],A52,CATEGORIAS[[#All],[PRODUCCION
ANTERIOR]])
+SUMIF(CATEGORIAS[[#All],[SUBGRUPO]],A52,CATEGORIAS[[#All],[PRODUCCION
ADICIONALES
ANTERIOR]])</f>
        <v>6940559.1175687993</v>
      </c>
      <c r="L52" s="71">
        <f>+SUMIF(CATEGORIAS[[#All],[SUBGRUPO]],A52,CATEGORIAS[[#All],[COSTO ACUMULADO
ANTERIOR]])
+SUMIF(CATEGORIAS[[#All],[SUBGRUPO]],A52,CATEGORIAS[[#All],[CAMBIO DE
CATEGORIA
ANTERIOR]])
+SUMIF(CATEGORIAS[[#All],[SUBGRUPO]],A52,CATEGORIAS[[#All],[PROVISIONES
ANTERIOR]])</f>
        <v>3250000</v>
      </c>
      <c r="M52" s="71">
        <f t="shared" si="41"/>
        <v>3690559.1175687993</v>
      </c>
      <c r="O52" s="71">
        <f t="shared" si="43"/>
        <v>6089624.2038216582</v>
      </c>
      <c r="P52" s="71">
        <f t="shared" si="42"/>
        <v>0</v>
      </c>
      <c r="Q52" s="71">
        <f t="shared" si="42"/>
        <v>6089624.2038216582</v>
      </c>
      <c r="R52" s="125">
        <f t="shared" si="0"/>
        <v>108003166.68556184</v>
      </c>
      <c r="S52" s="258"/>
    </row>
    <row r="53" spans="1:21" ht="15" customHeight="1" x14ac:dyDescent="0.25">
      <c r="A53" s="14" t="str">
        <f>'Matriz de Produccion'!A54</f>
        <v>0D07</v>
      </c>
      <c r="B53" s="6" t="str">
        <f>VLOOKUP(A53,'Analisis por Categorias'!B:C,2,FALSE)</f>
        <v>Operador</v>
      </c>
      <c r="D53" s="3">
        <f>SUMIF(CATEGORIAS[[#All],[SUBGRUPO]],A53,CATEGORIAS[[#All],[PRESUPUESTO
(ORIGINAL)]])</f>
        <v>93476144.542770028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93476144.542770028</v>
      </c>
      <c r="G53" s="71">
        <f>+SUMIF(CATEGORIAS[[#All],[SUBGRUPO]],A53,CATEGORIAS[[#All],[PRODUCCION
PARTIDAS
ORIGINALES
ACTUAL]])
+SUMIF(CATEGORIAS[[#All],[SUBGRUPO]],A53,CATEGORIAS[[#All],[PRODUCCION
ADICIONALES
ACTUAL]])</f>
        <v>43656318.980970815</v>
      </c>
      <c r="H53" s="71">
        <f>+SUMIF(CATEGORIAS[[#All],[SUBGRUPO]],A53,CATEGORIAS[[#All],[COSTO
ACUMULADO  AX]])
+SUMIF(CATEGORIAS[[#All],[SUBGRUPO]],A53,CATEGORIAS[[#All],[CAMBIO DE
CATEGORIA]])
+SUMIF(CATEGORIAS[[#All],[SUBGRUPO]],A53,CATEGORIAS[[#All],[PROVISIONES]])</f>
        <v>51257656.025389023</v>
      </c>
      <c r="I53" s="71">
        <f t="shared" si="40"/>
        <v>-7601337.0444182083</v>
      </c>
      <c r="K53" s="71">
        <f>+SUMIF(CATEGORIAS[[#All],[SUBGRUPO]],A53,CATEGORIAS[[#All],[PRODUCCION
ANTERIOR]])
+SUMIF(CATEGORIAS[[#All],[SUBGRUPO]],A53,CATEGORIAS[[#All],[PRODUCCION
ADICIONALES
ANTERIOR]])</f>
        <v>23253645.422276035</v>
      </c>
      <c r="L53" s="71">
        <f>+SUMIF(CATEGORIAS[[#All],[SUBGRUPO]],A53,CATEGORIAS[[#All],[COSTO ACUMULADO
ANTERIOR]])
+SUMIF(CATEGORIAS[[#All],[SUBGRUPO]],A53,CATEGORIAS[[#All],[CAMBIO DE
CATEGORIA
ANTERIOR]])
+SUMIF(CATEGORIAS[[#All],[SUBGRUPO]],A53,CATEGORIAS[[#All],[PROVISIONES
ANTERIOR]])</f>
        <v>35958619.872235872</v>
      </c>
      <c r="M53" s="71">
        <f t="shared" ref="M53:M56" si="44">K53-L53</f>
        <v>-12704974.449959837</v>
      </c>
      <c r="O53" s="71">
        <f t="shared" si="43"/>
        <v>20402673.55869478</v>
      </c>
      <c r="P53" s="71">
        <f t="shared" ref="P53:P56" si="45">H53-L53</f>
        <v>15299036.153153151</v>
      </c>
      <c r="Q53" s="71">
        <f t="shared" ref="Q53:Q56" si="46">I53-M53</f>
        <v>5103637.4055416286</v>
      </c>
      <c r="R53" s="125"/>
      <c r="S53" s="258"/>
    </row>
    <row r="54" spans="1:21" ht="15" customHeight="1" x14ac:dyDescent="0.25">
      <c r="A54" s="14" t="str">
        <f>'Matriz de Produccion'!A55</f>
        <v>0D08</v>
      </c>
      <c r="B54" s="6" t="str">
        <f>VLOOKUP(A54,'Analisis por Categorias'!B:C,2,FALSE)</f>
        <v>Rigger</v>
      </c>
      <c r="D54" s="3">
        <f>SUMIF(CATEGORIAS[[#All],[SUBGRUPO]],A54,CATEGORIAS[[#All],[PRESUPUESTO
(ORIGINAL)]])</f>
        <v>42918681.456833996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42918681.456833996</v>
      </c>
      <c r="G54" s="71">
        <f>+SUMIF(CATEGORIAS[[#All],[SUBGRUPO]],A54,CATEGORIAS[[#All],[PRODUCCION
PARTIDAS
ORIGINALES
ACTUAL]])
+SUMIF(CATEGORIAS[[#All],[SUBGRUPO]],A54,CATEGORIAS[[#All],[PRODUCCION
ADICIONALES
ACTUAL]])</f>
        <v>20044383.057165168</v>
      </c>
      <c r="H54" s="71">
        <f>+SUMIF(CATEGORIAS[[#All],[SUBGRUPO]],A54,CATEGORIAS[[#All],[COSTO
ACUMULADO  AX]])
+SUMIF(CATEGORIAS[[#All],[SUBGRUPO]],A54,CATEGORIAS[[#All],[CAMBIO DE
CATEGORIA]])
+SUMIF(CATEGORIAS[[#All],[SUBGRUPO]],A54,CATEGORIAS[[#All],[PROVISIONES]])</f>
        <v>12651493.153153153</v>
      </c>
      <c r="I54" s="71">
        <f t="shared" si="40"/>
        <v>7392889.9040120151</v>
      </c>
      <c r="K54" s="71">
        <f>+SUMIF(CATEGORIAS[[#All],[SUBGRUPO]],A54,CATEGORIAS[[#All],[PRODUCCION
ANTERIOR]])
+SUMIF(CATEGORIAS[[#All],[SUBGRUPO]],A54,CATEGORIAS[[#All],[PRODUCCION
ADICIONALES
ANTERIOR]])</f>
        <v>10676689.817177782</v>
      </c>
      <c r="L54" s="71">
        <f>+SUMIF(CATEGORIAS[[#All],[SUBGRUPO]],A54,CATEGORIAS[[#All],[COSTO ACUMULADO
ANTERIOR]])
+SUMIF(CATEGORIAS[[#All],[SUBGRUPO]],A54,CATEGORIAS[[#All],[CAMBIO DE
CATEGORIA
ANTERIOR]])
+SUMIF(CATEGORIAS[[#All],[SUBGRUPO]],A54,CATEGORIAS[[#All],[PROVISIONES
ANTERIOR]])</f>
        <v>8754733.8918918911</v>
      </c>
      <c r="M54" s="71">
        <f t="shared" ref="M54:M55" si="47">K54-L54</f>
        <v>1921955.9252858907</v>
      </c>
      <c r="O54" s="71">
        <f t="shared" si="43"/>
        <v>9367693.2399873864</v>
      </c>
      <c r="P54" s="71">
        <f t="shared" ref="P54:P55" si="48">H54-L54</f>
        <v>3896759.261261262</v>
      </c>
      <c r="Q54" s="71">
        <f t="shared" ref="Q54:Q55" si="49">I54-M54</f>
        <v>5470933.9787261244</v>
      </c>
      <c r="R54" s="125"/>
      <c r="S54" s="258"/>
    </row>
    <row r="55" spans="1:21" ht="15" customHeight="1" x14ac:dyDescent="0.25">
      <c r="A55" s="14" t="str">
        <f>'Matriz de Produccion'!A56</f>
        <v>0D09</v>
      </c>
      <c r="B55" s="6" t="str">
        <f>VLOOKUP(A55,'Analisis por Categorias'!B:C,2,FALSE)</f>
        <v>Equipos menores</v>
      </c>
      <c r="D55" s="3">
        <f>SUMIF(CATEGORIAS[[#All],[SUBGRUPO]],A55,CATEGORIAS[[#All],[PRESUPUESTO
(ORIGINAL)]])</f>
        <v>24973480.478000004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58822121.568079934</v>
      </c>
      <c r="G55" s="71">
        <f>+SUMIF(CATEGORIAS[[#All],[SUBGRUPO]],A55,CATEGORIAS[[#All],[PRODUCCION
PARTIDAS
ORIGINALES
ACTUAL]])
+SUMIF(CATEGORIAS[[#All],[SUBGRUPO]],A55,CATEGORIAS[[#All],[PRODUCCION
ADICIONALES
ACTUAL]])</f>
        <v>5364210.4581342041</v>
      </c>
      <c r="H55" s="71">
        <f>+SUMIF(CATEGORIAS[[#All],[SUBGRUPO]],A55,CATEGORIAS[[#All],[COSTO
ACUMULADO  AX]])
+SUMIF(CATEGORIAS[[#All],[SUBGRUPO]],A55,CATEGORIAS[[#All],[CAMBIO DE
CATEGORIA]])
+SUMIF(CATEGORIAS[[#All],[SUBGRUPO]],A55,CATEGORIAS[[#All],[PROVISIONES]])</f>
        <v>20460118</v>
      </c>
      <c r="I55" s="71">
        <f t="shared" si="40"/>
        <v>-15095907.541865796</v>
      </c>
      <c r="K55" s="71">
        <f>+SUMIF(CATEGORIAS[[#All],[SUBGRUPO]],A55,CATEGORIAS[[#All],[PRODUCCION
ANTERIOR]])
+SUMIF(CATEGORIAS[[#All],[SUBGRUPO]],A55,CATEGORIAS[[#All],[PRODUCCION
ADICIONALES
ANTERIOR]])</f>
        <v>4286769.172522408</v>
      </c>
      <c r="L55" s="71">
        <f>+SUMIF(CATEGORIAS[[#All],[SUBGRUPO]],A55,CATEGORIAS[[#All],[COSTO ACUMULADO
ANTERIOR]])
+SUMIF(CATEGORIAS[[#All],[SUBGRUPO]],A55,CATEGORIAS[[#All],[CAMBIO DE
CATEGORIA
ANTERIOR]])
+SUMIF(CATEGORIAS[[#All],[SUBGRUPO]],A55,CATEGORIAS[[#All],[PROVISIONES
ANTERIOR]])</f>
        <v>10569715</v>
      </c>
      <c r="M55" s="71">
        <f t="shared" si="47"/>
        <v>-6282945.827477592</v>
      </c>
      <c r="O55" s="71">
        <f t="shared" si="43"/>
        <v>1077441.2856117962</v>
      </c>
      <c r="P55" s="71">
        <f t="shared" si="48"/>
        <v>9890403</v>
      </c>
      <c r="Q55" s="71">
        <f t="shared" si="49"/>
        <v>-8812961.7143882029</v>
      </c>
      <c r="R55" s="125"/>
      <c r="S55" s="258"/>
    </row>
    <row r="56" spans="1:21" ht="15" customHeight="1" x14ac:dyDescent="0.25">
      <c r="A56" s="14" t="str">
        <f>'Matriz de Produccion'!A57</f>
        <v>0D10</v>
      </c>
      <c r="B56" s="6" t="str">
        <f>VLOOKUP(A56,'Analisis por Categorias'!B:C,2,FALSE)</f>
        <v>Cert. De Equipo</v>
      </c>
      <c r="D56" s="3">
        <f>SUMIF(CATEGORIAS[[#All],[SUBGRUPO]],A56,CATEGORIAS[[#All],[PRESUPUESTO
(ORIGINAL)]])</f>
        <v>0</v>
      </c>
      <c r="E56" s="3">
        <f>+SUMIF(CATEGORIAS[[#All],[SUBGRUPO]],A56,CATEGORIAS[[#All],[PRODUCCION
PARTIDAS
ORIGINALES
ACTUAL]])
+SUMIF(CATEGORIAS[[#All],[SUBGRUPO]],A56,CATEGORIAS[[#All],[PRODUCCION
ADICIONALES
ACTUAL]])
+SUMIF(CATEGORIAS[[#All],[SUBGRUPO]],A56,CATEGORIAS[[#All],[PROYECCION
DE INGRESO
DEL SALDO]])</f>
        <v>0</v>
      </c>
      <c r="G56" s="71">
        <f>+SUMIF(CATEGORIAS[[#All],[SUBGRUPO]],A56,CATEGORIAS[[#All],[PRODUCCION
PARTIDAS
ORIGINALES
ACTUAL]])
+SUMIF(CATEGORIAS[[#All],[SUBGRUPO]],A56,CATEGORIAS[[#All],[PRODUCCION
ADICIONALES
ACTUAL]])</f>
        <v>0</v>
      </c>
      <c r="H56" s="71">
        <f>+SUMIF(CATEGORIAS[[#All],[SUBGRUPO]],A56,CATEGORIAS[[#All],[COSTO
ACUMULADO  AX]])
+SUMIF(CATEGORIAS[[#All],[SUBGRUPO]],A56,CATEGORIAS[[#All],[CAMBIO DE
CATEGORIA]])
+SUMIF(CATEGORIAS[[#All],[SUBGRUPO]],A56,CATEGORIAS[[#All],[PROVISIONES]])</f>
        <v>0</v>
      </c>
      <c r="I56" s="71">
        <f t="shared" si="40"/>
        <v>0</v>
      </c>
      <c r="K56" s="71">
        <f>+SUMIF(CATEGORIAS[[#All],[SUBGRUPO]],A56,CATEGORIAS[[#All],[PRODUCCION
ANTERIOR]])
+SUMIF(CATEGORIAS[[#All],[SUBGRUPO]],A56,CATEGORIAS[[#All],[PRODUCCION
ADICIONALES
ANTERIOR]])</f>
        <v>0</v>
      </c>
      <c r="L56" s="71">
        <f>+SUMIF(CATEGORIAS[[#All],[SUBGRUPO]],A56,CATEGORIAS[[#All],[COSTO ACUMULADO
ANTERIOR]])
+SUMIF(CATEGORIAS[[#All],[SUBGRUPO]],A56,CATEGORIAS[[#All],[CAMBIO DE
CATEGORIA
ANTERIOR]])
+SUMIF(CATEGORIAS[[#All],[SUBGRUPO]],A56,CATEGORIAS[[#All],[PROVISIONES
ANTERIOR]])</f>
        <v>0</v>
      </c>
      <c r="M56" s="71">
        <f t="shared" si="44"/>
        <v>0</v>
      </c>
      <c r="O56" s="71">
        <f t="shared" si="43"/>
        <v>0</v>
      </c>
      <c r="P56" s="71">
        <f t="shared" si="45"/>
        <v>0</v>
      </c>
      <c r="Q56" s="71">
        <f t="shared" si="46"/>
        <v>0</v>
      </c>
      <c r="R56" s="125"/>
      <c r="S56" s="258"/>
    </row>
    <row r="57" spans="1:21" ht="8.25" customHeight="1" x14ac:dyDescent="0.25">
      <c r="R57" s="125">
        <f t="shared" ref="R57:R90" si="50">SUM(D57:Q57)</f>
        <v>0</v>
      </c>
    </row>
    <row r="58" spans="1:21" ht="15" customHeight="1" x14ac:dyDescent="0.25">
      <c r="A58" s="14" t="str">
        <f>'Matriz de Produccion'!A59</f>
        <v>0X00</v>
      </c>
      <c r="B58" s="81" t="str">
        <f>'Matriz de Produccion'!B59:B59</f>
        <v>E - SUBCONTRATOS</v>
      </c>
      <c r="D58" s="82">
        <f>SUM(D59:D69)</f>
        <v>104044850.4409</v>
      </c>
      <c r="E58" s="82">
        <f>SUM(E59:E69)</f>
        <v>105214802.86575359</v>
      </c>
      <c r="G58" s="83">
        <f>SUM(G59:G69)</f>
        <v>48494030.323253587</v>
      </c>
      <c r="H58" s="84">
        <f>SUM(H59:H69)</f>
        <v>47669482</v>
      </c>
      <c r="I58" s="87">
        <f>SUM(I59:I69)</f>
        <v>824548.32325358316</v>
      </c>
      <c r="K58" s="83">
        <f>SUM(K59:K69)</f>
        <v>40749356.549753584</v>
      </c>
      <c r="L58" s="84">
        <f>SUM(L59:L69)</f>
        <v>5367206.3603999997</v>
      </c>
      <c r="M58" s="87">
        <f>SUM(M59:M69)</f>
        <v>35382150.189353585</v>
      </c>
      <c r="O58" s="83">
        <f>SUM(O59:O69)</f>
        <v>7744673.7735000011</v>
      </c>
      <c r="P58" s="84">
        <f>SUM(P59:P69)</f>
        <v>42302275.639600001</v>
      </c>
      <c r="Q58" s="87">
        <f>SUM(Q59:Q69)</f>
        <v>-34557601.866099998</v>
      </c>
      <c r="R58" s="125">
        <f t="shared" si="50"/>
        <v>403235774.59966797</v>
      </c>
      <c r="S58" s="256"/>
    </row>
    <row r="59" spans="1:21" ht="19.149999999999999" customHeight="1" x14ac:dyDescent="0.25">
      <c r="A59" s="14" t="str">
        <f>'Matriz de Produccion'!A60</f>
        <v>0X01</v>
      </c>
      <c r="B59" s="6" t="str">
        <f>VLOOKUP(A59,'Analisis por Categorias'!B:C,2,FALSE)</f>
        <v xml:space="preserve">Civil  </v>
      </c>
      <c r="D59" s="3">
        <f>SUMIF(CATEGORIAS[[#All],[SUBGRUPO]],A59,CATEGORIAS[[#All],[PRESUPUESTO
(ORIGINAL)]])</f>
        <v>15225366.156400001</v>
      </c>
      <c r="E59" s="3">
        <f>+SUMIF(CATEGORIAS[[#All],[SUBGRUPO]],A59,CATEGORIAS[[#All],[PRODUCCION
PARTIDAS
ORIGINALES
ACTUAL]])
+SUMIF(CATEGORIAS[[#All],[SUBGRUPO]],A59,CATEGORIAS[[#All],[PRODUCCION
ADICIONALES
ACTUAL]])
+SUMIF(CATEGORIAS[[#All],[SUBGRUPO]],A59,CATEGORIAS[[#All],[PROYECCION
DE INGRESO
DEL SALDO]])</f>
        <v>15225366.156399999</v>
      </c>
      <c r="G59" s="71">
        <f>+SUMIF(CATEGORIAS[[#All],[SUBGRUPO]],A59,CATEGORIAS[[#All],[PRODUCCION
PARTIDAS
ORIGINALES
ACTUAL]])
+SUMIF(CATEGORIAS[[#All],[SUBGRUPO]],A59,CATEGORIAS[[#All],[PRODUCCION
ADICIONALES
ACTUAL]])</f>
        <v>15221265.612399999</v>
      </c>
      <c r="H59" s="71">
        <f>+SUMIF(CATEGORIAS[[#All],[SUBGRUPO]],A59,CATEGORIAS[[#All],[COSTO
ACUMULADO  AX]])
+SUMIF(CATEGORIAS[[#All],[SUBGRUPO]],A59,CATEGORIAS[[#All],[CAMBIO DE
CATEGORIA]])
+SUMIF(CATEGORIAS[[#All],[SUBGRUPO]],A59,CATEGORIAS[[#All],[PROVISIONES]])</f>
        <v>1974682</v>
      </c>
      <c r="I59" s="71">
        <f t="shared" ref="I59:I69" si="51">G59-H59</f>
        <v>13246583.612399999</v>
      </c>
      <c r="K59" s="71">
        <f>+SUMIF(CATEGORIAS[[#All],[SUBGRUPO]],A59,CATEGORIAS[[#All],[PRODUCCION
ANTERIOR]])
+SUMIF(CATEGORIAS[[#All],[SUBGRUPO]],A59,CATEGORIAS[[#All],[PRODUCCION
ADICIONALES
ANTERIOR]])</f>
        <v>15219768.588400001</v>
      </c>
      <c r="L59" s="71">
        <f>+SUMIF(CATEGORIAS[[#All],[SUBGRUPO]],A59,CATEGORIAS[[#All],[COSTO ACUMULADO
ANTERIOR]])
+SUMIF(CATEGORIAS[[#All],[SUBGRUPO]],A59,CATEGORIAS[[#All],[CAMBIO DE
CATEGORIA
ANTERIOR]])
+SUMIF(CATEGORIAS[[#All],[SUBGRUPO]],A59,CATEGORIAS[[#All],[PROVISIONES
ANTERIOR]])</f>
        <v>4671906.3603999997</v>
      </c>
      <c r="M59" s="71">
        <f t="shared" ref="M59:M69" si="52">K59-L59</f>
        <v>10547862.228</v>
      </c>
      <c r="O59" s="71">
        <f t="shared" ref="O59:O69" si="53">G59-K59</f>
        <v>1497.023999998346</v>
      </c>
      <c r="P59" s="71">
        <f t="shared" ref="P59:Q69" si="54">H59-L59</f>
        <v>-2697224.3603999997</v>
      </c>
      <c r="Q59" s="71">
        <f t="shared" si="54"/>
        <v>2698721.3843999989</v>
      </c>
      <c r="R59" s="125">
        <f t="shared" si="50"/>
        <v>91335794.762400001</v>
      </c>
    </row>
    <row r="60" spans="1:21" ht="15" customHeight="1" x14ac:dyDescent="0.25">
      <c r="A60" s="14" t="str">
        <f>'Matriz de Produccion'!A61</f>
        <v>0X02</v>
      </c>
      <c r="B60" s="6" t="str">
        <f>VLOOKUP(A60,'Analisis por Categorias'!B:C,2,FALSE)</f>
        <v xml:space="preserve">Mecánica </v>
      </c>
      <c r="D60" s="3">
        <f>SUMIF(CATEGORIAS[[#All],[SUBGRUPO]],A60,CATEGORIAS[[#All],[PRESUPUESTO
(ORIGINAL)]])</f>
        <v>0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0</v>
      </c>
      <c r="G60" s="71">
        <f>+SUMIF(CATEGORIAS[[#All],[SUBGRUPO]],A60,CATEGORIAS[[#All],[PRODUCCION
PARTIDAS
ORIGINALES
ACTUAL]])
+SUMIF(CATEGORIAS[[#All],[SUBGRUPO]],A60,CATEGORIAS[[#All],[PRODUCCION
ADICIONALES
ACTUAL]])</f>
        <v>0</v>
      </c>
      <c r="H60" s="71">
        <f>+SUMIF(CATEGORIAS[[#All],[SUBGRUPO]],A60,CATEGORIAS[[#All],[COSTO
ACUMULADO  AX]])
+SUMIF(CATEGORIAS[[#All],[SUBGRUPO]],A60,CATEGORIAS[[#All],[CAMBIO DE
CATEGORIA]])
+SUMIF(CATEGORIAS[[#All],[SUBGRUPO]],A60,CATEGORIAS[[#All],[PROVISIONES]])</f>
        <v>0</v>
      </c>
      <c r="I60" s="71">
        <f t="shared" si="51"/>
        <v>0</v>
      </c>
      <c r="K60" s="71">
        <f>+SUMIF(CATEGORIAS[[#All],[SUBGRUPO]],A60,CATEGORIAS[[#All],[PRODUCCION
ANTERIOR]])
+SUMIF(CATEGORIAS[[#All],[SUBGRUPO]],A60,CATEGORIAS[[#All],[PRODUCCION
ADICIONALES
ANTERIOR]])</f>
        <v>0</v>
      </c>
      <c r="L60" s="71">
        <f>+SUMIF(CATEGORIAS[[#All],[SUBGRUPO]],A60,CATEGORIAS[[#All],[COSTO ACUMULADO
ANTERIOR]])
+SUMIF(CATEGORIAS[[#All],[SUBGRUPO]],A60,CATEGORIAS[[#All],[CAMBIO DE
CATEGORIA
ANTERIOR]])
+SUMIF(CATEGORIAS[[#All],[SUBGRUPO]],A60,CATEGORIAS[[#All],[PROVISIONES
ANTERIOR]])</f>
        <v>0</v>
      </c>
      <c r="M60" s="71">
        <f t="shared" si="52"/>
        <v>0</v>
      </c>
      <c r="O60" s="71">
        <f t="shared" si="53"/>
        <v>0</v>
      </c>
      <c r="P60" s="71">
        <f t="shared" si="54"/>
        <v>0</v>
      </c>
      <c r="Q60" s="71">
        <f t="shared" si="54"/>
        <v>0</v>
      </c>
      <c r="R60" s="125">
        <f t="shared" si="50"/>
        <v>0</v>
      </c>
    </row>
    <row r="61" spans="1:21" ht="15" customHeight="1" x14ac:dyDescent="0.25">
      <c r="A61" s="14" t="str">
        <f>'Matriz de Produccion'!A62</f>
        <v>0X03</v>
      </c>
      <c r="B61" s="6" t="str">
        <f>VLOOKUP(A61,'Analisis por Categorias'!B:C,2,FALSE)</f>
        <v xml:space="preserve">Cañería </v>
      </c>
      <c r="D61" s="3">
        <f>SUMIF(CATEGORIAS[[#All],[SUBGRUPO]],A61,CATEGORIAS[[#All],[PRESUPUESTO
(ORIGINAL)]])</f>
        <v>67096254.284500003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68266206.709353596</v>
      </c>
      <c r="G61" s="71">
        <f>+SUMIF(CATEGORIAS[[#All],[SUBGRUPO]],A61,CATEGORIAS[[#All],[PRODUCCION
PARTIDAS
ORIGINALES
ACTUAL]])
+SUMIF(CATEGORIAS[[#All],[SUBGRUPO]],A61,CATEGORIAS[[#All],[PRODUCCION
ADICIONALES
ACTUAL]])</f>
        <v>32879844.710853584</v>
      </c>
      <c r="H61" s="71">
        <f>+SUMIF(CATEGORIAS[[#All],[SUBGRUPO]],A61,CATEGORIAS[[#All],[COSTO
ACUMULADO  AX]])
+SUMIF(CATEGORIAS[[#All],[SUBGRUPO]],A61,CATEGORIAS[[#All],[CAMBIO DE
CATEGORIA]])
+SUMIF(CATEGORIAS[[#All],[SUBGRUPO]],A61,CATEGORIAS[[#All],[PROVISIONES]])</f>
        <v>45694800</v>
      </c>
      <c r="I61" s="71">
        <f t="shared" si="51"/>
        <v>-12814955.289146416</v>
      </c>
      <c r="K61" s="71">
        <f>+SUMIF(CATEGORIAS[[#All],[SUBGRUPO]],A61,CATEGORIAS[[#All],[PRODUCCION
ANTERIOR]])
+SUMIF(CATEGORIAS[[#All],[SUBGRUPO]],A61,CATEGORIAS[[#All],[PRODUCCION
ADICIONALES
ANTERIOR]])</f>
        <v>25529587.961353581</v>
      </c>
      <c r="L61" s="71">
        <f>+SUMIF(CATEGORIAS[[#All],[SUBGRUPO]],A61,CATEGORIAS[[#All],[COSTO ACUMULADO
ANTERIOR]])
+SUMIF(CATEGORIAS[[#All],[SUBGRUPO]],A61,CATEGORIAS[[#All],[CAMBIO DE
CATEGORIA
ANTERIOR]])
+SUMIF(CATEGORIAS[[#All],[SUBGRUPO]],A61,CATEGORIAS[[#All],[PROVISIONES
ANTERIOR]])</f>
        <v>695300</v>
      </c>
      <c r="M61" s="71">
        <f t="shared" si="52"/>
        <v>24834287.961353581</v>
      </c>
      <c r="O61" s="71">
        <f t="shared" si="53"/>
        <v>7350256.7495000027</v>
      </c>
      <c r="P61" s="71">
        <f t="shared" si="54"/>
        <v>44999500</v>
      </c>
      <c r="Q61" s="71">
        <f t="shared" si="54"/>
        <v>-37649243.250499994</v>
      </c>
      <c r="R61" s="125">
        <f t="shared" si="50"/>
        <v>266881839.83726791</v>
      </c>
    </row>
    <row r="62" spans="1:21" ht="15" customHeight="1" x14ac:dyDescent="0.25">
      <c r="A62" s="14" t="str">
        <f>'Matriz de Produccion'!A63</f>
        <v>0X04</v>
      </c>
      <c r="B62" s="6" t="str">
        <f>VLOOKUP(A62,'Analisis por Categorias'!B:C,2,FALSE)</f>
        <v xml:space="preserve">Estructura </v>
      </c>
      <c r="D62" s="3">
        <f>SUMIF(CATEGORIAS[[#All],[SUBGRUPO]],A62,CATEGORIAS[[#All],[PRESUPUESTO
(ORIGINAL)]])</f>
        <v>0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0</v>
      </c>
      <c r="G62" s="71">
        <f>+SUMIF(CATEGORIAS[[#All],[SUBGRUPO]],A62,CATEGORIAS[[#All],[PRODUCCION
PARTIDAS
ORIGINALES
ACTUAL]])
+SUMIF(CATEGORIAS[[#All],[SUBGRUPO]],A62,CATEGORIAS[[#All],[PRODUCCION
ADICIONALES
ACTUAL]])</f>
        <v>0</v>
      </c>
      <c r="H62" s="71">
        <f>+SUMIF(CATEGORIAS[[#All],[SUBGRUPO]],A62,CATEGORIAS[[#All],[COSTO
ACUMULADO  AX]])
+SUMIF(CATEGORIAS[[#All],[SUBGRUPO]],A62,CATEGORIAS[[#All],[CAMBIO DE
CATEGORIA]])
+SUMIF(CATEGORIAS[[#All],[SUBGRUPO]],A62,CATEGORIAS[[#All],[PROVISIONES]])</f>
        <v>0</v>
      </c>
      <c r="I62" s="71">
        <f t="shared" si="51"/>
        <v>0</v>
      </c>
      <c r="K62" s="71">
        <f>+SUMIF(CATEGORIAS[[#All],[SUBGRUPO]],A62,CATEGORIAS[[#All],[PRODUCCION
ANTERIOR]])
+SUMIF(CATEGORIAS[[#All],[SUBGRUPO]],A62,CATEGORIAS[[#All],[PRODUCCION
ADICIONALES
ANTERIOR]])</f>
        <v>0</v>
      </c>
      <c r="L62" s="71">
        <f>+SUMIF(CATEGORIAS[[#All],[SUBGRUPO]],A62,CATEGORIAS[[#All],[COSTO ACUMULADO
ANTERIOR]])
+SUMIF(CATEGORIAS[[#All],[SUBGRUPO]],A62,CATEGORIAS[[#All],[CAMBIO DE
CATEGORIA
ANTERIOR]])
+SUMIF(CATEGORIAS[[#All],[SUBGRUPO]],A62,CATEGORIAS[[#All],[PROVISIONES
ANTERIOR]])</f>
        <v>0</v>
      </c>
      <c r="M62" s="71">
        <f t="shared" si="52"/>
        <v>0</v>
      </c>
      <c r="O62" s="71">
        <f t="shared" si="53"/>
        <v>0</v>
      </c>
      <c r="P62" s="71">
        <f t="shared" si="54"/>
        <v>0</v>
      </c>
      <c r="Q62" s="71">
        <f t="shared" si="54"/>
        <v>0</v>
      </c>
      <c r="R62" s="125">
        <f t="shared" si="50"/>
        <v>0</v>
      </c>
      <c r="U62" s="248"/>
    </row>
    <row r="63" spans="1:21" ht="15" customHeight="1" x14ac:dyDescent="0.25">
      <c r="A63" s="14" t="str">
        <f>'Matriz de Produccion'!A64</f>
        <v>0X05</v>
      </c>
      <c r="B63" s="6" t="str">
        <f>VLOOKUP(A63,'Analisis por Categorias'!B:C,2,FALSE)</f>
        <v xml:space="preserve">Aislación </v>
      </c>
      <c r="D63" s="3">
        <f>SUMIF(CATEGORIAS[[#All],[SUBGRUPO]],A63,CATEGORIAS[[#All],[PRESUPUESTO
(ORIGINAL)]])</f>
        <v>0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0</v>
      </c>
      <c r="G63" s="71">
        <f>+SUMIF(CATEGORIAS[[#All],[SUBGRUPO]],A63,CATEGORIAS[[#All],[PRODUCCION
PARTIDAS
ORIGINALES
ACTUAL]])
+SUMIF(CATEGORIAS[[#All],[SUBGRUPO]],A63,CATEGORIAS[[#All],[PRODUCCION
ADICIONALES
ACTUAL]])</f>
        <v>0</v>
      </c>
      <c r="H63" s="71">
        <f>+SUMIF(CATEGORIAS[[#All],[SUBGRUPO]],A63,CATEGORIAS[[#All],[COSTO
ACUMULADO  AX]])
+SUMIF(CATEGORIAS[[#All],[SUBGRUPO]],A63,CATEGORIAS[[#All],[CAMBIO DE
CATEGORIA]])
+SUMIF(CATEGORIAS[[#All],[SUBGRUPO]],A63,CATEGORIAS[[#All],[PROVISIONES]])</f>
        <v>0</v>
      </c>
      <c r="I63" s="71">
        <f t="shared" si="51"/>
        <v>0</v>
      </c>
      <c r="K63" s="71">
        <f>+SUMIF(CATEGORIAS[[#All],[SUBGRUPO]],A63,CATEGORIAS[[#All],[PRODUCCION
ANTERIOR]])
+SUMIF(CATEGORIAS[[#All],[SUBGRUPO]],A63,CATEGORIAS[[#All],[PRODUCCION
ADICIONALES
ANTERIOR]])</f>
        <v>0</v>
      </c>
      <c r="L63" s="71">
        <f>+SUMIF(CATEGORIAS[[#All],[SUBGRUPO]],A63,CATEGORIAS[[#All],[COSTO ACUMULADO
ANTERIOR]])
+SUMIF(CATEGORIAS[[#All],[SUBGRUPO]],A63,CATEGORIAS[[#All],[CAMBIO DE
CATEGORIA
ANTERIOR]])
+SUMIF(CATEGORIAS[[#All],[SUBGRUPO]],A63,CATEGORIAS[[#All],[PROVISIONES
ANTERIOR]])</f>
        <v>0</v>
      </c>
      <c r="M63" s="71">
        <f t="shared" si="52"/>
        <v>0</v>
      </c>
      <c r="O63" s="71">
        <f t="shared" si="53"/>
        <v>0</v>
      </c>
      <c r="P63" s="71">
        <f t="shared" si="54"/>
        <v>0</v>
      </c>
      <c r="Q63" s="71">
        <f t="shared" si="54"/>
        <v>0</v>
      </c>
      <c r="R63" s="125">
        <f t="shared" si="50"/>
        <v>0</v>
      </c>
    </row>
    <row r="64" spans="1:21" ht="15" customHeight="1" x14ac:dyDescent="0.25">
      <c r="A64" s="14" t="str">
        <f>'Matriz de Produccion'!A65</f>
        <v>0X06</v>
      </c>
      <c r="B64" s="6" t="str">
        <f>VLOOKUP(A64,'Analisis por Categorias'!B:C,2,FALSE)</f>
        <v>Electricidad &amp; Instrumentación</v>
      </c>
      <c r="D64" s="3">
        <f>SUMIF(CATEGORIAS[[#All],[SUBGRUPO]],A64,CATEGORIAS[[#All],[PRESUPUESTO
(ORIGINAL)]])</f>
        <v>15451230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15451230</v>
      </c>
      <c r="G64" s="71">
        <f>+SUMIF(CATEGORIAS[[#All],[SUBGRUPO]],A64,CATEGORIAS[[#All],[PRODUCCION
PARTIDAS
ORIGINALES
ACTUAL]])
+SUMIF(CATEGORIAS[[#All],[SUBGRUPO]],A64,CATEGORIAS[[#All],[PRODUCCION
ADICIONALES
ACTUAL]])</f>
        <v>392920</v>
      </c>
      <c r="H64" s="71">
        <f>+SUMIF(CATEGORIAS[[#All],[SUBGRUPO]],A64,CATEGORIAS[[#All],[COSTO
ACUMULADO  AX]])
+SUMIF(CATEGORIAS[[#All],[SUBGRUPO]],A64,CATEGORIAS[[#All],[CAMBIO DE
CATEGORIA]])
+SUMIF(CATEGORIAS[[#All],[SUBGRUPO]],A64,CATEGORIAS[[#All],[PROVISIONES]])</f>
        <v>0</v>
      </c>
      <c r="I64" s="71">
        <f t="shared" si="51"/>
        <v>392920</v>
      </c>
      <c r="K64" s="71">
        <f>+SUMIF(CATEGORIAS[[#All],[SUBGRUPO]],A64,CATEGORIAS[[#All],[PRODUCCION
ANTERIOR]])
+SUMIF(CATEGORIAS[[#All],[SUBGRUPO]],A64,CATEGORIAS[[#All],[PRODUCCION
ADICIONALES
ANTERIOR]])</f>
        <v>0</v>
      </c>
      <c r="L64" s="71">
        <f>+SUMIF(CATEGORIAS[[#All],[SUBGRUPO]],A64,CATEGORIAS[[#All],[COSTO ACUMULADO
ANTERIOR]])
+SUMIF(CATEGORIAS[[#All],[SUBGRUPO]],A64,CATEGORIAS[[#All],[CAMBIO DE
CATEGORIA
ANTERIOR]])
+SUMIF(CATEGORIAS[[#All],[SUBGRUPO]],A64,CATEGORIAS[[#All],[PROVISIONES
ANTERIOR]])</f>
        <v>0</v>
      </c>
      <c r="M64" s="71">
        <f t="shared" ref="M64:M68" si="55">K64-L64</f>
        <v>0</v>
      </c>
      <c r="O64" s="71">
        <f t="shared" si="53"/>
        <v>392920</v>
      </c>
      <c r="P64" s="71">
        <f t="shared" ref="P64:P68" si="56">H64-L64</f>
        <v>0</v>
      </c>
      <c r="Q64" s="71">
        <f t="shared" ref="Q64:Q68" si="57">I64-M64</f>
        <v>392920</v>
      </c>
      <c r="R64" s="125">
        <f t="shared" si="50"/>
        <v>32474140</v>
      </c>
    </row>
    <row r="65" spans="1:22" ht="15" customHeight="1" x14ac:dyDescent="0.25">
      <c r="A65" s="14" t="str">
        <f>'Matriz de Produccion'!A66</f>
        <v>0X07</v>
      </c>
      <c r="B65" s="6" t="str">
        <f>VLOOKUP(A65,'Analisis por Categorias'!B:C,2,FALSE)</f>
        <v xml:space="preserve">Caldera </v>
      </c>
      <c r="D65" s="3">
        <f>SUMIF(CATEGORIAS[[#All],[SUBGRUPO]],A65,CATEGORIAS[[#All],[PRESUPUESTO
(ORIGINAL)]])</f>
        <v>0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0</v>
      </c>
      <c r="G65" s="71">
        <f>+SUMIF(CATEGORIAS[[#All],[SUBGRUPO]],A65,CATEGORIAS[[#All],[PRODUCCION
PARTIDAS
ORIGINALES
ACTUAL]])
+SUMIF(CATEGORIAS[[#All],[SUBGRUPO]],A65,CATEGORIAS[[#All],[PRODUCCION
ADICIONALES
ACTUAL]])</f>
        <v>0</v>
      </c>
      <c r="H65" s="71">
        <f>+SUMIF(CATEGORIAS[[#All],[SUBGRUPO]],A65,CATEGORIAS[[#All],[COSTO
ACUMULADO  AX]])
+SUMIF(CATEGORIAS[[#All],[SUBGRUPO]],A65,CATEGORIAS[[#All],[CAMBIO DE
CATEGORIA]])
+SUMIF(CATEGORIAS[[#All],[SUBGRUPO]],A65,CATEGORIAS[[#All],[PROVISIONES]])</f>
        <v>0</v>
      </c>
      <c r="I65" s="71">
        <f t="shared" si="51"/>
        <v>0</v>
      </c>
      <c r="K65" s="71">
        <f>+SUMIF(CATEGORIAS[[#All],[SUBGRUPO]],A65,CATEGORIAS[[#All],[PRODUCCION
ANTERIOR]])
+SUMIF(CATEGORIAS[[#All],[SUBGRUPO]],A65,CATEGORIAS[[#All],[PRODUCCION
ADICIONALES
ANTERIOR]])</f>
        <v>0</v>
      </c>
      <c r="L65" s="71">
        <f>+SUMIF(CATEGORIAS[[#All],[SUBGRUPO]],A65,CATEGORIAS[[#All],[COSTO ACUMULADO
ANTERIOR]])
+SUMIF(CATEGORIAS[[#All],[SUBGRUPO]],A65,CATEGORIAS[[#All],[CAMBIO DE
CATEGORIA
ANTERIOR]])
+SUMIF(CATEGORIAS[[#All],[SUBGRUPO]],A65,CATEGORIAS[[#All],[PROVISIONES
ANTERIOR]])</f>
        <v>0</v>
      </c>
      <c r="M65" s="71">
        <f t="shared" si="55"/>
        <v>0</v>
      </c>
      <c r="O65" s="71">
        <f t="shared" si="53"/>
        <v>0</v>
      </c>
      <c r="P65" s="71">
        <f t="shared" si="56"/>
        <v>0</v>
      </c>
      <c r="Q65" s="71">
        <f t="shared" si="57"/>
        <v>0</v>
      </c>
      <c r="R65" s="125">
        <f t="shared" si="50"/>
        <v>0</v>
      </c>
    </row>
    <row r="66" spans="1:22" ht="15" customHeight="1" x14ac:dyDescent="0.25">
      <c r="A66" s="14" t="str">
        <f>'Matriz de Produccion'!A67</f>
        <v>0X08</v>
      </c>
      <c r="B66" s="6" t="str">
        <f>VLOOKUP(A66,'Analisis por Categorias'!B:C,2,FALSE)</f>
        <v xml:space="preserve">Ductos </v>
      </c>
      <c r="D66" s="3">
        <f>SUMIF(CATEGORIAS[[#All],[SUBGRUPO]],A66,CATEGORIAS[[#All],[PRESUPUESTO
(ORIGINAL)]])</f>
        <v>0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0</v>
      </c>
      <c r="G66" s="71">
        <f>+SUMIF(CATEGORIAS[[#All],[SUBGRUPO]],A66,CATEGORIAS[[#All],[PRODUCCION
PARTIDAS
ORIGINALES
ACTUAL]])
+SUMIF(CATEGORIAS[[#All],[SUBGRUPO]],A66,CATEGORIAS[[#All],[PRODUCCION
ADICIONALES
ACTUAL]])</f>
        <v>0</v>
      </c>
      <c r="H66" s="71">
        <f>+SUMIF(CATEGORIAS[[#All],[SUBGRUPO]],A66,CATEGORIAS[[#All],[COSTO
ACUMULADO  AX]])
+SUMIF(CATEGORIAS[[#All],[SUBGRUPO]],A66,CATEGORIAS[[#All],[CAMBIO DE
CATEGORIA]])
+SUMIF(CATEGORIAS[[#All],[SUBGRUPO]],A66,CATEGORIAS[[#All],[PROVISIONES]])</f>
        <v>0</v>
      </c>
      <c r="I66" s="71">
        <f t="shared" si="51"/>
        <v>0</v>
      </c>
      <c r="K66" s="71">
        <f>+SUMIF(CATEGORIAS[[#All],[SUBGRUPO]],A66,CATEGORIAS[[#All],[PRODUCCION
ANTERIOR]])
+SUMIF(CATEGORIAS[[#All],[SUBGRUPO]],A66,CATEGORIAS[[#All],[PRODUCCION
ADICIONALES
ANTERIOR]])</f>
        <v>0</v>
      </c>
      <c r="L66" s="71">
        <f>+SUMIF(CATEGORIAS[[#All],[SUBGRUPO]],A66,CATEGORIAS[[#All],[COSTO ACUMULADO
ANTERIOR]])
+SUMIF(CATEGORIAS[[#All],[SUBGRUPO]],A66,CATEGORIAS[[#All],[CAMBIO DE
CATEGORIA
ANTERIOR]])
+SUMIF(CATEGORIAS[[#All],[SUBGRUPO]],A66,CATEGORIAS[[#All],[PROVISIONES
ANTERIOR]])</f>
        <v>0</v>
      </c>
      <c r="M66" s="71">
        <f t="shared" si="55"/>
        <v>0</v>
      </c>
      <c r="O66" s="71">
        <f t="shared" si="53"/>
        <v>0</v>
      </c>
      <c r="P66" s="71">
        <f t="shared" si="56"/>
        <v>0</v>
      </c>
      <c r="Q66" s="71">
        <f t="shared" si="57"/>
        <v>0</v>
      </c>
      <c r="R66" s="125">
        <f t="shared" si="50"/>
        <v>0</v>
      </c>
    </row>
    <row r="67" spans="1:22" ht="15" customHeight="1" x14ac:dyDescent="0.25">
      <c r="A67" s="14" t="str">
        <f>'Matriz de Produccion'!A68</f>
        <v>0X09</v>
      </c>
      <c r="B67" s="6" t="str">
        <f>VLOOKUP(A67,'Analisis por Categorias'!B:C,2,FALSE)</f>
        <v xml:space="preserve">Estanque </v>
      </c>
      <c r="D67" s="3">
        <f>SUMIF(CATEGORIAS[[#All],[SUBGRUPO]],A67,CATEGORIAS[[#All],[PRESUPUESTO
(ORIGINAL)]])</f>
        <v>0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0</v>
      </c>
      <c r="G67" s="71">
        <f>+SUMIF(CATEGORIAS[[#All],[SUBGRUPO]],A67,CATEGORIAS[[#All],[PRODUCCION
PARTIDAS
ORIGINALES
ACTUAL]])
+SUMIF(CATEGORIAS[[#All],[SUBGRUPO]],A67,CATEGORIAS[[#All],[PRODUCCION
ADICIONALES
ACTUAL]])</f>
        <v>0</v>
      </c>
      <c r="H67" s="71">
        <f>+SUMIF(CATEGORIAS[[#All],[SUBGRUPO]],A67,CATEGORIAS[[#All],[COSTO
ACUMULADO  AX]])
+SUMIF(CATEGORIAS[[#All],[SUBGRUPO]],A67,CATEGORIAS[[#All],[CAMBIO DE
CATEGORIA]])
+SUMIF(CATEGORIAS[[#All],[SUBGRUPO]],A67,CATEGORIAS[[#All],[PROVISIONES]])</f>
        <v>0</v>
      </c>
      <c r="I67" s="71">
        <f t="shared" si="51"/>
        <v>0</v>
      </c>
      <c r="K67" s="71">
        <f>+SUMIF(CATEGORIAS[[#All],[SUBGRUPO]],A67,CATEGORIAS[[#All],[PRODUCCION
ANTERIOR]])
+SUMIF(CATEGORIAS[[#All],[SUBGRUPO]],A67,CATEGORIAS[[#All],[PRODUCCION
ADICIONALES
ANTERIOR]])</f>
        <v>0</v>
      </c>
      <c r="L67" s="71">
        <f>+SUMIF(CATEGORIAS[[#All],[SUBGRUPO]],A67,CATEGORIAS[[#All],[COSTO ACUMULADO
ANTERIOR]])
+SUMIF(CATEGORIAS[[#All],[SUBGRUPO]],A67,CATEGORIAS[[#All],[CAMBIO DE
CATEGORIA
ANTERIOR]])
+SUMIF(CATEGORIAS[[#All],[SUBGRUPO]],A67,CATEGORIAS[[#All],[PROVISIONES
ANTERIOR]])</f>
        <v>0</v>
      </c>
      <c r="M67" s="71">
        <f t="shared" si="55"/>
        <v>0</v>
      </c>
      <c r="O67" s="71">
        <f t="shared" si="53"/>
        <v>0</v>
      </c>
      <c r="P67" s="71">
        <f t="shared" si="56"/>
        <v>0</v>
      </c>
      <c r="Q67" s="71">
        <f t="shared" si="57"/>
        <v>0</v>
      </c>
      <c r="R67" s="125">
        <f t="shared" si="50"/>
        <v>0</v>
      </c>
    </row>
    <row r="68" spans="1:22" ht="15" customHeight="1" x14ac:dyDescent="0.25">
      <c r="A68" s="14" t="str">
        <f>'Matriz de Produccion'!A69</f>
        <v>0X10</v>
      </c>
      <c r="B68" s="6" t="str">
        <f>VLOOKUP(A68,'Analisis por Categorias'!B:C,2,FALSE)</f>
        <v xml:space="preserve">Ingeniería </v>
      </c>
      <c r="D68" s="3">
        <f>SUMIF(CATEGORIAS[[#All],[SUBGRUPO]],A68,CATEGORIAS[[#All],[PRESUPUESTO
(ORIGINAL)]])</f>
        <v>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0</v>
      </c>
      <c r="G68" s="71">
        <f>+SUMIF(CATEGORIAS[[#All],[SUBGRUPO]],A68,CATEGORIAS[[#All],[PRODUCCION
PARTIDAS
ORIGINALES
ACTUAL]])
+SUMIF(CATEGORIAS[[#All],[SUBGRUPO]],A68,CATEGORIAS[[#All],[PRODUCCION
ADICIONALES
ACTUAL]])</f>
        <v>0</v>
      </c>
      <c r="H68" s="71">
        <f>+SUMIF(CATEGORIAS[[#All],[SUBGRUPO]],A68,CATEGORIAS[[#All],[COSTO
ACUMULADO  AX]])
+SUMIF(CATEGORIAS[[#All],[SUBGRUPO]],A68,CATEGORIAS[[#All],[CAMBIO DE
CATEGORIA]])
+SUMIF(CATEGORIAS[[#All],[SUBGRUPO]],A68,CATEGORIAS[[#All],[PROVISIONES]])</f>
        <v>0</v>
      </c>
      <c r="I68" s="71">
        <f t="shared" si="51"/>
        <v>0</v>
      </c>
      <c r="K68" s="71">
        <f>+SUMIF(CATEGORIAS[[#All],[SUBGRUPO]],A68,CATEGORIAS[[#All],[PRODUCCION
ANTERIOR]])
+SUMIF(CATEGORIAS[[#All],[SUBGRUPO]],A68,CATEGORIAS[[#All],[PRODUCCION
ADICIONALES
ANTERIOR]])</f>
        <v>0</v>
      </c>
      <c r="L68" s="71">
        <f>+SUMIF(CATEGORIAS[[#All],[SUBGRUPO]],A68,CATEGORIAS[[#All],[COSTO ACUMULADO
ANTERIOR]])
+SUMIF(CATEGORIAS[[#All],[SUBGRUPO]],A68,CATEGORIAS[[#All],[CAMBIO DE
CATEGORIA
ANTERIOR]])
+SUMIF(CATEGORIAS[[#All],[SUBGRUPO]],A68,CATEGORIAS[[#All],[PROVISIONES
ANTERIOR]])</f>
        <v>0</v>
      </c>
      <c r="M68" s="71">
        <f t="shared" si="55"/>
        <v>0</v>
      </c>
      <c r="O68" s="71">
        <f t="shared" si="53"/>
        <v>0</v>
      </c>
      <c r="P68" s="71">
        <f t="shared" si="56"/>
        <v>0</v>
      </c>
      <c r="Q68" s="71">
        <f t="shared" si="57"/>
        <v>0</v>
      </c>
      <c r="R68" s="125">
        <f t="shared" si="50"/>
        <v>0</v>
      </c>
    </row>
    <row r="69" spans="1:22" x14ac:dyDescent="0.25">
      <c r="A69" s="14" t="str">
        <f>'Matriz de Produccion'!A70</f>
        <v>0X11</v>
      </c>
      <c r="B69" s="6" t="str">
        <f>VLOOKUP(A69,'Analisis por Categorias'!B:C,2,FALSE)</f>
        <v xml:space="preserve">Otras especialidades </v>
      </c>
      <c r="D69" s="3">
        <f>SUMIF(CATEGORIAS[[#All],[SUBGRUPO]],A69,CATEGORIAS[[#All],[PRESUPUESTO
(ORIGINAL)]])</f>
        <v>6272000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6272000</v>
      </c>
      <c r="G69" s="71">
        <f>+SUMIF(CATEGORIAS[[#All],[SUBGRUPO]],A69,CATEGORIAS[[#All],[PRODUCCION
PARTIDAS
ORIGINALES
ACTUAL]])
+SUMIF(CATEGORIAS[[#All],[SUBGRUPO]],A69,CATEGORIAS[[#All],[PRODUCCION
ADICIONALES
ACTUAL]])</f>
        <v>0</v>
      </c>
      <c r="H69" s="71">
        <f>+SUMIF(CATEGORIAS[[#All],[SUBGRUPO]],A69,CATEGORIAS[[#All],[COSTO
ACUMULADO  AX]])
+SUMIF(CATEGORIAS[[#All],[SUBGRUPO]],A69,CATEGORIAS[[#All],[CAMBIO DE
CATEGORIA]])
+SUMIF(CATEGORIAS[[#All],[SUBGRUPO]],A69,CATEGORIAS[[#All],[PROVISIONES]])</f>
        <v>0</v>
      </c>
      <c r="I69" s="71">
        <f t="shared" si="51"/>
        <v>0</v>
      </c>
      <c r="K69" s="71">
        <f>+SUMIF(CATEGORIAS[[#All],[SUBGRUPO]],A69,CATEGORIAS[[#All],[PRODUCCION
ANTERIOR]])
+SUMIF(CATEGORIAS[[#All],[SUBGRUPO]],A69,CATEGORIAS[[#All],[PRODUCCION
ADICIONALES
ANTERIOR]])</f>
        <v>0</v>
      </c>
      <c r="L69" s="71">
        <f>+SUMIF(CATEGORIAS[[#All],[SUBGRUPO]],A69,CATEGORIAS[[#All],[COSTO ACUMULADO
ANTERIOR]])
+SUMIF(CATEGORIAS[[#All],[SUBGRUPO]],A69,CATEGORIAS[[#All],[CAMBIO DE
CATEGORIA
ANTERIOR]])
+SUMIF(CATEGORIAS[[#All],[SUBGRUPO]],A69,CATEGORIAS[[#All],[PROVISIONES
ANTERIOR]])</f>
        <v>0</v>
      </c>
      <c r="M69" s="71">
        <f t="shared" si="52"/>
        <v>0</v>
      </c>
      <c r="O69" s="71">
        <f t="shared" si="53"/>
        <v>0</v>
      </c>
      <c r="P69" s="71">
        <f t="shared" si="54"/>
        <v>0</v>
      </c>
      <c r="Q69" s="71">
        <f t="shared" si="54"/>
        <v>0</v>
      </c>
      <c r="R69" s="125">
        <f t="shared" si="50"/>
        <v>12544000</v>
      </c>
      <c r="U69" s="231"/>
    </row>
    <row r="70" spans="1:22" ht="8.25" customHeight="1" x14ac:dyDescent="0.25">
      <c r="R70" s="125">
        <f t="shared" si="50"/>
        <v>0</v>
      </c>
    </row>
    <row r="71" spans="1:22" ht="15" customHeight="1" x14ac:dyDescent="0.25">
      <c r="B71" s="8" t="str">
        <f>'Matriz de Produccion'!B72:B72</f>
        <v>COSTOS INDIRECTOS</v>
      </c>
      <c r="D71" s="1">
        <f>SUM(D137:D142)</f>
        <v>2308544040.0047116</v>
      </c>
      <c r="E71" s="1">
        <f>SUM(E137:E142)</f>
        <v>2350012609.7031851</v>
      </c>
      <c r="G71" s="12">
        <f t="shared" ref="G71:Q71" si="58">SUM(G137:G142)</f>
        <v>1103628909.6672738</v>
      </c>
      <c r="H71" s="11">
        <f t="shared" si="58"/>
        <v>1022329381.6939356</v>
      </c>
      <c r="I71" s="2">
        <f t="shared" si="58"/>
        <v>81299527.973338306</v>
      </c>
      <c r="K71" s="12">
        <f t="shared" si="58"/>
        <v>720022259.22581077</v>
      </c>
      <c r="L71" s="11">
        <f t="shared" si="58"/>
        <v>637791286.71024072</v>
      </c>
      <c r="M71" s="2">
        <f t="shared" si="58"/>
        <v>82230972.515570194</v>
      </c>
      <c r="O71" s="12">
        <f t="shared" si="58"/>
        <v>383606650.44146293</v>
      </c>
      <c r="P71" s="11">
        <f t="shared" si="58"/>
        <v>384538094.98369479</v>
      </c>
      <c r="Q71" s="2">
        <f t="shared" si="58"/>
        <v>-931444.5422318913</v>
      </c>
      <c r="R71" s="125">
        <f t="shared" si="50"/>
        <v>9073072288.3769913</v>
      </c>
      <c r="S71" s="256"/>
    </row>
    <row r="72" spans="1:22" ht="8.25" customHeight="1" x14ac:dyDescent="0.25">
      <c r="R72" s="125">
        <f t="shared" si="50"/>
        <v>0</v>
      </c>
    </row>
    <row r="73" spans="1:22" ht="15" customHeight="1" x14ac:dyDescent="0.25">
      <c r="A73" s="14" t="str">
        <f>'Matriz de Produccion'!A74</f>
        <v>1F00</v>
      </c>
      <c r="B73" s="81" t="str">
        <f>'Matriz de Produccion'!B74:B74</f>
        <v>F - MANO DE OBRA INDIRECTA</v>
      </c>
      <c r="D73" s="82">
        <f>SUM(D74:D86)</f>
        <v>1205789659.0351105</v>
      </c>
      <c r="E73" s="82">
        <f>SUM(E74:E86)</f>
        <v>1244763716.5351105</v>
      </c>
      <c r="G73" s="83">
        <f>SUM(G74:G86)</f>
        <v>563141946.3894043</v>
      </c>
      <c r="H73" s="84">
        <f>SUM(H74:H86)</f>
        <v>579397072.76036048</v>
      </c>
      <c r="I73" s="87">
        <f>SUM(I74:I86)</f>
        <v>-16255126.370956033</v>
      </c>
      <c r="K73" s="83">
        <f>SUM(K74:K86)</f>
        <v>381284215.62659049</v>
      </c>
      <c r="L73" s="84">
        <f>SUM(L74:L86)</f>
        <v>383805662.76199841</v>
      </c>
      <c r="M73" s="87">
        <f>SUM(M74:M86)</f>
        <v>-2521447.1354078129</v>
      </c>
      <c r="O73" s="83">
        <f>SUM(O74:O86)</f>
        <v>181857730.76281378</v>
      </c>
      <c r="P73" s="84">
        <f>SUM(P74:P86)</f>
        <v>195591409.998362</v>
      </c>
      <c r="Q73" s="87">
        <f>SUM(Q74:Q86)</f>
        <v>-13733679.235548221</v>
      </c>
      <c r="R73" s="125">
        <f t="shared" si="50"/>
        <v>4703121161.1278381</v>
      </c>
      <c r="S73" s="256"/>
      <c r="T73" s="252"/>
      <c r="U73" s="135"/>
      <c r="V73" s="135"/>
    </row>
    <row r="74" spans="1:22" ht="15" customHeight="1" x14ac:dyDescent="0.25">
      <c r="A74" s="14" t="str">
        <f>'Matriz de Produccion'!A75</f>
        <v>1F01</v>
      </c>
      <c r="B74" s="6" t="str">
        <f>VLOOKUP(A74,'Analisis por Categorias'!B:C,2,FALSE)</f>
        <v xml:space="preserve">Staff Superior </v>
      </c>
      <c r="D74" s="3">
        <f>SUMIF(CATEGORIAS[[#All],[SUBGRUPO]],A74,CATEGORIAS[[#All],[PRESUPUESTO
(ORIGINAL)]])</f>
        <v>344918851.26215672</v>
      </c>
      <c r="E74" s="3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350303135.76215672</v>
      </c>
      <c r="G74" s="71">
        <f>+SUMIF(CATEGORIAS[[#All],[SUBGRUPO]],A74,CATEGORIAS[[#All],[PRODUCCION
PARTIDAS
ORIGINALES
ACTUAL]])
+SUMIF(CATEGORIAS[[#All],[SUBGRUPO]],A74,CATEGORIAS[[#All],[PRODUCCION
ADICIONALES
ACTUAL]])</f>
        <v>161088023.76162407</v>
      </c>
      <c r="H74" s="71">
        <f>+SUMIF(CATEGORIAS[[#All],[SUBGRUPO]],A74,CATEGORIAS[[#All],[COSTO
ACUMULADO  AX]])
+SUMIF(CATEGORIAS[[#All],[SUBGRUPO]],A74,CATEGORIAS[[#All],[CAMBIO DE
CATEGORIA]])
+SUMIF(CATEGORIAS[[#All],[SUBGRUPO]],A74,CATEGORIAS[[#All],[PROVISIONES]])</f>
        <v>139217893.74135956</v>
      </c>
      <c r="I74" s="71">
        <f t="shared" ref="I74:I86" si="59">G74-H74</f>
        <v>21870130.020264506</v>
      </c>
      <c r="K74" s="71">
        <f>+SUMIF(CATEGORIAS[[#All],[SUBGRUPO]],A74,CATEGORIAS[[#All],[PRODUCCION
ANTERIOR]])
+SUMIF(CATEGORIAS[[#All],[SUBGRUPO]],A74,CATEGORIAS[[#All],[PRODUCCION
ADICIONALES
ANTERIOR]])</f>
        <v>109948250.6976312</v>
      </c>
      <c r="L74" s="71">
        <f>+SUMIF(CATEGORIAS[[#All],[SUBGRUPO]],A74,CATEGORIAS[[#All],[COSTO ACUMULADO
ANTERIOR]])
+SUMIF(CATEGORIAS[[#All],[SUBGRUPO]],A74,CATEGORIAS[[#All],[CAMBIO DE
CATEGORIA
ANTERIOR]])
+SUMIF(CATEGORIAS[[#All],[SUBGRUPO]],A74,CATEGORIAS[[#All],[PROVISIONES
ANTERIOR]])</f>
        <v>85812910.408026218</v>
      </c>
      <c r="M74" s="71">
        <f>K74-L74</f>
        <v>24135340.289604977</v>
      </c>
      <c r="O74" s="71">
        <f>G74-K74</f>
        <v>51139773.063992873</v>
      </c>
      <c r="P74" s="71">
        <f>H74-L74</f>
        <v>53404983.333333343</v>
      </c>
      <c r="Q74" s="71">
        <f t="shared" ref="P74:Q77" si="60">I74-M74</f>
        <v>-2265210.2693404704</v>
      </c>
      <c r="R74" s="125">
        <f t="shared" si="50"/>
        <v>1339574082.0708096</v>
      </c>
      <c r="S74" s="258"/>
      <c r="T74" s="252"/>
    </row>
    <row r="75" spans="1:22" ht="15" customHeight="1" x14ac:dyDescent="0.25">
      <c r="A75" s="14" t="str">
        <f>'Matriz de Produccion'!A76</f>
        <v>1F02</v>
      </c>
      <c r="B75" s="6" t="str">
        <f>VLOOKUP(A75,'Analisis por Categorias'!B:C,2,FALSE)</f>
        <v xml:space="preserve">Oficina Técnica </v>
      </c>
      <c r="D75" s="3">
        <f>SUMIF(CATEGORIAS[[#All],[SUBGRUPO]],A75,CATEGORIAS[[#All],[PRESUPUESTO
(ORIGINAL)]])</f>
        <v>175799841.54363027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181184126.04363027</v>
      </c>
      <c r="G75" s="71">
        <f>+SUMIF(CATEGORIAS[[#All],[SUBGRUPO]],A75,CATEGORIAS[[#All],[PRODUCCION
PARTIDAS
ORIGINALES
ACTUAL]])
+SUMIF(CATEGORIAS[[#All],[SUBGRUPO]],A75,CATEGORIAS[[#All],[PRODUCCION
ADICIONALES
ACTUAL]])</f>
        <v>82104091.870426401</v>
      </c>
      <c r="H75" s="71">
        <f>+SUMIF(CATEGORIAS[[#All],[SUBGRUPO]],A75,CATEGORIAS[[#All],[COSTO
ACUMULADO  AX]])
+SUMIF(CATEGORIAS[[#All],[SUBGRUPO]],A75,CATEGORIAS[[#All],[CAMBIO DE
CATEGORIA]])
+SUMIF(CATEGORIAS[[#All],[SUBGRUPO]],A75,CATEGORIAS[[#All],[PROVISIONES]])</f>
        <v>92671896.447010651</v>
      </c>
      <c r="I75" s="71">
        <f t="shared" si="59"/>
        <v>-10567804.57658425</v>
      </c>
      <c r="K75" s="71">
        <f>+SUMIF(CATEGORIAS[[#All],[SUBGRUPO]],A75,CATEGORIAS[[#All],[PRODUCCION
ANTERIOR]])
+SUMIF(CATEGORIAS[[#All],[SUBGRUPO]],A75,CATEGORIAS[[#All],[PRODUCCION
ADICIONALES
ANTERIOR]])</f>
        <v>56038934.897043109</v>
      </c>
      <c r="L75" s="71">
        <f>+SUMIF(CATEGORIAS[[#All],[SUBGRUPO]],A75,CATEGORIAS[[#All],[COSTO ACUMULADO
ANTERIOR]])
+SUMIF(CATEGORIAS[[#All],[SUBGRUPO]],A75,CATEGORIAS[[#All],[CAMBIO DE
CATEGORIA
ANTERIOR]])
+SUMIF(CATEGORIAS[[#All],[SUBGRUPO]],A75,CATEGORIAS[[#All],[PROVISIONES
ANTERIOR]])</f>
        <v>63889698.198853403</v>
      </c>
      <c r="M75" s="71">
        <f>K75-L75</f>
        <v>-7850763.3018102944</v>
      </c>
      <c r="O75" s="85">
        <f t="shared" ref="O75:O86" si="61">G75-K75</f>
        <v>26065156.973383293</v>
      </c>
      <c r="P75" s="85">
        <f t="shared" si="60"/>
        <v>28782198.248157248</v>
      </c>
      <c r="Q75" s="85">
        <f t="shared" si="60"/>
        <v>-2717041.2747739553</v>
      </c>
      <c r="R75" s="125">
        <f t="shared" si="50"/>
        <v>685400335.06896615</v>
      </c>
      <c r="S75" s="259"/>
      <c r="T75" s="252"/>
    </row>
    <row r="76" spans="1:22" ht="15" customHeight="1" x14ac:dyDescent="0.25">
      <c r="A76" s="14" t="str">
        <f>'Matriz de Produccion'!A77</f>
        <v>1F03</v>
      </c>
      <c r="B76" s="6" t="str">
        <f>VLOOKUP(A76,'Analisis por Categorias'!B:C,2,FALSE)</f>
        <v xml:space="preserve">Supervisión </v>
      </c>
      <c r="D76" s="3">
        <f>SUMIF(CATEGORIAS[[#All],[SUBGRUPO]],A76,CATEGORIAS[[#All],[PRESUPUESTO
(ORIGINAL)]])</f>
        <v>101081023.761336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107107341.261336</v>
      </c>
      <c r="G76" s="71">
        <f>+SUMIF(CATEGORIAS[[#All],[SUBGRUPO]],A76,CATEGORIAS[[#All],[PRODUCCION
PARTIDAS
ORIGINALES
ACTUAL]])
+SUMIF(CATEGORIAS[[#All],[SUBGRUPO]],A76,CATEGORIAS[[#All],[PRODUCCION
ADICIONALES
ACTUAL]])</f>
        <v>47208038.348531649</v>
      </c>
      <c r="H76" s="71">
        <f>+SUMIF(CATEGORIAS[[#All],[SUBGRUPO]],A76,CATEGORIAS[[#All],[COSTO
ACUMULADO  AX]])
+SUMIF(CATEGORIAS[[#All],[SUBGRUPO]],A76,CATEGORIAS[[#All],[CAMBIO DE
CATEGORIA]])
+SUMIF(CATEGORIAS[[#All],[SUBGRUPO]],A76,CATEGORIAS[[#All],[PROVISIONES]])</f>
        <v>63486716.62981163</v>
      </c>
      <c r="I76" s="71">
        <f t="shared" si="59"/>
        <v>-16278678.281279981</v>
      </c>
      <c r="K76" s="71">
        <f>+SUMIF(CATEGORIAS[[#All],[SUBGRUPO]],A76,CATEGORIAS[[#All],[PRODUCCION
ANTERIOR]])
+SUMIF(CATEGORIAS[[#All],[SUBGRUPO]],A76,CATEGORIAS[[#All],[PRODUCCION
ADICIONALES
ANTERIOR]])</f>
        <v>32221149.121355485</v>
      </c>
      <c r="L76" s="71">
        <f>+SUMIF(CATEGORIAS[[#All],[SUBGRUPO]],A76,CATEGORIAS[[#All],[COSTO ACUMULADO
ANTERIOR]])
+SUMIF(CATEGORIAS[[#All],[SUBGRUPO]],A76,CATEGORIAS[[#All],[CAMBIO DE
CATEGORIA
ANTERIOR]])
+SUMIF(CATEGORIAS[[#All],[SUBGRUPO]],A76,CATEGORIAS[[#All],[PROVISIONES
ANTERIOR]])</f>
        <v>42351591.395577393</v>
      </c>
      <c r="M76" s="71">
        <f>K76-L76</f>
        <v>-10130442.274221908</v>
      </c>
      <c r="O76" s="71">
        <f t="shared" si="61"/>
        <v>14986889.227176163</v>
      </c>
      <c r="P76" s="71">
        <f t="shared" si="60"/>
        <v>21135125.234234236</v>
      </c>
      <c r="Q76" s="71">
        <f t="shared" si="60"/>
        <v>-6148236.0070580728</v>
      </c>
      <c r="R76" s="125">
        <f t="shared" si="50"/>
        <v>397020518.41679859</v>
      </c>
      <c r="S76" s="260"/>
      <c r="T76" s="252"/>
    </row>
    <row r="77" spans="1:22" ht="15" customHeight="1" x14ac:dyDescent="0.25">
      <c r="A77" s="14" t="str">
        <f>'Matriz de Produccion'!A78</f>
        <v>1F04</v>
      </c>
      <c r="B77" s="6" t="str">
        <f>VLOOKUP(A77,'Analisis por Categorias'!B:C,2,FALSE)</f>
        <v>Prevención de Riesgos</v>
      </c>
      <c r="D77" s="3">
        <f>SUMIF(CATEGORIAS[[#All],[SUBGRUPO]],A77,CATEGORIAS[[#All],[PRESUPUESTO
(ORIGINAL)]])</f>
        <v>141429555.02720675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147455872.52720675</v>
      </c>
      <c r="G77" s="71">
        <f>+SUMIF(CATEGORIAS[[#All],[SUBGRUPO]],A77,CATEGORIAS[[#All],[PRODUCCION
PARTIDAS
ORIGINALES
ACTUAL]])
+SUMIF(CATEGORIAS[[#All],[SUBGRUPO]],A77,CATEGORIAS[[#All],[PRODUCCION
ADICIONALES
ACTUAL]])</f>
        <v>66052079.894881114</v>
      </c>
      <c r="H77" s="71">
        <f>+SUMIF(CATEGORIAS[[#All],[SUBGRUPO]],A77,CATEGORIAS[[#All],[COSTO
ACUMULADO  AX]])
+SUMIF(CATEGORIAS[[#All],[SUBGRUPO]],A77,CATEGORIAS[[#All],[CAMBIO DE
CATEGORIA]])
+SUMIF(CATEGORIAS[[#All],[SUBGRUPO]],A77,CATEGORIAS[[#All],[PROVISIONES]])</f>
        <v>61633223.168714166</v>
      </c>
      <c r="I77" s="71">
        <f t="shared" si="59"/>
        <v>4418856.7261669487</v>
      </c>
      <c r="K77" s="71">
        <f>+SUMIF(CATEGORIAS[[#All],[SUBGRUPO]],A77,CATEGORIAS[[#All],[PRODUCCION
ANTERIOR]])
+SUMIF(CATEGORIAS[[#All],[SUBGRUPO]],A77,CATEGORIAS[[#All],[PRODUCCION
ADICIONALES
ANTERIOR]])</f>
        <v>45082871.276197582</v>
      </c>
      <c r="L77" s="71">
        <f>+SUMIF(CATEGORIAS[[#All],[SUBGRUPO]],A77,CATEGORIAS[[#All],[COSTO ACUMULADO
ANTERIOR]])
+SUMIF(CATEGORIAS[[#All],[SUBGRUPO]],A77,CATEGORIAS[[#All],[CAMBIO DE
CATEGORIA
ANTERIOR]])
+SUMIF(CATEGORIAS[[#All],[SUBGRUPO]],A77,CATEGORIAS[[#All],[PROVISIONES
ANTERIOR]])</f>
        <v>37079207.565110564</v>
      </c>
      <c r="M77" s="71">
        <f>K77-L77</f>
        <v>8003663.7110870183</v>
      </c>
      <c r="O77" s="85">
        <f t="shared" si="61"/>
        <v>20969208.618683532</v>
      </c>
      <c r="P77" s="85">
        <f t="shared" si="60"/>
        <v>24554015.603603601</v>
      </c>
      <c r="Q77" s="85">
        <f t="shared" si="60"/>
        <v>-3584806.9849200696</v>
      </c>
      <c r="R77" s="125">
        <f t="shared" si="50"/>
        <v>553093747.13393807</v>
      </c>
      <c r="T77" s="252"/>
    </row>
    <row r="78" spans="1:22" ht="15" customHeight="1" x14ac:dyDescent="0.25">
      <c r="A78" s="14" t="str">
        <f>'Matriz de Produccion'!A79</f>
        <v>1F05</v>
      </c>
      <c r="B78" s="6" t="str">
        <f>VLOOKUP(A78,'Analisis por Categorias'!B:C,2,FALSE)</f>
        <v xml:space="preserve">Control De Calidad </v>
      </c>
      <c r="D78" s="3">
        <f>SUMIF(CATEGORIAS[[#All],[SUBGRUPO]],A78,CATEGORIAS[[#All],[PRESUPUESTO
(ORIGINAL)]])</f>
        <v>62286053.993973345</v>
      </c>
      <c r="E78" s="3">
        <f>+SUMIF(CATEGORIAS[[#All],[SUBGRUPO]],A78,CATEGORIAS[[#All],[PRODUCCION
PARTIDAS
ORIGINALES
ACTUAL]])
+SUMIF(CATEGORIAS[[#All],[SUBGRUPO]],A78,CATEGORIAS[[#All],[PRODUCCION
ADICIONALES
ACTUAL]])
+SUMIF(CATEGORIAS[[#All],[SUBGRUPO]],A78,CATEGORIAS[[#All],[PROYECCION
DE INGRESO
DEL SALDO]])</f>
        <v>67670338.493973345</v>
      </c>
      <c r="G78" s="71">
        <f>+SUMIF(CATEGORIAS[[#All],[SUBGRUPO]],A78,CATEGORIAS[[#All],[PRODUCCION
PARTIDAS
ORIGINALES
ACTUAL]])
+SUMIF(CATEGORIAS[[#All],[SUBGRUPO]],A78,CATEGORIAS[[#All],[PRODUCCION
ADICIONALES
ACTUAL]])</f>
        <v>29089559.208154012</v>
      </c>
      <c r="H78" s="71">
        <f>+SUMIF(CATEGORIAS[[#All],[SUBGRUPO]],A78,CATEGORIAS[[#All],[COSTO
ACUMULADO  AX]])
+SUMIF(CATEGORIAS[[#All],[SUBGRUPO]],A78,CATEGORIAS[[#All],[CAMBIO DE
CATEGORIA]])
+SUMIF(CATEGORIAS[[#All],[SUBGRUPO]],A78,CATEGORIAS[[#All],[PROVISIONES]])</f>
        <v>26934033.792792793</v>
      </c>
      <c r="I78" s="71">
        <f t="shared" si="59"/>
        <v>2155525.4153612182</v>
      </c>
      <c r="K78" s="71">
        <f>+SUMIF(CATEGORIAS[[#All],[SUBGRUPO]],A78,CATEGORIAS[[#All],[PRODUCCION
ANTERIOR]])
+SUMIF(CATEGORIAS[[#All],[SUBGRUPO]],A78,CATEGORIAS[[#All],[PRODUCCION
ADICIONALES
ANTERIOR]])</f>
        <v>19854648.86722165</v>
      </c>
      <c r="L78" s="71">
        <f>+SUMIF(CATEGORIAS[[#All],[SUBGRUPO]],A78,CATEGORIAS[[#All],[COSTO ACUMULADO
ANTERIOR]])
+SUMIF(CATEGORIAS[[#All],[SUBGRUPO]],A78,CATEGORIAS[[#All],[CAMBIO DE
CATEGORIA
ANTERIOR]])
+SUMIF(CATEGORIAS[[#All],[SUBGRUPO]],A78,CATEGORIAS[[#All],[PROVISIONES
ANTERIOR]])</f>
        <v>18120621.747747749</v>
      </c>
      <c r="M78" s="71">
        <f t="shared" ref="M78:M82" si="62">K78-L78</f>
        <v>1734027.1194739006</v>
      </c>
      <c r="O78" s="71">
        <f t="shared" si="61"/>
        <v>9234910.3409323618</v>
      </c>
      <c r="P78" s="71">
        <f t="shared" ref="P78:P82" si="63">H78-L78</f>
        <v>8813412.0450450443</v>
      </c>
      <c r="Q78" s="71">
        <f t="shared" ref="Q78:Q82" si="64">I78-M78</f>
        <v>421498.29588731751</v>
      </c>
      <c r="R78" s="125">
        <f t="shared" si="50"/>
        <v>246314629.32056278</v>
      </c>
      <c r="T78" s="252"/>
    </row>
    <row r="79" spans="1:22" ht="15" customHeight="1" x14ac:dyDescent="0.25">
      <c r="A79" s="14" t="str">
        <f>'Matriz de Produccion'!A80</f>
        <v>1F06</v>
      </c>
      <c r="B79" s="6" t="str">
        <f>VLOOKUP(A79,'Analisis por Categorias'!B:C,2,FALSE)</f>
        <v xml:space="preserve">Administración </v>
      </c>
      <c r="D79" s="3">
        <f>SUMIF(CATEGORIAS[[#All],[SUBGRUPO]],A79,CATEGORIAS[[#All],[PRESUPUESTO
(ORIGINAL)]])</f>
        <v>50846869.032810956</v>
      </c>
      <c r="E79" s="3">
        <f>+SUMIF(CATEGORIAS[[#All],[SUBGRUPO]],A79,CATEGORIAS[[#All],[PRODUCCION
PARTIDAS
ORIGINALES
ACTUAL]])
+SUMIF(CATEGORIAS[[#All],[SUBGRUPO]],A79,CATEGORIAS[[#All],[PRODUCCION
ADICIONALES
ACTUAL]])
+SUMIF(CATEGORIAS[[#All],[SUBGRUPO]],A79,CATEGORIAS[[#All],[PROYECCION
DE INGRESO
DEL SALDO]])</f>
        <v>56231153.532810956</v>
      </c>
      <c r="G79" s="71">
        <f>+SUMIF(CATEGORIAS[[#All],[SUBGRUPO]],A79,CATEGORIAS[[#All],[PRODUCCION
PARTIDAS
ORIGINALES
ACTUAL]])
+SUMIF(CATEGORIAS[[#All],[SUBGRUPO]],A79,CATEGORIAS[[#All],[PRODUCCION
ADICIONALES
ACTUAL]])</f>
        <v>23747097.663665172</v>
      </c>
      <c r="H79" s="71">
        <f>+SUMIF(CATEGORIAS[[#All],[SUBGRUPO]],A79,CATEGORIAS[[#All],[COSTO
ACUMULADO  AX]])
+SUMIF(CATEGORIAS[[#All],[SUBGRUPO]],A79,CATEGORIAS[[#All],[CAMBIO DE
CATEGORIA]])
+SUMIF(CATEGORIAS[[#All],[SUBGRUPO]],A79,CATEGORIAS[[#All],[PROVISIONES]])</f>
        <v>24940108.565110564</v>
      </c>
      <c r="I79" s="71">
        <f t="shared" si="59"/>
        <v>-1193010.9014453925</v>
      </c>
      <c r="K79" s="71">
        <f>+SUMIF(CATEGORIAS[[#All],[SUBGRUPO]],A79,CATEGORIAS[[#All],[PRODUCCION
ANTERIOR]])
+SUMIF(CATEGORIAS[[#All],[SUBGRUPO]],A79,CATEGORIAS[[#All],[PRODUCCION
ADICIONALES
ANTERIOR]])</f>
        <v>16208230.66976998</v>
      </c>
      <c r="L79" s="71">
        <f>+SUMIF(CATEGORIAS[[#All],[SUBGRUPO]],A79,CATEGORIAS[[#All],[COSTO ACUMULADO
ANTERIOR]])
+SUMIF(CATEGORIAS[[#All],[SUBGRUPO]],A79,CATEGORIAS[[#All],[CAMBIO DE
CATEGORIA
ANTERIOR]])
+SUMIF(CATEGORIAS[[#All],[SUBGRUPO]],A79,CATEGORIAS[[#All],[PROVISIONES
ANTERIOR]])</f>
        <v>17988600.823914826</v>
      </c>
      <c r="M79" s="71">
        <f>K79-L79</f>
        <v>-1780370.1541448459</v>
      </c>
      <c r="O79" s="85">
        <f t="shared" si="61"/>
        <v>7538866.9938951917</v>
      </c>
      <c r="P79" s="85">
        <f t="shared" ref="P79:Q81" si="65">H79-L79</f>
        <v>6951507.7411957383</v>
      </c>
      <c r="Q79" s="85">
        <f t="shared" si="65"/>
        <v>587359.25269945338</v>
      </c>
      <c r="R79" s="125">
        <f t="shared" si="50"/>
        <v>202066413.22028261</v>
      </c>
      <c r="T79" s="252"/>
    </row>
    <row r="80" spans="1:22" ht="15" customHeight="1" x14ac:dyDescent="0.25">
      <c r="A80" s="14" t="str">
        <f>'Matriz de Produccion'!A81</f>
        <v>1F07</v>
      </c>
      <c r="B80" s="6" t="str">
        <f>VLOOKUP(A80,'Analisis por Categorias'!B:C,2,FALSE)</f>
        <v xml:space="preserve">Servicios </v>
      </c>
      <c r="D80" s="3">
        <f>SUMIF(CATEGORIAS[[#All],[SUBGRUPO]],A80,CATEGORIAS[[#All],[PRESUPUESTO
(ORIGINAL)]])</f>
        <v>102860837.03514537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108245121.53514537</v>
      </c>
      <c r="G80" s="71">
        <f>+SUMIF(CATEGORIAS[[#All],[SUBGRUPO]],A80,CATEGORIAS[[#All],[PRODUCCION
PARTIDAS
ORIGINALES
ACTUAL]])
+SUMIF(CATEGORIAS[[#All],[SUBGRUPO]],A80,CATEGORIAS[[#All],[PRODUCCION
ADICIONALES
ACTUAL]])</f>
        <v>48039267.496760331</v>
      </c>
      <c r="H80" s="71">
        <f>+SUMIF(CATEGORIAS[[#All],[SUBGRUPO]],A80,CATEGORIAS[[#All],[COSTO
ACUMULADO  AX]])
+SUMIF(CATEGORIAS[[#All],[SUBGRUPO]],A80,CATEGORIAS[[#All],[CAMBIO DE
CATEGORIA]])
+SUMIF(CATEGORIAS[[#All],[SUBGRUPO]],A80,CATEGORIAS[[#All],[PROVISIONES]])</f>
        <v>109626507.36805896</v>
      </c>
      <c r="I80" s="71">
        <f t="shared" si="59"/>
        <v>-61587239.871298634</v>
      </c>
      <c r="K80" s="71">
        <f>+SUMIF(CATEGORIAS[[#All],[SUBGRUPO]],A80,CATEGORIAS[[#All],[PRODUCCION
ANTERIOR]])
+SUMIF(CATEGORIAS[[#All],[SUBGRUPO]],A80,CATEGORIAS[[#All],[PRODUCCION
ADICIONALES
ANTERIOR]])</f>
        <v>32788492.295866504</v>
      </c>
      <c r="L80" s="71">
        <f>+SUMIF(CATEGORIAS[[#All],[SUBGRUPO]],A80,CATEGORIAS[[#All],[COSTO ACUMULADO
ANTERIOR]])
+SUMIF(CATEGORIAS[[#All],[SUBGRUPO]],A80,CATEGORIAS[[#All],[CAMBIO DE
CATEGORIA
ANTERIOR]])
+SUMIF(CATEGORIAS[[#All],[SUBGRUPO]],A80,CATEGORIAS[[#All],[PROVISIONES
ANTERIOR]])</f>
        <v>74317537.980671585</v>
      </c>
      <c r="M80" s="71">
        <f>K80-L80</f>
        <v>-41529045.68480508</v>
      </c>
      <c r="O80" s="85">
        <f t="shared" si="61"/>
        <v>15250775.200893827</v>
      </c>
      <c r="P80" s="85">
        <f t="shared" si="65"/>
        <v>35308969.38738738</v>
      </c>
      <c r="Q80" s="85">
        <f t="shared" si="65"/>
        <v>-20058194.186493553</v>
      </c>
      <c r="R80" s="125">
        <f t="shared" si="50"/>
        <v>403263028.55733204</v>
      </c>
      <c r="T80" s="252"/>
    </row>
    <row r="81" spans="1:20" ht="15" customHeight="1" x14ac:dyDescent="0.25">
      <c r="A81" s="14" t="str">
        <f>'Matriz de Produccion'!A82</f>
        <v>1F08</v>
      </c>
      <c r="B81" s="6" t="str">
        <f>VLOOKUP(A81,'Analisis por Categorias'!B:C,2,FALSE)</f>
        <v>Topografia</v>
      </c>
      <c r="D81" s="3">
        <f>SUMIF(CATEGORIAS[[#All],[SUBGRUPO]],A81,CATEGORIAS[[#All],[PRESUPUESTO
(ORIGINAL)]])</f>
        <v>47989913.093136542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47989913.093136542</v>
      </c>
      <c r="G81" s="71">
        <f>+SUMIF(CATEGORIAS[[#All],[SUBGRUPO]],A81,CATEGORIAS[[#All],[PRODUCCION
PARTIDAS
ORIGINALES
ACTUAL]])
+SUMIF(CATEGORIAS[[#All],[SUBGRUPO]],A81,CATEGORIAS[[#All],[PRODUCCION
ADICIONALES
ACTUAL]])</f>
        <v>22412808.787855387</v>
      </c>
      <c r="H81" s="71">
        <f>+SUMIF(CATEGORIAS[[#All],[SUBGRUPO]],A81,CATEGORIAS[[#All],[COSTO
ACUMULADO  AX]])
+SUMIF(CATEGORIAS[[#All],[SUBGRUPO]],A81,CATEGORIAS[[#All],[CAMBIO DE
CATEGORIA]])
+SUMIF(CATEGORIAS[[#All],[SUBGRUPO]],A81,CATEGORIAS[[#All],[PROVISIONES]])</f>
        <v>31389825.047502048</v>
      </c>
      <c r="I81" s="71">
        <f t="shared" si="59"/>
        <v>-8977016.2596466616</v>
      </c>
      <c r="K81" s="71">
        <f>+SUMIF(CATEGORIAS[[#All],[SUBGRUPO]],A81,CATEGORIAS[[#All],[PRODUCCION
ANTERIOR]])
+SUMIF(CATEGORIAS[[#All],[SUBGRUPO]],A81,CATEGORIAS[[#All],[PRODUCCION
ADICIONALES
ANTERIOR]])</f>
        <v>15297531.510422893</v>
      </c>
      <c r="L81" s="71">
        <f>+SUMIF(CATEGORIAS[[#All],[SUBGRUPO]],A81,CATEGORIAS[[#All],[COSTO ACUMULADO
ANTERIOR]])
+SUMIF(CATEGORIAS[[#All],[SUBGRUPO]],A81,CATEGORIAS[[#All],[CAMBIO DE
CATEGORIA
ANTERIOR]])
+SUMIF(CATEGORIAS[[#All],[SUBGRUPO]],A81,CATEGORIAS[[#All],[PROVISIONES
ANTERIOR]])</f>
        <v>20754896.642096642</v>
      </c>
      <c r="M81" s="71">
        <f>K81-L81</f>
        <v>-5457365.1316737495</v>
      </c>
      <c r="O81" s="85">
        <f t="shared" si="61"/>
        <v>7115277.2774324939</v>
      </c>
      <c r="P81" s="85">
        <f t="shared" si="65"/>
        <v>10634928.405405406</v>
      </c>
      <c r="Q81" s="85">
        <f t="shared" si="65"/>
        <v>-3519651.127972912</v>
      </c>
      <c r="R81" s="125">
        <f t="shared" si="50"/>
        <v>185631061.33769464</v>
      </c>
      <c r="T81" s="252"/>
    </row>
    <row r="82" spans="1:20" ht="15" customHeight="1" x14ac:dyDescent="0.25">
      <c r="A82" s="14" t="str">
        <f>'Matriz de Produccion'!A83</f>
        <v>1F09</v>
      </c>
      <c r="B82" s="6" t="str">
        <f>VLOOKUP(A82,'Analisis por Categorias'!B:C,2,FALSE)</f>
        <v xml:space="preserve">Movilización </v>
      </c>
      <c r="D82" s="3">
        <f>SUMIF(CATEGORIAS[[#All],[SUBGRUPO]],A82,CATEGORIAS[[#All],[PRESUPUESTO
(ORIGINAL)]])</f>
        <v>50970000.000000015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50970000.000000015</v>
      </c>
      <c r="G82" s="71">
        <f>+SUMIF(CATEGORIAS[[#All],[SUBGRUPO]],A82,CATEGORIAS[[#All],[PRODUCCION
PARTIDAS
ORIGINALES
ACTUAL]])
+SUMIF(CATEGORIAS[[#All],[SUBGRUPO]],A82,CATEGORIAS[[#All],[PRODUCCION
ADICIONALES
ACTUAL]])</f>
        <v>23804603.723701492</v>
      </c>
      <c r="H82" s="71">
        <f>+SUMIF(CATEGORIAS[[#All],[SUBGRUPO]],A82,CATEGORIAS[[#All],[COSTO
ACUMULADO  AX]])
+SUMIF(CATEGORIAS[[#All],[SUBGRUPO]],A82,CATEGORIAS[[#All],[CAMBIO DE
CATEGORIA]])
+SUMIF(CATEGORIAS[[#All],[SUBGRUPO]],A82,CATEGORIAS[[#All],[PROVISIONES]])</f>
        <v>10078282</v>
      </c>
      <c r="I82" s="71">
        <f t="shared" si="59"/>
        <v>13726321.723701492</v>
      </c>
      <c r="K82" s="71">
        <f>+SUMIF(CATEGORIAS[[#All],[SUBGRUPO]],A82,CATEGORIAS[[#All],[PRODUCCION
ANTERIOR]])
+SUMIF(CATEGORIAS[[#All],[SUBGRUPO]],A82,CATEGORIAS[[#All],[PRODUCCION
ADICIONALES
ANTERIOR]])</f>
        <v>13167480.581450956</v>
      </c>
      <c r="L82" s="71">
        <f>+SUMIF(CATEGORIAS[[#All],[SUBGRUPO]],A82,CATEGORIAS[[#All],[COSTO ACUMULADO
ANTERIOR]])
+SUMIF(CATEGORIAS[[#All],[SUBGRUPO]],A82,CATEGORIAS[[#All],[CAMBIO DE
CATEGORIA
ANTERIOR]])
+SUMIF(CATEGORIAS[[#All],[SUBGRUPO]],A82,CATEGORIAS[[#All],[PROVISIONES
ANTERIOR]])</f>
        <v>9757409</v>
      </c>
      <c r="M82" s="71">
        <f t="shared" si="62"/>
        <v>3410071.5814509559</v>
      </c>
      <c r="O82" s="85">
        <f t="shared" si="61"/>
        <v>10637123.142250536</v>
      </c>
      <c r="P82" s="85">
        <f t="shared" si="63"/>
        <v>320873</v>
      </c>
      <c r="Q82" s="85">
        <f t="shared" si="64"/>
        <v>10316250.142250536</v>
      </c>
      <c r="R82" s="125">
        <f t="shared" si="50"/>
        <v>197158414.89480603</v>
      </c>
    </row>
    <row r="83" spans="1:20" ht="15" customHeight="1" x14ac:dyDescent="0.25">
      <c r="A83" s="14" t="str">
        <f>'Matriz de Produccion'!A84</f>
        <v>1F10</v>
      </c>
      <c r="B83" s="6" t="str">
        <f>VLOOKUP(A83,'Analisis por Categorias'!B:C,2,FALSE)</f>
        <v>Hotelería</v>
      </c>
      <c r="D83" s="3">
        <f>SUMIF(CATEGORIAS[[#All],[SUBGRUPO]],A83,CATEGORIAS[[#All],[PRESUPUESTO
(ORIGINAL)]])</f>
        <v>0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0</v>
      </c>
      <c r="G83" s="71">
        <f>+SUMIF(CATEGORIAS[[#All],[SUBGRUPO]],A83,CATEGORIAS[[#All],[PRODUCCION
PARTIDAS
ORIGINALES
ACTUAL]])
+SUMIF(CATEGORIAS[[#All],[SUBGRUPO]],A83,CATEGORIAS[[#All],[PRODUCCION
ADICIONALES
ACTUAL]])</f>
        <v>0</v>
      </c>
      <c r="H83" s="71">
        <f>+SUMIF(CATEGORIAS[[#All],[SUBGRUPO]],A83,CATEGORIAS[[#All],[COSTO
ACUMULADO  AX]])
+SUMIF(CATEGORIAS[[#All],[SUBGRUPO]],A83,CATEGORIAS[[#All],[CAMBIO DE
CATEGORIA]])
+SUMIF(CATEGORIAS[[#All],[SUBGRUPO]],A83,CATEGORIAS[[#All],[PROVISIONES]])</f>
        <v>0</v>
      </c>
      <c r="I83" s="71">
        <f t="shared" si="59"/>
        <v>0</v>
      </c>
      <c r="K83" s="71">
        <f>+SUMIF(CATEGORIAS[[#All],[SUBGRUPO]],A83,CATEGORIAS[[#All],[PRODUCCION
ANTERIOR]])
+SUMIF(CATEGORIAS[[#All],[SUBGRUPO]],A83,CATEGORIAS[[#All],[PRODUCCION
ADICIONALES
ANTERIOR]])</f>
        <v>0</v>
      </c>
      <c r="L83" s="71">
        <f>+SUMIF(CATEGORIAS[[#All],[SUBGRUPO]],A83,CATEGORIAS[[#All],[COSTO ACUMULADO
ANTERIOR]])
+SUMIF(CATEGORIAS[[#All],[SUBGRUPO]],A83,CATEGORIAS[[#All],[CAMBIO DE
CATEGORIA
ANTERIOR]])
+SUMIF(CATEGORIAS[[#All],[SUBGRUPO]],A83,CATEGORIAS[[#All],[PROVISIONES
ANTERIOR]])</f>
        <v>0</v>
      </c>
      <c r="M83" s="71">
        <f t="shared" ref="M83:M86" si="66">K83-L83</f>
        <v>0</v>
      </c>
      <c r="O83" s="85">
        <f t="shared" si="61"/>
        <v>0</v>
      </c>
      <c r="P83" s="85">
        <f t="shared" ref="P83:P86" si="67">H83-L83</f>
        <v>0</v>
      </c>
      <c r="Q83" s="85">
        <f t="shared" ref="Q83:Q86" si="68">I83-M83</f>
        <v>0</v>
      </c>
      <c r="R83" s="125">
        <f t="shared" si="50"/>
        <v>0</v>
      </c>
    </row>
    <row r="84" spans="1:20" ht="15" customHeight="1" x14ac:dyDescent="0.25">
      <c r="A84" s="14" t="str">
        <f>'Matriz de Produccion'!A85</f>
        <v>1F11</v>
      </c>
      <c r="B84" s="6" t="str">
        <f>VLOOKUP(A84,'Analisis por Categorias'!B:C,2,FALSE)</f>
        <v>Alojamiento y Alimentación</v>
      </c>
      <c r="D84" s="3">
        <f>SUMIF(CATEGORIAS[[#All],[SUBGRUPO]],A84,CATEGORIAS[[#All],[PRESUPUESTO
(ORIGINAL)]])</f>
        <v>127606714.28571428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127606714.28571428</v>
      </c>
      <c r="G84" s="71">
        <f>+SUMIF(CATEGORIAS[[#All],[SUBGRUPO]],A84,CATEGORIAS[[#All],[PRODUCCION
PARTIDAS
ORIGINALES
ACTUAL]])
+SUMIF(CATEGORIAS[[#All],[SUBGRUPO]],A84,CATEGORIAS[[#All],[PRODUCCION
ADICIONALES
ACTUAL]])</f>
        <v>59596375.633804724</v>
      </c>
      <c r="H84" s="71">
        <f>+SUMIF(CATEGORIAS[[#All],[SUBGRUPO]],A84,CATEGORIAS[[#All],[COSTO
ACUMULADO  AX]])
+SUMIF(CATEGORIAS[[#All],[SUBGRUPO]],A84,CATEGORIAS[[#All],[CAMBIO DE
CATEGORIA]])
+SUMIF(CATEGORIAS[[#All],[SUBGRUPO]],A84,CATEGORIAS[[#All],[PROVISIONES]])</f>
        <v>19418586</v>
      </c>
      <c r="I84" s="71">
        <f t="shared" si="59"/>
        <v>40177789.633804724</v>
      </c>
      <c r="K84" s="71">
        <f>+SUMIF(CATEGORIAS[[#All],[SUBGRUPO]],A84,CATEGORIAS[[#All],[PRODUCCION
ANTERIOR]])
+SUMIF(CATEGORIAS[[#All],[SUBGRUPO]],A84,CATEGORIAS[[#All],[PRODUCCION
ADICIONALES
ANTERIOR]])</f>
        <v>40676625.709631212</v>
      </c>
      <c r="L84" s="71">
        <f>+SUMIF(CATEGORIAS[[#All],[SUBGRUPO]],A84,CATEGORIAS[[#All],[COSTO ACUMULADO
ANTERIOR]])
+SUMIF(CATEGORIAS[[#All],[SUBGRUPO]],A84,CATEGORIAS[[#All],[CAMBIO DE
CATEGORIA
ANTERIOR]])
+SUMIF(CATEGORIAS[[#All],[SUBGRUPO]],A84,CATEGORIAS[[#All],[PROVISIONES
ANTERIOR]])</f>
        <v>13733189</v>
      </c>
      <c r="M84" s="71">
        <f t="shared" si="66"/>
        <v>26943436.709631212</v>
      </c>
      <c r="O84" s="85">
        <f t="shared" si="61"/>
        <v>18919749.924173512</v>
      </c>
      <c r="P84" s="85">
        <f t="shared" si="67"/>
        <v>5685397</v>
      </c>
      <c r="Q84" s="85">
        <f t="shared" si="68"/>
        <v>13234352.924173512</v>
      </c>
      <c r="R84" s="125">
        <f t="shared" si="50"/>
        <v>493598931.10664749</v>
      </c>
    </row>
    <row r="85" spans="1:20" ht="15" customHeight="1" x14ac:dyDescent="0.25">
      <c r="A85" s="14" t="str">
        <f>'Matriz de Produccion'!A86</f>
        <v>1F12</v>
      </c>
      <c r="B85" s="6" t="str">
        <f>VLOOKUP(A85,'Analisis por Categorias'!B:C,2,FALSE)</f>
        <v>Provisiones</v>
      </c>
      <c r="D85" s="3">
        <f>SUMIF(CATEGORIAS[[#All],[SUBGRUPO]],A85,CATEGORIAS[[#All],[PRESUPUESTO
(ORIGINAL)]])</f>
        <v>0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0</v>
      </c>
      <c r="G85" s="71">
        <f>+SUMIF(CATEGORIAS[[#All],[SUBGRUPO]],A85,CATEGORIAS[[#All],[PRODUCCION
PARTIDAS
ORIGINALES
ACTUAL]])
+SUMIF(CATEGORIAS[[#All],[SUBGRUPO]],A85,CATEGORIAS[[#All],[PRODUCCION
ADICIONALES
ACTUAL]])</f>
        <v>0</v>
      </c>
      <c r="H85" s="71">
        <f>+SUMIF(CATEGORIAS[[#All],[SUBGRUPO]],A85,CATEGORIAS[[#All],[COSTO
ACUMULADO  AX]])
+SUMIF(CATEGORIAS[[#All],[SUBGRUPO]],A85,CATEGORIAS[[#All],[CAMBIO DE
CATEGORIA]])
+SUMIF(CATEGORIAS[[#All],[SUBGRUPO]],A85,CATEGORIAS[[#All],[PROVISIONES]])</f>
        <v>0</v>
      </c>
      <c r="I85" s="71">
        <f t="shared" si="59"/>
        <v>0</v>
      </c>
      <c r="K85" s="71">
        <f>+SUMIF(CATEGORIAS[[#All],[SUBGRUPO]],A85,CATEGORIAS[[#All],[PRODUCCION
ANTERIOR]])
+SUMIF(CATEGORIAS[[#All],[SUBGRUPO]],A85,CATEGORIAS[[#All],[PRODUCCION
ADICIONALES
ANTERIOR]])</f>
        <v>0</v>
      </c>
      <c r="L85" s="71">
        <f>+SUMIF(CATEGORIAS[[#All],[SUBGRUPO]],A85,CATEGORIAS[[#All],[COSTO ACUMULADO
ANTERIOR]])
+SUMIF(CATEGORIAS[[#All],[SUBGRUPO]],A85,CATEGORIAS[[#All],[CAMBIO DE
CATEGORIA
ANTERIOR]])
+SUMIF(CATEGORIAS[[#All],[SUBGRUPO]],A85,CATEGORIAS[[#All],[PROVISIONES
ANTERIOR]])</f>
        <v>0</v>
      </c>
      <c r="M85" s="71">
        <f t="shared" si="66"/>
        <v>0</v>
      </c>
      <c r="O85" s="85">
        <f t="shared" si="61"/>
        <v>0</v>
      </c>
      <c r="P85" s="85">
        <f t="shared" si="67"/>
        <v>0</v>
      </c>
      <c r="Q85" s="85">
        <f t="shared" si="68"/>
        <v>0</v>
      </c>
      <c r="R85" s="125">
        <f t="shared" si="50"/>
        <v>0</v>
      </c>
    </row>
    <row r="86" spans="1:20" ht="15" customHeight="1" x14ac:dyDescent="0.25">
      <c r="A86" s="14" t="str">
        <f>'Matriz de Produccion'!A87</f>
        <v>1F13</v>
      </c>
      <c r="B86" s="6" t="str">
        <f>VLOOKUP(A86,'Analisis por Categorias'!B:C,2,FALSE)</f>
        <v>Otros</v>
      </c>
      <c r="D86" s="3">
        <f>SUMIF(CATEGORIAS[[#All],[SUBGRUPO]],A86,CATEGORIAS[[#All],[PRESUPUESTO
(ORIGINAL)]])</f>
        <v>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0</v>
      </c>
      <c r="G86" s="71">
        <f>+SUMIF(CATEGORIAS[[#All],[SUBGRUPO]],A86,CATEGORIAS[[#All],[PRODUCCION
PARTIDAS
ORIGINALES
ACTUAL]])
+SUMIF(CATEGORIAS[[#All],[SUBGRUPO]],A86,CATEGORIAS[[#All],[PRODUCCION
ADICIONALES
ACTUAL]])</f>
        <v>0</v>
      </c>
      <c r="H86" s="71">
        <f>+SUMIF(CATEGORIAS[[#All],[SUBGRUPO]],A86,CATEGORIAS[[#All],[COSTO
ACUMULADO  AX]])
+SUMIF(CATEGORIAS[[#All],[SUBGRUPO]],A86,CATEGORIAS[[#All],[CAMBIO DE
CATEGORIA]])
+SUMIF(CATEGORIAS[[#All],[SUBGRUPO]],A86,CATEGORIAS[[#All],[PROVISIONES]])</f>
        <v>0</v>
      </c>
      <c r="I86" s="71">
        <f t="shared" si="59"/>
        <v>0</v>
      </c>
      <c r="K86" s="71">
        <f>+SUMIF(CATEGORIAS[[#All],[SUBGRUPO]],A86,CATEGORIAS[[#All],[PRODUCCION
ANTERIOR]])
+SUMIF(CATEGORIAS[[#All],[SUBGRUPO]],A86,CATEGORIAS[[#All],[PRODUCCION
ADICIONALES
ANTERIOR]])</f>
        <v>0</v>
      </c>
      <c r="L86" s="71">
        <f>+SUMIF(CATEGORIAS[[#All],[SUBGRUPO]],A86,CATEGORIAS[[#All],[COSTO ACUMULADO
ANTERIOR]])
+SUMIF(CATEGORIAS[[#All],[SUBGRUPO]],A86,CATEGORIAS[[#All],[CAMBIO DE
CATEGORIA
ANTERIOR]])
+SUMIF(CATEGORIAS[[#All],[SUBGRUPO]],A86,CATEGORIAS[[#All],[PROVISIONES
ANTERIOR]])</f>
        <v>0</v>
      </c>
      <c r="M86" s="71">
        <f t="shared" si="66"/>
        <v>0</v>
      </c>
      <c r="O86" s="85">
        <f t="shared" si="61"/>
        <v>0</v>
      </c>
      <c r="P86" s="85">
        <f t="shared" si="67"/>
        <v>0</v>
      </c>
      <c r="Q86" s="85">
        <f t="shared" si="68"/>
        <v>0</v>
      </c>
      <c r="R86" s="125">
        <f t="shared" si="50"/>
        <v>0</v>
      </c>
    </row>
    <row r="87" spans="1:20" ht="8.25" customHeight="1" x14ac:dyDescent="0.25">
      <c r="R87" s="125">
        <f t="shared" si="50"/>
        <v>0</v>
      </c>
    </row>
    <row r="88" spans="1:20" ht="15" customHeight="1" x14ac:dyDescent="0.25">
      <c r="A88" s="14" t="str">
        <f>'Matriz de Produccion'!A89</f>
        <v>1G00</v>
      </c>
      <c r="B88" s="81" t="str">
        <f>'Matriz de Produccion'!B89:B89</f>
        <v>G - EQUIPOS INDIRECTOS</v>
      </c>
      <c r="D88" s="82">
        <f>SUM(D89:D93)</f>
        <v>90537194.880000025</v>
      </c>
      <c r="E88" s="82">
        <f>SUM(E89:E93)</f>
        <v>90537194.880000025</v>
      </c>
      <c r="G88" s="83">
        <f>SUM(G89:G93)</f>
        <v>42283736.440532394</v>
      </c>
      <c r="H88" s="84">
        <f>SUM(H89:H93)</f>
        <v>22130647</v>
      </c>
      <c r="I88" s="87">
        <f>SUM(I89:I93)</f>
        <v>20153089.440532394</v>
      </c>
      <c r="K88" s="83">
        <f>SUM(K89:K93)</f>
        <v>22522535.964282695</v>
      </c>
      <c r="L88" s="84">
        <f>SUM(L89:L93)</f>
        <v>18855552</v>
      </c>
      <c r="M88" s="87">
        <f>SUM(M89:M93)</f>
        <v>3666983.9642826961</v>
      </c>
      <c r="O88" s="83">
        <f>SUM(O89:O93)</f>
        <v>19761200.476249699</v>
      </c>
      <c r="P88" s="84">
        <f>SUM(P89:P93)</f>
        <v>3275095</v>
      </c>
      <c r="Q88" s="87">
        <f>SUM(Q89:Q93)</f>
        <v>16486105.476249699</v>
      </c>
      <c r="R88" s="125">
        <f t="shared" si="50"/>
        <v>350209335.5221296</v>
      </c>
      <c r="S88" s="256"/>
    </row>
    <row r="89" spans="1:20" ht="15" customHeight="1" x14ac:dyDescent="0.25">
      <c r="A89" s="14" t="str">
        <f>'Matriz de Produccion'!A90</f>
        <v>1G01</v>
      </c>
      <c r="B89" s="6" t="str">
        <f>VLOOKUP(A89,'Analisis por Categorias'!B:C,2,FALSE)</f>
        <v>Camionetas</v>
      </c>
      <c r="D89" s="3">
        <f>SUMIF(CATEGORIAS[[#All],[SUBGRUPO]],A89,CATEGORIAS[[#All],[PRESUPUESTO
(ORIGINAL)]])</f>
        <v>87729840.00000003</v>
      </c>
      <c r="E89" s="3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87729840.00000003</v>
      </c>
      <c r="G89" s="71">
        <f>+SUMIF(CATEGORIAS[[#All],[SUBGRUPO]],A89,CATEGORIAS[[#All],[PRODUCCION
PARTIDAS
ORIGINALES
ACTUAL]])
+SUMIF(CATEGORIAS[[#All],[SUBGRUPO]],A89,CATEGORIAS[[#All],[PRODUCCION
ADICIONALES
ACTUAL]])</f>
        <v>40972612.829973251</v>
      </c>
      <c r="H89" s="71">
        <f>+SUMIF(CATEGORIAS[[#All],[SUBGRUPO]],A89,CATEGORIAS[[#All],[COSTO
ACUMULADO  AX]])
+SUMIF(CATEGORIAS[[#All],[SUBGRUPO]],A89,CATEGORIAS[[#All],[CAMBIO DE
CATEGORIA]])
+SUMIF(CATEGORIAS[[#All],[SUBGRUPO]],A89,CATEGORIAS[[#All],[PROVISIONES]])</f>
        <v>22130647</v>
      </c>
      <c r="I89" s="71">
        <f>G89-H89</f>
        <v>18841965.829973251</v>
      </c>
      <c r="K89" s="71">
        <f>+SUMIF(CATEGORIAS[[#All],[SUBGRUPO]],A89,CATEGORIAS[[#All],[PRODUCCION
ANTERIOR]])
+SUMIF(CATEGORIAS[[#All],[SUBGRUPO]],A89,CATEGORIAS[[#All],[PRODUCCION
ADICIONALES
ANTERIOR]])</f>
        <v>21824162.756087884</v>
      </c>
      <c r="L89" s="71">
        <f>+SUMIF(CATEGORIAS[[#All],[SUBGRUPO]],A89,CATEGORIAS[[#All],[COSTO ACUMULADO
ANTERIOR]])
+SUMIF(CATEGORIAS[[#All],[SUBGRUPO]],A89,CATEGORIAS[[#All],[CAMBIO DE
CATEGORIA
ANTERIOR]])
+SUMIF(CATEGORIAS[[#All],[SUBGRUPO]],A89,CATEGORIAS[[#All],[PROVISIONES
ANTERIOR]])</f>
        <v>18855552</v>
      </c>
      <c r="M89" s="71">
        <f>K89-L89</f>
        <v>2968610.7560878843</v>
      </c>
      <c r="O89" s="71">
        <f>G89-K89</f>
        <v>19148450.073885366</v>
      </c>
      <c r="P89" s="71">
        <f t="shared" ref="P89:Q90" si="69">H89-L89</f>
        <v>3275095</v>
      </c>
      <c r="Q89" s="71">
        <f t="shared" si="69"/>
        <v>15873355.073885366</v>
      </c>
      <c r="R89" s="125">
        <f t="shared" si="50"/>
        <v>339350131.31989312</v>
      </c>
    </row>
    <row r="90" spans="1:20" ht="15" customHeight="1" x14ac:dyDescent="0.25">
      <c r="A90" s="14" t="str">
        <f>'Matriz de Produccion'!A91</f>
        <v>1G02</v>
      </c>
      <c r="B90" s="6" t="str">
        <f>VLOOKUP(A90,'Analisis por Categorias'!B:C,2,FALSE)</f>
        <v>Buses, Mini buses, Van y Sprinter</v>
      </c>
      <c r="D90" s="3">
        <f>SUMIF(CATEGORIAS[[#All],[SUBGRUPO]],A90,CATEGORIAS[[#All],[PRESUPUESTO
(ORIGINAL)]])</f>
        <v>0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71">
        <f>+SUMIF(CATEGORIAS[[#All],[SUBGRUPO]],A90,CATEGORIAS[[#All],[PRODUCCION
PARTIDAS
ORIGINALES
ACTUAL]])
+SUMIF(CATEGORIAS[[#All],[SUBGRUPO]],A90,CATEGORIAS[[#All],[PRODUCCION
ADICIONALES
ACTUAL]])</f>
        <v>0</v>
      </c>
      <c r="H90" s="71">
        <f>+SUMIF(CATEGORIAS[[#All],[SUBGRUPO]],A90,CATEGORIAS[[#All],[COSTO
ACUMULADO  AX]])
+SUMIF(CATEGORIAS[[#All],[SUBGRUPO]],A90,CATEGORIAS[[#All],[CAMBIO DE
CATEGORIA]])
+SUMIF(CATEGORIAS[[#All],[SUBGRUPO]],A90,CATEGORIAS[[#All],[PROVISIONES]])</f>
        <v>0</v>
      </c>
      <c r="I90" s="71">
        <f>G90-H90</f>
        <v>0</v>
      </c>
      <c r="K90" s="71">
        <f>+SUMIF(CATEGORIAS[[#All],[SUBGRUPO]],A90,CATEGORIAS[[#All],[PRODUCCION
ANTERIOR]])
+SUMIF(CATEGORIAS[[#All],[SUBGRUPO]],A90,CATEGORIAS[[#All],[PRODUCCION
ADICIONALES
ANTERIOR]])</f>
        <v>0</v>
      </c>
      <c r="L90" s="71">
        <f>+SUMIF(CATEGORIAS[[#All],[SUBGRUPO]],A90,CATEGORIAS[[#All],[COSTO ACUMULADO
ANTERIOR]])
+SUMIF(CATEGORIAS[[#All],[SUBGRUPO]],A90,CATEGORIAS[[#All],[CAMBIO DE
CATEGORIA
ANTERIOR]])
+SUMIF(CATEGORIAS[[#All],[SUBGRUPO]],A90,CATEGORIAS[[#All],[PROVISIONES
ANTERIOR]])</f>
        <v>0</v>
      </c>
      <c r="M90" s="71">
        <f>K90-L90</f>
        <v>0</v>
      </c>
      <c r="O90" s="71">
        <f>G90-K90</f>
        <v>0</v>
      </c>
      <c r="P90" s="71">
        <f t="shared" si="69"/>
        <v>0</v>
      </c>
      <c r="Q90" s="71">
        <f t="shared" si="69"/>
        <v>0</v>
      </c>
      <c r="R90" s="125">
        <f t="shared" si="50"/>
        <v>0</v>
      </c>
    </row>
    <row r="91" spans="1:20" ht="15" customHeight="1" x14ac:dyDescent="0.25">
      <c r="A91" s="14" t="str">
        <f>'Matriz de Produccion'!A92</f>
        <v>1G03</v>
      </c>
      <c r="B91" s="6" t="str">
        <f>VLOOKUP(A91,'Analisis por Categorias'!B:C,2,FALSE)</f>
        <v xml:space="preserve">Equipo topográfico </v>
      </c>
      <c r="D91" s="3">
        <f>SUMIF(CATEGORIAS[[#All],[SUBGRUPO]],A91,CATEGORIAS[[#All],[PRESUPUESTO
(ORIGINAL)]])</f>
        <v>2807354.88</v>
      </c>
      <c r="E91" s="3">
        <f>+SUMIF(CATEGORIAS[[#All],[SUBGRUPO]],A91,CATEGORIAS[[#All],[PRODUCCION
PARTIDAS
ORIGINALES
ACTUAL]])
+SUMIF(CATEGORIAS[[#All],[SUBGRUPO]],A91,CATEGORIAS[[#All],[PRODUCCION
ADICIONALES
ACTUAL]])
+SUMIF(CATEGORIAS[[#All],[SUBGRUPO]],A91,CATEGORIAS[[#All],[PROYECCION
DE INGRESO
DEL SALDO]])</f>
        <v>2807354.88</v>
      </c>
      <c r="G91" s="71">
        <f>+SUMIF(CATEGORIAS[[#All],[SUBGRUPO]],A91,CATEGORIAS[[#All],[PRODUCCION
PARTIDAS
ORIGINALES
ACTUAL]])
+SUMIF(CATEGORIAS[[#All],[SUBGRUPO]],A91,CATEGORIAS[[#All],[PRODUCCION
ADICIONALES
ACTUAL]])</f>
        <v>1311123.6105591436</v>
      </c>
      <c r="H91" s="71">
        <f>+SUMIF(CATEGORIAS[[#All],[SUBGRUPO]],A91,CATEGORIAS[[#All],[COSTO
ACUMULADO  AX]])
+SUMIF(CATEGORIAS[[#All],[SUBGRUPO]],A91,CATEGORIAS[[#All],[CAMBIO DE
CATEGORIA]])
+SUMIF(CATEGORIAS[[#All],[SUBGRUPO]],A91,CATEGORIAS[[#All],[PROVISIONES]])</f>
        <v>0</v>
      </c>
      <c r="I91" s="71">
        <f>G91-H91</f>
        <v>1311123.6105591436</v>
      </c>
      <c r="K91" s="71">
        <f>+SUMIF(CATEGORIAS[[#All],[SUBGRUPO]],A91,CATEGORIAS[[#All],[PRODUCCION
ANTERIOR]])
+SUMIF(CATEGORIAS[[#All],[SUBGRUPO]],A91,CATEGORIAS[[#All],[PRODUCCION
ADICIONALES
ANTERIOR]])</f>
        <v>698373.20819481206</v>
      </c>
      <c r="L91" s="71">
        <f>+SUMIF(CATEGORIAS[[#All],[SUBGRUPO]],A91,CATEGORIAS[[#All],[COSTO ACUMULADO
ANTERIOR]])
+SUMIF(CATEGORIAS[[#All],[SUBGRUPO]],A91,CATEGORIAS[[#All],[CAMBIO DE
CATEGORIA
ANTERIOR]])
+SUMIF(CATEGORIAS[[#All],[SUBGRUPO]],A91,CATEGORIAS[[#All],[PROVISIONES
ANTERIOR]])</f>
        <v>0</v>
      </c>
      <c r="M91" s="71">
        <f t="shared" ref="M91:M93" si="70">K91-L91</f>
        <v>698373.20819481206</v>
      </c>
      <c r="O91" s="71">
        <f>G91-K91</f>
        <v>612750.40236433153</v>
      </c>
      <c r="P91" s="71">
        <f t="shared" ref="P91:P93" si="71">H91-L91</f>
        <v>0</v>
      </c>
      <c r="Q91" s="71">
        <f t="shared" ref="Q91:Q93" si="72">I91-M91</f>
        <v>612750.40236433153</v>
      </c>
      <c r="R91" s="125"/>
    </row>
    <row r="92" spans="1:20" ht="15" customHeight="1" x14ac:dyDescent="0.25">
      <c r="A92" s="14" t="str">
        <f>'Matriz de Produccion'!A93</f>
        <v>1G04</v>
      </c>
      <c r="B92" s="6" t="str">
        <f>VLOOKUP(A92,'Analisis por Categorias'!B:C,2,FALSE)</f>
        <v xml:space="preserve">Combustibles </v>
      </c>
      <c r="D92" s="3">
        <f>SUMIF(CATEGORIAS[[#All],[SUBGRUPO]],A92,CATEGORIAS[[#All],[PRESUPUESTO
(ORIGINAL)]])</f>
        <v>0</v>
      </c>
      <c r="E92" s="3">
        <f>+SUMIF(CATEGORIAS[[#All],[SUBGRUPO]],A92,CATEGORIAS[[#All],[PRODUCCION
PARTIDAS
ORIGINALES
ACTUAL]])
+SUMIF(CATEGORIAS[[#All],[SUBGRUPO]],A92,CATEGORIAS[[#All],[PRODUCCION
ADICIONALES
ACTUAL]])
+SUMIF(CATEGORIAS[[#All],[SUBGRUPO]],A92,CATEGORIAS[[#All],[PROYECCION
DE INGRESO
DEL SALDO]])</f>
        <v>0</v>
      </c>
      <c r="G92" s="71">
        <f>+SUMIF(CATEGORIAS[[#All],[SUBGRUPO]],A92,CATEGORIAS[[#All],[PRODUCCION
PARTIDAS
ORIGINALES
ACTUAL]])
+SUMIF(CATEGORIAS[[#All],[SUBGRUPO]],A92,CATEGORIAS[[#All],[PRODUCCION
ADICIONALES
ACTUAL]])</f>
        <v>0</v>
      </c>
      <c r="H92" s="71">
        <f>+SUMIF(CATEGORIAS[[#All],[SUBGRUPO]],A92,CATEGORIAS[[#All],[COSTO
ACUMULADO  AX]])
+SUMIF(CATEGORIAS[[#All],[SUBGRUPO]],A92,CATEGORIAS[[#All],[CAMBIO DE
CATEGORIA]])
+SUMIF(CATEGORIAS[[#All],[SUBGRUPO]],A92,CATEGORIAS[[#All],[PROVISIONES]])</f>
        <v>0</v>
      </c>
      <c r="I92" s="71">
        <f>G92-H92</f>
        <v>0</v>
      </c>
      <c r="K92" s="71">
        <f>+SUMIF(CATEGORIAS[[#All],[SUBGRUPO]],A92,CATEGORIAS[[#All],[PRODUCCION
ANTERIOR]])
+SUMIF(CATEGORIAS[[#All],[SUBGRUPO]],A92,CATEGORIAS[[#All],[PRODUCCION
ADICIONALES
ANTERIOR]])</f>
        <v>0</v>
      </c>
      <c r="L92" s="71">
        <f>+SUMIF(CATEGORIAS[[#All],[SUBGRUPO]],A92,CATEGORIAS[[#All],[COSTO ACUMULADO
ANTERIOR]])
+SUMIF(CATEGORIAS[[#All],[SUBGRUPO]],A92,CATEGORIAS[[#All],[CAMBIO DE
CATEGORIA
ANTERIOR]])
+SUMIF(CATEGORIAS[[#All],[SUBGRUPO]],A92,CATEGORIAS[[#All],[PROVISIONES
ANTERIOR]])</f>
        <v>0</v>
      </c>
      <c r="M92" s="71">
        <f t="shared" si="70"/>
        <v>0</v>
      </c>
      <c r="O92" s="71">
        <f>G92-K92</f>
        <v>0</v>
      </c>
      <c r="P92" s="71">
        <f t="shared" si="71"/>
        <v>0</v>
      </c>
      <c r="Q92" s="71">
        <f t="shared" si="72"/>
        <v>0</v>
      </c>
      <c r="R92" s="125"/>
    </row>
    <row r="93" spans="1:20" ht="15" customHeight="1" x14ac:dyDescent="0.25">
      <c r="A93" s="14" t="str">
        <f>'Matriz de Produccion'!A94</f>
        <v>1G05</v>
      </c>
      <c r="B93" s="6" t="str">
        <f>VLOOKUP(A93,'Analisis por Categorias'!B:C,2,FALSE)</f>
        <v xml:space="preserve">Otros Equipos </v>
      </c>
      <c r="D93" s="3">
        <f>SUMIF(CATEGORIAS[[#All],[SUBGRUPO]],A93,CATEGORIAS[[#All],[PRESUPUESTO
(ORIGINAL)]])</f>
        <v>0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0</v>
      </c>
      <c r="G93" s="71">
        <f>+SUMIF(CATEGORIAS[[#All],[SUBGRUPO]],A93,CATEGORIAS[[#All],[PRODUCCION
PARTIDAS
ORIGINALES
ACTUAL]])
+SUMIF(CATEGORIAS[[#All],[SUBGRUPO]],A93,CATEGORIAS[[#All],[PRODUCCION
ADICIONALES
ACTUAL]])</f>
        <v>0</v>
      </c>
      <c r="H93" s="71">
        <f>+SUMIF(CATEGORIAS[[#All],[SUBGRUPO]],A93,CATEGORIAS[[#All],[COSTO
ACUMULADO  AX]])
+SUMIF(CATEGORIAS[[#All],[SUBGRUPO]],A93,CATEGORIAS[[#All],[CAMBIO DE
CATEGORIA]])
+SUMIF(CATEGORIAS[[#All],[SUBGRUPO]],A93,CATEGORIAS[[#All],[PROVISIONES]])</f>
        <v>0</v>
      </c>
      <c r="I93" s="71">
        <f>G93-H93</f>
        <v>0</v>
      </c>
      <c r="K93" s="71">
        <f>+SUMIF(CATEGORIAS[[#All],[SUBGRUPO]],A93,CATEGORIAS[[#All],[PRODUCCION
ANTERIOR]])
+SUMIF(CATEGORIAS[[#All],[SUBGRUPO]],A93,CATEGORIAS[[#All],[PRODUCCION
ADICIONALES
ANTERIOR]])</f>
        <v>0</v>
      </c>
      <c r="L93" s="71">
        <f>+SUMIF(CATEGORIAS[[#All],[SUBGRUPO]],A93,CATEGORIAS[[#All],[COSTO ACUMULADO
ANTERIOR]])
+SUMIF(CATEGORIAS[[#All],[SUBGRUPO]],A93,CATEGORIAS[[#All],[CAMBIO DE
CATEGORIA
ANTERIOR]])
+SUMIF(CATEGORIAS[[#All],[SUBGRUPO]],A93,CATEGORIAS[[#All],[PROVISIONES
ANTERIOR]])</f>
        <v>0</v>
      </c>
      <c r="M93" s="71">
        <f t="shared" si="70"/>
        <v>0</v>
      </c>
      <c r="O93" s="71">
        <f>G93-K93</f>
        <v>0</v>
      </c>
      <c r="P93" s="71">
        <f t="shared" si="71"/>
        <v>0</v>
      </c>
      <c r="Q93" s="71">
        <f t="shared" si="72"/>
        <v>0</v>
      </c>
      <c r="R93" s="125"/>
    </row>
    <row r="94" spans="1:20" ht="8.25" customHeight="1" x14ac:dyDescent="0.25">
      <c r="R94" s="125">
        <f t="shared" ref="R94:R125" si="73">SUM(D94:Q94)</f>
        <v>0</v>
      </c>
    </row>
    <row r="95" spans="1:20" ht="15" customHeight="1" x14ac:dyDescent="0.25">
      <c r="A95" s="14" t="str">
        <f>'Matriz de Produccion'!A96</f>
        <v>1H00</v>
      </c>
      <c r="B95" s="81" t="str">
        <f>'Matriz de Produccion'!B96:B96</f>
        <v>H - INSTALACIÓN DE FAENAS</v>
      </c>
      <c r="D95" s="82">
        <f>SUM(D96:D105)</f>
        <v>164811573.62139496</v>
      </c>
      <c r="E95" s="82">
        <f>SUM(E96:E105)</f>
        <v>166757070.55323496</v>
      </c>
      <c r="G95" s="83">
        <f>SUM(G96:G105)</f>
        <v>117813488.61827117</v>
      </c>
      <c r="H95" s="83">
        <f>SUM(H96:H105)</f>
        <v>44689035</v>
      </c>
      <c r="I95" s="87">
        <f>SUM(I96:I105)</f>
        <v>73124453.618271172</v>
      </c>
      <c r="K95" s="83">
        <f>SUM(K96:K105)</f>
        <v>113343398.88012539</v>
      </c>
      <c r="L95" s="83">
        <f>SUM(L96:L105)</f>
        <v>22088687</v>
      </c>
      <c r="M95" s="83">
        <f>SUM(M96:M105)</f>
        <v>91254711.880125389</v>
      </c>
      <c r="O95" s="83">
        <f>SUM(O96:O105)</f>
        <v>4470089.7381457919</v>
      </c>
      <c r="P95" s="84">
        <f>SUM(P96:P105)</f>
        <v>22600348</v>
      </c>
      <c r="Q95" s="87">
        <f>SUM(Q96:Q105)</f>
        <v>-18130258.261854209</v>
      </c>
      <c r="R95" s="125">
        <f t="shared" si="73"/>
        <v>802822598.64771473</v>
      </c>
      <c r="S95" s="265"/>
    </row>
    <row r="96" spans="1:20" ht="15" customHeight="1" x14ac:dyDescent="0.25">
      <c r="A96" s="14" t="str">
        <f>'Matriz de Produccion'!A97</f>
        <v>1H01</v>
      </c>
      <c r="B96" s="6" t="str">
        <f>VLOOKUP(A96,'Analisis por Categorias'!B:C,2,FALSE)</f>
        <v>Mano De Obra</v>
      </c>
      <c r="D96" s="3">
        <f>SUMIF(CATEGORIAS[[#All],[SUBGRUPO]],A96,CATEGORIAS[[#All],[PRESUPUESTO
(ORIGINAL)]])</f>
        <v>10998290.191088844</v>
      </c>
      <c r="E96" s="3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10998290.191088844</v>
      </c>
      <c r="G96" s="71">
        <f>+SUMIF(CATEGORIAS[[#All],[SUBGRUPO]],A96,CATEGORIAS[[#All],[PRODUCCION
PARTIDAS
ORIGINALES
ACTUAL]])
+SUMIF(CATEGORIAS[[#All],[SUBGRUPO]],A96,CATEGORIAS[[#All],[PRODUCCION
ADICIONALES
ACTUAL]])</f>
        <v>8248717.6433166321</v>
      </c>
      <c r="H96" s="71">
        <f>+SUMIF(CATEGORIAS[[#All],[SUBGRUPO]],A96,CATEGORIAS[[#All],[COSTO
ACUMULADO  AX]])
+SUMIF(CATEGORIAS[[#All],[SUBGRUPO]],A96,CATEGORIAS[[#All],[CAMBIO DE
CATEGORIA]])
+SUMIF(CATEGORIAS[[#All],[SUBGRUPO]],A96,CATEGORIAS[[#All],[PROVISIONES]])</f>
        <v>12194049</v>
      </c>
      <c r="I96" s="71">
        <f t="shared" ref="I96:I105" si="74">G96-H96</f>
        <v>-3945331.3566833679</v>
      </c>
      <c r="K96" s="71">
        <f>+SUMIF(CATEGORIAS[[#All],[SUBGRUPO]],A96,CATEGORIAS[[#All],[PRODUCCION
ANTERIOR]])
+SUMIF(CATEGORIAS[[#All],[SUBGRUPO]],A96,CATEGORIAS[[#All],[PRODUCCION
ADICIONALES
ANTERIOR]])</f>
        <v>8248717.6433166321</v>
      </c>
      <c r="L96" s="71">
        <f>+SUMIF(CATEGORIAS[[#All],[SUBGRUPO]],A96,CATEGORIAS[[#All],[COSTO ACUMULADO
ANTERIOR]])
+SUMIF(CATEGORIAS[[#All],[SUBGRUPO]],A96,CATEGORIAS[[#All],[CAMBIO DE
CATEGORIA
ANTERIOR]])
+SUMIF(CATEGORIAS[[#All],[SUBGRUPO]],A96,CATEGORIAS[[#All],[PROVISIONES
ANTERIOR]])</f>
        <v>0</v>
      </c>
      <c r="M96" s="71">
        <f t="shared" ref="M96" si="75">K96-L96</f>
        <v>8248717.6433166321</v>
      </c>
      <c r="O96" s="71">
        <f t="shared" ref="O96:O105" si="76">G96-K96</f>
        <v>0</v>
      </c>
      <c r="P96" s="71">
        <f t="shared" ref="P96" si="77">H96-L96</f>
        <v>12194049</v>
      </c>
      <c r="Q96" s="71">
        <f t="shared" ref="Q96" si="78">I96-M96</f>
        <v>-12194049</v>
      </c>
      <c r="R96" s="125">
        <f t="shared" si="73"/>
        <v>54991450.955444217</v>
      </c>
    </row>
    <row r="97" spans="1:19" ht="15" customHeight="1" x14ac:dyDescent="0.25">
      <c r="A97" s="14" t="str">
        <f>'Matriz de Produccion'!A98</f>
        <v>1H02</v>
      </c>
      <c r="B97" s="6" t="str">
        <f>VLOOKUP(A97,'Analisis por Categorias'!B:C,2,FALSE)</f>
        <v xml:space="preserve">Containers </v>
      </c>
      <c r="D97" s="3">
        <f>SUMIF(CATEGORIAS[[#All],[SUBGRUPO]],A97,CATEGORIAS[[#All],[PRESUPUESTO
(ORIGINAL)]])</f>
        <v>24060000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24060000</v>
      </c>
      <c r="G97" s="71">
        <f>+SUMIF(CATEGORIAS[[#All],[SUBGRUPO]],A97,CATEGORIAS[[#All],[PRODUCCION
PARTIDAS
ORIGINALES
ACTUAL]])
+SUMIF(CATEGORIAS[[#All],[SUBGRUPO]],A97,CATEGORIAS[[#All],[PRODUCCION
ADICIONALES
ACTUAL]])</f>
        <v>18045000</v>
      </c>
      <c r="H97" s="71">
        <f>+SUMIF(CATEGORIAS[[#All],[SUBGRUPO]],A97,CATEGORIAS[[#All],[COSTO
ACUMULADO  AX]])
+SUMIF(CATEGORIAS[[#All],[SUBGRUPO]],A97,CATEGORIAS[[#All],[CAMBIO DE
CATEGORIA]])
+SUMIF(CATEGORIAS[[#All],[SUBGRUPO]],A97,CATEGORIAS[[#All],[PROVISIONES]])</f>
        <v>12318294</v>
      </c>
      <c r="I97" s="71">
        <f t="shared" si="74"/>
        <v>5726706</v>
      </c>
      <c r="K97" s="71">
        <f>+SUMIF(CATEGORIAS[[#All],[SUBGRUPO]],A97,CATEGORIAS[[#All],[PRODUCCION
ANTERIOR]])
+SUMIF(CATEGORIAS[[#All],[SUBGRUPO]],A97,CATEGORIAS[[#All],[PRODUCCION
ADICIONALES
ANTERIOR]])</f>
        <v>18045000</v>
      </c>
      <c r="L97" s="71">
        <f>+SUMIF(CATEGORIAS[[#All],[SUBGRUPO]],A97,CATEGORIAS[[#All],[COSTO ACUMULADO
ANTERIOR]])
+SUMIF(CATEGORIAS[[#All],[SUBGRUPO]],A97,CATEGORIAS[[#All],[CAMBIO DE
CATEGORIA
ANTERIOR]])
+SUMIF(CATEGORIAS[[#All],[SUBGRUPO]],A97,CATEGORIAS[[#All],[PROVISIONES
ANTERIOR]])</f>
        <v>7578452</v>
      </c>
      <c r="M97" s="71">
        <f t="shared" ref="M97:M102" si="79">K97-L97</f>
        <v>10466548</v>
      </c>
      <c r="O97" s="71">
        <f t="shared" si="76"/>
        <v>0</v>
      </c>
      <c r="P97" s="71">
        <f t="shared" ref="P97:P102" si="80">H97-L97</f>
        <v>4739842</v>
      </c>
      <c r="Q97" s="71">
        <f t="shared" ref="Q97:Q102" si="81">I97-M97</f>
        <v>-4739842</v>
      </c>
      <c r="R97" s="125">
        <f t="shared" si="73"/>
        <v>120300000</v>
      </c>
    </row>
    <row r="98" spans="1:19" ht="15" customHeight="1" x14ac:dyDescent="0.25">
      <c r="A98" s="14" t="str">
        <f>'Matriz de Produccion'!A99</f>
        <v>1H03</v>
      </c>
      <c r="B98" s="6" t="str">
        <f>VLOOKUP(A98,'Analisis por Categorias'!B:C,2,FALSE)</f>
        <v xml:space="preserve">Materiales </v>
      </c>
      <c r="D98" s="3">
        <f>SUMIF(CATEGORIAS[[#All],[SUBGRUPO]],A98,CATEGORIAS[[#All],[PRESUPUESTO
(ORIGINAL)]])</f>
        <v>33295000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33295000</v>
      </c>
      <c r="G98" s="71">
        <f>+SUMIF(CATEGORIAS[[#All],[SUBGRUPO]],A98,CATEGORIAS[[#All],[PRODUCCION
PARTIDAS
ORIGINALES
ACTUAL]])
+SUMIF(CATEGORIAS[[#All],[SUBGRUPO]],A98,CATEGORIAS[[#All],[PRODUCCION
ADICIONALES
ACTUAL]])</f>
        <v>22848987.451986682</v>
      </c>
      <c r="H98" s="71">
        <f>+SUMIF(CATEGORIAS[[#All],[SUBGRUPO]],A98,CATEGORIAS[[#All],[COSTO
ACUMULADO  AX]])
+SUMIF(CATEGORIAS[[#All],[SUBGRUPO]],A98,CATEGORIAS[[#All],[CAMBIO DE
CATEGORIA]])
+SUMIF(CATEGORIAS[[#All],[SUBGRUPO]],A98,CATEGORIAS[[#All],[PROVISIONES]])</f>
        <v>10570940</v>
      </c>
      <c r="I98" s="71">
        <f t="shared" si="74"/>
        <v>12278047.451986682</v>
      </c>
      <c r="K98" s="71">
        <f>+SUMIF(CATEGORIAS[[#All],[SUBGRUPO]],A98,CATEGORIAS[[#All],[PRODUCCION
ANTERIOR]])
+SUMIF(CATEGORIAS[[#All],[SUBGRUPO]],A98,CATEGORIAS[[#All],[PRODUCCION
ADICIONALES
ANTERIOR]])</f>
        <v>21211991.698271181</v>
      </c>
      <c r="L98" s="71">
        <f>+SUMIF(CATEGORIAS[[#All],[SUBGRUPO]],A98,CATEGORIAS[[#All],[COSTO ACUMULADO
ANTERIOR]])
+SUMIF(CATEGORIAS[[#All],[SUBGRUPO]],A98,CATEGORIAS[[#All],[CAMBIO DE
CATEGORIA
ANTERIOR]])
+SUMIF(CATEGORIAS[[#All],[SUBGRUPO]],A98,CATEGORIAS[[#All],[PROVISIONES
ANTERIOR]])</f>
        <v>10213669</v>
      </c>
      <c r="M98" s="71">
        <f>K98-L98</f>
        <v>10998322.698271181</v>
      </c>
      <c r="O98" s="71">
        <f t="shared" si="76"/>
        <v>1636995.7537155002</v>
      </c>
      <c r="P98" s="71">
        <f t="shared" ref="P98:Q99" si="82">H98-L98</f>
        <v>357271</v>
      </c>
      <c r="Q98" s="71">
        <f t="shared" si="82"/>
        <v>1279724.7537155002</v>
      </c>
      <c r="R98" s="125">
        <f t="shared" si="73"/>
        <v>157985949.80794674</v>
      </c>
    </row>
    <row r="99" spans="1:19" ht="15" customHeight="1" x14ac:dyDescent="0.25">
      <c r="A99" s="14" t="str">
        <f>'Matriz de Produccion'!A100</f>
        <v>1H04</v>
      </c>
      <c r="B99" s="6" t="str">
        <f>VLOOKUP(A99,'Analisis por Categorias'!B:C,2,FALSE)</f>
        <v xml:space="preserve">Energía Eléctrica </v>
      </c>
      <c r="D99" s="3">
        <f>SUMIF(CATEGORIAS[[#All],[SUBGRUPO]],A99,CATEGORIAS[[#All],[PRESUPUESTO
(ORIGINAL)]])</f>
        <v>31512000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33457496.931840003</v>
      </c>
      <c r="G99" s="71">
        <f>+SUMIF(CATEGORIAS[[#All],[SUBGRUPO]],A99,CATEGORIAS[[#All],[PRODUCCION
PARTIDAS
ORIGINALES
ACTUAL]])
+SUMIF(CATEGORIAS[[#All],[SUBGRUPO]],A99,CATEGORIAS[[#All],[PRODUCCION
ADICIONALES
ACTUAL]])</f>
        <v>23634000</v>
      </c>
      <c r="H99" s="71">
        <f>+SUMIF(CATEGORIAS[[#All],[SUBGRUPO]],A99,CATEGORIAS[[#All],[COSTO
ACUMULADO  AX]])
+SUMIF(CATEGORIAS[[#All],[SUBGRUPO]],A99,CATEGORIAS[[#All],[CAMBIO DE
CATEGORIA]])
+SUMIF(CATEGORIAS[[#All],[SUBGRUPO]],A99,CATEGORIAS[[#All],[PROVISIONES]])</f>
        <v>4936840</v>
      </c>
      <c r="I99" s="71">
        <f t="shared" si="74"/>
        <v>18697160</v>
      </c>
      <c r="K99" s="71">
        <f>+SUMIF(CATEGORIAS[[#All],[SUBGRUPO]],A99,CATEGORIAS[[#All],[PRODUCCION
ANTERIOR]])
+SUMIF(CATEGORIAS[[#All],[SUBGRUPO]],A99,CATEGORIAS[[#All],[PRODUCCION
ADICIONALES
ANTERIOR]])</f>
        <v>23634000</v>
      </c>
      <c r="L99" s="71">
        <f>+SUMIF(CATEGORIAS[[#All],[SUBGRUPO]],A99,CATEGORIAS[[#All],[COSTO ACUMULADO
ANTERIOR]])
+SUMIF(CATEGORIAS[[#All],[SUBGRUPO]],A99,CATEGORIAS[[#All],[CAMBIO DE
CATEGORIA
ANTERIOR]])
+SUMIF(CATEGORIAS[[#All],[SUBGRUPO]],A99,CATEGORIAS[[#All],[PROVISIONES
ANTERIOR]])</f>
        <v>2158840</v>
      </c>
      <c r="M99" s="71">
        <f>K99-L99</f>
        <v>21475160</v>
      </c>
      <c r="O99" s="71">
        <f t="shared" si="76"/>
        <v>0</v>
      </c>
      <c r="P99" s="71">
        <f t="shared" si="82"/>
        <v>2778000</v>
      </c>
      <c r="Q99" s="71">
        <f t="shared" si="82"/>
        <v>-2778000</v>
      </c>
      <c r="R99" s="125">
        <f t="shared" si="73"/>
        <v>159505496.93184</v>
      </c>
    </row>
    <row r="100" spans="1:19" ht="15" customHeight="1" x14ac:dyDescent="0.25">
      <c r="A100" s="14" t="str">
        <f>'Matriz de Produccion'!A101</f>
        <v>1H05</v>
      </c>
      <c r="B100" s="6" t="str">
        <f>VLOOKUP(A100,'Analisis por Categorias'!B:C,2,FALSE)</f>
        <v xml:space="preserve">Mobiliario </v>
      </c>
      <c r="D100" s="3">
        <f>SUMIF(CATEGORIAS[[#All],[SUBGRUPO]],A100,CATEGORIAS[[#All],[PRESUPUESTO
(ORIGINAL)]])</f>
        <v>3695000.0000000005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3695000.0000000005</v>
      </c>
      <c r="G100" s="71">
        <f>+SUMIF(CATEGORIAS[[#All],[SUBGRUPO]],A100,CATEGORIAS[[#All],[PRODUCCION
PARTIDAS
ORIGINALES
ACTUAL]])
+SUMIF(CATEGORIAS[[#All],[SUBGRUPO]],A100,CATEGORIAS[[#All],[PRODUCCION
ADICIONALES
ACTUAL]])</f>
        <v>2771250</v>
      </c>
      <c r="H100" s="71">
        <f>+SUMIF(CATEGORIAS[[#All],[SUBGRUPO]],A100,CATEGORIAS[[#All],[COSTO
ACUMULADO  AX]])
+SUMIF(CATEGORIAS[[#All],[SUBGRUPO]],A100,CATEGORIAS[[#All],[CAMBIO DE
CATEGORIA]])
+SUMIF(CATEGORIAS[[#All],[SUBGRUPO]],A100,CATEGORIAS[[#All],[PROVISIONES]])</f>
        <v>1378909</v>
      </c>
      <c r="I100" s="71">
        <f t="shared" si="74"/>
        <v>1392341</v>
      </c>
      <c r="K100" s="71">
        <f>+SUMIF(CATEGORIAS[[#All],[SUBGRUPO]],A100,CATEGORIAS[[#All],[PRODUCCION
ANTERIOR]])
+SUMIF(CATEGORIAS[[#All],[SUBGRUPO]],A100,CATEGORIAS[[#All],[PRODUCCION
ADICIONALES
ANTERIOR]])</f>
        <v>2771250</v>
      </c>
      <c r="L100" s="71">
        <f>+SUMIF(CATEGORIAS[[#All],[SUBGRUPO]],A100,CATEGORIAS[[#All],[COSTO ACUMULADO
ANTERIOR]])
+SUMIF(CATEGORIAS[[#All],[SUBGRUPO]],A100,CATEGORIAS[[#All],[CAMBIO DE
CATEGORIA
ANTERIOR]])
+SUMIF(CATEGORIAS[[#All],[SUBGRUPO]],A100,CATEGORIAS[[#All],[PROVISIONES
ANTERIOR]])</f>
        <v>422726</v>
      </c>
      <c r="M100" s="71">
        <f t="shared" si="79"/>
        <v>2348524</v>
      </c>
      <c r="O100" s="71">
        <f t="shared" si="76"/>
        <v>0</v>
      </c>
      <c r="P100" s="71">
        <f t="shared" si="80"/>
        <v>956183</v>
      </c>
      <c r="Q100" s="71">
        <f t="shared" si="81"/>
        <v>-956183</v>
      </c>
      <c r="R100" s="125">
        <f t="shared" si="73"/>
        <v>18475000</v>
      </c>
    </row>
    <row r="101" spans="1:19" ht="15" customHeight="1" x14ac:dyDescent="0.25">
      <c r="A101" s="14" t="str">
        <f>'Matriz de Produccion'!A102</f>
        <v>1H06</v>
      </c>
      <c r="B101" s="6" t="str">
        <f>VLOOKUP(A101,'Analisis por Categorias'!B:C,2,FALSE)</f>
        <v xml:space="preserve">Baños Químicos </v>
      </c>
      <c r="D101" s="3">
        <f>SUMIF(CATEGORIAS[[#All],[SUBGRUPO]],A101,CATEGORIAS[[#All],[PRESUPUESTO
(ORIGINAL)]])</f>
        <v>28435644.852235559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28435644.852235559</v>
      </c>
      <c r="G101" s="71">
        <f>+SUMIF(CATEGORIAS[[#All],[SUBGRUPO]],A101,CATEGORIAS[[#All],[PRODUCCION
PARTIDAS
ORIGINALES
ACTUAL]])
+SUMIF(CATEGORIAS[[#All],[SUBGRUPO]],A101,CATEGORIAS[[#All],[PRODUCCION
ADICIONALES
ACTUAL]])</f>
        <v>19917551.307295822</v>
      </c>
      <c r="H101" s="71">
        <f>+SUMIF(CATEGORIAS[[#All],[SUBGRUPO]],A101,CATEGORIAS[[#All],[COSTO
ACUMULADO  AX]])
+SUMIF(CATEGORIAS[[#All],[SUBGRUPO]],A101,CATEGORIAS[[#All],[CAMBIO DE
CATEGORIA]])
+SUMIF(CATEGORIAS[[#All],[SUBGRUPO]],A101,CATEGORIAS[[#All],[PROVISIONES]])</f>
        <v>3290003</v>
      </c>
      <c r="I101" s="71">
        <f t="shared" si="74"/>
        <v>16627548.307295822</v>
      </c>
      <c r="K101" s="71">
        <f>+SUMIF(CATEGORIAS[[#All],[SUBGRUPO]],A101,CATEGORIAS[[#All],[PRODUCCION
ANTERIOR]])
+SUMIF(CATEGORIAS[[#All],[SUBGRUPO]],A101,CATEGORIAS[[#All],[PRODUCCION
ADICIONALES
ANTERIOR]])</f>
        <v>18830586.12682873</v>
      </c>
      <c r="L101" s="71">
        <f>+SUMIF(CATEGORIAS[[#All],[SUBGRUPO]],A101,CATEGORIAS[[#All],[COSTO ACUMULADO
ANTERIOR]])
+SUMIF(CATEGORIAS[[#All],[SUBGRUPO]],A101,CATEGORIAS[[#All],[CAMBIO DE
CATEGORIA
ANTERIOR]])
+SUMIF(CATEGORIAS[[#All],[SUBGRUPO]],A101,CATEGORIAS[[#All],[PROVISIONES
ANTERIOR]])</f>
        <v>1715000</v>
      </c>
      <c r="M101" s="71">
        <f t="shared" si="79"/>
        <v>17115586.12682873</v>
      </c>
      <c r="O101" s="71">
        <f t="shared" si="76"/>
        <v>1086965.1804670915</v>
      </c>
      <c r="P101" s="71">
        <f t="shared" si="80"/>
        <v>1575003</v>
      </c>
      <c r="Q101" s="71">
        <f t="shared" si="81"/>
        <v>-488037.8195329085</v>
      </c>
      <c r="R101" s="125">
        <f t="shared" si="73"/>
        <v>136541494.93365443</v>
      </c>
    </row>
    <row r="102" spans="1:19" ht="15" customHeight="1" x14ac:dyDescent="0.25">
      <c r="A102" s="14" t="str">
        <f>'Matriz de Produccion'!A103</f>
        <v>1H07</v>
      </c>
      <c r="B102" s="6" t="str">
        <f>VLOOKUP(A102,'Analisis por Categorias'!B:C,2,FALSE)</f>
        <v>Servicios Básicos (Luz, Agua, Gas)</v>
      </c>
      <c r="D102" s="3">
        <f>SUMIF(CATEGORIAS[[#All],[SUBGRUPO]],A102,CATEGORIAS[[#All],[PRESUPUESTO
(ORIGINAL)]])</f>
        <v>8500000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8500000</v>
      </c>
      <c r="G102" s="71">
        <f>+SUMIF(CATEGORIAS[[#All],[SUBGRUPO]],A102,CATEGORIAS[[#All],[PRODUCCION
PARTIDAS
ORIGINALES
ACTUAL]])
+SUMIF(CATEGORIAS[[#All],[SUBGRUPO]],A102,CATEGORIAS[[#All],[PRODUCCION
ADICIONALES
ACTUAL]])</f>
        <v>6375000</v>
      </c>
      <c r="H102" s="71">
        <f>+SUMIF(CATEGORIAS[[#All],[SUBGRUPO]],A102,CATEGORIAS[[#All],[COSTO
ACUMULADO  AX]])
+SUMIF(CATEGORIAS[[#All],[SUBGRUPO]],A102,CATEGORIAS[[#All],[CAMBIO DE
CATEGORIA]])
+SUMIF(CATEGORIAS[[#All],[SUBGRUPO]],A102,CATEGORIAS[[#All],[PROVISIONES]])</f>
        <v>0</v>
      </c>
      <c r="I102" s="71">
        <f t="shared" si="74"/>
        <v>6375000</v>
      </c>
      <c r="K102" s="71">
        <f>+SUMIF(CATEGORIAS[[#All],[SUBGRUPO]],A102,CATEGORIAS[[#All],[PRODUCCION
ANTERIOR]])
+SUMIF(CATEGORIAS[[#All],[SUBGRUPO]],A102,CATEGORIAS[[#All],[PRODUCCION
ADICIONALES
ANTERIOR]])</f>
        <v>6375000</v>
      </c>
      <c r="L102" s="71">
        <f>+SUMIF(CATEGORIAS[[#All],[SUBGRUPO]],A102,CATEGORIAS[[#All],[COSTO ACUMULADO
ANTERIOR]])
+SUMIF(CATEGORIAS[[#All],[SUBGRUPO]],A102,CATEGORIAS[[#All],[CAMBIO DE
CATEGORIA
ANTERIOR]])
+SUMIF(CATEGORIAS[[#All],[SUBGRUPO]],A102,CATEGORIAS[[#All],[PROVISIONES
ANTERIOR]])</f>
        <v>0</v>
      </c>
      <c r="M102" s="71">
        <f t="shared" si="79"/>
        <v>6375000</v>
      </c>
      <c r="O102" s="71">
        <f t="shared" si="76"/>
        <v>0</v>
      </c>
      <c r="P102" s="71">
        <f t="shared" si="80"/>
        <v>0</v>
      </c>
      <c r="Q102" s="71">
        <f t="shared" si="81"/>
        <v>0</v>
      </c>
      <c r="R102" s="125">
        <f t="shared" si="73"/>
        <v>42500000</v>
      </c>
    </row>
    <row r="103" spans="1:19" ht="15" customHeight="1" x14ac:dyDescent="0.25">
      <c r="A103" s="14" t="str">
        <f>'Matriz de Produccion'!A104</f>
        <v>1H08</v>
      </c>
      <c r="B103" s="6" t="str">
        <f>VLOOKUP(A103,'Analisis por Categorias'!B:C,2,FALSE)</f>
        <v xml:space="preserve">Fletes </v>
      </c>
      <c r="D103" s="3">
        <f>SUMIF(CATEGORIAS[[#All],[SUBGRUPO]],A103,CATEGORIAS[[#All],[PRESUPUESTO
(ORIGINAL)]])</f>
        <v>16315638.578070559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16315638.578070559</v>
      </c>
      <c r="G103" s="71">
        <f>+SUMIF(CATEGORIAS[[#All],[SUBGRUPO]],A103,CATEGORIAS[[#All],[PRODUCCION
PARTIDAS
ORIGINALES
ACTUAL]])
+SUMIF(CATEGORIAS[[#All],[SUBGRUPO]],A103,CATEGORIAS[[#All],[PRODUCCION
ADICIONALES
ACTUAL]])</f>
        <v>12236728.933552915</v>
      </c>
      <c r="H103" s="71">
        <f>+SUMIF(CATEGORIAS[[#All],[SUBGRUPO]],A103,CATEGORIAS[[#All],[COSTO
ACUMULADO  AX]])
+SUMIF(CATEGORIAS[[#All],[SUBGRUPO]],A103,CATEGORIAS[[#All],[CAMBIO DE
CATEGORIA]])
+SUMIF(CATEGORIAS[[#All],[SUBGRUPO]],A103,CATEGORIAS[[#All],[PROVISIONES]])</f>
        <v>0</v>
      </c>
      <c r="I103" s="71">
        <f t="shared" si="74"/>
        <v>12236728.933552915</v>
      </c>
      <c r="K103" s="71">
        <f>+SUMIF(CATEGORIAS[[#All],[SUBGRUPO]],A103,CATEGORIAS[[#All],[PRODUCCION
ANTERIOR]])
+SUMIF(CATEGORIAS[[#All],[SUBGRUPO]],A103,CATEGORIAS[[#All],[PRODUCCION
ADICIONALES
ANTERIOR]])</f>
        <v>12236728.933552915</v>
      </c>
      <c r="L103" s="71">
        <f>+SUMIF(CATEGORIAS[[#All],[SUBGRUPO]],A103,CATEGORIAS[[#All],[COSTO ACUMULADO
ANTERIOR]])
+SUMIF(CATEGORIAS[[#All],[SUBGRUPO]],A103,CATEGORIAS[[#All],[CAMBIO DE
CATEGORIA
ANTERIOR]])
+SUMIF(CATEGORIAS[[#All],[SUBGRUPO]],A103,CATEGORIAS[[#All],[PROVISIONES
ANTERIOR]])</f>
        <v>0</v>
      </c>
      <c r="M103" s="71">
        <f t="shared" ref="M103:M105" si="83">K103-L103</f>
        <v>12236728.933552915</v>
      </c>
      <c r="O103" s="71">
        <f t="shared" si="76"/>
        <v>0</v>
      </c>
      <c r="P103" s="71">
        <f t="shared" ref="P103:P105" si="84">H103-L103</f>
        <v>0</v>
      </c>
      <c r="Q103" s="71">
        <f t="shared" ref="Q103:Q105" si="85">I103-M103</f>
        <v>0</v>
      </c>
      <c r="R103" s="125">
        <f t="shared" si="73"/>
        <v>81578192.890352786</v>
      </c>
    </row>
    <row r="104" spans="1:19" ht="15" customHeight="1" x14ac:dyDescent="0.25">
      <c r="A104" s="14" t="str">
        <f>'Matriz de Produccion'!A105</f>
        <v>1H09</v>
      </c>
      <c r="B104" s="6" t="str">
        <f>VLOOKUP(A104,'Analisis por Categorias'!B:C,2,FALSE)</f>
        <v xml:space="preserve">Combustibles </v>
      </c>
      <c r="D104" s="3">
        <f>SUMIF(CATEGORIAS[[#All],[SUBGRUPO]],A104,CATEGORIAS[[#All],[PRESUPUESTO
(ORIGINAL)]])</f>
        <v>0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71">
        <f>+SUMIF(CATEGORIAS[[#All],[SUBGRUPO]],A104,CATEGORIAS[[#All],[PRODUCCION
PARTIDAS
ORIGINALES
ACTUAL]])
+SUMIF(CATEGORIAS[[#All],[SUBGRUPO]],A104,CATEGORIAS[[#All],[PRODUCCION
ADICIONALES
ACTUAL]])</f>
        <v>0</v>
      </c>
      <c r="H104" s="71">
        <f>+SUMIF(CATEGORIAS[[#All],[SUBGRUPO]],A104,CATEGORIAS[[#All],[COSTO
ACUMULADO  AX]])
+SUMIF(CATEGORIAS[[#All],[SUBGRUPO]],A104,CATEGORIAS[[#All],[CAMBIO DE
CATEGORIA]])
+SUMIF(CATEGORIAS[[#All],[SUBGRUPO]],A104,CATEGORIAS[[#All],[PROVISIONES]])</f>
        <v>0</v>
      </c>
      <c r="I104" s="71">
        <f t="shared" si="74"/>
        <v>0</v>
      </c>
      <c r="K104" s="71">
        <f>+SUMIF(CATEGORIAS[[#All],[SUBGRUPO]],A104,CATEGORIAS[[#All],[PRODUCCION
ANTERIOR]])
+SUMIF(CATEGORIAS[[#All],[SUBGRUPO]],A104,CATEGORIAS[[#All],[PRODUCCION
ADICIONALES
ANTERIOR]])</f>
        <v>0</v>
      </c>
      <c r="L104" s="71">
        <f>+SUMIF(CATEGORIAS[[#All],[SUBGRUPO]],A104,CATEGORIAS[[#All],[COSTO ACUMULADO
ANTERIOR]])
+SUMIF(CATEGORIAS[[#All],[SUBGRUPO]],A104,CATEGORIAS[[#All],[CAMBIO DE
CATEGORIA
ANTERIOR]])
+SUMIF(CATEGORIAS[[#All],[SUBGRUPO]],A104,CATEGORIAS[[#All],[PROVISIONES
ANTERIOR]])</f>
        <v>0</v>
      </c>
      <c r="M104" s="71">
        <f t="shared" si="83"/>
        <v>0</v>
      </c>
      <c r="O104" s="71">
        <f t="shared" si="76"/>
        <v>0</v>
      </c>
      <c r="P104" s="71">
        <f t="shared" si="84"/>
        <v>0</v>
      </c>
      <c r="Q104" s="71">
        <f t="shared" si="85"/>
        <v>0</v>
      </c>
      <c r="R104" s="125">
        <f t="shared" si="73"/>
        <v>0</v>
      </c>
    </row>
    <row r="105" spans="1:19" ht="15" customHeight="1" x14ac:dyDescent="0.25">
      <c r="A105" s="14" t="str">
        <f>'Matriz de Produccion'!A106</f>
        <v>1H10</v>
      </c>
      <c r="B105" s="6" t="str">
        <f>VLOOKUP(A105,'Analisis por Categorias'!B:C,2,FALSE)</f>
        <v xml:space="preserve">Permisos De Construcción </v>
      </c>
      <c r="D105" s="3">
        <f>SUMIF(CATEGORIAS[[#All],[SUBGRUPO]],A105,CATEGORIAS[[#All],[PRESUPUESTO
(ORIGINAL)]])</f>
        <v>8000000.0000000019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8000000.0000000019</v>
      </c>
      <c r="G105" s="71">
        <f>+SUMIF(CATEGORIAS[[#All],[SUBGRUPO]],A105,CATEGORIAS[[#All],[PRODUCCION
PARTIDAS
ORIGINALES
ACTUAL]])
+SUMIF(CATEGORIAS[[#All],[SUBGRUPO]],A105,CATEGORIAS[[#All],[PRODUCCION
ADICIONALES
ACTUAL]])</f>
        <v>3736253.2821191279</v>
      </c>
      <c r="H105" s="71">
        <f>+SUMIF(CATEGORIAS[[#All],[SUBGRUPO]],A105,CATEGORIAS[[#All],[COSTO
ACUMULADO  AX]])
+SUMIF(CATEGORIAS[[#All],[SUBGRUPO]],A105,CATEGORIAS[[#All],[CAMBIO DE
CATEGORIA]])
+SUMIF(CATEGORIAS[[#All],[SUBGRUPO]],A105,CATEGORIAS[[#All],[PROVISIONES]])</f>
        <v>0</v>
      </c>
      <c r="I105" s="71">
        <f t="shared" si="74"/>
        <v>3736253.2821191279</v>
      </c>
      <c r="K105" s="71">
        <f>+SUMIF(CATEGORIAS[[#All],[SUBGRUPO]],A105,CATEGORIAS[[#All],[PRODUCCION
ANTERIOR]])
+SUMIF(CATEGORIAS[[#All],[SUBGRUPO]],A105,CATEGORIAS[[#All],[PRODUCCION
ADICIONALES
ANTERIOR]])</f>
        <v>1990124.478155928</v>
      </c>
      <c r="L105" s="71">
        <f>+SUMIF(CATEGORIAS[[#All],[SUBGRUPO]],A105,CATEGORIAS[[#All],[COSTO ACUMULADO
ANTERIOR]])
+SUMIF(CATEGORIAS[[#All],[SUBGRUPO]],A105,CATEGORIAS[[#All],[CAMBIO DE
CATEGORIA
ANTERIOR]])
+SUMIF(CATEGORIAS[[#All],[SUBGRUPO]],A105,CATEGORIAS[[#All],[PROVISIONES
ANTERIOR]])</f>
        <v>0</v>
      </c>
      <c r="M105" s="71">
        <f t="shared" si="83"/>
        <v>1990124.478155928</v>
      </c>
      <c r="O105" s="71">
        <f t="shared" si="76"/>
        <v>1746128.8039632</v>
      </c>
      <c r="P105" s="71">
        <f t="shared" si="84"/>
        <v>0</v>
      </c>
      <c r="Q105" s="71">
        <f t="shared" si="85"/>
        <v>1746128.8039632</v>
      </c>
      <c r="R105" s="125">
        <f t="shared" si="73"/>
        <v>30945013.128476519</v>
      </c>
    </row>
    <row r="106" spans="1:19" ht="8.25" customHeight="1" x14ac:dyDescent="0.25">
      <c r="R106" s="125">
        <f t="shared" si="73"/>
        <v>0</v>
      </c>
    </row>
    <row r="107" spans="1:19" ht="14.25" customHeight="1" x14ac:dyDescent="0.25">
      <c r="A107" s="14" t="str">
        <f>'Matriz de Produccion'!A108</f>
        <v>1I00</v>
      </c>
      <c r="B107" s="81" t="str">
        <f>'Matriz de Produccion'!B108:B108</f>
        <v>I - GASTOS GENERALES</v>
      </c>
      <c r="D107" s="82">
        <f>SUM(D108:D119)</f>
        <v>235079922.81330013</v>
      </c>
      <c r="E107" s="82">
        <f>SUM(E108:E119)</f>
        <v>235628938.07993358</v>
      </c>
      <c r="G107" s="83">
        <f>SUM(G108:G119)</f>
        <v>94414254.75669086</v>
      </c>
      <c r="H107" s="84">
        <f>SUM(H108:H119)</f>
        <v>90137143.471200004</v>
      </c>
      <c r="I107" s="87">
        <f>SUM(I108:I119)</f>
        <v>4277111.2854908342</v>
      </c>
      <c r="K107" s="83">
        <f>SUM(K108:K119)</f>
        <v>50546565.806570038</v>
      </c>
      <c r="L107" s="84">
        <f>SUM(L108:L119)</f>
        <v>60715842</v>
      </c>
      <c r="M107" s="87">
        <f>SUM(M108:M119)</f>
        <v>-10169276.193429966</v>
      </c>
      <c r="O107" s="83">
        <f>SUM(O108:O119)</f>
        <v>43867688.950120792</v>
      </c>
      <c r="P107" s="84">
        <f>SUM(P108:P119)</f>
        <v>29421301.4712</v>
      </c>
      <c r="Q107" s="87">
        <f>SUM(Q108:Q119)</f>
        <v>14446387.478920799</v>
      </c>
      <c r="R107" s="125">
        <f t="shared" si="73"/>
        <v>848365879.9199971</v>
      </c>
      <c r="S107" s="256"/>
    </row>
    <row r="108" spans="1:19" ht="15" customHeight="1" x14ac:dyDescent="0.25">
      <c r="A108" s="14" t="str">
        <f>'Matriz de Produccion'!A109</f>
        <v>1I01</v>
      </c>
      <c r="B108" s="6" t="str">
        <f>VLOOKUP(A108,'Analisis por Categorias'!B:C,2,FALSE)</f>
        <v xml:space="preserve">Gastos contratación </v>
      </c>
      <c r="D108" s="3">
        <f>SUMIF(CATEGORIAS[[#All],[SUBGRUPO]],A108,CATEGORIAS[[#All],[PRESUPUESTO
(ORIGINAL)]])</f>
        <v>169007626.47784966</v>
      </c>
      <c r="E108" s="3">
        <f>+SUMIF(CATEGORIAS[[#All],[SUBGRUPO]],A108,CATEGORIAS[[#All],[PRODUCCION
PARTIDAS
ORIGINALES
ACTUAL]])
+SUMIF(CATEGORIAS[[#All],[SUBGRUPO]],A108,CATEGORIAS[[#All],[PRODUCCION
ADICIONALES
ACTUAL]])
+SUMIF(CATEGORIAS[[#All],[SUBGRUPO]],A108,CATEGORIAS[[#All],[PROYECCION
DE INGRESO
DEL SALDO]])</f>
        <v>169007626.47784966</v>
      </c>
      <c r="G108" s="71">
        <f>+SUMIF(CATEGORIAS[[#All],[SUBGRUPO]],A108,CATEGORIAS[[#All],[PRODUCCION
PARTIDAS
ORIGINALES
ACTUAL]])
+SUMIF(CATEGORIAS[[#All],[SUBGRUPO]],A108,CATEGORIAS[[#All],[PRODUCCION
ADICIONALES
ACTUAL]])</f>
        <v>64347808.25306838</v>
      </c>
      <c r="H108" s="71">
        <f>+SUMIF(CATEGORIAS[[#All],[SUBGRUPO]],A108,CATEGORIAS[[#All],[COSTO
ACUMULADO  AX]])
+SUMIF(CATEGORIAS[[#All],[SUBGRUPO]],A108,CATEGORIAS[[#All],[CAMBIO DE
CATEGORIA]])
+SUMIF(CATEGORIAS[[#All],[SUBGRUPO]],A108,CATEGORIAS[[#All],[PROVISIONES]])</f>
        <v>26964885</v>
      </c>
      <c r="I108" s="71">
        <f t="shared" ref="I108:I119" si="86">G108-H108</f>
        <v>37382923.25306838</v>
      </c>
      <c r="K108" s="71">
        <f>+SUMIF(CATEGORIAS[[#All],[SUBGRUPO]],A108,CATEGORIAS[[#All],[PRODUCCION
ANTERIOR]])
+SUMIF(CATEGORIAS[[#All],[SUBGRUPO]],A108,CATEGORIAS[[#All],[PRODUCCION
ADICIONALES
ANTERIOR]])</f>
        <v>34275017.952605791</v>
      </c>
      <c r="L108" s="71">
        <f>+SUMIF(CATEGORIAS[[#All],[SUBGRUPO]],A108,CATEGORIAS[[#All],[COSTO ACUMULADO
ANTERIOR]])
+SUMIF(CATEGORIAS[[#All],[SUBGRUPO]],A108,CATEGORIAS[[#All],[CAMBIO DE
CATEGORIA
ANTERIOR]])
+SUMIF(CATEGORIAS[[#All],[SUBGRUPO]],A108,CATEGORIAS[[#All],[PROVISIONES
ANTERIOR]])</f>
        <v>17612921</v>
      </c>
      <c r="M108" s="71">
        <f t="shared" ref="M108:M113" si="87">K108-L108</f>
        <v>16662096.952605791</v>
      </c>
      <c r="O108" s="71">
        <f t="shared" ref="O108:O119" si="88">G108-K108</f>
        <v>30072790.300462589</v>
      </c>
      <c r="P108" s="71">
        <f t="shared" ref="P108:Q113" si="89">H108-L108</f>
        <v>9351964</v>
      </c>
      <c r="Q108" s="71">
        <f t="shared" si="89"/>
        <v>20720826.300462589</v>
      </c>
      <c r="R108" s="125">
        <f t="shared" si="73"/>
        <v>595406485.96797287</v>
      </c>
    </row>
    <row r="109" spans="1:19" ht="15" customHeight="1" x14ac:dyDescent="0.25">
      <c r="A109" s="14" t="str">
        <f>'Matriz de Produccion'!A110</f>
        <v>1I02</v>
      </c>
      <c r="B109" s="6" t="str">
        <f>VLOOKUP(A109,'Analisis por Categorias'!B:C,2,FALSE)</f>
        <v>Otros Gastos Generales</v>
      </c>
      <c r="D109" s="3">
        <f>SUMIF(CATEGORIAS[[#All],[SUBGRUPO]],A109,CATEGORIAS[[#All],[PRESUPUESTO
(ORIGINAL)]])</f>
        <v>1470322.9617211157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1470322.9617211157</v>
      </c>
      <c r="G109" s="71">
        <f>+SUMIF(CATEGORIAS[[#All],[SUBGRUPO]],A109,CATEGORIAS[[#All],[PRODUCCION
PARTIDAS
ORIGINALES
ACTUAL]])
+SUMIF(CATEGORIAS[[#All],[SUBGRUPO]],A109,CATEGORIAS[[#All],[PRODUCCION
ADICIONALES
ACTUAL]])</f>
        <v>686687.37393820425</v>
      </c>
      <c r="H109" s="71">
        <f>+SUMIF(CATEGORIAS[[#All],[SUBGRUPO]],A109,CATEGORIAS[[#All],[COSTO
ACUMULADO  AX]])
+SUMIF(CATEGORIAS[[#All],[SUBGRUPO]],A109,CATEGORIAS[[#All],[CAMBIO DE
CATEGORIA]])
+SUMIF(CATEGORIAS[[#All],[SUBGRUPO]],A109,CATEGORIAS[[#All],[PROVISIONES]])</f>
        <v>22077561</v>
      </c>
      <c r="I109" s="71">
        <f t="shared" si="86"/>
        <v>-21390873.626061797</v>
      </c>
      <c r="K109" s="71">
        <f>+SUMIF(CATEGORIAS[[#All],[SUBGRUPO]],A109,CATEGORIAS[[#All],[PRODUCCION
ANTERIOR]])
+SUMIF(CATEGORIAS[[#All],[SUBGRUPO]],A109,CATEGORIAS[[#All],[PRODUCCION
ADICIONALES
ANTERIOR]])</f>
        <v>365765.71461448917</v>
      </c>
      <c r="L109" s="71">
        <f>+SUMIF(CATEGORIAS[[#All],[SUBGRUPO]],A109,CATEGORIAS[[#All],[COSTO ACUMULADO
ANTERIOR]])
+SUMIF(CATEGORIAS[[#All],[SUBGRUPO]],A109,CATEGORIAS[[#All],[CAMBIO DE
CATEGORIA
ANTERIOR]])
+SUMIF(CATEGORIAS[[#All],[SUBGRUPO]],A109,CATEGORIAS[[#All],[PROVISIONES
ANTERIOR]])</f>
        <v>10391297</v>
      </c>
      <c r="M109" s="71">
        <f t="shared" si="87"/>
        <v>-10025531.28538551</v>
      </c>
      <c r="O109" s="71">
        <f t="shared" si="88"/>
        <v>320921.65932371508</v>
      </c>
      <c r="P109" s="71">
        <f t="shared" si="89"/>
        <v>11686264</v>
      </c>
      <c r="Q109" s="71">
        <f t="shared" si="89"/>
        <v>-11365342.340676287</v>
      </c>
      <c r="R109" s="125">
        <f t="shared" si="73"/>
        <v>5687395.4191950466</v>
      </c>
    </row>
    <row r="110" spans="1:19" ht="15" customHeight="1" x14ac:dyDescent="0.25">
      <c r="A110" s="14" t="str">
        <f>'Matriz de Produccion'!A111</f>
        <v>1I03</v>
      </c>
      <c r="B110" s="6" t="str">
        <f>VLOOKUP(A110,'Analisis por Categorias'!B:C,2,FALSE)</f>
        <v>Internet</v>
      </c>
      <c r="D110" s="3">
        <f>SUMIF(CATEGORIAS[[#All],[SUBGRUPO]],A110,CATEGORIAS[[#All],[PRESUPUESTO
(ORIGINAL)]])</f>
        <v>3623408.6400000006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3623408.6400000006</v>
      </c>
      <c r="G110" s="71">
        <f>+SUMIF(CATEGORIAS[[#All],[SUBGRUPO]],A110,CATEGORIAS[[#All],[PRODUCCION
PARTIDAS
ORIGINALES
ACTUAL]])
+SUMIF(CATEGORIAS[[#All],[SUBGRUPO]],A110,CATEGORIAS[[#All],[PRODUCCION
ADICIONALES
ACTUAL]])</f>
        <v>1692246.5529573506</v>
      </c>
      <c r="H110" s="71">
        <f>+SUMIF(CATEGORIAS[[#All],[SUBGRUPO]],A110,CATEGORIAS[[#All],[COSTO
ACUMULADO  AX]])
+SUMIF(CATEGORIAS[[#All],[SUBGRUPO]],A110,CATEGORIAS[[#All],[CAMBIO DE
CATEGORIA]])
+SUMIF(CATEGORIAS[[#All],[SUBGRUPO]],A110,CATEGORIAS[[#All],[PROVISIONES]])</f>
        <v>29404</v>
      </c>
      <c r="I110" s="71">
        <f t="shared" si="86"/>
        <v>1662842.5529573506</v>
      </c>
      <c r="K110" s="71">
        <f>+SUMIF(CATEGORIAS[[#All],[SUBGRUPO]],A110,CATEGORIAS[[#All],[PRODUCCION
ANTERIOR]])
+SUMIF(CATEGORIAS[[#All],[SUBGRUPO]],A110,CATEGORIAS[[#All],[PRODUCCION
ADICIONALES
ANTERIOR]])</f>
        <v>901379.27860320988</v>
      </c>
      <c r="L110" s="71">
        <f>+SUMIF(CATEGORIAS[[#All],[SUBGRUPO]],A110,CATEGORIAS[[#All],[COSTO ACUMULADO
ANTERIOR]])
+SUMIF(CATEGORIAS[[#All],[SUBGRUPO]],A110,CATEGORIAS[[#All],[CAMBIO DE
CATEGORIA
ANTERIOR]])
+SUMIF(CATEGORIAS[[#All],[SUBGRUPO]],A110,CATEGORIAS[[#All],[PROVISIONES
ANTERIOR]])</f>
        <v>29404</v>
      </c>
      <c r="M110" s="71">
        <f t="shared" si="87"/>
        <v>871975.27860320988</v>
      </c>
      <c r="O110" s="85">
        <f t="shared" si="88"/>
        <v>790867.27435414074</v>
      </c>
      <c r="P110" s="85">
        <f t="shared" si="89"/>
        <v>0</v>
      </c>
      <c r="Q110" s="85">
        <f t="shared" si="89"/>
        <v>790867.27435414074</v>
      </c>
      <c r="R110" s="125">
        <f t="shared" si="73"/>
        <v>14015803.491829403</v>
      </c>
    </row>
    <row r="111" spans="1:19" ht="17.25" customHeight="1" x14ac:dyDescent="0.25">
      <c r="A111" s="14" t="str">
        <f>'Matriz de Produccion'!A112</f>
        <v>1I04</v>
      </c>
      <c r="B111" s="6" t="str">
        <f>VLOOKUP(A111,'Analisis por Categorias'!B:C,2,FALSE)</f>
        <v xml:space="preserve">Fletes generales de Obra </v>
      </c>
      <c r="D111" s="3">
        <f>SUMIF(CATEGORIAS[[#All],[SUBGRUPO]],A111,CATEGORIAS[[#All],[PRESUPUESTO
(ORIGINAL)]])</f>
        <v>17524296.883200001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18073312.149833452</v>
      </c>
      <c r="G111" s="71">
        <f>+SUMIF(CATEGORIAS[[#All],[SUBGRUPO]],A111,CATEGORIAS[[#All],[PRODUCCION
PARTIDAS
ORIGINALES
ACTUAL]])
+SUMIF(CATEGORIAS[[#All],[SUBGRUPO]],A111,CATEGORIAS[[#All],[PRODUCCION
ADICIONALES
ACTUAL]])</f>
        <v>8733416.7349692062</v>
      </c>
      <c r="H111" s="71">
        <f>+SUMIF(CATEGORIAS[[#All],[SUBGRUPO]],A111,CATEGORIAS[[#All],[COSTO
ACUMULADO  AX]])
+SUMIF(CATEGORIAS[[#All],[SUBGRUPO]],A111,CATEGORIAS[[#All],[CAMBIO DE
CATEGORIA]])
+SUMIF(CATEGORIAS[[#All],[SUBGRUPO]],A111,CATEGORIAS[[#All],[PROVISIONES]])</f>
        <v>27236392</v>
      </c>
      <c r="I111" s="71">
        <f t="shared" si="86"/>
        <v>-18502975.265030794</v>
      </c>
      <c r="K111" s="71">
        <f>+SUMIF(CATEGORIAS[[#All],[SUBGRUPO]],A111,CATEGORIAS[[#All],[PRODUCCION
ANTERIOR]])
+SUMIF(CATEGORIAS[[#All],[SUBGRUPO]],A111,CATEGORIAS[[#All],[PRODUCCION
ADICIONALES
ANTERIOR]])</f>
        <v>4908457.2040321622</v>
      </c>
      <c r="L111" s="71">
        <f>+SUMIF(CATEGORIAS[[#All],[SUBGRUPO]],A111,CATEGORIAS[[#All],[COSTO ACUMULADO
ANTERIOR]])
+SUMIF(CATEGORIAS[[#All],[SUBGRUPO]],A111,CATEGORIAS[[#All],[CAMBIO DE
CATEGORIA
ANTERIOR]])
+SUMIF(CATEGORIAS[[#All],[SUBGRUPO]],A111,CATEGORIAS[[#All],[PROVISIONES
ANTERIOR]])</f>
        <v>23440182</v>
      </c>
      <c r="M111" s="71">
        <f t="shared" si="87"/>
        <v>-18531724.79596784</v>
      </c>
      <c r="O111" s="71">
        <f t="shared" si="88"/>
        <v>3824959.5309370439</v>
      </c>
      <c r="P111" s="71">
        <f t="shared" si="89"/>
        <v>3796210</v>
      </c>
      <c r="Q111" s="71">
        <f t="shared" si="89"/>
        <v>28749.530937045813</v>
      </c>
      <c r="R111" s="125">
        <f t="shared" si="73"/>
        <v>70531275.972910285</v>
      </c>
    </row>
    <row r="112" spans="1:19" ht="15" customHeight="1" x14ac:dyDescent="0.25">
      <c r="A112" s="14" t="str">
        <f>'Matriz de Produccion'!A113</f>
        <v>1I05</v>
      </c>
      <c r="B112" s="6" t="str">
        <f>VLOOKUP(A112,'Analisis por Categorias'!B:C,2,FALSE)</f>
        <v>Telecomunicaciones</v>
      </c>
      <c r="D112" s="3">
        <f>SUMIF(CATEGORIAS[[#All],[SUBGRUPO]],A112,CATEGORIAS[[#All],[PRESUPUESTO
(ORIGINAL)]])</f>
        <v>11671910.636503397</v>
      </c>
      <c r="E112" s="3">
        <f>+SUMIF(CATEGORIAS[[#All],[SUBGRUPO]],A112,CATEGORIAS[[#All],[PRODUCCION
PARTIDAS
ORIGINALES
ACTUAL]])
+SUMIF(CATEGORIAS[[#All],[SUBGRUPO]],A112,CATEGORIAS[[#All],[PRODUCCION
ADICIONALES
ACTUAL]])
+SUMIF(CATEGORIAS[[#All],[SUBGRUPO]],A112,CATEGORIAS[[#All],[PROYECCION
DE INGRESO
DEL SALDO]])</f>
        <v>11671910.636503397</v>
      </c>
      <c r="G112" s="71">
        <f>+SUMIF(CATEGORIAS[[#All],[SUBGRUPO]],A112,CATEGORIAS[[#All],[PRODUCCION
PARTIDAS
ORIGINALES
ACTUAL]])
+SUMIF(CATEGORIAS[[#All],[SUBGRUPO]],A112,CATEGORIAS[[#All],[PRODUCCION
ADICIONALES
ACTUAL]])</f>
        <v>5451151.803029621</v>
      </c>
      <c r="H112" s="71">
        <f>+SUMIF(CATEGORIAS[[#All],[SUBGRUPO]],A112,CATEGORIAS[[#All],[COSTO
ACUMULADO  AX]])
+SUMIF(CATEGORIAS[[#All],[SUBGRUPO]],A112,CATEGORIAS[[#All],[CAMBIO DE
CATEGORIA]])
+SUMIF(CATEGORIAS[[#All],[SUBGRUPO]],A112,CATEGORIAS[[#All],[PROVISIONES]])</f>
        <v>479028</v>
      </c>
      <c r="I112" s="71">
        <f t="shared" si="86"/>
        <v>4972123.803029621</v>
      </c>
      <c r="K112" s="71">
        <f>+SUMIF(CATEGORIAS[[#All],[SUBGRUPO]],A112,CATEGORIAS[[#All],[PRODUCCION
ANTERIOR]])
+SUMIF(CATEGORIAS[[#All],[SUBGRUPO]],A112,CATEGORIAS[[#All],[PRODUCCION
ADICIONALES
ANTERIOR]])</f>
        <v>2903569.3830692428</v>
      </c>
      <c r="L112" s="71">
        <f>+SUMIF(CATEGORIAS[[#All],[SUBGRUPO]],A112,CATEGORIAS[[#All],[COSTO ACUMULADO
ANTERIOR]])
+SUMIF(CATEGORIAS[[#All],[SUBGRUPO]],A112,CATEGORIAS[[#All],[CAMBIO DE
CATEGORIA
ANTERIOR]])
+SUMIF(CATEGORIAS[[#All],[SUBGRUPO]],A112,CATEGORIAS[[#All],[PROVISIONES
ANTERIOR]])</f>
        <v>314313</v>
      </c>
      <c r="M112" s="71">
        <f t="shared" si="87"/>
        <v>2589256.3830692428</v>
      </c>
      <c r="O112" s="85">
        <f t="shared" si="88"/>
        <v>2547582.4199603782</v>
      </c>
      <c r="P112" s="85">
        <f t="shared" si="89"/>
        <v>164715</v>
      </c>
      <c r="Q112" s="85">
        <f t="shared" si="89"/>
        <v>2382867.4199603782</v>
      </c>
      <c r="R112" s="125">
        <f t="shared" si="73"/>
        <v>45148428.485125273</v>
      </c>
    </row>
    <row r="113" spans="1:19" ht="15" customHeight="1" x14ac:dyDescent="0.25">
      <c r="A113" s="14" t="str">
        <f>'Matriz de Produccion'!A114</f>
        <v>1I06</v>
      </c>
      <c r="B113" s="6" t="str">
        <f>VLOOKUP(A113,'Analisis por Categorias'!B:C,2,FALSE)</f>
        <v>Computación y Software</v>
      </c>
      <c r="D113" s="3">
        <f>SUMIF(CATEGORIAS[[#All],[SUBGRUPO]],A113,CATEGORIAS[[#All],[PRESUPUESTO
(ORIGINAL)]])</f>
        <v>14068881.920000002</v>
      </c>
      <c r="E113" s="3">
        <f>+SUMIF(CATEGORIAS[[#All],[SUBGRUPO]],A113,CATEGORIAS[[#All],[PRODUCCION
PARTIDAS
ORIGINALES
ACTUAL]])
+SUMIF(CATEGORIAS[[#All],[SUBGRUPO]],A113,CATEGORIAS[[#All],[PRODUCCION
ADICIONALES
ACTUAL]])
+SUMIF(CATEGORIAS[[#All],[SUBGRUPO]],A113,CATEGORIAS[[#All],[PROYECCION
DE INGRESO
DEL SALDO]])</f>
        <v>14068881.920000002</v>
      </c>
      <c r="G113" s="71">
        <f>+SUMIF(CATEGORIAS[[#All],[SUBGRUPO]],A113,CATEGORIAS[[#All],[PRODUCCION
PARTIDAS
ORIGINALES
ACTUAL]])
+SUMIF(CATEGORIAS[[#All],[SUBGRUPO]],A113,CATEGORIAS[[#All],[PRODUCCION
ADICIONALES
ACTUAL]])</f>
        <v>6570613.2811683053</v>
      </c>
      <c r="H113" s="71">
        <f>+SUMIF(CATEGORIAS[[#All],[SUBGRUPO]],A113,CATEGORIAS[[#All],[COSTO
ACUMULADO  AX]])
+SUMIF(CATEGORIAS[[#All],[SUBGRUPO]],A113,CATEGORIAS[[#All],[CAMBIO DE
CATEGORIA]])
+SUMIF(CATEGORIAS[[#All],[SUBGRUPO]],A113,CATEGORIAS[[#All],[PROVISIONES]])</f>
        <v>2169496.4711999996</v>
      </c>
      <c r="I113" s="71">
        <f t="shared" si="86"/>
        <v>4401116.8099683058</v>
      </c>
      <c r="K113" s="71">
        <f>+SUMIF(CATEGORIAS[[#All],[SUBGRUPO]],A113,CATEGORIAS[[#All],[PRODUCCION
ANTERIOR]])
+SUMIF(CATEGORIAS[[#All],[SUBGRUPO]],A113,CATEGORIAS[[#All],[PRODUCCION
ADICIONALES
ANTERIOR]])</f>
        <v>3499853.2861596704</v>
      </c>
      <c r="L113" s="71">
        <f>+SUMIF(CATEGORIAS[[#All],[SUBGRUPO]],A113,CATEGORIAS[[#All],[COSTO ACUMULADO
ANTERIOR]])
+SUMIF(CATEGORIAS[[#All],[SUBGRUPO]],A113,CATEGORIAS[[#All],[CAMBIO DE
CATEGORIA
ANTERIOR]])
+SUMIF(CATEGORIAS[[#All],[SUBGRUPO]],A113,CATEGORIAS[[#All],[PROVISIONES
ANTERIOR]])</f>
        <v>386565</v>
      </c>
      <c r="M113" s="71">
        <f t="shared" si="87"/>
        <v>3113288.2861596704</v>
      </c>
      <c r="O113" s="71">
        <f t="shared" si="88"/>
        <v>3070759.9950086349</v>
      </c>
      <c r="P113" s="71">
        <f t="shared" si="89"/>
        <v>1782931.4711999996</v>
      </c>
      <c r="Q113" s="71">
        <f t="shared" si="89"/>
        <v>1287828.5238086353</v>
      </c>
      <c r="R113" s="125">
        <f t="shared" si="73"/>
        <v>54420216.964673221</v>
      </c>
    </row>
    <row r="114" spans="1:19" ht="15" customHeight="1" x14ac:dyDescent="0.25">
      <c r="A114" s="14" t="str">
        <f>'Matriz de Produccion'!A115</f>
        <v>1I07</v>
      </c>
      <c r="B114" s="6" t="str">
        <f>VLOOKUP(A114,'Analisis por Categorias'!B:C,2,FALSE)</f>
        <v>Gastos Oficina</v>
      </c>
      <c r="D114" s="3">
        <f>SUMIF(CATEGORIAS[[#All],[SUBGRUPO]],A114,CATEGORIAS[[#All],[PRESUPUESTO
(ORIGINAL)]])</f>
        <v>6170090.2575000012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6170090.2575000012</v>
      </c>
      <c r="G114" s="71">
        <f>+SUMIF(CATEGORIAS[[#All],[SUBGRUPO]],A114,CATEGORIAS[[#All],[PRODUCCION
PARTIDAS
ORIGINALES
ACTUAL]])
+SUMIF(CATEGORIAS[[#All],[SUBGRUPO]],A114,CATEGORIAS[[#All],[PRODUCCION
ADICIONALES
ACTUAL]])</f>
        <v>1541204.4788741404</v>
      </c>
      <c r="H114" s="71">
        <f>+SUMIF(CATEGORIAS[[#All],[SUBGRUPO]],A114,CATEGORIAS[[#All],[COSTO
ACUMULADO  AX]])
+SUMIF(CATEGORIAS[[#All],[SUBGRUPO]],A114,CATEGORIAS[[#All],[CAMBIO DE
CATEGORIA]])
+SUMIF(CATEGORIAS[[#All],[SUBGRUPO]],A114,CATEGORIAS[[#All],[PROVISIONES]])</f>
        <v>4091211</v>
      </c>
      <c r="I114" s="71">
        <f t="shared" si="86"/>
        <v>-2550006.5211258596</v>
      </c>
      <c r="K114" s="71">
        <f>+SUMIF(CATEGORIAS[[#All],[SUBGRUPO]],A114,CATEGORIAS[[#All],[PRODUCCION
ANTERIOR]])
+SUMIF(CATEGORIAS[[#All],[SUBGRUPO]],A114,CATEGORIAS[[#All],[PRODUCCION
ADICIONALES
ANTERIOR]])</f>
        <v>820926.34723932017</v>
      </c>
      <c r="L114" s="71">
        <f>+SUMIF(CATEGORIAS[[#All],[SUBGRUPO]],A114,CATEGORIAS[[#All],[COSTO ACUMULADO
ANTERIOR]])
+SUMIF(CATEGORIAS[[#All],[SUBGRUPO]],A114,CATEGORIAS[[#All],[CAMBIO DE
CATEGORIA
ANTERIOR]])
+SUMIF(CATEGORIAS[[#All],[SUBGRUPO]],A114,CATEGORIAS[[#All],[PROVISIONES
ANTERIOR]])</f>
        <v>3473123</v>
      </c>
      <c r="M114" s="71">
        <f t="shared" ref="M114:M117" si="90">K114-L114</f>
        <v>-2652196.6527606798</v>
      </c>
      <c r="O114" s="71">
        <f t="shared" si="88"/>
        <v>720278.13163482025</v>
      </c>
      <c r="P114" s="71">
        <f t="shared" ref="P114:P117" si="91">H114-L114</f>
        <v>618088</v>
      </c>
      <c r="Q114" s="71">
        <f t="shared" ref="Q114:Q117" si="92">I114-M114</f>
        <v>102190.13163482025</v>
      </c>
      <c r="R114" s="125">
        <f t="shared" si="73"/>
        <v>18504998.430496562</v>
      </c>
    </row>
    <row r="115" spans="1:19" ht="15" customHeight="1" x14ac:dyDescent="0.25">
      <c r="A115" s="14" t="str">
        <f>'Matriz de Produccion'!A116</f>
        <v>1I08</v>
      </c>
      <c r="B115" s="6" t="str">
        <f>VLOOKUP(A115,'Analisis por Categorias'!B:C,2,FALSE)</f>
        <v>Calificaciones</v>
      </c>
      <c r="D115" s="3">
        <f>SUMIF(CATEGORIAS[[#All],[SUBGRUPO]],A115,CATEGORIAS[[#All],[PRESUPUESTO
(ORIGINAL)]])</f>
        <v>0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0</v>
      </c>
      <c r="G115" s="71">
        <f>+SUMIF(CATEGORIAS[[#All],[SUBGRUPO]],A115,CATEGORIAS[[#All],[PRODUCCION
PARTIDAS
ORIGINALES
ACTUAL]])
+SUMIF(CATEGORIAS[[#All],[SUBGRUPO]],A115,CATEGORIAS[[#All],[PRODUCCION
ADICIONALES
ACTUAL]])</f>
        <v>0</v>
      </c>
      <c r="H115" s="71">
        <f>+SUMIF(CATEGORIAS[[#All],[SUBGRUPO]],A115,CATEGORIAS[[#All],[COSTO
ACUMULADO  AX]])
+SUMIF(CATEGORIAS[[#All],[SUBGRUPO]],A115,CATEGORIAS[[#All],[CAMBIO DE
CATEGORIA]])
+SUMIF(CATEGORIAS[[#All],[SUBGRUPO]],A115,CATEGORIAS[[#All],[PROVISIONES]])</f>
        <v>0</v>
      </c>
      <c r="I115" s="71">
        <f t="shared" si="86"/>
        <v>0</v>
      </c>
      <c r="K115" s="71">
        <f>+SUMIF(CATEGORIAS[[#All],[SUBGRUPO]],A115,CATEGORIAS[[#All],[PRODUCCION
ANTERIOR]])
+SUMIF(CATEGORIAS[[#All],[SUBGRUPO]],A115,CATEGORIAS[[#All],[PRODUCCION
ADICIONALES
ANTERIOR]])</f>
        <v>0</v>
      </c>
      <c r="L115" s="71">
        <f>+SUMIF(CATEGORIAS[[#All],[SUBGRUPO]],A115,CATEGORIAS[[#All],[COSTO ACUMULADO
ANTERIOR]])
+SUMIF(CATEGORIAS[[#All],[SUBGRUPO]],A115,CATEGORIAS[[#All],[CAMBIO DE
CATEGORIA
ANTERIOR]])
+SUMIF(CATEGORIAS[[#All],[SUBGRUPO]],A115,CATEGORIAS[[#All],[PROVISIONES
ANTERIOR]])</f>
        <v>0</v>
      </c>
      <c r="M115" s="71">
        <f t="shared" si="90"/>
        <v>0</v>
      </c>
      <c r="O115" s="71">
        <f t="shared" si="88"/>
        <v>0</v>
      </c>
      <c r="P115" s="71">
        <f t="shared" si="91"/>
        <v>0</v>
      </c>
      <c r="Q115" s="71">
        <f t="shared" si="92"/>
        <v>0</v>
      </c>
      <c r="R115" s="125">
        <f t="shared" si="73"/>
        <v>0</v>
      </c>
    </row>
    <row r="116" spans="1:19" ht="15" customHeight="1" x14ac:dyDescent="0.25">
      <c r="A116" s="14" t="str">
        <f>'Matriz de Produccion'!A117</f>
        <v>1I09</v>
      </c>
      <c r="B116" s="6" t="str">
        <f>VLOOKUP(A116,'Analisis por Categorias'!B:C,2,FALSE)</f>
        <v>Seguridad MOI</v>
      </c>
      <c r="D116" s="3">
        <f>SUMIF(CATEGORIAS[[#All],[SUBGRUPO]],A116,CATEGORIAS[[#All],[PRESUPUESTO
(ORIGINAL)]])</f>
        <v>6483651.42857143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6483651.42857143</v>
      </c>
      <c r="G116" s="71">
        <f>+SUMIF(CATEGORIAS[[#All],[SUBGRUPO]],A116,CATEGORIAS[[#All],[PRODUCCION
PARTIDAS
ORIGINALES
ACTUAL]])
+SUMIF(CATEGORIAS[[#All],[SUBGRUPO]],A116,CATEGORIAS[[#All],[PRODUCCION
ADICIONALES
ACTUAL]])</f>
        <v>3028070.4912645472</v>
      </c>
      <c r="H116" s="71">
        <f>+SUMIF(CATEGORIAS[[#All],[SUBGRUPO]],A116,CATEGORIAS[[#All],[COSTO
ACUMULADO  AX]])
+SUMIF(CATEGORIAS[[#All],[SUBGRUPO]],A116,CATEGORIAS[[#All],[CAMBIO DE
CATEGORIA]])
+SUMIF(CATEGORIAS[[#All],[SUBGRUPO]],A116,CATEGORIAS[[#All],[PROVISIONES]])</f>
        <v>4714066</v>
      </c>
      <c r="I116" s="71">
        <f t="shared" si="86"/>
        <v>-1685995.5087354528</v>
      </c>
      <c r="K116" s="71">
        <f>+SUMIF(CATEGORIAS[[#All],[SUBGRUPO]],A116,CATEGORIAS[[#All],[PRODUCCION
ANTERIOR]])
+SUMIF(CATEGORIAS[[#All],[SUBGRUPO]],A116,CATEGORIAS[[#All],[PRODUCCION
ADICIONALES
ANTERIOR]])</f>
        <v>1612909.1769788316</v>
      </c>
      <c r="L116" s="71">
        <f>+SUMIF(CATEGORIAS[[#All],[SUBGRUPO]],A116,CATEGORIAS[[#All],[COSTO ACUMULADO
ANTERIOR]])
+SUMIF(CATEGORIAS[[#All],[SUBGRUPO]],A116,CATEGORIAS[[#All],[CAMBIO DE
CATEGORIA
ANTERIOR]])
+SUMIF(CATEGORIAS[[#All],[SUBGRUPO]],A116,CATEGORIAS[[#All],[PROVISIONES
ANTERIOR]])</f>
        <v>3647037</v>
      </c>
      <c r="M116" s="71">
        <f t="shared" si="90"/>
        <v>-2034127.8230211684</v>
      </c>
      <c r="O116" s="71">
        <f t="shared" si="88"/>
        <v>1415161.3142857156</v>
      </c>
      <c r="P116" s="71">
        <f t="shared" si="91"/>
        <v>1067029</v>
      </c>
      <c r="Q116" s="71">
        <f t="shared" si="92"/>
        <v>348132.31428571558</v>
      </c>
      <c r="R116" s="125">
        <f t="shared" si="73"/>
        <v>25079584.822201043</v>
      </c>
    </row>
    <row r="117" spans="1:19" ht="15" customHeight="1" x14ac:dyDescent="0.25">
      <c r="A117" s="14" t="str">
        <f>'Matriz de Produccion'!A118</f>
        <v>1I10</v>
      </c>
      <c r="B117" s="6" t="str">
        <f>VLOOKUP(A117,'Analisis por Categorias'!B:C,2,FALSE)</f>
        <v>Agua y café Oficina</v>
      </c>
      <c r="D117" s="3">
        <f>SUMIF(CATEGORIAS[[#All],[SUBGRUPO]],A117,CATEGORIAS[[#All],[PRESUPUESTO
(ORIGINAL)]])</f>
        <v>5059733.6079545459</v>
      </c>
      <c r="E117" s="3">
        <f>+SUMIF(CATEGORIAS[[#All],[SUBGRUPO]],A117,CATEGORIAS[[#All],[PRODUCCION
PARTIDAS
ORIGINALES
ACTUAL]])
+SUMIF(CATEGORIAS[[#All],[SUBGRUPO]],A117,CATEGORIAS[[#All],[PRODUCCION
ADICIONALES
ACTUAL]])
+SUMIF(CATEGORIAS[[#All],[SUBGRUPO]],A117,CATEGORIAS[[#All],[PROYECCION
DE INGRESO
DEL SALDO]])</f>
        <v>5059733.6079545459</v>
      </c>
      <c r="G117" s="71">
        <f>+SUMIF(CATEGORIAS[[#All],[SUBGRUPO]],A117,CATEGORIAS[[#All],[PRODUCCION
PARTIDAS
ORIGINALES
ACTUAL]])
+SUMIF(CATEGORIAS[[#All],[SUBGRUPO]],A117,CATEGORIAS[[#All],[PRODUCCION
ADICIONALES
ACTUAL]])</f>
        <v>2363055.7874210784</v>
      </c>
      <c r="H117" s="71">
        <f>+SUMIF(CATEGORIAS[[#All],[SUBGRUPO]],A117,CATEGORIAS[[#All],[COSTO
ACUMULADO  AX]])
+SUMIF(CATEGORIAS[[#All],[SUBGRUPO]],A117,CATEGORIAS[[#All],[CAMBIO DE
CATEGORIA]])
+SUMIF(CATEGORIAS[[#All],[SUBGRUPO]],A117,CATEGORIAS[[#All],[PROVISIONES]])</f>
        <v>2375100</v>
      </c>
      <c r="I117" s="71">
        <f t="shared" si="86"/>
        <v>-12044.212578921579</v>
      </c>
      <c r="K117" s="71">
        <f>+SUMIF(CATEGORIAS[[#All],[SUBGRUPO]],A117,CATEGORIAS[[#All],[PRODUCCION
ANTERIOR]])
+SUMIF(CATEGORIAS[[#All],[SUBGRUPO]],A117,CATEGORIAS[[#All],[PRODUCCION
ADICIONALES
ANTERIOR]])</f>
        <v>1258687.4632673187</v>
      </c>
      <c r="L117" s="71">
        <f>+SUMIF(CATEGORIAS[[#All],[SUBGRUPO]],A117,CATEGORIAS[[#All],[COSTO ACUMULADO
ANTERIOR]])
+SUMIF(CATEGORIAS[[#All],[SUBGRUPO]],A117,CATEGORIAS[[#All],[CAMBIO DE
CATEGORIA
ANTERIOR]])
+SUMIF(CATEGORIAS[[#All],[SUBGRUPO]],A117,CATEGORIAS[[#All],[PROVISIONES
ANTERIOR]])</f>
        <v>1421000</v>
      </c>
      <c r="M117" s="71">
        <f t="shared" si="90"/>
        <v>-162312.53673268133</v>
      </c>
      <c r="O117" s="71">
        <f t="shared" si="88"/>
        <v>1104368.3241537597</v>
      </c>
      <c r="P117" s="71">
        <f t="shared" si="91"/>
        <v>954100</v>
      </c>
      <c r="Q117" s="71">
        <f t="shared" si="92"/>
        <v>150268.32415375975</v>
      </c>
      <c r="R117" s="125">
        <f t="shared" si="73"/>
        <v>19571690.365593404</v>
      </c>
    </row>
    <row r="118" spans="1:19" ht="15" hidden="1" customHeight="1" x14ac:dyDescent="0.25">
      <c r="A118" s="14" t="str">
        <f>'Matriz de Produccion'!A119</f>
        <v>1I13</v>
      </c>
      <c r="B118" s="6" t="e">
        <f>VLOOKUP(A118,'Analisis por Categorias'!B:C,2,FALSE)</f>
        <v>#N/A</v>
      </c>
      <c r="D118" s="3">
        <f>SUMIF(CATEGORIAS[[#All],[SUBGRUPO]],A118,CATEGORIAS[[#All],[PRESUPUESTO
(ORIGINAL)]])</f>
        <v>0</v>
      </c>
      <c r="E118" s="3">
        <f>+SUMIF(CATEGORIAS[[#All],[SUBGRUPO]],A118,CATEGORIAS[[#All],[PRODUCCION
PARTIDAS
ORIGINALES
ACTUAL]])
+SUMIF(CATEGORIAS[[#All],[SUBGRUPO]],A118,CATEGORIAS[[#All],[PRODUCCION
ADICIONALES
ACTUAL]])
+SUMIF(CATEGORIAS[[#All],[SUBGRUPO]],A118,CATEGORIAS[[#All],[PROYECCION
DE INGRESO
DEL SALDO]])</f>
        <v>0</v>
      </c>
      <c r="G118" s="71">
        <f>+SUMIF(CATEGORIAS[[#All],[SUBGRUPO]],A118,CATEGORIAS[[#All],[PRODUCCION
PARTIDAS
ORIGINALES
ACTUAL]])
+SUMIF(CATEGORIAS[[#All],[SUBGRUPO]],A118,CATEGORIAS[[#All],[PRODUCCION
ADICIONALES
ACTUAL]])</f>
        <v>0</v>
      </c>
      <c r="H118" s="71">
        <f>+SUMIF(CATEGORIAS[[#All],[SUBGRUPO]],A118,CATEGORIAS[[#All],[COSTO
ACUMULADO  AX]])
+SUMIF(CATEGORIAS[[#All],[SUBGRUPO]],A118,CATEGORIAS[[#All],[CAMBIO DE
CATEGORIA]])
+SUMIF(CATEGORIAS[[#All],[SUBGRUPO]],A118,CATEGORIAS[[#All],[PROVISIONES]])</f>
        <v>0</v>
      </c>
      <c r="I118" s="71">
        <f t="shared" si="86"/>
        <v>0</v>
      </c>
      <c r="K118" s="71">
        <f>+SUMIF(CATEGORIAS[[#All],[SUBGRUPO]],A118,CATEGORIAS[[#All],[PRODUCCION
ANTERIOR]])
+SUMIF(CATEGORIAS[[#All],[SUBGRUPO]],A118,CATEGORIAS[[#All],[PRODUCCION
ADICIONALES
ANTERIOR]])</f>
        <v>0</v>
      </c>
      <c r="L118" s="71">
        <f>+SUMIF(CATEGORIAS[[#All],[SUBGRUPO]],A118,CATEGORIAS[[#All],[COSTO ACUMULADO
ANTERIOR]])
+SUMIF(CATEGORIAS[[#All],[SUBGRUPO]],A118,CATEGORIAS[[#All],[CAMBIO DE
CATEGORIA
ANTERIOR]])
+SUMIF(CATEGORIAS[[#All],[SUBGRUPO]],A118,CATEGORIAS[[#All],[PROVISIONES
ANTERIOR]])</f>
        <v>0</v>
      </c>
      <c r="M118" s="71">
        <f t="shared" ref="M118:M119" si="93">K118-L118</f>
        <v>0</v>
      </c>
      <c r="O118" s="71">
        <f t="shared" si="88"/>
        <v>0</v>
      </c>
      <c r="P118" s="71">
        <f t="shared" ref="P118:P119" si="94">H118-L118</f>
        <v>0</v>
      </c>
      <c r="Q118" s="71">
        <f t="shared" ref="Q118:Q119" si="95">I118-M118</f>
        <v>0</v>
      </c>
      <c r="R118" s="125">
        <f t="shared" si="73"/>
        <v>0</v>
      </c>
    </row>
    <row r="119" spans="1:19" ht="15" hidden="1" customHeight="1" x14ac:dyDescent="0.25">
      <c r="A119" s="14" t="str">
        <f>'Matriz de Produccion'!A120</f>
        <v>1I14</v>
      </c>
      <c r="B119" s="6" t="e">
        <f>VLOOKUP(A119,'Analisis por Categorias'!B:C,2,FALSE)</f>
        <v>#N/A</v>
      </c>
      <c r="D119" s="3">
        <f>SUMIF(CATEGORIAS[[#All],[SUBGRUPO]],A119,CATEGORIAS[[#All],[PRESUPUESTO
(ORIGINAL)]])</f>
        <v>0</v>
      </c>
      <c r="E119" s="3">
        <f>+SUMIF(CATEGORIAS[[#All],[SUBGRUPO]],A119,CATEGORIAS[[#All],[PRODUCCION
PARTIDAS
ORIGINALES
ACTUAL]])
+SUMIF(CATEGORIAS[[#All],[SUBGRUPO]],A119,CATEGORIAS[[#All],[PRODUCCION
ADICIONALES
ACTUAL]])
+SUMIF(CATEGORIAS[[#All],[SUBGRUPO]],A119,CATEGORIAS[[#All],[PROYECCION
DE INGRESO
DEL SALDO]])</f>
        <v>0</v>
      </c>
      <c r="G119" s="71">
        <f>+SUMIF(CATEGORIAS[[#All],[SUBGRUPO]],A119,CATEGORIAS[[#All],[PRODUCCION
PARTIDAS
ORIGINALES
ACTUAL]])
+SUMIF(CATEGORIAS[[#All],[SUBGRUPO]],A119,CATEGORIAS[[#All],[PRODUCCION
ADICIONALES
ACTUAL]])</f>
        <v>0</v>
      </c>
      <c r="H119" s="71">
        <f>+SUMIF(CATEGORIAS[[#All],[SUBGRUPO]],A119,CATEGORIAS[[#All],[COSTO
ACUMULADO  AX]])
+SUMIF(CATEGORIAS[[#All],[SUBGRUPO]],A119,CATEGORIAS[[#All],[CAMBIO DE
CATEGORIA]])
+SUMIF(CATEGORIAS[[#All],[SUBGRUPO]],A119,CATEGORIAS[[#All],[PROVISIONES]])</f>
        <v>0</v>
      </c>
      <c r="I119" s="71">
        <f t="shared" si="86"/>
        <v>0</v>
      </c>
      <c r="K119" s="71">
        <f>+SUMIF(CATEGORIAS[[#All],[SUBGRUPO]],A119,CATEGORIAS[[#All],[PRODUCCION
ANTERIOR]])
+SUMIF(CATEGORIAS[[#All],[SUBGRUPO]],A119,CATEGORIAS[[#All],[PRODUCCION
ADICIONALES
ANTERIOR]])</f>
        <v>0</v>
      </c>
      <c r="L119" s="71">
        <f>+SUMIF(CATEGORIAS[[#All],[SUBGRUPO]],A119,CATEGORIAS[[#All],[COSTO ACUMULADO
ANTERIOR]])
+SUMIF(CATEGORIAS[[#All],[SUBGRUPO]],A119,CATEGORIAS[[#All],[CAMBIO DE
CATEGORIA
ANTERIOR]])
+SUMIF(CATEGORIAS[[#All],[SUBGRUPO]],A119,CATEGORIAS[[#All],[PROVISIONES
ANTERIOR]])</f>
        <v>0</v>
      </c>
      <c r="M119" s="71">
        <f t="shared" si="93"/>
        <v>0</v>
      </c>
      <c r="O119" s="71">
        <f t="shared" si="88"/>
        <v>0</v>
      </c>
      <c r="P119" s="71">
        <f t="shared" si="94"/>
        <v>0</v>
      </c>
      <c r="Q119" s="71">
        <f t="shared" si="95"/>
        <v>0</v>
      </c>
      <c r="R119" s="125">
        <f t="shared" si="73"/>
        <v>0</v>
      </c>
    </row>
    <row r="120" spans="1:19" ht="8.25" customHeight="1" x14ac:dyDescent="0.25">
      <c r="R120" s="125">
        <f t="shared" si="73"/>
        <v>0</v>
      </c>
    </row>
    <row r="121" spans="1:19" ht="14.25" customHeight="1" x14ac:dyDescent="0.25">
      <c r="A121" s="14" t="str">
        <f>'Matriz de Produccion'!A122</f>
        <v>1J00</v>
      </c>
      <c r="B121" s="81" t="s">
        <v>229</v>
      </c>
      <c r="D121" s="82">
        <f>SUM(D122:D124)</f>
        <v>81343992.782874912</v>
      </c>
      <c r="E121" s="82">
        <f>SUM(E122:E124)</f>
        <v>81343992.782874912</v>
      </c>
      <c r="G121" s="83">
        <f>SUM(G122:G124)</f>
        <v>37990220.001961373</v>
      </c>
      <c r="H121" s="83">
        <f>SUM(H122:H124)</f>
        <v>37990220.001961306</v>
      </c>
      <c r="I121" s="83">
        <f>SUM(I122:I124)</f>
        <v>6.3329935073852539E-8</v>
      </c>
      <c r="K121" s="83">
        <f>SUM(K122:K124)</f>
        <v>20235583.898517307</v>
      </c>
      <c r="L121" s="83">
        <f>SUM(L122:L124)</f>
        <v>20235583.898517299</v>
      </c>
      <c r="M121" s="83">
        <f>SUM(M122:M124)</f>
        <v>0</v>
      </c>
      <c r="O121" s="83">
        <f>SUM(O122:O124)</f>
        <v>17754636.103444066</v>
      </c>
      <c r="P121" s="83">
        <f>SUM(P122:P124)</f>
        <v>17754636.103444003</v>
      </c>
      <c r="Q121" s="83">
        <f>SUM(Q122:Q124)</f>
        <v>6.3329935073852539E-8</v>
      </c>
      <c r="R121" s="125">
        <f t="shared" si="73"/>
        <v>314648865.57359529</v>
      </c>
      <c r="S121" s="256"/>
    </row>
    <row r="122" spans="1:19" ht="15" customHeight="1" x14ac:dyDescent="0.25">
      <c r="A122" s="14" t="str">
        <f>'Matriz de Produccion'!A123</f>
        <v>1J01</v>
      </c>
      <c r="B122" s="6" t="str">
        <f>VLOOKUP(A122,'Analisis por Categorias'!B:C,2,FALSE)</f>
        <v>Boletas de Garantia</v>
      </c>
      <c r="D122" s="3">
        <f>SUMIF(CATEGORIAS[[#All],[SUBGRUPO]],A122,CATEGORIAS[[#All],[PRESUPUESTO
(ORIGINAL)]])</f>
        <v>27257060.439430937</v>
      </c>
      <c r="E122" s="3">
        <f>+SUMIF(CATEGORIAS[[#All],[SUBGRUPO]],A122,CATEGORIAS[[#All],[PRODUCCION
PARTIDAS
ORIGINALES
ACTUAL]])
+SUMIF(CATEGORIAS[[#All],[SUBGRUPO]],A122,CATEGORIAS[[#All],[PRODUCCION
ADICIONALES
ACTUAL]])
+SUMIF(CATEGORIAS[[#All],[SUBGRUPO]],A122,CATEGORIAS[[#All],[PROYECCION
DE INGRESO
DEL SALDO]])</f>
        <v>27257060.439430937</v>
      </c>
      <c r="G122" s="71">
        <f>+SUMIF(CATEGORIAS[[#All],[SUBGRUPO]],A122,CATEGORIAS[[#All],[PRODUCCION
PARTIDAS
ORIGINALES
ACTUAL]])
+SUMIF(CATEGORIAS[[#All],[SUBGRUPO]],A122,CATEGORIAS[[#All],[PRODUCCION
ADICIONALES
ACTUAL]])</f>
        <v>12729910.190967908</v>
      </c>
      <c r="H122" s="71">
        <f>+SUMIF(CATEGORIAS[[#All],[SUBGRUPO]],A122,CATEGORIAS[[#All],[COSTO
ACUMULADO  AX]])
+SUMIF(CATEGORIAS[[#All],[SUBGRUPO]],A122,CATEGORIAS[[#All],[CAMBIO DE
CATEGORIA]])
+SUMIF(CATEGORIAS[[#All],[SUBGRUPO]],A122,CATEGORIAS[[#All],[PROVISIONES]])</f>
        <v>12729910.190967901</v>
      </c>
      <c r="I122" s="71">
        <f>G122-H122</f>
        <v>0</v>
      </c>
      <c r="K122" s="71">
        <f>+SUMIF(CATEGORIAS[[#All],[SUBGRUPO]],A122,CATEGORIAS[[#All],[PRODUCCION
ANTERIOR]])
+SUMIF(CATEGORIAS[[#All],[SUBGRUPO]],A122,CATEGORIAS[[#All],[PRODUCCION
ADICIONALES
ANTERIOR]])</f>
        <v>6780617.8978858842</v>
      </c>
      <c r="L122" s="71">
        <f>+SUMIF(CATEGORIAS[[#All],[SUBGRUPO]],A122,CATEGORIAS[[#All],[COSTO ACUMULADO
ANTERIOR]])
+SUMIF(CATEGORIAS[[#All],[SUBGRUPO]],A122,CATEGORIAS[[#All],[CAMBIO DE
CATEGORIA
ANTERIOR]])
+SUMIF(CATEGORIAS[[#All],[SUBGRUPO]],A122,CATEGORIAS[[#All],[PROVISIONES
ANTERIOR]])</f>
        <v>6780617.8978858795</v>
      </c>
      <c r="M122" s="71">
        <f>K122-L122</f>
        <v>0</v>
      </c>
      <c r="O122" s="71">
        <f>G122-K122</f>
        <v>5949292.293082024</v>
      </c>
      <c r="P122" s="71">
        <f t="shared" ref="P122:Q123" si="96">H122-L122</f>
        <v>5949292.2930820212</v>
      </c>
      <c r="Q122" s="71">
        <f t="shared" si="96"/>
        <v>0</v>
      </c>
      <c r="R122" s="125">
        <f t="shared" si="73"/>
        <v>105433761.64273348</v>
      </c>
    </row>
    <row r="123" spans="1:19" ht="15" customHeight="1" x14ac:dyDescent="0.25">
      <c r="A123" s="14" t="str">
        <f>'Matriz de Produccion'!A124</f>
        <v>1J02</v>
      </c>
      <c r="B123" s="6" t="str">
        <f>VLOOKUP(A123,'Analisis por Categorias'!B:C,2,FALSE)</f>
        <v>Seguros</v>
      </c>
      <c r="D123" s="3">
        <f>SUMIF(CATEGORIAS[[#All],[SUBGRUPO]],A123,CATEGORIAS[[#All],[PRESUPUESTO
(ORIGINAL)]])</f>
        <v>26265253.552345507</v>
      </c>
      <c r="E123" s="3">
        <f>+SUMIF(CATEGORIAS[[#All],[SUBGRUPO]],A123,CATEGORIAS[[#All],[PRODUCCION
PARTIDAS
ORIGINALES
ACTUAL]])
+SUMIF(CATEGORIAS[[#All],[SUBGRUPO]],A123,CATEGORIAS[[#All],[PRODUCCION
ADICIONALES
ACTUAL]])
+SUMIF(CATEGORIAS[[#All],[SUBGRUPO]],A123,CATEGORIAS[[#All],[PROYECCION
DE INGRESO
DEL SALDO]])</f>
        <v>26265253.552345507</v>
      </c>
      <c r="G123" s="71">
        <f>+SUMIF(CATEGORIAS[[#All],[SUBGRUPO]],A123,CATEGORIAS[[#All],[PRODUCCION
PARTIDAS
ORIGINALES
ACTUAL]])
+SUMIF(CATEGORIAS[[#All],[SUBGRUPO]],A123,CATEGORIAS[[#All],[PRODUCCION
ADICIONALES
ACTUAL]])</f>
        <v>12266704.973830247</v>
      </c>
      <c r="H123" s="71">
        <f>+SUMIF(CATEGORIAS[[#All],[SUBGRUPO]],A123,CATEGORIAS[[#All],[COSTO
ACUMULADO  AX]])
+SUMIF(CATEGORIAS[[#All],[SUBGRUPO]],A123,CATEGORIAS[[#All],[CAMBIO DE
CATEGORIA]])
+SUMIF(CATEGORIAS[[#All],[SUBGRUPO]],A123,CATEGORIAS[[#All],[PROVISIONES]])</f>
        <v>12266704.973830201</v>
      </c>
      <c r="I123" s="71">
        <f>G123-H123</f>
        <v>4.6566128730773926E-8</v>
      </c>
      <c r="K123" s="71">
        <f>+SUMIF(CATEGORIAS[[#All],[SUBGRUPO]],A123,CATEGORIAS[[#All],[PRODUCCION
ANTERIOR]])
+SUMIF(CATEGORIAS[[#All],[SUBGRUPO]],A123,CATEGORIAS[[#All],[PRODUCCION
ADICIONALES
ANTERIOR]])</f>
        <v>6533890.5024368409</v>
      </c>
      <c r="L123" s="71">
        <f>+SUMIF(CATEGORIAS[[#All],[SUBGRUPO]],A123,CATEGORIAS[[#All],[COSTO ACUMULADO
ANTERIOR]])
+SUMIF(CATEGORIAS[[#All],[SUBGRUPO]],A123,CATEGORIAS[[#All],[CAMBIO DE
CATEGORIA
ANTERIOR]])
+SUMIF(CATEGORIAS[[#All],[SUBGRUPO]],A123,CATEGORIAS[[#All],[PROVISIONES
ANTERIOR]])</f>
        <v>6533890.50243684</v>
      </c>
      <c r="M123" s="71">
        <f>K123-L123</f>
        <v>0</v>
      </c>
      <c r="O123" s="71">
        <f>G123-K123</f>
        <v>5732814.4713934064</v>
      </c>
      <c r="P123" s="71">
        <f t="shared" si="96"/>
        <v>5732814.4713933608</v>
      </c>
      <c r="Q123" s="71">
        <f t="shared" si="96"/>
        <v>4.6566128730773926E-8</v>
      </c>
      <c r="R123" s="125">
        <f t="shared" si="73"/>
        <v>101597327.00001201</v>
      </c>
    </row>
    <row r="124" spans="1:19" ht="13.9" customHeight="1" x14ac:dyDescent="0.25">
      <c r="A124" s="14" t="str">
        <f>'Matriz de Produccion'!A125</f>
        <v>1J03</v>
      </c>
      <c r="B124" s="6" t="str">
        <f>VLOOKUP(A124,'Analisis por Categorias'!B:C,2,FALSE)</f>
        <v>Gastos Financieros</v>
      </c>
      <c r="D124" s="3">
        <f>SUMIF(CATEGORIAS[[#All],[SUBGRUPO]],A124,CATEGORIAS[[#All],[PRESUPUESTO
(ORIGINAL)]])</f>
        <v>27821678.791098461</v>
      </c>
      <c r="E124" s="3">
        <f>+SUMIF(CATEGORIAS[[#All],[SUBGRUPO]],A124,CATEGORIAS[[#All],[PRODUCCION
PARTIDAS
ORIGINALES
ACTUAL]])
+SUMIF(CATEGORIAS[[#All],[SUBGRUPO]],A124,CATEGORIAS[[#All],[PRODUCCION
ADICIONALES
ACTUAL]])
+SUMIF(CATEGORIAS[[#All],[SUBGRUPO]],A124,CATEGORIAS[[#All],[PROYECCION
DE INGRESO
DEL SALDO]])</f>
        <v>27821678.791098461</v>
      </c>
      <c r="G124" s="71">
        <f>+SUMIF(CATEGORIAS[[#All],[SUBGRUPO]],A124,CATEGORIAS[[#All],[PRODUCCION
PARTIDAS
ORIGINALES
ACTUAL]])
+SUMIF(CATEGORIAS[[#All],[SUBGRUPO]],A124,CATEGORIAS[[#All],[PRODUCCION
ADICIONALES
ACTUAL]])</f>
        <v>12993604.837163217</v>
      </c>
      <c r="H124" s="71">
        <f>+SUMIF(CATEGORIAS[[#All],[SUBGRUPO]],A124,CATEGORIAS[[#All],[COSTO
ACUMULADO  AX]])
+SUMIF(CATEGORIAS[[#All],[SUBGRUPO]],A124,CATEGORIAS[[#All],[CAMBIO DE
CATEGORIA]])
+SUMIF(CATEGORIAS[[#All],[SUBGRUPO]],A124,CATEGORIAS[[#All],[PROVISIONES]])</f>
        <v>12993604.837163201</v>
      </c>
      <c r="I124" s="71">
        <f>G124-H124</f>
        <v>1.6763806343078613E-8</v>
      </c>
      <c r="K124" s="71">
        <f>+SUMIF(CATEGORIAS[[#All],[SUBGRUPO]],A124,CATEGORIAS[[#All],[PRODUCCION
ANTERIOR]])
+SUMIF(CATEGORIAS[[#All],[SUBGRUPO]],A124,CATEGORIAS[[#All],[PRODUCCION
ADICIONALES
ANTERIOR]])</f>
        <v>6921075.4981945828</v>
      </c>
      <c r="L124" s="71">
        <f>+SUMIF(CATEGORIAS[[#All],[SUBGRUPO]],A124,CATEGORIAS[[#All],[COSTO ACUMULADO
ANTERIOR]])
+SUMIF(CATEGORIAS[[#All],[SUBGRUPO]],A124,CATEGORIAS[[#All],[CAMBIO DE
CATEGORIA
ANTERIOR]])
+SUMIF(CATEGORIAS[[#All],[SUBGRUPO]],A124,CATEGORIAS[[#All],[PROVISIONES
ANTERIOR]])</f>
        <v>6921075.49819458</v>
      </c>
      <c r="M124" s="71">
        <f>K124-L124</f>
        <v>0</v>
      </c>
      <c r="O124" s="71">
        <f>G124-K124</f>
        <v>6072529.3389686346</v>
      </c>
      <c r="P124" s="71">
        <f t="shared" ref="P124" si="97">H124-L124</f>
        <v>6072529.3389686206</v>
      </c>
      <c r="Q124" s="71">
        <f t="shared" ref="Q124" si="98">I124-M124</f>
        <v>1.6763806343078613E-8</v>
      </c>
      <c r="R124" s="125">
        <f t="shared" si="73"/>
        <v>107617776.93084976</v>
      </c>
      <c r="S124" s="261"/>
    </row>
    <row r="125" spans="1:19" ht="8.25" customHeight="1" x14ac:dyDescent="0.25">
      <c r="R125" s="125">
        <f t="shared" si="73"/>
        <v>0</v>
      </c>
    </row>
    <row r="126" spans="1:19" ht="13.5" customHeight="1" x14ac:dyDescent="0.25">
      <c r="A126" s="14" t="str">
        <f>'Matriz de Produccion'!A127</f>
        <v>1K00</v>
      </c>
      <c r="B126" s="81" t="s">
        <v>233</v>
      </c>
      <c r="D126" s="82">
        <f>SUM(D127:D129)</f>
        <v>530981696.87203121</v>
      </c>
      <c r="E126" s="82">
        <f>SUM(E127:E129)</f>
        <v>530981696.87203121</v>
      </c>
      <c r="G126" s="83">
        <f>SUM(G127:G129)</f>
        <v>247985263.46041375</v>
      </c>
      <c r="H126" s="84">
        <f>SUM(H127:H129)</f>
        <v>247985263.46041375</v>
      </c>
      <c r="I126" s="87">
        <f>SUM(I127:I129)</f>
        <v>0</v>
      </c>
      <c r="K126" s="83">
        <f>SUM(K127:K129)</f>
        <v>132089959.049725</v>
      </c>
      <c r="L126" s="84">
        <f>SUM(L127:L129)</f>
        <v>132089959.049725</v>
      </c>
      <c r="M126" s="87">
        <f>SUM(M127:M129)</f>
        <v>0</v>
      </c>
      <c r="O126" s="83">
        <f>SUM(O127:O129)</f>
        <v>115895304.41068879</v>
      </c>
      <c r="P126" s="84">
        <f>SUM(P127:P129)</f>
        <v>115895304.41068879</v>
      </c>
      <c r="Q126" s="87">
        <f>SUM(Q127:Q129)</f>
        <v>0</v>
      </c>
      <c r="R126" s="125">
        <f t="shared" ref="R126:R142" si="99">SUM(D126:Q126)</f>
        <v>2053904447.5857177</v>
      </c>
      <c r="S126" s="256"/>
    </row>
    <row r="127" spans="1:19" ht="15" customHeight="1" x14ac:dyDescent="0.25">
      <c r="A127" s="14" t="str">
        <f>'Matriz de Produccion'!A128</f>
        <v>1K01</v>
      </c>
      <c r="B127" s="6" t="str">
        <f>VLOOKUP(A127,'Analisis por Categorias'!B:C,2,FALSE)</f>
        <v xml:space="preserve">Oficina Central </v>
      </c>
      <c r="D127" s="3">
        <f>SUMIF(CATEGORIAS[[#All],[SUBGRUPO]],A127,CATEGORIAS[[#All],[PRESUPUESTO
(ORIGINAL)]])</f>
        <v>212392678.74881247</v>
      </c>
      <c r="E127" s="3">
        <f>+SUMIF(CATEGORIAS[[#All],[SUBGRUPO]],A127,CATEGORIAS[[#All],[PRODUCCION
PARTIDAS
ORIGINALES
ACTUAL]])
+SUMIF(CATEGORIAS[[#All],[SUBGRUPO]],A127,CATEGORIAS[[#All],[PRODUCCION
ADICIONALES
ACTUAL]])
+SUMIF(CATEGORIAS[[#All],[SUBGRUPO]],A127,CATEGORIAS[[#All],[PROYECCION
DE INGRESO
DEL SALDO]])</f>
        <v>212392678.74881247</v>
      </c>
      <c r="G127" s="71">
        <f>+SUMIF(CATEGORIAS[[#All],[SUBGRUPO]],A127,CATEGORIAS[[#All],[PRODUCCION
PARTIDAS
ORIGINALES
ACTUAL]])
+SUMIF(CATEGORIAS[[#All],[SUBGRUPO]],A127,CATEGORIAS[[#All],[PRODUCCION
ADICIONALES
ACTUAL]])</f>
        <v>99194105.384165511</v>
      </c>
      <c r="H127" s="71">
        <f>+SUMIF(CATEGORIAS[[#All],[SUBGRUPO]],A127,CATEGORIAS[[#All],[COSTO
ACUMULADO  AX]])
+SUMIF(CATEGORIAS[[#All],[SUBGRUPO]],A127,CATEGORIAS[[#All],[CAMBIO DE
CATEGORIA]])
+SUMIF(CATEGORIAS[[#All],[SUBGRUPO]],A127,CATEGORIAS[[#All],[PROVISIONES]])</f>
        <v>99194105.384165511</v>
      </c>
      <c r="I127" s="71">
        <f>G127-H127</f>
        <v>0</v>
      </c>
      <c r="K127" s="71">
        <f>+SUMIF(CATEGORIAS[[#All],[SUBGRUPO]],A127,CATEGORIAS[[#All],[PRODUCCION
ANTERIOR]])
+SUMIF(CATEGORIAS[[#All],[SUBGRUPO]],A127,CATEGORIAS[[#All],[PRODUCCION
ADICIONALES
ANTERIOR]])</f>
        <v>52835983.619889997</v>
      </c>
      <c r="L127" s="71">
        <f>+SUMIF(CATEGORIAS[[#All],[SUBGRUPO]],A127,CATEGORIAS[[#All],[COSTO ACUMULADO
ANTERIOR]])
+SUMIF(CATEGORIAS[[#All],[SUBGRUPO]],A127,CATEGORIAS[[#All],[CAMBIO DE
CATEGORIA
ANTERIOR]])
+SUMIF(CATEGORIAS[[#All],[SUBGRUPO]],A127,CATEGORIAS[[#All],[PROVISIONES
ANTERIOR]])</f>
        <v>52835983.619889997</v>
      </c>
      <c r="M127" s="71">
        <f>K127-L127</f>
        <v>0</v>
      </c>
      <c r="O127" s="71">
        <f>G127-K127</f>
        <v>46358121.764275514</v>
      </c>
      <c r="P127" s="71">
        <f t="shared" ref="P127:Q129" si="100">H127-L127</f>
        <v>46358121.764275514</v>
      </c>
      <c r="Q127" s="71">
        <f t="shared" si="100"/>
        <v>0</v>
      </c>
      <c r="R127" s="125">
        <f t="shared" si="99"/>
        <v>821561779.03428698</v>
      </c>
      <c r="S127" s="256"/>
    </row>
    <row r="128" spans="1:19" ht="15" customHeight="1" x14ac:dyDescent="0.25">
      <c r="A128" s="14" t="str">
        <f>'Matriz de Produccion'!A129</f>
        <v>1K02</v>
      </c>
      <c r="B128" s="6" t="str">
        <f>VLOOKUP(A128,'Analisis por Categorias'!B:C,2,FALSE)</f>
        <v xml:space="preserve">Imprevistos </v>
      </c>
      <c r="D128" s="3">
        <f>SUMIF(CATEGORIAS[[#All],[SUBGRUPO]],A128,CATEGORIAS[[#All],[PRESUPUESTO
(ORIGINAL)]])</f>
        <v>106196339.37440623</v>
      </c>
      <c r="E128" s="3">
        <f>+SUMIF(CATEGORIAS[[#All],[SUBGRUPO]],A128,CATEGORIAS[[#All],[PRODUCCION
PARTIDAS
ORIGINALES
ACTUAL]])
+SUMIF(CATEGORIAS[[#All],[SUBGRUPO]],A128,CATEGORIAS[[#All],[PRODUCCION
ADICIONALES
ACTUAL]])
+SUMIF(CATEGORIAS[[#All],[SUBGRUPO]],A128,CATEGORIAS[[#All],[PROYECCION
DE INGRESO
DEL SALDO]])</f>
        <v>106196339.37440623</v>
      </c>
      <c r="G128" s="71">
        <f>+SUMIF(CATEGORIAS[[#All],[SUBGRUPO]],A128,CATEGORIAS[[#All],[PRODUCCION
PARTIDAS
ORIGINALES
ACTUAL]])
+SUMIF(CATEGORIAS[[#All],[SUBGRUPO]],A128,CATEGORIAS[[#All],[PRODUCCION
ADICIONALES
ACTUAL]])</f>
        <v>49597052.692082755</v>
      </c>
      <c r="H128" s="71">
        <f>+SUMIF(CATEGORIAS[[#All],[SUBGRUPO]],A128,CATEGORIAS[[#All],[COSTO
ACUMULADO  AX]])
+SUMIF(CATEGORIAS[[#All],[SUBGRUPO]],A128,CATEGORIAS[[#All],[CAMBIO DE
CATEGORIA]])
+SUMIF(CATEGORIAS[[#All],[SUBGRUPO]],A128,CATEGORIAS[[#All],[PROVISIONES]])</f>
        <v>49597052.692082755</v>
      </c>
      <c r="I128" s="71">
        <f>G128-H128</f>
        <v>0</v>
      </c>
      <c r="K128" s="71">
        <f>+SUMIF(CATEGORIAS[[#All],[SUBGRUPO]],A128,CATEGORIAS[[#All],[PRODUCCION
ANTERIOR]])
+SUMIF(CATEGORIAS[[#All],[SUBGRUPO]],A128,CATEGORIAS[[#All],[PRODUCCION
ADICIONALES
ANTERIOR]])</f>
        <v>26417991.809944998</v>
      </c>
      <c r="L128" s="71">
        <f>+SUMIF(CATEGORIAS[[#All],[SUBGRUPO]],A128,CATEGORIAS[[#All],[COSTO ACUMULADO
ANTERIOR]])
+SUMIF(CATEGORIAS[[#All],[SUBGRUPO]],A128,CATEGORIAS[[#All],[CAMBIO DE
CATEGORIA
ANTERIOR]])
+SUMIF(CATEGORIAS[[#All],[SUBGRUPO]],A128,CATEGORIAS[[#All],[PROVISIONES
ANTERIOR]])</f>
        <v>26417991.809944998</v>
      </c>
      <c r="M128" s="71">
        <f>K128-L128</f>
        <v>0</v>
      </c>
      <c r="O128" s="85">
        <f>G128-K128</f>
        <v>23179060.882137757</v>
      </c>
      <c r="P128" s="85">
        <f t="shared" si="100"/>
        <v>23179060.882137757</v>
      </c>
      <c r="Q128" s="85">
        <f t="shared" si="100"/>
        <v>0</v>
      </c>
      <c r="R128" s="125">
        <f t="shared" si="99"/>
        <v>410780889.51714349</v>
      </c>
      <c r="S128" s="262"/>
    </row>
    <row r="129" spans="1:23" ht="15" customHeight="1" x14ac:dyDescent="0.25">
      <c r="A129" s="14" t="str">
        <f>'Matriz de Produccion'!A130</f>
        <v>1K03</v>
      </c>
      <c r="B129" s="6" t="str">
        <f>VLOOKUP(A129,'Analisis por Categorias'!B:C,2,FALSE)</f>
        <v xml:space="preserve">Utilidades </v>
      </c>
      <c r="D129" s="3">
        <f>SUMIF(CATEGORIAS[[#All],[SUBGRUPO]],A129,CATEGORIAS[[#All],[PRESUPUESTO
(ORIGINAL)]])</f>
        <v>212392678.74881247</v>
      </c>
      <c r="E129" s="3">
        <f>+SUMIF(CATEGORIAS[[#All],[SUBGRUPO]],A129,CATEGORIAS[[#All],[PRODUCCION
PARTIDAS
ORIGINALES
ACTUAL]])
+SUMIF(CATEGORIAS[[#All],[SUBGRUPO]],A129,CATEGORIAS[[#All],[PRODUCCION
ADICIONALES
ACTUAL]])
+SUMIF(CATEGORIAS[[#All],[SUBGRUPO]],A129,CATEGORIAS[[#All],[PROYECCION
DE INGRESO
DEL SALDO]])</f>
        <v>212392678.74881247</v>
      </c>
      <c r="G129" s="71">
        <f>+SUMIF(CATEGORIAS[[#All],[SUBGRUPO]],A129,CATEGORIAS[[#All],[PRODUCCION
PARTIDAS
ORIGINALES
ACTUAL]])
+SUMIF(CATEGORIAS[[#All],[SUBGRUPO]],A129,CATEGORIAS[[#All],[PRODUCCION
ADICIONALES
ACTUAL]])</f>
        <v>99194105.384165511</v>
      </c>
      <c r="H129" s="71">
        <f>+SUMIF(CATEGORIAS[[#All],[SUBGRUPO]],A129,CATEGORIAS[[#All],[COSTO
ACUMULADO  AX]])
+SUMIF(CATEGORIAS[[#All],[SUBGRUPO]],A129,CATEGORIAS[[#All],[CAMBIO DE
CATEGORIA]])
+SUMIF(CATEGORIAS[[#All],[SUBGRUPO]],A129,CATEGORIAS[[#All],[PROVISIONES]])</f>
        <v>99194105.384165511</v>
      </c>
      <c r="I129" s="71">
        <f>G129-H129</f>
        <v>0</v>
      </c>
      <c r="K129" s="71">
        <f>+SUMIF(CATEGORIAS[[#All],[SUBGRUPO]],A129,CATEGORIAS[[#All],[PRODUCCION
ANTERIOR]])
+SUMIF(CATEGORIAS[[#All],[SUBGRUPO]],A129,CATEGORIAS[[#All],[PRODUCCION
ADICIONALES
ANTERIOR]])</f>
        <v>52835983.619889997</v>
      </c>
      <c r="L129" s="71">
        <f>+SUMIF(CATEGORIAS[[#All],[SUBGRUPO]],A129,CATEGORIAS[[#All],[COSTO ACUMULADO
ANTERIOR]])
+SUMIF(CATEGORIAS[[#All],[SUBGRUPO]],A129,CATEGORIAS[[#All],[CAMBIO DE
CATEGORIA
ANTERIOR]])
+SUMIF(CATEGORIAS[[#All],[SUBGRUPO]],A129,CATEGORIAS[[#All],[PROVISIONES
ANTERIOR]])</f>
        <v>52835983.619889997</v>
      </c>
      <c r="M129" s="71">
        <f>K129-L129</f>
        <v>0</v>
      </c>
      <c r="O129" s="71">
        <f>G129-K129</f>
        <v>46358121.764275514</v>
      </c>
      <c r="P129" s="71">
        <f t="shared" si="100"/>
        <v>46358121.764275514</v>
      </c>
      <c r="Q129" s="71">
        <f t="shared" si="100"/>
        <v>0</v>
      </c>
      <c r="R129" s="125">
        <f t="shared" si="99"/>
        <v>821561779.03428698</v>
      </c>
    </row>
    <row r="130" spans="1:23" ht="8.25" customHeight="1" x14ac:dyDescent="0.25">
      <c r="R130" s="125">
        <f t="shared" si="99"/>
        <v>0</v>
      </c>
    </row>
    <row r="131" spans="1:23" x14ac:dyDescent="0.25">
      <c r="B131" s="7" t="s">
        <v>234</v>
      </c>
      <c r="D131" s="350">
        <f>SUM(D132:D142)</f>
        <v>5309816968.7201071</v>
      </c>
      <c r="E131" s="350">
        <f>SUM(E132:E142)</f>
        <v>5514917512.4993162</v>
      </c>
      <c r="G131" s="354">
        <f>SUM(G132:G142)</f>
        <v>2272709405.0881023</v>
      </c>
      <c r="H131" s="355">
        <f>SUM(H132:H142)</f>
        <v>2467599564.3722324</v>
      </c>
      <c r="I131" s="356">
        <f>SUM(I132:I142)</f>
        <v>-194890159.28412986</v>
      </c>
      <c r="K131" s="354">
        <f>SUM(K132:K142)</f>
        <v>1533347210.5749314</v>
      </c>
      <c r="L131" s="355">
        <f>SUM(L132:L142)</f>
        <v>1546840733.6912796</v>
      </c>
      <c r="M131" s="356">
        <f>SUM(M132:M142)</f>
        <v>-13493523.116348296</v>
      </c>
      <c r="O131" s="354">
        <f>SUM(O132:O142)</f>
        <v>739362194.51317096</v>
      </c>
      <c r="P131" s="355">
        <f>SUM(P132:P142)</f>
        <v>920758830.68095231</v>
      </c>
      <c r="Q131" s="356">
        <f>SUM(Q132:Q142)</f>
        <v>-181396636.16778153</v>
      </c>
      <c r="R131" s="125">
        <f t="shared" si="99"/>
        <v>19915572101.571835</v>
      </c>
    </row>
    <row r="132" spans="1:23" x14ac:dyDescent="0.25">
      <c r="A132" s="14" t="str">
        <f>'Matriz de Produccion'!A133</f>
        <v>0A00</v>
      </c>
      <c r="B132" s="81" t="s">
        <v>168</v>
      </c>
      <c r="D132" s="86">
        <f>D9</f>
        <v>1425866588.2684827</v>
      </c>
      <c r="E132" s="86">
        <f>E9</f>
        <v>1481201543.175487</v>
      </c>
      <c r="G132" s="352">
        <f>G9</f>
        <v>527910094.65412843</v>
      </c>
      <c r="H132" s="352">
        <f>H9</f>
        <v>837107293.29975438</v>
      </c>
      <c r="I132" s="363">
        <f t="shared" ref="I132:I142" si="101">G132-H132</f>
        <v>-309197198.64562595</v>
      </c>
      <c r="K132" s="85">
        <f>K9</f>
        <v>362716973.56080329</v>
      </c>
      <c r="L132" s="85">
        <f>L9</f>
        <v>488011228.05651104</v>
      </c>
      <c r="M132" s="71">
        <f t="shared" ref="M132:M142" si="102">K132-L132</f>
        <v>-125294254.49570775</v>
      </c>
      <c r="O132" s="85">
        <f>O9</f>
        <v>165193121.09332505</v>
      </c>
      <c r="P132" s="85">
        <f>P9</f>
        <v>349096065.24324322</v>
      </c>
      <c r="Q132" s="85">
        <f t="shared" ref="Q132:Q142" si="103">I132-M132</f>
        <v>-183902944.1499182</v>
      </c>
      <c r="R132" s="125">
        <f t="shared" si="99"/>
        <v>5018708510.060483</v>
      </c>
      <c r="S132" s="257"/>
      <c r="T132" s="257"/>
      <c r="U132" s="270"/>
    </row>
    <row r="133" spans="1:23" x14ac:dyDescent="0.25">
      <c r="A133" s="14" t="str">
        <f>'Matriz de Produccion'!A134</f>
        <v>0B00</v>
      </c>
      <c r="B133" s="81" t="s">
        <v>180</v>
      </c>
      <c r="D133" s="86">
        <f>D24</f>
        <v>455675553.39120007</v>
      </c>
      <c r="E133" s="86">
        <f>E24</f>
        <v>484453453.90711045</v>
      </c>
      <c r="G133" s="352">
        <f>G24</f>
        <v>179167759.27447525</v>
      </c>
      <c r="H133" s="352">
        <f>H24</f>
        <v>201432538</v>
      </c>
      <c r="I133" s="363">
        <f t="shared" si="101"/>
        <v>-22264778.725524753</v>
      </c>
      <c r="K133" s="85">
        <f>K24</f>
        <v>127286192.39275202</v>
      </c>
      <c r="L133" s="85">
        <f>L24</f>
        <v>144879090</v>
      </c>
      <c r="M133" s="71">
        <f t="shared" si="102"/>
        <v>-17592897.607247978</v>
      </c>
      <c r="O133" s="85">
        <f>O24</f>
        <v>51881566.881723225</v>
      </c>
      <c r="P133" s="85">
        <f>P24</f>
        <v>56553448</v>
      </c>
      <c r="Q133" s="85">
        <f t="shared" si="103"/>
        <v>-4671881.1182767749</v>
      </c>
      <c r="R133" s="125">
        <f t="shared" si="99"/>
        <v>1656800044.3962114</v>
      </c>
      <c r="S133" s="263"/>
      <c r="T133" s="254"/>
    </row>
    <row r="134" spans="1:23" x14ac:dyDescent="0.25">
      <c r="A134" s="14" t="str">
        <f>'Matriz de Produccion'!A135</f>
        <v>0C00</v>
      </c>
      <c r="B134" s="81" t="s">
        <v>185</v>
      </c>
      <c r="D134" s="86">
        <f>D37</f>
        <v>274813305.51671207</v>
      </c>
      <c r="E134" s="86">
        <f>E37</f>
        <v>299306035.81877053</v>
      </c>
      <c r="G134" s="352">
        <f>G37</f>
        <v>102376261.30977447</v>
      </c>
      <c r="H134" s="352">
        <f>H37</f>
        <v>91594824.199999988</v>
      </c>
      <c r="I134" s="363">
        <f t="shared" si="101"/>
        <v>10781437.109774485</v>
      </c>
      <c r="K134" s="85">
        <f>K37</f>
        <v>71002932.765240744</v>
      </c>
      <c r="L134" s="85">
        <f>L37</f>
        <v>68708085.799999997</v>
      </c>
      <c r="M134" s="71">
        <f t="shared" si="102"/>
        <v>2294846.9652407467</v>
      </c>
      <c r="O134" s="85">
        <f>O37</f>
        <v>31373328.544533733</v>
      </c>
      <c r="P134" s="85">
        <f>P37</f>
        <v>22886738.399999999</v>
      </c>
      <c r="Q134" s="85">
        <f t="shared" si="103"/>
        <v>8486590.1445337385</v>
      </c>
      <c r="R134" s="125">
        <f t="shared" si="99"/>
        <v>983624386.57458043</v>
      </c>
      <c r="S134" s="263"/>
      <c r="T134" s="254"/>
    </row>
    <row r="135" spans="1:23" x14ac:dyDescent="0.25">
      <c r="A135" s="14" t="str">
        <f>'Matriz de Produccion'!A136</f>
        <v>0D00</v>
      </c>
      <c r="B135" s="81" t="s">
        <v>190</v>
      </c>
      <c r="D135" s="86">
        <f>D46</f>
        <v>740872631.09810007</v>
      </c>
      <c r="E135" s="86">
        <f>E46</f>
        <v>794729067.02900994</v>
      </c>
      <c r="G135" s="352">
        <f>G46</f>
        <v>311132349.85919666</v>
      </c>
      <c r="H135" s="352">
        <f>H46</f>
        <v>267466045.17854217</v>
      </c>
      <c r="I135" s="363">
        <f t="shared" si="101"/>
        <v>43666304.680654496</v>
      </c>
      <c r="K135" s="85">
        <f>K46</f>
        <v>211569496.08057067</v>
      </c>
      <c r="L135" s="85">
        <f>L46</f>
        <v>202083836.76412776</v>
      </c>
      <c r="M135" s="71">
        <f t="shared" si="102"/>
        <v>9485659.3164429069</v>
      </c>
      <c r="O135" s="85">
        <f>O46</f>
        <v>99562853.778625935</v>
      </c>
      <c r="P135" s="85">
        <f>P46</f>
        <v>65382208.414414413</v>
      </c>
      <c r="Q135" s="85">
        <f t="shared" si="103"/>
        <v>34180645.364211589</v>
      </c>
      <c r="R135" s="125">
        <f t="shared" si="99"/>
        <v>2780131097.5638967</v>
      </c>
      <c r="S135" s="263"/>
      <c r="T135" s="254"/>
    </row>
    <row r="136" spans="1:23" x14ac:dyDescent="0.25">
      <c r="A136" s="14" t="str">
        <f>'Matriz de Produccion'!A137</f>
        <v>0X00</v>
      </c>
      <c r="B136" s="81" t="s">
        <v>196</v>
      </c>
      <c r="D136" s="86">
        <f>D58</f>
        <v>104044850.4409</v>
      </c>
      <c r="E136" s="86">
        <f>E58</f>
        <v>105214802.86575359</v>
      </c>
      <c r="G136" s="352">
        <f>G58</f>
        <v>48494030.323253587</v>
      </c>
      <c r="H136" s="352">
        <f>H58</f>
        <v>47669482</v>
      </c>
      <c r="I136" s="363">
        <f t="shared" si="101"/>
        <v>824548.32325358689</v>
      </c>
      <c r="K136" s="85">
        <f>K58</f>
        <v>40749356.549753584</v>
      </c>
      <c r="L136" s="85">
        <f>L58</f>
        <v>5367206.3603999997</v>
      </c>
      <c r="M136" s="71">
        <f t="shared" si="102"/>
        <v>35382150.189353585</v>
      </c>
      <c r="O136" s="85">
        <f>O58</f>
        <v>7744673.7735000011</v>
      </c>
      <c r="P136" s="85">
        <f>P58</f>
        <v>42302275.639600001</v>
      </c>
      <c r="Q136" s="85">
        <f t="shared" si="103"/>
        <v>-34557601.866099998</v>
      </c>
      <c r="R136" s="125">
        <f t="shared" si="99"/>
        <v>403235774.59966797</v>
      </c>
      <c r="S136" s="263"/>
      <c r="T136" s="254"/>
    </row>
    <row r="137" spans="1:23" x14ac:dyDescent="0.25">
      <c r="A137" s="14" t="str">
        <f>'Matriz de Produccion'!A138</f>
        <v>1F00</v>
      </c>
      <c r="B137" s="81" t="s">
        <v>205</v>
      </c>
      <c r="D137" s="86">
        <f>D73</f>
        <v>1205789659.0351105</v>
      </c>
      <c r="E137" s="86">
        <f>E73</f>
        <v>1244763716.5351105</v>
      </c>
      <c r="G137" s="352">
        <f>G73</f>
        <v>563141946.3894043</v>
      </c>
      <c r="H137" s="352">
        <f>H73</f>
        <v>579397072.76036048</v>
      </c>
      <c r="I137" s="363">
        <f t="shared" si="101"/>
        <v>-16255126.370956182</v>
      </c>
      <c r="K137" s="85">
        <f>K73</f>
        <v>381284215.62659049</v>
      </c>
      <c r="L137" s="85">
        <f>L73</f>
        <v>383805662.76199841</v>
      </c>
      <c r="M137" s="71">
        <f t="shared" si="102"/>
        <v>-2521447.1354079247</v>
      </c>
      <c r="O137" s="85">
        <f>O73</f>
        <v>181857730.76281378</v>
      </c>
      <c r="P137" s="85">
        <f>P73</f>
        <v>195591409.998362</v>
      </c>
      <c r="Q137" s="85">
        <f t="shared" si="103"/>
        <v>-13733679.235548258</v>
      </c>
      <c r="R137" s="125">
        <f t="shared" si="99"/>
        <v>4703121161.1278381</v>
      </c>
      <c r="S137" s="257"/>
      <c r="T137" s="257"/>
    </row>
    <row r="138" spans="1:23" x14ac:dyDescent="0.25">
      <c r="A138" s="14" t="str">
        <f>'Matriz de Produccion'!A139</f>
        <v>1G00</v>
      </c>
      <c r="B138" s="81" t="s">
        <v>207</v>
      </c>
      <c r="D138" s="86">
        <f>D88</f>
        <v>90537194.880000025</v>
      </c>
      <c r="E138" s="86">
        <f>E88</f>
        <v>90537194.880000025</v>
      </c>
      <c r="G138" s="352">
        <f>G88</f>
        <v>42283736.440532394</v>
      </c>
      <c r="H138" s="352">
        <f>H88</f>
        <v>22130647</v>
      </c>
      <c r="I138" s="363">
        <f t="shared" si="101"/>
        <v>20153089.440532394</v>
      </c>
      <c r="K138" s="85">
        <f>K88</f>
        <v>22522535.964282695</v>
      </c>
      <c r="L138" s="85">
        <f>L88</f>
        <v>18855552</v>
      </c>
      <c r="M138" s="71">
        <f t="shared" si="102"/>
        <v>3666983.9642826952</v>
      </c>
      <c r="O138" s="85">
        <f>O88</f>
        <v>19761200.476249699</v>
      </c>
      <c r="P138" s="85">
        <f>P88</f>
        <v>3275095</v>
      </c>
      <c r="Q138" s="85">
        <f t="shared" si="103"/>
        <v>16486105.476249699</v>
      </c>
      <c r="R138" s="125">
        <f t="shared" si="99"/>
        <v>350209335.5221296</v>
      </c>
      <c r="S138" s="263"/>
      <c r="T138" s="254"/>
    </row>
    <row r="139" spans="1:23" x14ac:dyDescent="0.25">
      <c r="A139" s="14" t="str">
        <f>'Matriz de Produccion'!A140</f>
        <v>1H00</v>
      </c>
      <c r="B139" s="81" t="s">
        <v>212</v>
      </c>
      <c r="D139" s="86">
        <f>D95</f>
        <v>164811573.62139496</v>
      </c>
      <c r="E139" s="86">
        <f>E95</f>
        <v>166757070.55323496</v>
      </c>
      <c r="G139" s="352">
        <f>G95</f>
        <v>117813488.61827117</v>
      </c>
      <c r="H139" s="352">
        <f>H95</f>
        <v>44689035</v>
      </c>
      <c r="I139" s="363">
        <f t="shared" si="101"/>
        <v>73124453.618271172</v>
      </c>
      <c r="K139" s="85">
        <f>K95</f>
        <v>113343398.88012539</v>
      </c>
      <c r="L139" s="85">
        <f>L95</f>
        <v>22088687</v>
      </c>
      <c r="M139" s="71">
        <f t="shared" si="102"/>
        <v>91254711.880125389</v>
      </c>
      <c r="O139" s="85">
        <f>O95</f>
        <v>4470089.7381457919</v>
      </c>
      <c r="P139" s="85">
        <f>P95</f>
        <v>22600348</v>
      </c>
      <c r="Q139" s="85">
        <f t="shared" si="103"/>
        <v>-18130258.261854216</v>
      </c>
      <c r="R139" s="125">
        <f t="shared" si="99"/>
        <v>802822598.64771473</v>
      </c>
      <c r="S139" s="263"/>
      <c r="T139" s="254"/>
    </row>
    <row r="140" spans="1:23" x14ac:dyDescent="0.25">
      <c r="A140" s="14" t="str">
        <f>'Matriz de Produccion'!A141</f>
        <v>1I00</v>
      </c>
      <c r="B140" s="81" t="s">
        <v>221</v>
      </c>
      <c r="D140" s="86">
        <f>D107</f>
        <v>235079922.81330013</v>
      </c>
      <c r="E140" s="86">
        <f>E107</f>
        <v>235628938.07993358</v>
      </c>
      <c r="G140" s="352">
        <f>G107</f>
        <v>94414254.75669086</v>
      </c>
      <c r="H140" s="352">
        <f>H107</f>
        <v>90137143.471200004</v>
      </c>
      <c r="I140" s="363">
        <f t="shared" si="101"/>
        <v>4277111.2854908556</v>
      </c>
      <c r="K140" s="85">
        <f>K107</f>
        <v>50546565.806570038</v>
      </c>
      <c r="L140" s="85">
        <f>L107</f>
        <v>60715842</v>
      </c>
      <c r="M140" s="71">
        <f t="shared" si="102"/>
        <v>-10169276.193429962</v>
      </c>
      <c r="O140" s="85">
        <f>O107</f>
        <v>43867688.950120792</v>
      </c>
      <c r="P140" s="85">
        <f>P107</f>
        <v>29421301.4712</v>
      </c>
      <c r="Q140" s="85">
        <f t="shared" si="103"/>
        <v>14446387.478920817</v>
      </c>
      <c r="R140" s="125">
        <f t="shared" si="99"/>
        <v>848365879.9199971</v>
      </c>
      <c r="S140" s="263"/>
      <c r="T140" s="254"/>
    </row>
    <row r="141" spans="1:23" ht="15" customHeight="1" x14ac:dyDescent="0.25">
      <c r="A141" s="14" t="str">
        <f>'Matriz de Produccion'!A142</f>
        <v>1J00</v>
      </c>
      <c r="B141" s="81" t="s">
        <v>229</v>
      </c>
      <c r="D141" s="86">
        <f>D121</f>
        <v>81343992.782874912</v>
      </c>
      <c r="E141" s="86">
        <f>E121</f>
        <v>81343992.782874912</v>
      </c>
      <c r="F141" s="86"/>
      <c r="G141" s="362">
        <f>G121</f>
        <v>37990220.001961373</v>
      </c>
      <c r="H141" s="362">
        <f>H121</f>
        <v>37990220.001961306</v>
      </c>
      <c r="I141" s="363">
        <f t="shared" si="101"/>
        <v>6.7055225372314453E-8</v>
      </c>
      <c r="K141" s="85">
        <f>K121</f>
        <v>20235583.898517307</v>
      </c>
      <c r="L141" s="85">
        <f>L121</f>
        <v>20235583.898517299</v>
      </c>
      <c r="M141" s="71">
        <f t="shared" si="102"/>
        <v>0</v>
      </c>
      <c r="O141" s="85">
        <f>O121</f>
        <v>17754636.103444066</v>
      </c>
      <c r="P141" s="85">
        <f>+P121</f>
        <v>17754636.103444003</v>
      </c>
      <c r="Q141" s="85">
        <f t="shared" si="103"/>
        <v>6.7055225372314453E-8</v>
      </c>
      <c r="R141" s="125">
        <f t="shared" si="99"/>
        <v>314648865.57359529</v>
      </c>
      <c r="S141" s="263"/>
      <c r="T141" s="254"/>
    </row>
    <row r="142" spans="1:23" ht="15" customHeight="1" x14ac:dyDescent="0.25">
      <c r="A142" s="14" t="str">
        <f>A126</f>
        <v>1K00</v>
      </c>
      <c r="B142" s="81" t="s">
        <v>233</v>
      </c>
      <c r="D142" s="86">
        <f>D126</f>
        <v>530981696.87203121</v>
      </c>
      <c r="E142" s="86">
        <f>E126</f>
        <v>530981696.87203121</v>
      </c>
      <c r="F142" s="86"/>
      <c r="G142" s="362">
        <f>G126</f>
        <v>247985263.46041375</v>
      </c>
      <c r="H142" s="362">
        <f>H126</f>
        <v>247985263.46041375</v>
      </c>
      <c r="I142" s="363">
        <f t="shared" si="101"/>
        <v>0</v>
      </c>
      <c r="K142" s="86">
        <f>K126</f>
        <v>132089959.049725</v>
      </c>
      <c r="L142" s="86">
        <f>L126</f>
        <v>132089959.049725</v>
      </c>
      <c r="M142" s="71">
        <f t="shared" si="102"/>
        <v>0</v>
      </c>
      <c r="O142" s="86">
        <f>O126</f>
        <v>115895304.41068879</v>
      </c>
      <c r="P142" s="86">
        <f>P126</f>
        <v>115895304.41068879</v>
      </c>
      <c r="Q142" s="85">
        <f t="shared" si="103"/>
        <v>0</v>
      </c>
      <c r="R142" s="125">
        <f t="shared" si="99"/>
        <v>2053904447.5857177</v>
      </c>
      <c r="S142" s="263"/>
      <c r="T142" s="254"/>
    </row>
    <row r="143" spans="1:23" s="123" customFormat="1" x14ac:dyDescent="0.25">
      <c r="O143" s="238"/>
      <c r="S143" s="254"/>
      <c r="T143" s="14"/>
      <c r="U143" s="14"/>
      <c r="V143" s="14"/>
      <c r="W143" s="14"/>
    </row>
    <row r="144" spans="1:23" s="123" customFormat="1" x14ac:dyDescent="0.25">
      <c r="A144" s="123" t="s">
        <v>2385</v>
      </c>
      <c r="D144" s="239"/>
      <c r="E144" s="239"/>
      <c r="F144" s="125"/>
      <c r="G144" s="240"/>
      <c r="H144" s="240"/>
      <c r="I144" s="242"/>
      <c r="J144" s="125"/>
      <c r="K144" s="240"/>
      <c r="L144" s="240"/>
      <c r="M144" s="240"/>
      <c r="N144" s="125"/>
      <c r="O144" s="135"/>
      <c r="P144" s="135"/>
      <c r="Q144" s="225"/>
      <c r="R144" s="125">
        <f>SUM(R7:R142)/5</f>
        <v>19786831279.925316</v>
      </c>
      <c r="S144" s="254"/>
      <c r="T144" s="14"/>
      <c r="U144" s="14"/>
      <c r="V144" s="14"/>
      <c r="W144" s="14"/>
    </row>
    <row r="145" spans="4:21" s="123" customFormat="1" x14ac:dyDescent="0.25">
      <c r="D145" s="294"/>
      <c r="E145" s="230"/>
      <c r="F145" s="125"/>
      <c r="G145" s="135"/>
      <c r="H145" s="135"/>
      <c r="I145" s="135"/>
      <c r="J145" s="135"/>
      <c r="K145" s="135"/>
      <c r="L145" s="135"/>
      <c r="M145" s="135"/>
      <c r="N145" s="125"/>
      <c r="O145" s="230"/>
      <c r="P145" s="135"/>
      <c r="Q145" s="230"/>
      <c r="R145" s="123">
        <f>-SUM(D144:Q144)+R144</f>
        <v>19786831279.925316</v>
      </c>
      <c r="S145" s="264"/>
    </row>
    <row r="146" spans="4:21" x14ac:dyDescent="0.25">
      <c r="D146" s="294"/>
      <c r="E146" s="225"/>
      <c r="G146" s="135"/>
      <c r="H146" s="135"/>
      <c r="I146" s="135"/>
      <c r="J146" s="135"/>
      <c r="K146" s="135"/>
      <c r="L146" s="135"/>
      <c r="M146" s="135"/>
      <c r="P146" s="292"/>
      <c r="Q146" s="135"/>
      <c r="S146" s="135"/>
      <c r="T146" s="135"/>
      <c r="U146" s="135"/>
    </row>
    <row r="147" spans="4:21" x14ac:dyDescent="0.25">
      <c r="D147" s="225"/>
      <c r="E147" s="253"/>
      <c r="G147" s="135"/>
      <c r="H147" s="135"/>
      <c r="I147" s="135"/>
      <c r="J147" s="135"/>
      <c r="K147" s="135"/>
      <c r="L147" s="135"/>
      <c r="M147" s="135"/>
      <c r="O147" s="252"/>
      <c r="P147" s="293"/>
      <c r="Q147" s="135"/>
      <c r="S147" s="135"/>
      <c r="T147" s="135"/>
      <c r="U147" s="135"/>
    </row>
    <row r="148" spans="4:21" x14ac:dyDescent="0.25">
      <c r="E148" s="230"/>
      <c r="G148" s="135"/>
      <c r="H148" s="135"/>
      <c r="I148" s="135"/>
      <c r="J148" s="135"/>
      <c r="K148" s="135"/>
      <c r="L148" s="135"/>
      <c r="M148" s="135"/>
      <c r="O148" s="247"/>
      <c r="P148" s="272"/>
      <c r="Q148" s="135"/>
    </row>
    <row r="149" spans="4:21" x14ac:dyDescent="0.25">
      <c r="E149" s="230"/>
      <c r="G149" s="135"/>
      <c r="H149" s="135"/>
      <c r="I149" s="135"/>
      <c r="J149" s="135"/>
      <c r="K149" s="135"/>
      <c r="L149" s="135"/>
      <c r="M149" s="135"/>
      <c r="O149" s="247"/>
      <c r="P149" s="272"/>
      <c r="Q149" s="135"/>
    </row>
    <row r="150" spans="4:21" x14ac:dyDescent="0.25">
      <c r="E150" s="225"/>
      <c r="G150" s="135"/>
      <c r="H150" s="135"/>
      <c r="I150" s="135"/>
      <c r="J150" s="135"/>
      <c r="K150" s="135"/>
      <c r="L150" s="135" t="s">
        <v>2384</v>
      </c>
      <c r="M150" s="135"/>
      <c r="O150" s="230"/>
      <c r="P150" s="135"/>
    </row>
    <row r="151" spans="4:21" x14ac:dyDescent="0.25">
      <c r="E151" s="225"/>
      <c r="G151" s="249"/>
      <c r="H151" s="250"/>
      <c r="O151" s="230"/>
      <c r="P151" s="135"/>
    </row>
    <row r="152" spans="4:21" x14ac:dyDescent="0.25">
      <c r="G152" s="249"/>
      <c r="H152" s="250"/>
      <c r="P152" s="135"/>
    </row>
    <row r="153" spans="4:21" x14ac:dyDescent="0.25">
      <c r="G153" s="249"/>
      <c r="H153" s="250"/>
      <c r="I153" s="250"/>
      <c r="P153" s="135"/>
    </row>
    <row r="154" spans="4:21" x14ac:dyDescent="0.25">
      <c r="G154" s="249"/>
      <c r="H154" s="250"/>
      <c r="I154" s="250"/>
      <c r="O154" s="135"/>
      <c r="P154" s="135"/>
    </row>
    <row r="155" spans="4:21" x14ac:dyDescent="0.25">
      <c r="G155" s="249"/>
      <c r="H155" s="251"/>
      <c r="I155" s="250"/>
    </row>
    <row r="156" spans="4:21" x14ac:dyDescent="0.25">
      <c r="I156" s="250"/>
      <c r="P156" s="135"/>
    </row>
    <row r="157" spans="4:21" x14ac:dyDescent="0.25">
      <c r="I157" s="250"/>
    </row>
  </sheetData>
  <sheetProtection selectLockedCells="1" autoFilter="0" selectUnlockedCells="1"/>
  <mergeCells count="8">
    <mergeCell ref="G4:I4"/>
    <mergeCell ref="K4:M4"/>
    <mergeCell ref="O4:Q4"/>
    <mergeCell ref="G1:M1"/>
    <mergeCell ref="B1:D1"/>
    <mergeCell ref="O1:Q1"/>
    <mergeCell ref="G2:M2"/>
    <mergeCell ref="O2:P2"/>
  </mergeCells>
  <pageMargins left="0.70866141732283472" right="0.70866141732283472" top="0.74803149606299213" bottom="0.74803149606299213" header="0.31496062992125984" footer="0.31496062992125984"/>
  <pageSetup scale="39" fitToHeight="0" orientation="landscape" r:id="rId1"/>
  <rowBreaks count="2" manualBreakCount="2">
    <brk id="70" max="16383" man="1"/>
    <brk id="130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V167"/>
  <sheetViews>
    <sheetView zoomScale="90" zoomScaleNormal="90" workbookViewId="0">
      <pane xSplit="5" ySplit="5" topLeftCell="F123" activePane="bottomRight" state="frozenSplit"/>
      <selection activeCell="R21" sqref="R21"/>
      <selection pane="topRight" activeCell="R21" sqref="R21"/>
      <selection pane="bottomLeft" activeCell="R21" sqref="R21"/>
      <selection pane="bottomRight" activeCell="Q129" sqref="Q129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85546875" style="14" customWidth="1"/>
    <col min="6" max="6" width="1.42578125" style="14" customWidth="1"/>
    <col min="7" max="9" width="15.7109375" style="14" customWidth="1"/>
    <col min="10" max="10" width="1.42578125" style="14" customWidth="1"/>
    <col min="11" max="12" width="15.7109375" style="14" customWidth="1"/>
    <col min="13" max="13" width="21" style="14" bestFit="1" customWidth="1"/>
    <col min="14" max="14" width="1.42578125" style="14" customWidth="1"/>
    <col min="15" max="17" width="15.7109375" style="14" customWidth="1"/>
    <col min="18" max="18" width="16.5703125" style="123" customWidth="1"/>
    <col min="19" max="19" width="13.7109375" style="280" bestFit="1" customWidth="1"/>
    <col min="20" max="20" width="20.28515625" style="14" bestFit="1" customWidth="1"/>
    <col min="21" max="21" width="11.42578125" style="14"/>
    <col min="22" max="22" width="19.5703125" style="14" bestFit="1" customWidth="1"/>
    <col min="23" max="16384" width="11.42578125" style="14"/>
  </cols>
  <sheetData>
    <row r="1" spans="1:19" ht="49.5" customHeight="1" x14ac:dyDescent="0.25">
      <c r="B1" s="404"/>
      <c r="C1" s="404"/>
      <c r="D1" s="404"/>
      <c r="E1" s="97"/>
      <c r="G1" s="403" t="s">
        <v>250</v>
      </c>
      <c r="H1" s="403"/>
      <c r="I1" s="403"/>
      <c r="J1" s="403"/>
      <c r="K1" s="403"/>
      <c r="L1" s="403"/>
      <c r="M1" s="403"/>
      <c r="O1" s="404" t="str">
        <f>'Matriz de Produccion'!O1:Q1</f>
        <v>CC: EIMI00412 
MONTAJE ELECTROMECÁNICO " PROYECTO NUEVAS PRENSAS DE LODOS"</v>
      </c>
      <c r="P1" s="404"/>
      <c r="Q1" s="404"/>
    </row>
    <row r="2" spans="1:19" ht="20.25" customHeight="1" x14ac:dyDescent="0.3">
      <c r="B2" s="64" t="str">
        <f>Indice!C4</f>
        <v>INFORME DE COSTOS N° 3</v>
      </c>
      <c r="G2" s="405" t="str">
        <f>'Matriz de Produccion'!G2:M2</f>
        <v>Periodo : diciembre 2025</v>
      </c>
      <c r="H2" s="405"/>
      <c r="I2" s="405"/>
      <c r="J2" s="405"/>
      <c r="K2" s="405"/>
      <c r="L2" s="405"/>
      <c r="M2" s="405"/>
      <c r="O2" s="406" t="s">
        <v>251</v>
      </c>
      <c r="P2" s="406"/>
      <c r="Q2" s="64" t="s">
        <v>154</v>
      </c>
    </row>
    <row r="3" spans="1:19" ht="8.25" customHeight="1" x14ac:dyDescent="0.25">
      <c r="G3" s="44"/>
      <c r="H3" s="44"/>
      <c r="I3" s="44"/>
      <c r="K3" s="44"/>
      <c r="L3" s="44"/>
      <c r="M3" s="44"/>
    </row>
    <row r="4" spans="1:19" x14ac:dyDescent="0.25">
      <c r="B4" s="80" t="s">
        <v>80</v>
      </c>
      <c r="D4" s="80" t="s">
        <v>80</v>
      </c>
      <c r="E4" s="80" t="s">
        <v>80</v>
      </c>
      <c r="G4" s="400" t="s">
        <v>161</v>
      </c>
      <c r="H4" s="401"/>
      <c r="I4" s="402"/>
      <c r="K4" s="407" t="s">
        <v>252</v>
      </c>
      <c r="L4" s="401"/>
      <c r="M4" s="402"/>
      <c r="O4" s="409" t="s">
        <v>253</v>
      </c>
      <c r="P4" s="401"/>
      <c r="Q4" s="402"/>
    </row>
    <row r="5" spans="1:19" s="89" customFormat="1" ht="36.75" customHeight="1" x14ac:dyDescent="0.25">
      <c r="B5" s="90" t="s">
        <v>158</v>
      </c>
      <c r="D5" s="90" t="s">
        <v>159</v>
      </c>
      <c r="E5" s="90" t="s">
        <v>160</v>
      </c>
      <c r="G5" s="91" t="s">
        <v>254</v>
      </c>
      <c r="H5" s="91" t="s">
        <v>253</v>
      </c>
      <c r="I5" s="91" t="s">
        <v>247</v>
      </c>
      <c r="K5" s="93" t="s">
        <v>255</v>
      </c>
      <c r="L5" s="93" t="s">
        <v>253</v>
      </c>
      <c r="M5" s="93" t="s">
        <v>256</v>
      </c>
      <c r="O5" s="91" t="s">
        <v>247</v>
      </c>
      <c r="P5" s="93" t="s">
        <v>256</v>
      </c>
      <c r="Q5" s="90" t="s">
        <v>257</v>
      </c>
      <c r="R5" s="124"/>
      <c r="S5" s="281"/>
    </row>
    <row r="6" spans="1:19" ht="8.25" customHeight="1" x14ac:dyDescent="0.25"/>
    <row r="7" spans="1:19" ht="15" customHeight="1" x14ac:dyDescent="0.25">
      <c r="B7" s="8" t="str">
        <f>'Matriz de Produccion'!B7:B7</f>
        <v>COSTOS DIRECTOS</v>
      </c>
      <c r="D7" s="1">
        <f>SUM(D130:D134)</f>
        <v>3001272928.715395</v>
      </c>
      <c r="E7" s="1">
        <f>SUM(E130:E134)</f>
        <v>3164904902.7961316</v>
      </c>
      <c r="G7" s="12">
        <f>SUM(G130:G134)</f>
        <v>1169080495.4208283</v>
      </c>
      <c r="H7" s="12">
        <f>SUM(H130:H134)</f>
        <v>1995824407.3753033</v>
      </c>
      <c r="I7" s="12">
        <f>SUM(I130:I134)</f>
        <v>3164904902.7961316</v>
      </c>
      <c r="K7" s="11">
        <f>SUM(K130:K134)</f>
        <v>1445270182.6782966</v>
      </c>
      <c r="L7" s="11">
        <f>SUM(L130:L134)</f>
        <v>1721960099.1432245</v>
      </c>
      <c r="M7" s="11">
        <f>SUM(M130:M134)</f>
        <v>3167230281.8215213</v>
      </c>
      <c r="O7" s="12">
        <f>SUM(O130:O134)</f>
        <v>3164904902.7961316</v>
      </c>
      <c r="P7" s="11">
        <f>SUM(P130:P134)</f>
        <v>3167230281.8215208</v>
      </c>
      <c r="Q7" s="232">
        <f>SUM(Q130:Q134)</f>
        <v>-2325379.0253891945</v>
      </c>
      <c r="R7" s="125"/>
    </row>
    <row r="8" spans="1:19" ht="8.25" customHeight="1" x14ac:dyDescent="0.25">
      <c r="Q8" s="233"/>
      <c r="R8" s="125"/>
    </row>
    <row r="9" spans="1:19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SUM(D10:D22)</f>
        <v>1425866588.2684827</v>
      </c>
      <c r="E9" s="82">
        <f>SUM(E10:E22)</f>
        <v>1481201543.175487</v>
      </c>
      <c r="G9" s="83">
        <f>SUM(G10:G22)</f>
        <v>527910094.65412843</v>
      </c>
      <c r="H9" s="83">
        <f>SUM(H10:H22)</f>
        <v>953291448.52135861</v>
      </c>
      <c r="I9" s="83">
        <f>SUM(I10:I22)</f>
        <v>1481201543.175487</v>
      </c>
      <c r="K9" s="84">
        <f>SUM(K10:K22)</f>
        <v>837107293.29975438</v>
      </c>
      <c r="L9" s="84">
        <f>SUM(L10:L22)</f>
        <v>646419638.90112185</v>
      </c>
      <c r="M9" s="84">
        <f>SUM(M10:M22)</f>
        <v>1483526932.2008762</v>
      </c>
      <c r="O9" s="12">
        <f>SUM(O10:O22)</f>
        <v>1481201543.175487</v>
      </c>
      <c r="P9" s="11">
        <f>SUM(P10:P22)</f>
        <v>1483526932.2008762</v>
      </c>
      <c r="Q9" s="232">
        <f>SUM(Q10:Q22)</f>
        <v>-2325389.0253890259</v>
      </c>
      <c r="R9" s="125"/>
    </row>
    <row r="10" spans="1:19" ht="15" customHeight="1" x14ac:dyDescent="0.25">
      <c r="A10" s="14" t="str">
        <f>'Matriz de Produccion'!A10</f>
        <v>0A01</v>
      </c>
      <c r="B10" s="6" t="s">
        <v>169</v>
      </c>
      <c r="D10" s="3">
        <f>SUMIF(CATEGORIAS[[#All],[SUBGRUPO]],A10,CATEGORIAS[[#All],[PRESUPUESTO
(ORIGINAL)]])</f>
        <v>145972510.11940765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160579142.0074611</v>
      </c>
      <c r="G10" s="71">
        <f>+SUMIF(CATEGORIAS[[#All],[SUBGRUPO]],A10,CATEGORIAS[[#All],[PRODUCCION
PARTIDAS
ORIGINALES
ACTUAL]])
+SUMIF(CATEGORIAS[[#All],[SUBGRUPO]],A10,CATEGORIAS[[#All],[PRODUCCION
ADICIONALES
ACTUAL]])</f>
        <v>116629607.26106611</v>
      </c>
      <c r="H10" s="71">
        <f>+SUMIF(CATEGORIAS[[#All],[SUBGRUPO]],A10,CATEGORIAS[[#All],[PROYECCION
DE INGRESO
DEL SALDO]])</f>
        <v>43949534.746394992</v>
      </c>
      <c r="I10" s="71">
        <f t="shared" ref="I10:I16" si="0">G10+H10</f>
        <v>160579142.0074611</v>
      </c>
      <c r="K10" s="71">
        <f>+SUMIF(CATEGORIAS[[#All],[SUBGRUPO]],A10,CATEGORIAS[[#All],[COSTO
ACUMULADO  AX]])
+SUMIF(CATEGORIAS[[#All],[SUBGRUPO]],A10,CATEGORIAS[[#All],[CAMBIO DE
CATEGORIA]])
+SUMIF(CATEGORIAS[[#All],[SUBGRUPO]],A10,CATEGORIAS[[#All],[PROVISIONES]])</f>
        <v>107831577.92547092</v>
      </c>
      <c r="L10" s="71">
        <f>+SUMIF(CATEGORIAS[[#All],[SUBGRUPO]],A10,CATEGORIAS[[#All],[PROYECCION
TOTAL DE COSTO]])</f>
        <v>52747564.081990182</v>
      </c>
      <c r="M10" s="71">
        <f t="shared" ref="M10:M16" si="1">K10+L10</f>
        <v>160579142.0074611</v>
      </c>
      <c r="O10" s="71">
        <f t="shared" ref="O10:O16" si="2">I10</f>
        <v>160579142.0074611</v>
      </c>
      <c r="P10" s="71">
        <f t="shared" ref="P10:P16" si="3">M10</f>
        <v>160579142.0074611</v>
      </c>
      <c r="Q10" s="234">
        <f t="shared" ref="Q10:Q16" si="4">O10-P10</f>
        <v>0</v>
      </c>
      <c r="R10" s="125"/>
    </row>
    <row r="11" spans="1:19" ht="14.45" customHeight="1" x14ac:dyDescent="0.25">
      <c r="A11" s="14" t="str">
        <f>'Matriz de Produccion'!A11</f>
        <v>0A02</v>
      </c>
      <c r="B11" s="6" t="str">
        <f>VLOOKUP(A11,'Analisis por Categorias'!B:C,2,FALSE)</f>
        <v xml:space="preserve">Estructura </v>
      </c>
      <c r="D11" s="3">
        <f>SUMIF(CATEGORIAS[[#All],[SUBGRUPO]],A11,CATEGORIAS[[#All],[PRESUPUESTO
(ORIGINAL)]])</f>
        <v>179875614.88135654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180487648.97945336</v>
      </c>
      <c r="G11" s="71">
        <f>+SUMIF(CATEGORIAS[[#All],[SUBGRUPO]],A11,CATEGORIAS[[#All],[PRODUCCION
PARTIDAS
ORIGINALES
ACTUAL]])
+SUMIF(CATEGORIAS[[#All],[SUBGRUPO]],A11,CATEGORIAS[[#All],[PRODUCCION
ADICIONALES
ACTUAL]])</f>
        <v>70290747.356451824</v>
      </c>
      <c r="H11" s="71">
        <f>+SUMIF(CATEGORIAS[[#All],[SUBGRUPO]],A11,CATEGORIAS[[#All],[PROYECCION
DE INGRESO
DEL SALDO]])</f>
        <v>110196901.62300153</v>
      </c>
      <c r="I11" s="71">
        <f t="shared" si="0"/>
        <v>180487648.97945336</v>
      </c>
      <c r="K11" s="71">
        <f>+SUMIF(CATEGORIAS[[#All],[SUBGRUPO]],A11,CATEGORIAS[[#All],[COSTO
ACUMULADO  AX]])
+SUMIF(CATEGORIAS[[#All],[SUBGRUPO]],A11,CATEGORIAS[[#All],[CAMBIO DE
CATEGORIA]])
+SUMIF(CATEGORIAS[[#All],[SUBGRUPO]],A11,CATEGORIAS[[#All],[PROVISIONES]])</f>
        <v>151358428.37592137</v>
      </c>
      <c r="L11" s="71">
        <f>+SUMIF(CATEGORIAS[[#All],[SUBGRUPO]],A11,CATEGORIAS[[#All],[PROYECCION
TOTAL DE COSTO]])</f>
        <v>29129220.603531986</v>
      </c>
      <c r="M11" s="85">
        <f t="shared" si="1"/>
        <v>180487648.97945336</v>
      </c>
      <c r="O11" s="85">
        <f t="shared" si="2"/>
        <v>180487648.97945336</v>
      </c>
      <c r="P11" s="85">
        <f t="shared" si="3"/>
        <v>180487648.97945336</v>
      </c>
      <c r="Q11" s="235">
        <f t="shared" si="4"/>
        <v>0</v>
      </c>
      <c r="R11" s="125"/>
    </row>
    <row r="12" spans="1:19" ht="15" customHeight="1" x14ac:dyDescent="0.25">
      <c r="A12" s="14" t="str">
        <f>'Matriz de Produccion'!A12</f>
        <v>0A03</v>
      </c>
      <c r="B12" s="6" t="s">
        <v>381</v>
      </c>
      <c r="D12" s="3">
        <f>SUMIF(CATEGORIAS[[#All],[SUBGRUPO]],A12,CATEGORIAS[[#All],[PRESUPUESTO
(ORIGINAL)]])</f>
        <v>133250804.19788337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141912209.13214433</v>
      </c>
      <c r="G12" s="71">
        <f>+SUMIF(CATEGORIAS[[#All],[SUBGRUPO]],A12,CATEGORIAS[[#All],[PRODUCCION
PARTIDAS
ORIGINALES
ACTUAL]])
+SUMIF(CATEGORIAS[[#All],[SUBGRUPO]],A12,CATEGORIAS[[#All],[PRODUCCION
ADICIONALES
ACTUAL]])</f>
        <v>57846586.577987425</v>
      </c>
      <c r="H12" s="71">
        <f>+SUMIF(CATEGORIAS[[#All],[SUBGRUPO]],A12,CATEGORIAS[[#All],[PROYECCION
DE INGRESO
DEL SALDO]])</f>
        <v>84065622.554156899</v>
      </c>
      <c r="I12" s="71">
        <f t="shared" si="0"/>
        <v>141912209.13214433</v>
      </c>
      <c r="K12" s="71">
        <f>+SUMIF(CATEGORIAS[[#All],[SUBGRUPO]],A12,CATEGORIAS[[#All],[COSTO
ACUMULADO  AX]])
+SUMIF(CATEGORIAS[[#All],[SUBGRUPO]],A12,CATEGORIAS[[#All],[CAMBIO DE
CATEGORIA]])
+SUMIF(CATEGORIAS[[#All],[SUBGRUPO]],A12,CATEGORIAS[[#All],[PROVISIONES]])</f>
        <v>148436878.86732188</v>
      </c>
      <c r="L12" s="71">
        <f>+SUMIF(CATEGORIAS[[#All],[SUBGRUPO]],A12,CATEGORIAS[[#All],[PROYECCION
TOTAL DE COSTO]])</f>
        <v>-6524669.7351775467</v>
      </c>
      <c r="M12" s="85">
        <f t="shared" si="1"/>
        <v>141912209.13214433</v>
      </c>
      <c r="O12" s="85">
        <f t="shared" si="2"/>
        <v>141912209.13214433</v>
      </c>
      <c r="P12" s="85">
        <f t="shared" si="3"/>
        <v>141912209.13214433</v>
      </c>
      <c r="Q12" s="235">
        <f t="shared" si="4"/>
        <v>0</v>
      </c>
      <c r="R12" s="125"/>
    </row>
    <row r="13" spans="1:19" ht="15" customHeight="1" x14ac:dyDescent="0.25">
      <c r="A13" s="14" t="str">
        <f>'Matriz de Produccion'!A13</f>
        <v>0A04</v>
      </c>
      <c r="B13" s="6" t="s">
        <v>174</v>
      </c>
      <c r="D13" s="3">
        <f>SUMIF(CATEGORIAS[[#All],[SUBGRUPO]],A13,CATEGORIAS[[#All],[PRESUPUESTO
(ORIGINAL)]])</f>
        <v>473970382.63622206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491658024.79547954</v>
      </c>
      <c r="G13" s="71">
        <f>+SUMIF(CATEGORIAS[[#All],[SUBGRUPO]],A13,CATEGORIAS[[#All],[PRODUCCION
PARTIDAS
ORIGINALES
ACTUAL]])
+SUMIF(CATEGORIAS[[#All],[SUBGRUPO]],A13,CATEGORIAS[[#All],[PRODUCCION
ADICIONALES
ACTUAL]])</f>
        <v>200894249.97315761</v>
      </c>
      <c r="H13" s="71">
        <f>+SUMIF(CATEGORIAS[[#All],[SUBGRUPO]],A13,CATEGORIAS[[#All],[PROYECCION
DE INGRESO
DEL SALDO]])</f>
        <v>290763774.82232189</v>
      </c>
      <c r="I13" s="71">
        <f t="shared" si="0"/>
        <v>491658024.79547954</v>
      </c>
      <c r="K13" s="71">
        <f>+SUMIF(CATEGORIAS[[#All],[SUBGRUPO]],A13,CATEGORIAS[[#All],[COSTO
ACUMULADO  AX]])
+SUMIF(CATEGORIAS[[#All],[SUBGRUPO]],A13,CATEGORIAS[[#All],[CAMBIO DE
CATEGORIA]])
+SUMIF(CATEGORIAS[[#All],[SUBGRUPO]],A13,CATEGORIAS[[#All],[PROVISIONES]])</f>
        <v>244105285.60933661</v>
      </c>
      <c r="L13" s="71">
        <f>+SUMIF(CATEGORIAS[[#All],[SUBGRUPO]],A13,CATEGORIAS[[#All],[PROYECCION
TOTAL DE COSTO]])</f>
        <v>247552739.18614292</v>
      </c>
      <c r="M13" s="71">
        <f t="shared" si="1"/>
        <v>491658024.79547954</v>
      </c>
      <c r="O13" s="71">
        <f t="shared" si="2"/>
        <v>491658024.79547954</v>
      </c>
      <c r="P13" s="71">
        <f t="shared" si="3"/>
        <v>491658024.79547954</v>
      </c>
      <c r="Q13" s="234">
        <f t="shared" si="4"/>
        <v>0</v>
      </c>
      <c r="R13" s="125"/>
    </row>
    <row r="14" spans="1:19" ht="15" customHeight="1" x14ac:dyDescent="0.25">
      <c r="A14" s="14" t="str">
        <f>'Matriz de Produccion'!A14</f>
        <v>0A05</v>
      </c>
      <c r="B14" s="6" t="s">
        <v>176</v>
      </c>
      <c r="D14" s="3">
        <f>SUMIF(CATEGORIAS[[#All],[SUBGRUPO]],A14,CATEGORIAS[[#All],[PRESUPUESTO
(ORIGINAL)]])</f>
        <v>387994980.99048454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399730796.30896646</v>
      </c>
      <c r="G14" s="71">
        <f>+SUMIF(CATEGORIAS[[#All],[SUBGRUPO]],A14,CATEGORIAS[[#All],[PRODUCCION
PARTIDAS
ORIGINALES
ACTUAL]])
+SUMIF(CATEGORIAS[[#All],[SUBGRUPO]],A14,CATEGORIAS[[#All],[PRODUCCION
ADICIONALES
ACTUAL]])</f>
        <v>50124937.705190338</v>
      </c>
      <c r="H14" s="71">
        <f>+SUMIF(CATEGORIAS[[#All],[SUBGRUPO]],A14,CATEGORIAS[[#All],[PROYECCION
DE INGRESO
DEL SALDO]])</f>
        <v>349605858.6037761</v>
      </c>
      <c r="I14" s="71">
        <f t="shared" si="0"/>
        <v>399730796.30896646</v>
      </c>
      <c r="K14" s="71">
        <f>+SUMIF(CATEGORIAS[[#All],[SUBGRUPO]],A14,CATEGORIAS[[#All],[COSTO
ACUMULADO  AX]])
+SUMIF(CATEGORIAS[[#All],[SUBGRUPO]],A14,CATEGORIAS[[#All],[CAMBIO DE
CATEGORIA]])
+SUMIF(CATEGORIAS[[#All],[SUBGRUPO]],A14,CATEGORIAS[[#All],[PROVISIONES]])</f>
        <v>94638932.375102371</v>
      </c>
      <c r="L14" s="71">
        <f>+SUMIF(CATEGORIAS[[#All],[SUBGRUPO]],A14,CATEGORIAS[[#All],[PROYECCION
TOTAL DE COSTO]])</f>
        <v>305091863.93386412</v>
      </c>
      <c r="M14" s="85">
        <f t="shared" si="1"/>
        <v>399730796.30896652</v>
      </c>
      <c r="O14" s="85">
        <f t="shared" si="2"/>
        <v>399730796.30896646</v>
      </c>
      <c r="P14" s="85">
        <f t="shared" si="3"/>
        <v>399730796.30896652</v>
      </c>
      <c r="Q14" s="235">
        <f t="shared" si="4"/>
        <v>0</v>
      </c>
      <c r="R14" s="125"/>
    </row>
    <row r="15" spans="1:19" ht="16.899999999999999" customHeight="1" x14ac:dyDescent="0.25">
      <c r="A15" s="14" t="str">
        <f>'Matriz de Produccion'!A15</f>
        <v>0A06</v>
      </c>
      <c r="B15" s="6" t="str">
        <f>VLOOKUP(A15,'Analisis por Categorias'!B:C,2,FALSE)</f>
        <v xml:space="preserve">Aislación </v>
      </c>
      <c r="D15" s="3">
        <f>SUMIF(CATEGORIAS[[#All],[SUBGRUPO]],A15,CATEGORIAS[[#All],[PRESUPUESTO
(ORIGINAL)]])</f>
        <v>25004642.625492588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25004642.625492588</v>
      </c>
      <c r="G15" s="71">
        <f>+SUMIF(CATEGORIAS[[#All],[SUBGRUPO]],A15,CATEGORIAS[[#All],[PRODUCCION
PARTIDAS
ORIGINALES
ACTUAL]])
+SUMIF(CATEGORIAS[[#All],[SUBGRUPO]],A15,CATEGORIAS[[#All],[PRODUCCION
ADICIONALES
ACTUAL]])</f>
        <v>0</v>
      </c>
      <c r="H15" s="71">
        <f>+SUMIF(CATEGORIAS[[#All],[SUBGRUPO]],A15,CATEGORIAS[[#All],[PROYECCION
DE INGRESO
DEL SALDO]])</f>
        <v>25004642.625492588</v>
      </c>
      <c r="I15" s="71">
        <f t="shared" ref="I15" si="5">G15+H15</f>
        <v>25004642.625492588</v>
      </c>
      <c r="K15" s="71">
        <f>+SUMIF(CATEGORIAS[[#All],[SUBGRUPO]],A15,CATEGORIAS[[#All],[COSTO
ACUMULADO  AX]])
+SUMIF(CATEGORIAS[[#All],[SUBGRUPO]],A15,CATEGORIAS[[#All],[CAMBIO DE
CATEGORIA]])
+SUMIF(CATEGORIAS[[#All],[SUBGRUPO]],A15,CATEGORIAS[[#All],[PROVISIONES]])</f>
        <v>0</v>
      </c>
      <c r="L15" s="71">
        <f>+SUMIF(CATEGORIAS[[#All],[SUBGRUPO]],A15,CATEGORIAS[[#All],[PROYECCION
TOTAL DE COSTO]])</f>
        <v>25004642.625492588</v>
      </c>
      <c r="M15" s="71">
        <f t="shared" ref="M15" si="6">K15+L15</f>
        <v>25004642.625492588</v>
      </c>
      <c r="O15" s="71">
        <f t="shared" ref="O15" si="7">I15</f>
        <v>25004642.625492588</v>
      </c>
      <c r="P15" s="71">
        <f t="shared" ref="P15" si="8">M15</f>
        <v>25004642.625492588</v>
      </c>
      <c r="Q15" s="234">
        <f t="shared" ref="Q15" si="9">O15-P15</f>
        <v>0</v>
      </c>
      <c r="R15" s="125"/>
    </row>
    <row r="16" spans="1:19" ht="15" customHeight="1" x14ac:dyDescent="0.25">
      <c r="A16" s="14" t="str">
        <f>'Matriz de Produccion'!A16</f>
        <v>0A07</v>
      </c>
      <c r="B16" s="6" t="str">
        <f>VLOOKUP(A16,'Analisis por Categorias'!B:C,2,FALSE)</f>
        <v xml:space="preserve">Caldera 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
+SUMIF(CATEGORIAS[[#All],[SUBGRUPO]],A16,CATEGORIAS[[#All],[PRODUCCION
ADICIONALES
ACTUAL]])</f>
        <v>0</v>
      </c>
      <c r="H16" s="71">
        <f>+SUMIF(CATEGORIAS[[#All],[SUBGRUPO]],A16,CATEGORIAS[[#All],[PROYECCION
DE INGRESO
DEL SALDO]])</f>
        <v>0</v>
      </c>
      <c r="I16" s="71">
        <f t="shared" si="0"/>
        <v>0</v>
      </c>
      <c r="K16" s="71">
        <f>+SUMIF(CATEGORIAS[[#All],[SUBGRUPO]],A16,CATEGORIAS[[#All],[COSTO
ACUMULADO  AX]])
+SUMIF(CATEGORIAS[[#All],[SUBGRUPO]],A16,CATEGORIAS[[#All],[CAMBIO DE
CATEGORIA]])
+SUMIF(CATEGORIAS[[#All],[SUBGRUPO]],A16,CATEGORIAS[[#All],[PROVISIONES]])</f>
        <v>0</v>
      </c>
      <c r="L16" s="71">
        <f>+SUMIF(CATEGORIAS[[#All],[SUBGRUPO]],A16,CATEGORIAS[[#All],[PROYECCION
TOTAL DE COSTO]])</f>
        <v>0</v>
      </c>
      <c r="M16" s="71">
        <f t="shared" si="1"/>
        <v>0</v>
      </c>
      <c r="O16" s="71">
        <f t="shared" si="2"/>
        <v>0</v>
      </c>
      <c r="P16" s="71">
        <f t="shared" si="3"/>
        <v>0</v>
      </c>
      <c r="Q16" s="234">
        <f t="shared" si="4"/>
        <v>0</v>
      </c>
      <c r="R16" s="125"/>
    </row>
    <row r="17" spans="1:18" ht="15" customHeight="1" x14ac:dyDescent="0.25">
      <c r="A17" s="14" t="str">
        <f>'Matriz de Produccion'!A17</f>
        <v>0A08</v>
      </c>
      <c r="B17" s="6" t="str">
        <f>VLOOKUP(A17,'Analisis por Categorias'!B:C,2,FALSE)</f>
        <v xml:space="preserve">Andamios </v>
      </c>
      <c r="D17" s="3">
        <f>SUMIF(CATEGORIAS[[#All],[SUBGRUPO]],A17,CATEGORIAS[[#All],[PRESUPUESTO
(ORIGINAL)]])</f>
        <v>79797652.817636073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81829079.326489776</v>
      </c>
      <c r="G17" s="71">
        <f>+SUMIF(CATEGORIAS[[#All],[SUBGRUPO]],A17,CATEGORIAS[[#All],[PRODUCCION
PARTIDAS
ORIGINALES
ACTUAL]])
+SUMIF(CATEGORIAS[[#All],[SUBGRUPO]],A17,CATEGORIAS[[#All],[PRODUCCION
ADICIONALES
ACTUAL]])</f>
        <v>32123965.780275058</v>
      </c>
      <c r="H17" s="71">
        <f>+SUMIF(CATEGORIAS[[#All],[SUBGRUPO]],A17,CATEGORIAS[[#All],[PROYECCION
DE INGRESO
DEL SALDO]])</f>
        <v>49705113.546214715</v>
      </c>
      <c r="I17" s="71">
        <f t="shared" ref="I17:I21" si="10">G17+H17</f>
        <v>81829079.326489776</v>
      </c>
      <c r="K17" s="71">
        <f>+SUMIF(CATEGORIAS[[#All],[SUBGRUPO]],A17,CATEGORIAS[[#All],[COSTO
ACUMULADO  AX]])
+SUMIF(CATEGORIAS[[#All],[SUBGRUPO]],A17,CATEGORIAS[[#All],[CAMBIO DE
CATEGORIA]])
+SUMIF(CATEGORIAS[[#All],[SUBGRUPO]],A17,CATEGORIAS[[#All],[PROVISIONES]])</f>
        <v>88410801.121212125</v>
      </c>
      <c r="L17" s="71">
        <f>+SUMIF(CATEGORIAS[[#All],[SUBGRUPO]],A17,CATEGORIAS[[#All],[PROYECCION
TOTAL DE COSTO]])</f>
        <v>-6581721.7947223485</v>
      </c>
      <c r="M17" s="71">
        <f t="shared" ref="M17:M21" si="11">K17+L17</f>
        <v>81829079.326489776</v>
      </c>
      <c r="O17" s="71">
        <f t="shared" ref="O17:O21" si="12">I17</f>
        <v>81829079.326489776</v>
      </c>
      <c r="P17" s="71">
        <f t="shared" ref="P17:P21" si="13">M17</f>
        <v>81829079.326489776</v>
      </c>
      <c r="Q17" s="234">
        <f t="shared" ref="Q17:Q21" si="14">O17-P17</f>
        <v>0</v>
      </c>
      <c r="R17" s="125"/>
    </row>
    <row r="18" spans="1:18" ht="15" customHeight="1" x14ac:dyDescent="0.25">
      <c r="A18" s="14" t="str">
        <f>'Matriz de Produccion'!A18</f>
        <v>0A09</v>
      </c>
      <c r="B18" s="6" t="str">
        <f>VLOOKUP(A18,'Analisis por Categorias'!B:C,2,FALSE)</f>
        <v xml:space="preserve">Ductos </v>
      </c>
      <c r="D18" s="3">
        <f>SUMIF(CATEGORIAS[[#All],[SUBGRUPO]],A18,CATEGORIAS[[#All],[PRESUPUESTO
(ORIGINAL)]])</f>
        <v>0</v>
      </c>
      <c r="E18" s="3">
        <f>+SUMIF(CATEGORIAS[[#All],[SUBGRUPO]],A18,CATEGORIAS[[#All],[PRODUCCION
PARTIDAS
ORIGINALES
ACTUAL]])
+SUMIF(CATEGORIAS[[#All],[SUBGRUPO]],A18,CATEGORIAS[[#All],[PRODUCCION
ADICIONALES
ACTUAL]])
+SUMIF(CATEGORIAS[[#All],[SUBGRUPO]],A18,CATEGORIAS[[#All],[PROYECCION
DE INGRESO
DEL SALDO]])</f>
        <v>0</v>
      </c>
      <c r="G18" s="71">
        <f>+SUMIF(CATEGORIAS[[#All],[SUBGRUPO]],A18,CATEGORIAS[[#All],[PRODUCCION
PARTIDAS
ORIGINALES
ACTUAL]])
+SUMIF(CATEGORIAS[[#All],[SUBGRUPO]],A18,CATEGORIAS[[#All],[PRODUCCION
ADICIONALES
ACTUAL]])</f>
        <v>0</v>
      </c>
      <c r="H18" s="71">
        <f>+SUMIF(CATEGORIAS[[#All],[SUBGRUPO]],A18,CATEGORIAS[[#All],[PROYECCION
DE INGRESO
DEL SALDO]])</f>
        <v>0</v>
      </c>
      <c r="I18" s="71">
        <f t="shared" si="10"/>
        <v>0</v>
      </c>
      <c r="K18" s="71">
        <f>+SUMIF(CATEGORIAS[[#All],[SUBGRUPO]],A18,CATEGORIAS[[#All],[COSTO
ACUMULADO  AX]])
+SUMIF(CATEGORIAS[[#All],[SUBGRUPO]],A18,CATEGORIAS[[#All],[CAMBIO DE
CATEGORIA]])
+SUMIF(CATEGORIAS[[#All],[SUBGRUPO]],A18,CATEGORIAS[[#All],[PROVISIONES]])</f>
        <v>0</v>
      </c>
      <c r="L18" s="71">
        <f>+SUMIF(CATEGORIAS[[#All],[SUBGRUPO]],A18,CATEGORIAS[[#All],[PROYECCION
TOTAL DE COSTO]])</f>
        <v>0</v>
      </c>
      <c r="M18" s="71">
        <f t="shared" si="11"/>
        <v>0</v>
      </c>
      <c r="O18" s="71">
        <f t="shared" si="12"/>
        <v>0</v>
      </c>
      <c r="P18" s="71">
        <f t="shared" si="13"/>
        <v>0</v>
      </c>
      <c r="Q18" s="234">
        <f t="shared" si="14"/>
        <v>0</v>
      </c>
      <c r="R18" s="125"/>
    </row>
    <row r="19" spans="1:18" ht="15" customHeight="1" x14ac:dyDescent="0.25">
      <c r="A19" s="14" t="str">
        <f>'Matriz de Produccion'!A19</f>
        <v>0A10</v>
      </c>
      <c r="B19" s="6" t="str">
        <f>VLOOKUP(A19,'Analisis por Categorias'!B:C,2,FALSE)</f>
        <v xml:space="preserve">Comisionamiento </v>
      </c>
      <c r="D19" s="3">
        <f>SUMIF(CATEGORIAS[[#All],[SUBGRUPO]],A19,CATEGORIAS[[#All],[PRESUPUESTO
(ORIGINAL)]])</f>
        <v>0</v>
      </c>
      <c r="E19" s="3">
        <f>+SUMIF(CATEGORIAS[[#All],[SUBGRUPO]],A19,CATEGORIAS[[#All],[PRODUCCION
PARTIDAS
ORIGINALES
ACTUAL]])
+SUMIF(CATEGORIAS[[#All],[SUBGRUPO]],A19,CATEGORIAS[[#All],[PRODUCCION
ADICIONALES
ACTUAL]])
+SUMIF(CATEGORIAS[[#All],[SUBGRUPO]],A19,CATEGORIAS[[#All],[PROYECCION
DE INGRESO
DEL SALDO]])</f>
        <v>0</v>
      </c>
      <c r="G19" s="71">
        <f>+SUMIF(CATEGORIAS[[#All],[SUBGRUPO]],A19,CATEGORIAS[[#All],[PRODUCCION
PARTIDAS
ORIGINALES
ACTUAL]])
+SUMIF(CATEGORIAS[[#All],[SUBGRUPO]],A19,CATEGORIAS[[#All],[PRODUCCION
ADICIONALES
ACTUAL]])</f>
        <v>0</v>
      </c>
      <c r="H19" s="71">
        <f>+SUMIF(CATEGORIAS[[#All],[SUBGRUPO]],A19,CATEGORIAS[[#All],[PROYECCION
DE INGRESO
DEL SALDO]])</f>
        <v>0</v>
      </c>
      <c r="I19" s="71">
        <f t="shared" si="10"/>
        <v>0</v>
      </c>
      <c r="K19" s="71">
        <f>+SUMIF(CATEGORIAS[[#All],[SUBGRUPO]],A19,CATEGORIAS[[#All],[COSTO
ACUMULADO  AX]])
+SUMIF(CATEGORIAS[[#All],[SUBGRUPO]],A19,CATEGORIAS[[#All],[CAMBIO DE
CATEGORIA]])
+SUMIF(CATEGORIAS[[#All],[SUBGRUPO]],A19,CATEGORIAS[[#All],[PROVISIONES]])</f>
        <v>0</v>
      </c>
      <c r="L19" s="71">
        <f>+SUMIF(CATEGORIAS[[#All],[SUBGRUPO]],A19,CATEGORIAS[[#All],[PROYECCION
TOTAL DE COSTO]])</f>
        <v>0</v>
      </c>
      <c r="M19" s="71">
        <f t="shared" si="11"/>
        <v>0</v>
      </c>
      <c r="O19" s="71">
        <f t="shared" si="12"/>
        <v>0</v>
      </c>
      <c r="P19" s="71">
        <f t="shared" si="13"/>
        <v>0</v>
      </c>
      <c r="Q19" s="234">
        <f t="shared" si="14"/>
        <v>0</v>
      </c>
      <c r="R19" s="125"/>
    </row>
    <row r="20" spans="1:18" ht="15" customHeight="1" x14ac:dyDescent="0.25">
      <c r="A20" s="14" t="str">
        <f>'Matriz de Produccion'!A20</f>
        <v>0A11</v>
      </c>
      <c r="B20" s="6" t="str">
        <f>VLOOKUP(A20,'Analisis por Categorias'!B:C,2,FALSE)</f>
        <v>Arquitectura</v>
      </c>
      <c r="D20" s="3">
        <f>SUMIF(CATEGORIAS[[#All],[SUBGRUPO]],A20,CATEGORIAS[[#All],[PRESUPUESTO
(ORIGINAL)]])</f>
        <v>0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0</v>
      </c>
      <c r="G20" s="71">
        <f>+SUMIF(CATEGORIAS[[#All],[SUBGRUPO]],A20,CATEGORIAS[[#All],[PRODUCCION
PARTIDAS
ORIGINALES
ACTUAL]])
+SUMIF(CATEGORIAS[[#All],[SUBGRUPO]],A20,CATEGORIAS[[#All],[PRODUCCION
ADICIONALES
ACTUAL]])</f>
        <v>0</v>
      </c>
      <c r="H20" s="71">
        <f>+SUMIF(CATEGORIAS[[#All],[SUBGRUPO]],A20,CATEGORIAS[[#All],[PROYECCION
DE INGRESO
DEL SALDO]])</f>
        <v>0</v>
      </c>
      <c r="I20" s="71">
        <f t="shared" si="10"/>
        <v>0</v>
      </c>
      <c r="K20" s="71">
        <f>+SUMIF(CATEGORIAS[[#All],[SUBGRUPO]],A20,CATEGORIAS[[#All],[COSTO
ACUMULADO  AX]])
+SUMIF(CATEGORIAS[[#All],[SUBGRUPO]],A20,CATEGORIAS[[#All],[CAMBIO DE
CATEGORIA]])
+SUMIF(CATEGORIAS[[#All],[SUBGRUPO]],A20,CATEGORIAS[[#All],[PROVISIONES]])</f>
        <v>2325389.0253890259</v>
      </c>
      <c r="L20" s="71">
        <f>+SUMIF(CATEGORIAS[[#All],[SUBGRUPO]],A20,CATEGORIAS[[#All],[PROYECCION
TOTAL DE COSTO]])</f>
        <v>0</v>
      </c>
      <c r="M20" s="71">
        <f t="shared" si="11"/>
        <v>2325389.0253890259</v>
      </c>
      <c r="O20" s="71">
        <f t="shared" si="12"/>
        <v>0</v>
      </c>
      <c r="P20" s="71">
        <f t="shared" si="13"/>
        <v>2325389.0253890259</v>
      </c>
      <c r="Q20" s="234">
        <f t="shared" si="14"/>
        <v>-2325389.0253890259</v>
      </c>
      <c r="R20" s="125"/>
    </row>
    <row r="21" spans="1:18" ht="15" customHeight="1" x14ac:dyDescent="0.25">
      <c r="A21" s="14" t="str">
        <f>'Matriz de Produccion'!A21</f>
        <v>0A12</v>
      </c>
      <c r="B21" s="6" t="str">
        <f>VLOOKUP(A21,'Analisis por Categorias'!B:C,2,FALSE)</f>
        <v xml:space="preserve">Estanque 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
+SUMIF(CATEGORIAS[[#All],[SUBGRUPO]],A21,CATEGORIAS[[#All],[PRODUCCION
ADICIONALES
ACTUAL]])</f>
        <v>0</v>
      </c>
      <c r="H21" s="71">
        <f>+SUMIF(CATEGORIAS[[#All],[SUBGRUPO]],A21,CATEGORIAS[[#All],[PROYECCION
DE INGRESO
DEL SALDO]])</f>
        <v>0</v>
      </c>
      <c r="I21" s="71">
        <f t="shared" si="10"/>
        <v>0</v>
      </c>
      <c r="K21" s="71">
        <f>+SUMIF(CATEGORIAS[[#All],[SUBGRUPO]],A21,CATEGORIAS[[#All],[COSTO
ACUMULADO  AX]])
+SUMIF(CATEGORIAS[[#All],[SUBGRUPO]],A21,CATEGORIAS[[#All],[CAMBIO DE
CATEGORIA]])
+SUMIF(CATEGORIAS[[#All],[SUBGRUPO]],A21,CATEGORIAS[[#All],[PROVISIONES]])</f>
        <v>0</v>
      </c>
      <c r="L21" s="71">
        <f>+SUMIF(CATEGORIAS[[#All],[SUBGRUPO]],A21,CATEGORIAS[[#All],[PROYECCION
TOTAL DE COSTO]])</f>
        <v>0</v>
      </c>
      <c r="M21" s="71">
        <f t="shared" si="11"/>
        <v>0</v>
      </c>
      <c r="O21" s="71">
        <f t="shared" si="12"/>
        <v>0</v>
      </c>
      <c r="P21" s="71">
        <f t="shared" si="13"/>
        <v>0</v>
      </c>
      <c r="Q21" s="234">
        <f t="shared" si="14"/>
        <v>0</v>
      </c>
      <c r="R21" s="125"/>
    </row>
    <row r="22" spans="1:18" ht="15" customHeight="1" x14ac:dyDescent="0.25">
      <c r="A22" s="14" t="str">
        <f>'Matriz de Produccion'!A22</f>
        <v>0A13</v>
      </c>
      <c r="B22" s="6" t="str">
        <f>VLOOKUP(A22,'Analisis por Categorias'!B:C,2,FALSE)</f>
        <v>Multas Costo Directo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
+SUMIF(CATEGORIAS[[#All],[SUBGRUPO]],A22,CATEGORIAS[[#All],[PRODUCCION
ADICIONALES
ACTUAL]])</f>
        <v>0</v>
      </c>
      <c r="H22" s="71">
        <f>+SUMIF(CATEGORIAS[[#All],[SUBGRUPO]],A22,CATEGORIAS[[#All],[PROYECCION
DE INGRESO
DEL SALDO]])</f>
        <v>0</v>
      </c>
      <c r="I22" s="71">
        <f t="shared" ref="I22" si="15">G22+H22</f>
        <v>0</v>
      </c>
      <c r="K22" s="71">
        <f>+SUMIF(CATEGORIAS[[#All],[SUBGRUPO]],A22,CATEGORIAS[[#All],[COSTO
ACUMULADO  AX]])
+SUMIF(CATEGORIAS[[#All],[SUBGRUPO]],A22,CATEGORIAS[[#All],[CAMBIO DE
CATEGORIA]])
+SUMIF(CATEGORIAS[[#All],[SUBGRUPO]],A22,CATEGORIAS[[#All],[PROVISIONES]])</f>
        <v>0</v>
      </c>
      <c r="L22" s="71">
        <f>+SUMIF(CATEGORIAS[[#All],[SUBGRUPO]],A22,CATEGORIAS[[#All],[PROYECCION
TOTAL DE COSTO]])</f>
        <v>0</v>
      </c>
      <c r="M22" s="71">
        <f t="shared" ref="M22" si="16">K22+L22</f>
        <v>0</v>
      </c>
      <c r="O22" s="71">
        <f t="shared" ref="O22" si="17">I22</f>
        <v>0</v>
      </c>
      <c r="P22" s="71">
        <f t="shared" ref="P22" si="18">M22</f>
        <v>0</v>
      </c>
      <c r="Q22" s="234">
        <f t="shared" ref="Q22" si="19">O22-P22</f>
        <v>0</v>
      </c>
      <c r="R22" s="125"/>
    </row>
    <row r="23" spans="1:18" ht="8.25" customHeight="1" x14ac:dyDescent="0.25">
      <c r="Q23" s="233"/>
      <c r="R23" s="125"/>
    </row>
    <row r="24" spans="1:18" ht="15" customHeight="1" x14ac:dyDescent="0.25">
      <c r="A24" s="14" t="str">
        <f>'Matriz de Produccion'!A24</f>
        <v>0B00</v>
      </c>
      <c r="B24" s="81" t="str">
        <f>'Matriz de Produccion'!B24:B24</f>
        <v>B - MATERIALES</v>
      </c>
      <c r="D24" s="82">
        <f>SUM(D25:D35)</f>
        <v>455675553.39120007</v>
      </c>
      <c r="E24" s="82">
        <f>SUM(E25:E35)</f>
        <v>484453453.90711045</v>
      </c>
      <c r="G24" s="83">
        <f>SUM(G25:G35)</f>
        <v>179167759.27447525</v>
      </c>
      <c r="H24" s="83">
        <f>SUM(H25:H35)</f>
        <v>305285694.63263524</v>
      </c>
      <c r="I24" s="83">
        <f>SUM(I25:I35)</f>
        <v>484453453.90711045</v>
      </c>
      <c r="K24" s="84">
        <f>SUM(K25:K35)</f>
        <v>201432538</v>
      </c>
      <c r="L24" s="84">
        <f>SUM(L25:L35)</f>
        <v>283020908.90711045</v>
      </c>
      <c r="M24" s="84">
        <f>SUM(M25:M35)</f>
        <v>484453446.90711045</v>
      </c>
      <c r="O24" s="12">
        <f>SUM(O25:O35)</f>
        <v>484453453.90711045</v>
      </c>
      <c r="P24" s="11">
        <f>SUM(P25:P35)</f>
        <v>484453446.90711045</v>
      </c>
      <c r="Q24" s="232">
        <f>SUM(Q25:Q35)</f>
        <v>7</v>
      </c>
      <c r="R24" s="125"/>
    </row>
    <row r="25" spans="1:18" ht="15" customHeight="1" x14ac:dyDescent="0.25">
      <c r="A25" s="14" t="str">
        <f>'Matriz de Produccion'!A25</f>
        <v>0B01</v>
      </c>
      <c r="B25" s="6" t="str">
        <f>VLOOKUP(A25,'Analisis por Categorias'!B:C,2,FALSE)</f>
        <v xml:space="preserve">Civil  </v>
      </c>
      <c r="D25" s="3">
        <f>SUMIF(CATEGORIAS[[#All],[SUBGRUPO]],A25,CATEGORIAS[[#All],[PRESUPUESTO
(ORIGINAL)]])</f>
        <v>64602231.871699996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80014991.922130093</v>
      </c>
      <c r="G25" s="71">
        <f>+SUMIF(CATEGORIAS[[#All],[SUBGRUPO]],A25,CATEGORIAS[[#All],[PRODUCCION
PARTIDAS
ORIGINALES
ACTUAL]])
+SUMIF(CATEGORIAS[[#All],[SUBGRUPO]],A25,CATEGORIAS[[#All],[PRODUCCION
ADICIONALES
ACTUAL]])</f>
        <v>26331435.449200004</v>
      </c>
      <c r="H25" s="71">
        <f>+SUMIF(CATEGORIAS[[#All],[SUBGRUPO]],A25,CATEGORIAS[[#All],[PROYECCION
DE INGRESO
DEL SALDO]])</f>
        <v>53683556.472930089</v>
      </c>
      <c r="I25" s="71">
        <f>G25+H25</f>
        <v>80014991.922130093</v>
      </c>
      <c r="K25" s="71">
        <f>+SUMIF(CATEGORIAS[[#All],[SUBGRUPO]],A25,CATEGORIAS[[#All],[COSTO
ACUMULADO  AX]])
+SUMIF(CATEGORIAS[[#All],[SUBGRUPO]],A25,CATEGORIAS[[#All],[CAMBIO DE
CATEGORIA]])
+SUMIF(CATEGORIAS[[#All],[SUBGRUPO]],A25,CATEGORIAS[[#All],[PROVISIONES]])</f>
        <v>21679270</v>
      </c>
      <c r="L25" s="71">
        <f>+SUMIF(CATEGORIAS[[#All],[SUBGRUPO]],A25,CATEGORIAS[[#All],[PROYECCION
TOTAL DE COSTO]])</f>
        <v>58335714.922130093</v>
      </c>
      <c r="M25" s="71">
        <f>K25+L25</f>
        <v>80014984.922130093</v>
      </c>
      <c r="O25" s="71">
        <f>I25</f>
        <v>80014991.922130093</v>
      </c>
      <c r="P25" s="71">
        <f>M25</f>
        <v>80014984.922130093</v>
      </c>
      <c r="Q25" s="234">
        <f>O25-P25</f>
        <v>7</v>
      </c>
      <c r="R25" s="125"/>
    </row>
    <row r="26" spans="1:18" ht="15" customHeight="1" x14ac:dyDescent="0.25">
      <c r="A26" s="14" t="str">
        <f>'Matriz de Produccion'!A26</f>
        <v>0B02</v>
      </c>
      <c r="B26" s="6" t="str">
        <f>VLOOKUP(A26,'Analisis por Categorias'!B:C,2,FALSE)</f>
        <v xml:space="preserve">Estructura </v>
      </c>
      <c r="D26" s="3">
        <f>SUMIF(CATEGORIAS[[#All],[SUBGRUPO]],A26,CATEGORIAS[[#All],[PRESUPUESTO
(ORIGINAL)]])</f>
        <v>53940890.952500001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53972095.138021633</v>
      </c>
      <c r="G26" s="71">
        <f>+SUMIF(CATEGORIAS[[#All],[SUBGRUPO]],A26,CATEGORIAS[[#All],[PRODUCCION
PARTIDAS
ORIGINALES
ACTUAL]])
+SUMIF(CATEGORIAS[[#All],[SUBGRUPO]],A26,CATEGORIAS[[#All],[PRODUCCION
ADICIONALES
ACTUAL]])</f>
        <v>23564052.820621632</v>
      </c>
      <c r="H26" s="71">
        <f>+SUMIF(CATEGORIAS[[#All],[SUBGRUPO]],A26,CATEGORIAS[[#All],[PROYECCION
DE INGRESO
DEL SALDO]])</f>
        <v>30408042.317400001</v>
      </c>
      <c r="I26" s="71">
        <f>G26+H26</f>
        <v>53972095.138021633</v>
      </c>
      <c r="K26" s="71">
        <f>+SUMIF(CATEGORIAS[[#All],[SUBGRUPO]],A26,CATEGORIAS[[#All],[COSTO
ACUMULADO  AX]])
+SUMIF(CATEGORIAS[[#All],[SUBGRUPO]],A26,CATEGORIAS[[#All],[CAMBIO DE
CATEGORIA]])
+SUMIF(CATEGORIAS[[#All],[SUBGRUPO]],A26,CATEGORIAS[[#All],[PROVISIONES]])</f>
        <v>2601319</v>
      </c>
      <c r="L26" s="71">
        <f>+SUMIF(CATEGORIAS[[#All],[SUBGRUPO]],A26,CATEGORIAS[[#All],[PROYECCION
TOTAL DE COSTO]])</f>
        <v>51370776.138021633</v>
      </c>
      <c r="M26" s="71">
        <f>K26+L26</f>
        <v>53972095.138021633</v>
      </c>
      <c r="O26" s="71">
        <f>I26</f>
        <v>53972095.138021633</v>
      </c>
      <c r="P26" s="71">
        <f>M26</f>
        <v>53972095.138021633</v>
      </c>
      <c r="Q26" s="234">
        <f>O26-P26</f>
        <v>0</v>
      </c>
      <c r="R26" s="125"/>
    </row>
    <row r="27" spans="1:18" ht="15.6" customHeight="1" x14ac:dyDescent="0.25">
      <c r="A27" s="14" t="str">
        <f>'Matriz de Produccion'!A27</f>
        <v>0B03</v>
      </c>
      <c r="B27" s="6" t="str">
        <f>VLOOKUP(A27,'Analisis por Categorias'!B:C,2,FALSE)</f>
        <v xml:space="preserve">Aislación </v>
      </c>
      <c r="D27" s="3">
        <f>SUMIF(CATEGORIAS[[#All],[SUBGRUPO]],A27,CATEGORIAS[[#All],[PRESUPUESTO
(ORIGINAL)]])</f>
        <v>18524724.390000001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18524724.390000001</v>
      </c>
      <c r="G27" s="71">
        <f>+SUMIF(CATEGORIAS[[#All],[SUBGRUPO]],A27,CATEGORIAS[[#All],[PRODUCCION
PARTIDAS
ORIGINALES
ACTUAL]])
+SUMIF(CATEGORIAS[[#All],[SUBGRUPO]],A27,CATEGORIAS[[#All],[PRODUCCION
ADICIONALES
ACTUAL]])</f>
        <v>15433050</v>
      </c>
      <c r="H27" s="71">
        <f>+SUMIF(CATEGORIAS[[#All],[SUBGRUPO]],A27,CATEGORIAS[[#All],[PROYECCION
DE INGRESO
DEL SALDO]])</f>
        <v>3091674.3900000006</v>
      </c>
      <c r="I27" s="71">
        <f>G27+H27</f>
        <v>18524724.390000001</v>
      </c>
      <c r="K27" s="71">
        <f>+SUMIF(CATEGORIAS[[#All],[SUBGRUPO]],A27,CATEGORIAS[[#All],[COSTO
ACUMULADO  AX]])
+SUMIF(CATEGORIAS[[#All],[SUBGRUPO]],A27,CATEGORIAS[[#All],[CAMBIO DE
CATEGORIA]])
+SUMIF(CATEGORIAS[[#All],[SUBGRUPO]],A27,CATEGORIAS[[#All],[PROVISIONES]])</f>
        <v>0</v>
      </c>
      <c r="L27" s="71">
        <f>+SUMIF(CATEGORIAS[[#All],[SUBGRUPO]],A27,CATEGORIAS[[#All],[PROYECCION
TOTAL DE COSTO]])</f>
        <v>18524724.390000001</v>
      </c>
      <c r="M27" s="71">
        <f>K27+L27</f>
        <v>18524724.390000001</v>
      </c>
      <c r="O27" s="71">
        <f>I27</f>
        <v>18524724.390000001</v>
      </c>
      <c r="P27" s="71">
        <f>M27</f>
        <v>18524724.390000001</v>
      </c>
      <c r="Q27" s="234">
        <f>O27-P27</f>
        <v>0</v>
      </c>
      <c r="R27" s="125"/>
    </row>
    <row r="28" spans="1:18" ht="15" customHeight="1" x14ac:dyDescent="0.25">
      <c r="A28" s="14" t="str">
        <f>'Matriz de Produccion'!A28</f>
        <v>0B04</v>
      </c>
      <c r="B28" s="6" t="str">
        <f>VLOOKUP(A28,'Analisis por Categorias'!B:C,2,FALSE)</f>
        <v xml:space="preserve">Mecánica </v>
      </c>
      <c r="D28" s="3">
        <f>SUMIF(CATEGORIAS[[#All],[SUBGRUPO]],A28,CATEGORIAS[[#All],[PRESUPUESTO
(ORIGINAL)]])</f>
        <v>65364960.930500001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67762997.860876352</v>
      </c>
      <c r="G28" s="71">
        <f>+SUMIF(CATEGORIAS[[#All],[SUBGRUPO]],A28,CATEGORIAS[[#All],[PRODUCCION
PARTIDAS
ORIGINALES
ACTUAL]])
+SUMIF(CATEGORIAS[[#All],[SUBGRUPO]],A28,CATEGORIAS[[#All],[PRODUCCION
ADICIONALES
ACTUAL]])</f>
        <v>21505782.406726345</v>
      </c>
      <c r="H28" s="71">
        <f>+SUMIF(CATEGORIAS[[#All],[SUBGRUPO]],A28,CATEGORIAS[[#All],[PROYECCION
DE INGRESO
DEL SALDO]])</f>
        <v>46257215.454149999</v>
      </c>
      <c r="I28" s="71">
        <f>G28+H28</f>
        <v>67762997.860876352</v>
      </c>
      <c r="K28" s="71">
        <f>+SUMIF(CATEGORIAS[[#All],[SUBGRUPO]],A28,CATEGORIAS[[#All],[COSTO
ACUMULADO  AX]])
+SUMIF(CATEGORIAS[[#All],[SUBGRUPO]],A28,CATEGORIAS[[#All],[CAMBIO DE
CATEGORIA]])
+SUMIF(CATEGORIAS[[#All],[SUBGRUPO]],A28,CATEGORIAS[[#All],[PROVISIONES]])</f>
        <v>15218949</v>
      </c>
      <c r="L28" s="71">
        <f>+SUMIF(CATEGORIAS[[#All],[SUBGRUPO]],A28,CATEGORIAS[[#All],[PROYECCION
TOTAL DE COSTO]])</f>
        <v>52544048.860876352</v>
      </c>
      <c r="M28" s="71">
        <f>K28+L28</f>
        <v>67762997.860876352</v>
      </c>
      <c r="O28" s="71">
        <f>I28</f>
        <v>67762997.860876352</v>
      </c>
      <c r="P28" s="71">
        <f>M28</f>
        <v>67762997.860876352</v>
      </c>
      <c r="Q28" s="234">
        <f>O28-P28</f>
        <v>0</v>
      </c>
      <c r="R28" s="125"/>
    </row>
    <row r="29" spans="1:18" ht="15" customHeight="1" x14ac:dyDescent="0.25">
      <c r="A29" s="14" t="str">
        <f>'Matriz de Produccion'!A29</f>
        <v>0B05</v>
      </c>
      <c r="B29" s="6" t="str">
        <f>VLOOKUP(A29,'Analisis por Categorias'!B:C,2,FALSE)</f>
        <v xml:space="preserve">Cañería </v>
      </c>
      <c r="D29" s="3">
        <f>SUMIF(CATEGORIAS[[#All],[SUBGRUPO]],A29,CATEGORIAS[[#All],[PRESUPUESTO
(ORIGINAL)]])</f>
        <v>137998078.26400003</v>
      </c>
      <c r="E29" s="3">
        <f>+SUMIF(CATEGORIAS[[#All],[SUBGRUPO]],A29,CATEGORIAS[[#All],[PRODUCCION
PARTIDAS
ORIGINALES
ACTUAL]])
+SUMIF(CATEGORIAS[[#All],[SUBGRUPO]],A29,CATEGORIAS[[#All],[PRODUCCION
ADICIONALES
ACTUAL]])
+SUMIF(CATEGORIAS[[#All],[SUBGRUPO]],A29,CATEGORIAS[[#All],[PROYECCION
DE INGRESO
DEL SALDO]])</f>
        <v>141119778.0112316</v>
      </c>
      <c r="G29" s="71">
        <f>+SUMIF(CATEGORIAS[[#All],[SUBGRUPO]],A29,CATEGORIAS[[#All],[PRODUCCION
PARTIDAS
ORIGINALES
ACTUAL]])
+SUMIF(CATEGORIAS[[#All],[SUBGRUPO]],A29,CATEGORIAS[[#All],[PRODUCCION
ADICIONALES
ACTUAL]])</f>
        <v>66472511.529203176</v>
      </c>
      <c r="H29" s="71">
        <f>+SUMIF(CATEGORIAS[[#All],[SUBGRUPO]],A29,CATEGORIAS[[#All],[PROYECCION
DE INGRESO
DEL SALDO]])</f>
        <v>74647266.48202844</v>
      </c>
      <c r="I29" s="71">
        <f>G29+H29</f>
        <v>141119778.0112316</v>
      </c>
      <c r="K29" s="71">
        <f>+SUMIF(CATEGORIAS[[#All],[SUBGRUPO]],A29,CATEGORIAS[[#All],[COSTO
ACUMULADO  AX]])
+SUMIF(CATEGORIAS[[#All],[SUBGRUPO]],A29,CATEGORIAS[[#All],[CAMBIO DE
CATEGORIA]])
+SUMIF(CATEGORIAS[[#All],[SUBGRUPO]],A29,CATEGORIAS[[#All],[PROVISIONES]])</f>
        <v>120804123</v>
      </c>
      <c r="L29" s="71">
        <f>+SUMIF(CATEGORIAS[[#All],[SUBGRUPO]],A29,CATEGORIAS[[#All],[PROYECCION
TOTAL DE COSTO]])</f>
        <v>20315655.011231627</v>
      </c>
      <c r="M29" s="71">
        <f>K29+L29</f>
        <v>141119778.01123163</v>
      </c>
      <c r="O29" s="71">
        <f>I29</f>
        <v>141119778.0112316</v>
      </c>
      <c r="P29" s="71">
        <f>M29</f>
        <v>141119778.01123163</v>
      </c>
      <c r="Q29" s="234">
        <f>O29-P29</f>
        <v>0</v>
      </c>
      <c r="R29" s="125"/>
    </row>
    <row r="30" spans="1:18" ht="15" customHeight="1" x14ac:dyDescent="0.25">
      <c r="A30" s="14" t="str">
        <f>'Matriz de Produccion'!A30</f>
        <v>0B06</v>
      </c>
      <c r="B30" s="6" t="str">
        <f>VLOOKUP(A30,'Analisis por Categorias'!B:C,2,FALSE)</f>
        <v>Electricidad &amp; Instrumentación</v>
      </c>
      <c r="D30" s="3">
        <f>SUMIF(CATEGORIAS[[#All],[SUBGRUPO]],A30,CATEGORIAS[[#All],[PRESUPUESTO
(ORIGINAL)]])</f>
        <v>115244666.9825</v>
      </c>
      <c r="E30" s="3">
        <f>+SUMIF(CATEGORIAS[[#All],[SUBGRUPO]],A30,CATEGORIAS[[#All],[PRODUCCION
PARTIDAS
ORIGINALES
ACTUAL]])
+SUMIF(CATEGORIAS[[#All],[SUBGRUPO]],A30,CATEGORIAS[[#All],[PRODUCCION
ADICIONALES
ACTUAL]])
+SUMIF(CATEGORIAS[[#All],[SUBGRUPO]],A30,CATEGORIAS[[#All],[PROYECCION
DE INGRESO
DEL SALDO]])</f>
        <v>123058866.58485076</v>
      </c>
      <c r="G30" s="71">
        <f>+SUMIF(CATEGORIAS[[#All],[SUBGRUPO]],A30,CATEGORIAS[[#All],[PRODUCCION
PARTIDAS
ORIGINALES
ACTUAL]])
+SUMIF(CATEGORIAS[[#All],[SUBGRUPO]],A30,CATEGORIAS[[#All],[PRODUCCION
ADICIONALES
ACTUAL]])</f>
        <v>25860927.068724088</v>
      </c>
      <c r="H30" s="71">
        <f>+SUMIF(CATEGORIAS[[#All],[SUBGRUPO]],A30,CATEGORIAS[[#All],[PROYECCION
DE INGRESO
DEL SALDO]])</f>
        <v>97197939.516126662</v>
      </c>
      <c r="I30" s="71">
        <f t="shared" ref="I30" si="20">G30+H30</f>
        <v>123058866.58485076</v>
      </c>
      <c r="K30" s="71">
        <f>+SUMIF(CATEGORIAS[[#All],[SUBGRUPO]],A30,CATEGORIAS[[#All],[COSTO
ACUMULADO  AX]])
+SUMIF(CATEGORIAS[[#All],[SUBGRUPO]],A30,CATEGORIAS[[#All],[CAMBIO DE
CATEGORIA]])
+SUMIF(CATEGORIAS[[#All],[SUBGRUPO]],A30,CATEGORIAS[[#All],[PROVISIONES]])</f>
        <v>41128877</v>
      </c>
      <c r="L30" s="71">
        <f>+SUMIF(CATEGORIAS[[#All],[SUBGRUPO]],A30,CATEGORIAS[[#All],[PROYECCION
TOTAL DE COSTO]])</f>
        <v>81929989.584850758</v>
      </c>
      <c r="M30" s="71">
        <f t="shared" ref="M30" si="21">K30+L30</f>
        <v>123058866.58485076</v>
      </c>
      <c r="O30" s="71">
        <f t="shared" ref="O30" si="22">I30</f>
        <v>123058866.58485076</v>
      </c>
      <c r="P30" s="71">
        <f t="shared" ref="P30" si="23">M30</f>
        <v>123058866.58485076</v>
      </c>
      <c r="Q30" s="234">
        <f t="shared" ref="Q30" si="24">O30-P30</f>
        <v>0</v>
      </c>
      <c r="R30" s="125"/>
    </row>
    <row r="31" spans="1:18" ht="15" customHeight="1" x14ac:dyDescent="0.25">
      <c r="A31" s="14" t="str">
        <f>'Matriz de Produccion'!A31</f>
        <v>0B07</v>
      </c>
      <c r="B31" s="6" t="str">
        <f>VLOOKUP(A31,'Analisis por Categorias'!B:C,2,FALSE)</f>
        <v xml:space="preserve">Caldera </v>
      </c>
      <c r="D31" s="3">
        <f>SUMIF(CATEGORIAS[[#All],[SUBGRUPO]],A31,CATEGORIAS[[#All],[PRESUPUESTO
(ORIGINAL)]])</f>
        <v>0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0</v>
      </c>
      <c r="G31" s="71">
        <f>+SUMIF(CATEGORIAS[[#All],[SUBGRUPO]],A31,CATEGORIAS[[#All],[PRODUCCION
PARTIDAS
ORIGINALES
ACTUAL]])
+SUMIF(CATEGORIAS[[#All],[SUBGRUPO]],A31,CATEGORIAS[[#All],[PRODUCCION
ADICIONALES
ACTUAL]])</f>
        <v>0</v>
      </c>
      <c r="H31" s="71">
        <f>+SUMIF(CATEGORIAS[[#All],[SUBGRUPO]],A31,CATEGORIAS[[#All],[PROYECCION
DE INGRESO
DEL SALDO]])</f>
        <v>0</v>
      </c>
      <c r="I31" s="71">
        <f t="shared" ref="I31:I35" si="25">G31+H31</f>
        <v>0</v>
      </c>
      <c r="K31" s="71">
        <f>+SUMIF(CATEGORIAS[[#All],[SUBGRUPO]],A31,CATEGORIAS[[#All],[COSTO
ACUMULADO  AX]])
+SUMIF(CATEGORIAS[[#All],[SUBGRUPO]],A31,CATEGORIAS[[#All],[CAMBIO DE
CATEGORIA]])
+SUMIF(CATEGORIAS[[#All],[SUBGRUPO]],A31,CATEGORIAS[[#All],[PROVISIONES]])</f>
        <v>0</v>
      </c>
      <c r="L31" s="71">
        <f>+SUMIF(CATEGORIAS[[#All],[SUBGRUPO]],A31,CATEGORIAS[[#All],[PROYECCION
TOTAL DE COSTO]])</f>
        <v>0</v>
      </c>
      <c r="M31" s="71">
        <f t="shared" ref="M31:M35" si="26">K31+L31</f>
        <v>0</v>
      </c>
      <c r="O31" s="71">
        <f t="shared" ref="O31:O35" si="27">I31</f>
        <v>0</v>
      </c>
      <c r="P31" s="71">
        <f t="shared" ref="P31:P35" si="28">M31</f>
        <v>0</v>
      </c>
      <c r="Q31" s="234">
        <f t="shared" ref="Q31:Q35" si="29">O31-P31</f>
        <v>0</v>
      </c>
      <c r="R31" s="125"/>
    </row>
    <row r="32" spans="1:18" ht="15" customHeight="1" x14ac:dyDescent="0.25">
      <c r="A32" s="14" t="str">
        <f>'Matriz de Produccion'!A32</f>
        <v>0B08</v>
      </c>
      <c r="B32" s="6" t="str">
        <f>VLOOKUP(A32,'Analisis por Categorias'!B:C,2,FALSE)</f>
        <v xml:space="preserve">Ductos </v>
      </c>
      <c r="D32" s="3">
        <f>SUMIF(CATEGORIAS[[#All],[SUBGRUPO]],A32,CATEGORIAS[[#All],[PRESUPUESTO
(ORIGINAL)]])</f>
        <v>0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0</v>
      </c>
      <c r="G32" s="71">
        <f>+SUMIF(CATEGORIAS[[#All],[SUBGRUPO]],A32,CATEGORIAS[[#All],[PRODUCCION
PARTIDAS
ORIGINALES
ACTUAL]])
+SUMIF(CATEGORIAS[[#All],[SUBGRUPO]],A32,CATEGORIAS[[#All],[PRODUCCION
ADICIONALES
ACTUAL]])</f>
        <v>0</v>
      </c>
      <c r="H32" s="71">
        <f>+SUMIF(CATEGORIAS[[#All],[SUBGRUPO]],A32,CATEGORIAS[[#All],[PROYECCION
DE INGRESO
DEL SALDO]])</f>
        <v>0</v>
      </c>
      <c r="I32" s="71">
        <f t="shared" si="25"/>
        <v>0</v>
      </c>
      <c r="K32" s="71">
        <f>+SUMIF(CATEGORIAS[[#All],[SUBGRUPO]],A32,CATEGORIAS[[#All],[COSTO
ACUMULADO  AX]])
+SUMIF(CATEGORIAS[[#All],[SUBGRUPO]],A32,CATEGORIAS[[#All],[CAMBIO DE
CATEGORIA]])
+SUMIF(CATEGORIAS[[#All],[SUBGRUPO]],A32,CATEGORIAS[[#All],[PROVISIONES]])</f>
        <v>0</v>
      </c>
      <c r="L32" s="71">
        <f>+SUMIF(CATEGORIAS[[#All],[SUBGRUPO]],A32,CATEGORIAS[[#All],[PROYECCION
TOTAL DE COSTO]])</f>
        <v>0</v>
      </c>
      <c r="M32" s="71">
        <f t="shared" si="26"/>
        <v>0</v>
      </c>
      <c r="O32" s="71">
        <f t="shared" si="27"/>
        <v>0</v>
      </c>
      <c r="P32" s="71">
        <f t="shared" si="28"/>
        <v>0</v>
      </c>
      <c r="Q32" s="234">
        <f t="shared" si="29"/>
        <v>0</v>
      </c>
      <c r="R32" s="125"/>
    </row>
    <row r="33" spans="1:21" ht="15" customHeight="1" x14ac:dyDescent="0.25">
      <c r="A33" s="14" t="str">
        <f>'Matriz de Produccion'!A33</f>
        <v>0B09</v>
      </c>
      <c r="B33" s="6" t="str">
        <f>VLOOKUP(A33,'Analisis por Categorias'!B:C,2,FALSE)</f>
        <v xml:space="preserve">Estanque </v>
      </c>
      <c r="D33" s="3">
        <f>SUMIF(CATEGORIAS[[#All],[SUBGRUPO]],A33,CATEGORIAS[[#All],[PRESUPUESTO
(ORIGINAL)]])</f>
        <v>0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0</v>
      </c>
      <c r="G33" s="71">
        <f>+SUMIF(CATEGORIAS[[#All],[SUBGRUPO]],A33,CATEGORIAS[[#All],[PRODUCCION
PARTIDAS
ORIGINALES
ACTUAL]])
+SUMIF(CATEGORIAS[[#All],[SUBGRUPO]],A33,CATEGORIAS[[#All],[PRODUCCION
ADICIONALES
ACTUAL]])</f>
        <v>0</v>
      </c>
      <c r="H33" s="71">
        <f>+SUMIF(CATEGORIAS[[#All],[SUBGRUPO]],A33,CATEGORIAS[[#All],[PROYECCION
DE INGRESO
DEL SALDO]])</f>
        <v>0</v>
      </c>
      <c r="I33" s="71">
        <f t="shared" si="25"/>
        <v>0</v>
      </c>
      <c r="K33" s="71">
        <f>+SUMIF(CATEGORIAS[[#All],[SUBGRUPO]],A33,CATEGORIAS[[#All],[COSTO
ACUMULADO  AX]])
+SUMIF(CATEGORIAS[[#All],[SUBGRUPO]],A33,CATEGORIAS[[#All],[CAMBIO DE
CATEGORIA]])
+SUMIF(CATEGORIAS[[#All],[SUBGRUPO]],A33,CATEGORIAS[[#All],[PROVISIONES]])</f>
        <v>0</v>
      </c>
      <c r="L33" s="71">
        <f>+SUMIF(CATEGORIAS[[#All],[SUBGRUPO]],A33,CATEGORIAS[[#All],[PROYECCION
TOTAL DE COSTO]])</f>
        <v>0</v>
      </c>
      <c r="M33" s="71">
        <f t="shared" si="26"/>
        <v>0</v>
      </c>
      <c r="O33" s="71">
        <f t="shared" si="27"/>
        <v>0</v>
      </c>
      <c r="P33" s="71">
        <f t="shared" si="28"/>
        <v>0</v>
      </c>
      <c r="Q33" s="234">
        <f t="shared" si="29"/>
        <v>0</v>
      </c>
      <c r="R33" s="125"/>
    </row>
    <row r="34" spans="1:21" ht="15" customHeight="1" x14ac:dyDescent="0.25">
      <c r="A34" s="14" t="str">
        <f>'Matriz de Produccion'!A34</f>
        <v>0B10</v>
      </c>
      <c r="B34" s="6" t="str">
        <f>VLOOKUP(A34,'Analisis por Categorias'!B:C,2,FALSE)</f>
        <v>Arquitectura</v>
      </c>
      <c r="D34" s="3">
        <f>SUMIF(CATEGORIAS[[#All],[SUBGRUPO]],A34,CATEGORIAS[[#All],[PRESUPUESTO
(ORIGINAL)]])</f>
        <v>0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0</v>
      </c>
      <c r="G34" s="71">
        <f>+SUMIF(CATEGORIAS[[#All],[SUBGRUPO]],A34,CATEGORIAS[[#All],[PRODUCCION
PARTIDAS
ORIGINALES
ACTUAL]])
+SUMIF(CATEGORIAS[[#All],[SUBGRUPO]],A34,CATEGORIAS[[#All],[PRODUCCION
ADICIONALES
ACTUAL]])</f>
        <v>0</v>
      </c>
      <c r="H34" s="71">
        <f>+SUMIF(CATEGORIAS[[#All],[SUBGRUPO]],A34,CATEGORIAS[[#All],[PROYECCION
DE INGRESO
DEL SALDO]])</f>
        <v>0</v>
      </c>
      <c r="I34" s="71">
        <f t="shared" si="25"/>
        <v>0</v>
      </c>
      <c r="K34" s="71">
        <f>+SUMIF(CATEGORIAS[[#All],[SUBGRUPO]],A34,CATEGORIAS[[#All],[COSTO
ACUMULADO  AX]])
+SUMIF(CATEGORIAS[[#All],[SUBGRUPO]],A34,CATEGORIAS[[#All],[CAMBIO DE
CATEGORIA]])
+SUMIF(CATEGORIAS[[#All],[SUBGRUPO]],A34,CATEGORIAS[[#All],[PROVISIONES]])</f>
        <v>0</v>
      </c>
      <c r="L34" s="71">
        <f>+SUMIF(CATEGORIAS[[#All],[SUBGRUPO]],A34,CATEGORIAS[[#All],[PROYECCION
TOTAL DE COSTO]])</f>
        <v>0</v>
      </c>
      <c r="M34" s="71">
        <f t="shared" si="26"/>
        <v>0</v>
      </c>
      <c r="O34" s="71">
        <f t="shared" si="27"/>
        <v>0</v>
      </c>
      <c r="P34" s="71">
        <f t="shared" si="28"/>
        <v>0</v>
      </c>
      <c r="Q34" s="234">
        <f t="shared" si="29"/>
        <v>0</v>
      </c>
      <c r="R34" s="125"/>
    </row>
    <row r="35" spans="1:21" ht="15" customHeight="1" x14ac:dyDescent="0.25">
      <c r="A35" s="14" t="str">
        <f>'Matriz de Produccion'!A35</f>
        <v>0B11</v>
      </c>
      <c r="B35" s="6" t="str">
        <f>VLOOKUP(A35,'Analisis por Categorias'!B:C,2,FALSE)</f>
        <v>Importaciones</v>
      </c>
      <c r="D35" s="3">
        <f>SUMIF(CATEGORIAS[[#All],[SUBGRUPO]],A35,CATEGORIAS[[#All],[PRESUPUESTO
(ORIGINAL)]])</f>
        <v>0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0</v>
      </c>
      <c r="G35" s="71">
        <f>+SUMIF(CATEGORIAS[[#All],[SUBGRUPO]],A35,CATEGORIAS[[#All],[PRODUCCION
PARTIDAS
ORIGINALES
ACTUAL]])
+SUMIF(CATEGORIAS[[#All],[SUBGRUPO]],A35,CATEGORIAS[[#All],[PRODUCCION
ADICIONALES
ACTUAL]])</f>
        <v>0</v>
      </c>
      <c r="H35" s="71">
        <f>+SUMIF(CATEGORIAS[[#All],[SUBGRUPO]],A35,CATEGORIAS[[#All],[PROYECCION
DE INGRESO
DEL SALDO]])</f>
        <v>0</v>
      </c>
      <c r="I35" s="71">
        <f t="shared" si="25"/>
        <v>0</v>
      </c>
      <c r="K35" s="71">
        <f>+SUMIF(CATEGORIAS[[#All],[SUBGRUPO]],A35,CATEGORIAS[[#All],[COSTO
ACUMULADO  AX]])
+SUMIF(CATEGORIAS[[#All],[SUBGRUPO]],A35,CATEGORIAS[[#All],[CAMBIO DE
CATEGORIA]])
+SUMIF(CATEGORIAS[[#All],[SUBGRUPO]],A35,CATEGORIAS[[#All],[PROVISIONES]])</f>
        <v>0</v>
      </c>
      <c r="L35" s="71">
        <f>+SUMIF(CATEGORIAS[[#All],[SUBGRUPO]],A35,CATEGORIAS[[#All],[PROYECCION
TOTAL DE COSTO]])</f>
        <v>0</v>
      </c>
      <c r="M35" s="71">
        <f t="shared" si="26"/>
        <v>0</v>
      </c>
      <c r="O35" s="71">
        <f t="shared" si="27"/>
        <v>0</v>
      </c>
      <c r="P35" s="71">
        <f t="shared" si="28"/>
        <v>0</v>
      </c>
      <c r="Q35" s="234">
        <f t="shared" si="29"/>
        <v>0</v>
      </c>
      <c r="R35" s="125"/>
    </row>
    <row r="36" spans="1:21" ht="8.25" customHeight="1" x14ac:dyDescent="0.25">
      <c r="Q36" s="233"/>
      <c r="R36" s="125"/>
      <c r="U36" s="42"/>
    </row>
    <row r="37" spans="1:21" ht="15" customHeight="1" x14ac:dyDescent="0.25">
      <c r="A37" s="14" t="str">
        <f>'Matriz de Produccion'!A38</f>
        <v>0C00</v>
      </c>
      <c r="B37" s="81" t="str">
        <f>'Matriz de Produccion'!B38:B38</f>
        <v>C - COSTO PROPORCIONAL HH</v>
      </c>
      <c r="D37" s="82">
        <f>SUM(D38:D44)</f>
        <v>274813305.51671207</v>
      </c>
      <c r="E37" s="82">
        <f>SUM(E38:E44)</f>
        <v>299306035.81877053</v>
      </c>
      <c r="G37" s="83">
        <f>SUM(G38:G44)</f>
        <v>102376261.30977447</v>
      </c>
      <c r="H37" s="83">
        <f>SUM(H38:H44)</f>
        <v>196929774.50899607</v>
      </c>
      <c r="I37" s="83">
        <f>SUM(I38:I44)</f>
        <v>299306035.81877053</v>
      </c>
      <c r="K37" s="84">
        <f>SUM(K38:K44)</f>
        <v>91594824.199999988</v>
      </c>
      <c r="L37" s="84">
        <f>SUM(L38:L44)</f>
        <v>207711211.61877054</v>
      </c>
      <c r="M37" s="84">
        <f>SUM(M38:M44)</f>
        <v>299306035.81877053</v>
      </c>
      <c r="O37" s="12">
        <f>SUM(O38:O44)</f>
        <v>299306035.81877053</v>
      </c>
      <c r="P37" s="11">
        <f>SUM(P38:P44)</f>
        <v>299306035.81877053</v>
      </c>
      <c r="Q37" s="232">
        <f>SUM(Q38:Q44)</f>
        <v>0</v>
      </c>
      <c r="R37" s="125"/>
    </row>
    <row r="38" spans="1:21" ht="15" customHeight="1" x14ac:dyDescent="0.25">
      <c r="A38" s="14" t="str">
        <f>'Matriz de Produccion'!A39</f>
        <v>0C01</v>
      </c>
      <c r="B38" s="6" t="str">
        <f>VLOOKUP(A38,'Analisis por Categorias'!B:C,2,FALSE)</f>
        <v xml:space="preserve">Seguridad </v>
      </c>
      <c r="D38" s="3">
        <f>SUMIF(CATEGORIAS[[#All],[SUBGRUPO]],A38,CATEGORIAS[[#All],[PRESUPUESTO
(ORIGINAL)]])</f>
        <v>59671798.125000007</v>
      </c>
      <c r="E38" s="3">
        <f>+SUMIF(CATEGORIAS[[#All],[SUBGRUPO]],A38,CATEGORIAS[[#All],[PRODUCCION
PARTIDAS
ORIGINALES
ACTUAL]])
+SUMIF(CATEGORIAS[[#All],[SUBGRUPO]],A38,CATEGORIAS[[#All],[PRODUCCION
ADICIONALES
ACTUAL]])
+SUMIF(CATEGORIAS[[#All],[SUBGRUPO]],A38,CATEGORIAS[[#All],[PROYECCION
DE INGRESO
DEL SALDO]])</f>
        <v>63624321.484849826</v>
      </c>
      <c r="G38" s="71">
        <f>+SUMIF(CATEGORIAS[[#All],[SUBGRUPO]],A38,CATEGORIAS[[#All],[PRODUCCION
PARTIDAS
ORIGINALES
ACTUAL]])
+SUMIF(CATEGORIAS[[#All],[SUBGRUPO]],A38,CATEGORIAS[[#All],[PRODUCCION
ADICIONALES
ACTUAL]])</f>
        <v>22703669.606045146</v>
      </c>
      <c r="H38" s="71">
        <f>+SUMIF(CATEGORIAS[[#All],[SUBGRUPO]],A38,CATEGORIAS[[#All],[PROYECCION
DE INGRESO
DEL SALDO]])</f>
        <v>40920651.878804684</v>
      </c>
      <c r="I38" s="71">
        <f t="shared" ref="I38:I44" si="30">G38+H38</f>
        <v>63624321.484849826</v>
      </c>
      <c r="K38" s="71">
        <f>+SUMIF(CATEGORIAS[[#All],[SUBGRUPO]],A38,CATEGORIAS[[#All],[COSTO
ACUMULADO  AX]])
+SUMIF(CATEGORIAS[[#All],[SUBGRUPO]],A38,CATEGORIAS[[#All],[CAMBIO DE
CATEGORIA]])
+SUMIF(CATEGORIAS[[#All],[SUBGRUPO]],A38,CATEGORIAS[[#All],[PROVISIONES]])</f>
        <v>35331776</v>
      </c>
      <c r="L38" s="71">
        <f>+SUMIF(CATEGORIAS[[#All],[SUBGRUPO]],A38,CATEGORIAS[[#All],[PROYECCION
TOTAL DE COSTO]])</f>
        <v>28292545.484849833</v>
      </c>
      <c r="M38" s="71">
        <f t="shared" ref="M38:M44" si="31">K38+L38</f>
        <v>63624321.484849833</v>
      </c>
      <c r="O38" s="71">
        <f t="shared" ref="O38:O44" si="32">I38</f>
        <v>63624321.484849826</v>
      </c>
      <c r="P38" s="71">
        <f t="shared" ref="P38:P44" si="33">M38</f>
        <v>63624321.484849833</v>
      </c>
      <c r="Q38" s="234">
        <f t="shared" ref="Q38:Q44" si="34">O38-P38</f>
        <v>0</v>
      </c>
      <c r="R38" s="125"/>
    </row>
    <row r="39" spans="1:21" ht="15" customHeight="1" x14ac:dyDescent="0.25">
      <c r="A39" s="14" t="str">
        <f>'Matriz de Produccion'!A40</f>
        <v>0C02</v>
      </c>
      <c r="B39" s="6" t="str">
        <f>VLOOKUP(A39,'Analisis por Categorias'!B:C,2,FALSE)</f>
        <v xml:space="preserve">Materiales de Consumo </v>
      </c>
      <c r="D39" s="3">
        <f>SUMIF(CATEGORIAS[[#All],[SUBGRUPO]],A39,CATEGORIAS[[#All],[PRESUPUESTO
(ORIGINAL)]])</f>
        <v>14063139.450000001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14517452.479867797</v>
      </c>
      <c r="G39" s="71">
        <f>+SUMIF(CATEGORIAS[[#All],[SUBGRUPO]],A39,CATEGORIAS[[#All],[PRODUCCION
PARTIDAS
ORIGINALES
ACTUAL]])
+SUMIF(CATEGORIAS[[#All],[SUBGRUPO]],A39,CATEGORIAS[[#All],[PRODUCCION
ADICIONALES
ACTUAL]])</f>
        <v>4959072.760569633</v>
      </c>
      <c r="H39" s="71">
        <f>+SUMIF(CATEGORIAS[[#All],[SUBGRUPO]],A39,CATEGORIAS[[#All],[PROYECCION
DE INGRESO
DEL SALDO]])</f>
        <v>9558379.7192981653</v>
      </c>
      <c r="I39" s="71">
        <f t="shared" si="30"/>
        <v>14517452.479867797</v>
      </c>
      <c r="K39" s="71">
        <f>+SUMIF(CATEGORIAS[[#All],[SUBGRUPO]],A39,CATEGORIAS[[#All],[COSTO
ACUMULADO  AX]])
+SUMIF(CATEGORIAS[[#All],[SUBGRUPO]],A39,CATEGORIAS[[#All],[CAMBIO DE
CATEGORIA]])
+SUMIF(CATEGORIAS[[#All],[SUBGRUPO]],A39,CATEGORIAS[[#All],[PROVISIONES]])</f>
        <v>14022512</v>
      </c>
      <c r="L39" s="71">
        <f>+SUMIF(CATEGORIAS[[#All],[SUBGRUPO]],A39,CATEGORIAS[[#All],[PROYECCION
TOTAL DE COSTO]])</f>
        <v>494940.47986779734</v>
      </c>
      <c r="M39" s="71">
        <f t="shared" si="31"/>
        <v>14517452.479867797</v>
      </c>
      <c r="O39" s="71">
        <f t="shared" si="32"/>
        <v>14517452.479867797</v>
      </c>
      <c r="P39" s="71">
        <f t="shared" si="33"/>
        <v>14517452.479867797</v>
      </c>
      <c r="Q39" s="234">
        <f t="shared" si="34"/>
        <v>0</v>
      </c>
      <c r="R39" s="125"/>
    </row>
    <row r="40" spans="1:21" ht="15" customHeight="1" x14ac:dyDescent="0.25">
      <c r="A40" s="14" t="str">
        <f>'Matriz de Produccion'!A41</f>
        <v>0C03</v>
      </c>
      <c r="B40" s="6" t="str">
        <f>VLOOKUP(A40,'Analisis por Categorias'!B:C,2,FALSE)</f>
        <v>Herramientas Menores</v>
      </c>
      <c r="D40" s="3">
        <f>SUMIF(CATEGORIAS[[#All],[SUBGRUPO]],A40,CATEGORIAS[[#All],[PRESUPUESTO
(ORIGINAL)]])</f>
        <v>11480361.030000003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11934674.059867799</v>
      </c>
      <c r="G40" s="71">
        <f>+SUMIF(CATEGORIAS[[#All],[SUBGRUPO]],A40,CATEGORIAS[[#All],[PRODUCCION
PARTIDAS
ORIGINALES
ACTUAL]])
+SUMIF(CATEGORIAS[[#All],[SUBGRUPO]],A40,CATEGORIAS[[#All],[PRODUCCION
ADICIONALES
ACTUAL]])</f>
        <v>4147332.9075696324</v>
      </c>
      <c r="H40" s="71">
        <f>+SUMIF(CATEGORIAS[[#All],[SUBGRUPO]],A40,CATEGORIAS[[#All],[PROYECCION
DE INGRESO
DEL SALDO]])</f>
        <v>7787341.1522981673</v>
      </c>
      <c r="I40" s="71">
        <f t="shared" ref="I40" si="35">G40+H40</f>
        <v>11934674.059867799</v>
      </c>
      <c r="K40" s="71">
        <f>+SUMIF(CATEGORIAS[[#All],[SUBGRUPO]],A40,CATEGORIAS[[#All],[COSTO
ACUMULADO  AX]])
+SUMIF(CATEGORIAS[[#All],[SUBGRUPO]],A40,CATEGORIAS[[#All],[CAMBIO DE
CATEGORIA]])
+SUMIF(CATEGORIAS[[#All],[SUBGRUPO]],A40,CATEGORIAS[[#All],[PROVISIONES]])</f>
        <v>347266</v>
      </c>
      <c r="L40" s="71">
        <f>+SUMIF(CATEGORIAS[[#All],[SUBGRUPO]],A40,CATEGORIAS[[#All],[PROYECCION
TOTAL DE COSTO]])</f>
        <v>11587408.059867799</v>
      </c>
      <c r="M40" s="71">
        <f t="shared" ref="M40" si="36">K40+L40</f>
        <v>11934674.059867799</v>
      </c>
      <c r="O40" s="71">
        <f t="shared" ref="O40" si="37">I40</f>
        <v>11934674.059867799</v>
      </c>
      <c r="P40" s="71">
        <f t="shared" ref="P40" si="38">M40</f>
        <v>11934674.059867799</v>
      </c>
      <c r="Q40" s="234">
        <f t="shared" ref="Q40" si="39">O40-P40</f>
        <v>0</v>
      </c>
      <c r="R40" s="125"/>
    </row>
    <row r="41" spans="1:21" ht="15" customHeight="1" x14ac:dyDescent="0.25">
      <c r="A41" s="14" t="str">
        <f>'Matriz de Produccion'!A42</f>
        <v>0C04</v>
      </c>
      <c r="B41" s="6" t="str">
        <f>VLOOKUP(A41,'Analisis por Categorias'!B:C,2,FALSE)</f>
        <v xml:space="preserve">Movilización </v>
      </c>
      <c r="D41" s="3">
        <f>SUMIF(CATEGORIAS[[#All],[SUBGRUPO]],A41,CATEGORIAS[[#All],[PRESUPUESTO
(ORIGINAL)]])</f>
        <v>91680058.290985167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97246526.248148844</v>
      </c>
      <c r="G41" s="71">
        <f>+SUMIF(CATEGORIAS[[#All],[SUBGRUPO]],A41,CATEGORIAS[[#All],[PRODUCCION
PARTIDAS
ORIGINALES
ACTUAL]])
+SUMIF(CATEGORIAS[[#All],[SUBGRUPO]],A41,CATEGORIAS[[#All],[PRODUCCION
ADICIONALES
ACTUAL]])</f>
        <v>33939880.111195005</v>
      </c>
      <c r="H41" s="71">
        <f>+SUMIF(CATEGORIAS[[#All],[SUBGRUPO]],A41,CATEGORIAS[[#All],[PROYECCION
DE INGRESO
DEL SALDO]])</f>
        <v>63306646.136953838</v>
      </c>
      <c r="I41" s="71">
        <f t="shared" si="30"/>
        <v>97246526.248148844</v>
      </c>
      <c r="K41" s="71">
        <f>+SUMIF(CATEGORIAS[[#All],[SUBGRUPO]],A41,CATEGORIAS[[#All],[COSTO
ACUMULADO  AX]])
+SUMIF(CATEGORIAS[[#All],[SUBGRUPO]],A41,CATEGORIAS[[#All],[CAMBIO DE
CATEGORIA]])
+SUMIF(CATEGORIAS[[#All],[SUBGRUPO]],A41,CATEGORIAS[[#All],[PROVISIONES]])</f>
        <v>14593363.800000001</v>
      </c>
      <c r="L41" s="71">
        <f>+SUMIF(CATEGORIAS[[#All],[SUBGRUPO]],A41,CATEGORIAS[[#All],[PROYECCION
TOTAL DE COSTO]])</f>
        <v>82653162.448148847</v>
      </c>
      <c r="M41" s="71">
        <f t="shared" si="31"/>
        <v>97246526.248148844</v>
      </c>
      <c r="O41" s="71">
        <f t="shared" si="32"/>
        <v>97246526.248148844</v>
      </c>
      <c r="P41" s="71">
        <f t="shared" si="33"/>
        <v>97246526.248148844</v>
      </c>
      <c r="Q41" s="234">
        <f t="shared" si="34"/>
        <v>0</v>
      </c>
      <c r="R41" s="125"/>
    </row>
    <row r="42" spans="1:21" ht="15" customHeight="1" x14ac:dyDescent="0.25">
      <c r="A42" s="14" t="str">
        <f>'Matriz de Produccion'!A43</f>
        <v>0C05</v>
      </c>
      <c r="B42" s="6" t="str">
        <f>VLOOKUP(A42,'Analisis por Categorias'!B:C,2,FALSE)</f>
        <v>Alimentación</v>
      </c>
      <c r="D42" s="3">
        <f>SUMIF(CATEGORIAS[[#All],[SUBGRUPO]],A42,CATEGORIAS[[#All],[PRESUPUESTO
(ORIGINAL)]])</f>
        <v>97917948.620726913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111983061.54603626</v>
      </c>
      <c r="G42" s="71">
        <f>+SUMIF(CATEGORIAS[[#All],[SUBGRUPO]],A42,CATEGORIAS[[#All],[PRODUCCION
PARTIDAS
ORIGINALES
ACTUAL]])
+SUMIF(CATEGORIAS[[#All],[SUBGRUPO]],A42,CATEGORIAS[[#All],[PRODUCCION
ADICIONALES
ACTUAL]])</f>
        <v>36626305.924395055</v>
      </c>
      <c r="H42" s="71">
        <f>+SUMIF(CATEGORIAS[[#All],[SUBGRUPO]],A42,CATEGORIAS[[#All],[PROYECCION
DE INGRESO
DEL SALDO]])</f>
        <v>75356755.621641204</v>
      </c>
      <c r="I42" s="71">
        <f t="shared" ref="I42:I43" si="40">G42+H42</f>
        <v>111983061.54603626</v>
      </c>
      <c r="K42" s="71">
        <f>+SUMIF(CATEGORIAS[[#All],[SUBGRUPO]],A42,CATEGORIAS[[#All],[COSTO
ACUMULADO  AX]])
+SUMIF(CATEGORIAS[[#All],[SUBGRUPO]],A42,CATEGORIAS[[#All],[CAMBIO DE
CATEGORIA]])
+SUMIF(CATEGORIAS[[#All],[SUBGRUPO]],A42,CATEGORIAS[[#All],[PROVISIONES]])</f>
        <v>27299906.399999999</v>
      </c>
      <c r="L42" s="71">
        <f>+SUMIF(CATEGORIAS[[#All],[SUBGRUPO]],A42,CATEGORIAS[[#All],[PROYECCION
TOTAL DE COSTO]])</f>
        <v>84683155.146036267</v>
      </c>
      <c r="M42" s="71">
        <f t="shared" ref="M42:M43" si="41">K42+L42</f>
        <v>111983061.54603627</v>
      </c>
      <c r="O42" s="71">
        <f t="shared" ref="O42:O43" si="42">I42</f>
        <v>111983061.54603626</v>
      </c>
      <c r="P42" s="71">
        <f t="shared" ref="P42:P43" si="43">M42</f>
        <v>111983061.54603627</v>
      </c>
      <c r="Q42" s="234">
        <f t="shared" ref="Q42:Q43" si="44">O42-P42</f>
        <v>0</v>
      </c>
      <c r="R42" s="125"/>
    </row>
    <row r="43" spans="1:21" ht="15" customHeight="1" x14ac:dyDescent="0.25">
      <c r="A43" s="14" t="str">
        <f>'Matriz de Produccion'!A44</f>
        <v>0C06</v>
      </c>
      <c r="B43" s="6" t="str">
        <f>VLOOKUP(A43,'Analisis por Categorias'!B:C,2,FALSE)</f>
        <v>Hotelería</v>
      </c>
      <c r="D43" s="3">
        <f>SUMIF(CATEGORIAS[[#All],[SUBGRUPO]],A43,CATEGORIAS[[#All],[PRESUPUESTO
(ORIGINAL)]])</f>
        <v>0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0</v>
      </c>
      <c r="G43" s="71">
        <f>+SUMIF(CATEGORIAS[[#All],[SUBGRUPO]],A43,CATEGORIAS[[#All],[PRODUCCION
PARTIDAS
ORIGINALES
ACTUAL]])
+SUMIF(CATEGORIAS[[#All],[SUBGRUPO]],A43,CATEGORIAS[[#All],[PRODUCCION
ADICIONALES
ACTUAL]])</f>
        <v>0</v>
      </c>
      <c r="H43" s="71">
        <f>+SUMIF(CATEGORIAS[[#All],[SUBGRUPO]],A43,CATEGORIAS[[#All],[PROYECCION
DE INGRESO
DEL SALDO]])</f>
        <v>0</v>
      </c>
      <c r="I43" s="71">
        <f t="shared" si="40"/>
        <v>0</v>
      </c>
      <c r="K43" s="71">
        <f>+SUMIF(CATEGORIAS[[#All],[SUBGRUPO]],A43,CATEGORIAS[[#All],[COSTO
ACUMULADO  AX]])
+SUMIF(CATEGORIAS[[#All],[SUBGRUPO]],A43,CATEGORIAS[[#All],[CAMBIO DE
CATEGORIA]])
+SUMIF(CATEGORIAS[[#All],[SUBGRUPO]],A43,CATEGORIAS[[#All],[PROVISIONES]])</f>
        <v>0</v>
      </c>
      <c r="L43" s="71">
        <f>+SUMIF(CATEGORIAS[[#All],[SUBGRUPO]],A43,CATEGORIAS[[#All],[PROYECCION
TOTAL DE COSTO]])</f>
        <v>0</v>
      </c>
      <c r="M43" s="71">
        <f t="shared" si="41"/>
        <v>0</v>
      </c>
      <c r="O43" s="71">
        <f t="shared" si="42"/>
        <v>0</v>
      </c>
      <c r="P43" s="71">
        <f t="shared" si="43"/>
        <v>0</v>
      </c>
      <c r="Q43" s="234">
        <f t="shared" si="44"/>
        <v>0</v>
      </c>
      <c r="R43" s="125"/>
    </row>
    <row r="44" spans="1:21" ht="15" customHeight="1" x14ac:dyDescent="0.25">
      <c r="A44" s="14" t="str">
        <f>'Matriz de Produccion'!A45</f>
        <v>0C07</v>
      </c>
      <c r="B44" s="6" t="str">
        <f>VLOOKUP(A44,'Analisis por Categorias'!B:C,2,FALSE)</f>
        <v xml:space="preserve">Movilización Interna </v>
      </c>
      <c r="D44" s="3">
        <f>SUMIF(CATEGORIAS[[#All],[SUBGRUPO]],A44,CATEGORIAS[[#All],[PRESUPUESTO
(ORIGINAL)]])</f>
        <v>0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0</v>
      </c>
      <c r="G44" s="71">
        <f>+SUMIF(CATEGORIAS[[#All],[SUBGRUPO]],A44,CATEGORIAS[[#All],[PRODUCCION
PARTIDAS
ORIGINALES
ACTUAL]])
+SUMIF(CATEGORIAS[[#All],[SUBGRUPO]],A44,CATEGORIAS[[#All],[PRODUCCION
ADICIONALES
ACTUAL]])</f>
        <v>0</v>
      </c>
      <c r="H44" s="71">
        <f>+SUMIF(CATEGORIAS[[#All],[SUBGRUPO]],A44,CATEGORIAS[[#All],[PROYECCION
DE INGRESO
DEL SALDO]])</f>
        <v>0</v>
      </c>
      <c r="I44" s="71">
        <f t="shared" si="30"/>
        <v>0</v>
      </c>
      <c r="K44" s="71">
        <f>+SUMIF(CATEGORIAS[[#All],[SUBGRUPO]],A44,CATEGORIAS[[#All],[COSTO
ACUMULADO  AX]])
+SUMIF(CATEGORIAS[[#All],[SUBGRUPO]],A44,CATEGORIAS[[#All],[CAMBIO DE
CATEGORIA]])
+SUMIF(CATEGORIAS[[#All],[SUBGRUPO]],A44,CATEGORIAS[[#All],[PROVISIONES]])</f>
        <v>0</v>
      </c>
      <c r="L44" s="71">
        <f>+SUMIF(CATEGORIAS[[#All],[SUBGRUPO]],A44,CATEGORIAS[[#All],[PROYECCION
TOTAL DE COSTO]])</f>
        <v>0</v>
      </c>
      <c r="M44" s="71">
        <f t="shared" si="31"/>
        <v>0</v>
      </c>
      <c r="O44" s="71">
        <f t="shared" si="32"/>
        <v>0</v>
      </c>
      <c r="P44" s="71">
        <f t="shared" si="33"/>
        <v>0</v>
      </c>
      <c r="Q44" s="234">
        <f t="shared" si="34"/>
        <v>0</v>
      </c>
      <c r="R44" s="125"/>
    </row>
    <row r="45" spans="1:21" ht="8.25" customHeight="1" x14ac:dyDescent="0.25">
      <c r="Q45" s="233"/>
      <c r="R45" s="125"/>
    </row>
    <row r="46" spans="1:21" ht="15" customHeight="1" x14ac:dyDescent="0.25">
      <c r="A46" s="14" t="str">
        <f>'Matriz de Produccion'!A47</f>
        <v>0D00</v>
      </c>
      <c r="B46" s="81" t="str">
        <f>'Matriz de Produccion'!B47:B47</f>
        <v>D - EQUIPOS Y COMBUSTIBLES</v>
      </c>
      <c r="D46" s="82">
        <f>SUM(D47:D56)</f>
        <v>740872631.09810007</v>
      </c>
      <c r="E46" s="82">
        <f>SUM(E47:E56)</f>
        <v>794729067.02900994</v>
      </c>
      <c r="G46" s="83">
        <f>SUM(G47:G56)</f>
        <v>311132349.85919666</v>
      </c>
      <c r="H46" s="83">
        <f>SUM(H47:H56)</f>
        <v>483596717.16981339</v>
      </c>
      <c r="I46" s="83">
        <f>SUM(I47:I56)</f>
        <v>794729067.02900994</v>
      </c>
      <c r="K46" s="84">
        <f>SUM(K47:K56)</f>
        <v>267466045.17854217</v>
      </c>
      <c r="L46" s="84">
        <f>SUM(L47:L56)</f>
        <v>527263018.85046786</v>
      </c>
      <c r="M46" s="84">
        <f>SUM(M47:M56)</f>
        <v>794729064.02900994</v>
      </c>
      <c r="O46" s="12">
        <f>SUM(O47:O56)</f>
        <v>794729067.02900994</v>
      </c>
      <c r="P46" s="11">
        <f>SUM(P47:P56)</f>
        <v>794729064.02900994</v>
      </c>
      <c r="Q46" s="232">
        <f>SUM(Q47:Q56)</f>
        <v>3</v>
      </c>
      <c r="R46" s="125"/>
    </row>
    <row r="47" spans="1:21" ht="15" customHeight="1" x14ac:dyDescent="0.25">
      <c r="A47" s="14" t="str">
        <f>'Matriz de Produccion'!A48</f>
        <v>0D01</v>
      </c>
      <c r="B47" s="6" t="str">
        <f>VLOOKUP(A47,'Analisis por Categorias'!B:C,2,FALSE)</f>
        <v>Equipos Mayores</v>
      </c>
      <c r="D47" s="3">
        <f>SUMIF(CATEGORIAS[[#All],[SUBGRUPO]],A47,CATEGORIAS[[#All],[PRESUPUESTO
(ORIGINAL)]])</f>
        <v>358822229.46900004</v>
      </c>
      <c r="E47" s="3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372617571.34932005</v>
      </c>
      <c r="G47" s="71">
        <f>+SUMIF(CATEGORIAS[[#All],[SUBGRUPO]],A47,CATEGORIAS[[#All],[PRODUCCION
PARTIDAS
ORIGINALES
ACTUAL]])
+SUMIF(CATEGORIAS[[#All],[SUBGRUPO]],A47,CATEGORIAS[[#All],[PRODUCCION
ADICIONALES
ACTUAL]])</f>
        <v>128359954.75691205</v>
      </c>
      <c r="H47" s="71">
        <f>+SUMIF(CATEGORIAS[[#All],[SUBGRUPO]],A47,CATEGORIAS[[#All],[PROYECCION
DE INGRESO
DEL SALDO]])</f>
        <v>244257616.592408</v>
      </c>
      <c r="I47" s="71">
        <f t="shared" ref="I47:I52" si="45">G47+H47</f>
        <v>372617571.34932005</v>
      </c>
      <c r="K47" s="71">
        <f>+SUMIF(CATEGORIAS[[#All],[SUBGRUPO]],A47,CATEGORIAS[[#All],[COSTO
ACUMULADO  AX]])
+SUMIF(CATEGORIAS[[#All],[SUBGRUPO]],A47,CATEGORIAS[[#All],[CAMBIO DE
CATEGORIA]])
+SUMIF(CATEGORIAS[[#All],[SUBGRUPO]],A47,CATEGORIAS[[#All],[PROVISIONES]])</f>
        <v>129543507</v>
      </c>
      <c r="L47" s="71">
        <f>+SUMIF(CATEGORIAS[[#All],[SUBGRUPO]],A47,CATEGORIAS[[#All],[PROYECCION
TOTAL DE COSTO]])</f>
        <v>243074061.34932005</v>
      </c>
      <c r="M47" s="71">
        <f t="shared" ref="M47:M52" si="46">K47+L47</f>
        <v>372617568.34932005</v>
      </c>
      <c r="O47" s="71">
        <f t="shared" ref="O47:O52" si="47">I47</f>
        <v>372617571.34932005</v>
      </c>
      <c r="P47" s="71">
        <f t="shared" ref="P47:P52" si="48">M47</f>
        <v>372617568.34932005</v>
      </c>
      <c r="Q47" s="234">
        <f t="shared" ref="Q47:Q52" si="49">O47-P47</f>
        <v>3</v>
      </c>
      <c r="R47" s="125"/>
    </row>
    <row r="48" spans="1:21" ht="15" customHeight="1" x14ac:dyDescent="0.25">
      <c r="A48" s="14" t="str">
        <f>'Matriz de Produccion'!A49</f>
        <v>0D02</v>
      </c>
      <c r="B48" s="6" t="str">
        <f>VLOOKUP(A48,'Analisis por Categorias'!B:C,2,FALSE)</f>
        <v>Generador</v>
      </c>
      <c r="D48" s="3">
        <f>SUMIF(CATEGORIAS[[#All],[SUBGRUPO]],A48,CATEGORIAS[[#All],[PRESUPUESTO
(ORIGINAL)]])</f>
        <v>0</v>
      </c>
      <c r="E48" s="3">
        <f>+SUMIF(CATEGORIAS[[#All],[SUBGRUPO]],A48,CATEGORIAS[[#All],[PRODUCCION
PARTIDAS
ORIGINALES
ACTUAL]])
+SUMIF(CATEGORIAS[[#All],[SUBGRUPO]],A48,CATEGORIAS[[#All],[PRODUCCION
ADICIONALES
ACTUAL]])
+SUMIF(CATEGORIAS[[#All],[SUBGRUPO]],A48,CATEGORIAS[[#All],[PROYECCION
DE INGRESO
DEL SALDO]])</f>
        <v>0</v>
      </c>
      <c r="G48" s="71">
        <f>+SUMIF(CATEGORIAS[[#All],[SUBGRUPO]],A48,CATEGORIAS[[#All],[PRODUCCION
PARTIDAS
ORIGINALES
ACTUAL]])
+SUMIF(CATEGORIAS[[#All],[SUBGRUPO]],A48,CATEGORIAS[[#All],[PRODUCCION
ADICIONALES
ACTUAL]])</f>
        <v>0</v>
      </c>
      <c r="H48" s="71">
        <f>+SUMIF(CATEGORIAS[[#All],[SUBGRUPO]],A48,CATEGORIAS[[#All],[PROYECCION
DE INGRESO
DEL SALDO]])</f>
        <v>0</v>
      </c>
      <c r="I48" s="71">
        <f t="shared" si="45"/>
        <v>0</v>
      </c>
      <c r="K48" s="71">
        <f>+SUMIF(CATEGORIAS[[#All],[SUBGRUPO]],A48,CATEGORIAS[[#All],[COSTO
ACUMULADO  AX]])
+SUMIF(CATEGORIAS[[#All],[SUBGRUPO]],A48,CATEGORIAS[[#All],[CAMBIO DE
CATEGORIA]])
+SUMIF(CATEGORIAS[[#All],[SUBGRUPO]],A48,CATEGORIAS[[#All],[PROVISIONES]])</f>
        <v>0</v>
      </c>
      <c r="L48" s="71">
        <f>+SUMIF(CATEGORIAS[[#All],[SUBGRUPO]],A48,CATEGORIAS[[#All],[PROYECCION
TOTAL DE COSTO]])</f>
        <v>0</v>
      </c>
      <c r="M48" s="71">
        <f t="shared" si="46"/>
        <v>0</v>
      </c>
      <c r="O48" s="71">
        <f t="shared" si="47"/>
        <v>0</v>
      </c>
      <c r="P48" s="71">
        <f t="shared" si="48"/>
        <v>0</v>
      </c>
      <c r="Q48" s="234">
        <f t="shared" si="49"/>
        <v>0</v>
      </c>
      <c r="R48" s="125"/>
    </row>
    <row r="49" spans="1:18" ht="15" customHeight="1" x14ac:dyDescent="0.25">
      <c r="A49" s="14" t="str">
        <f>'Matriz de Produccion'!A50</f>
        <v>0D03</v>
      </c>
      <c r="B49" s="6" t="str">
        <f>VLOOKUP(A49,'Analisis por Categorias'!B:C,2,FALSE)</f>
        <v>Movimiento de Tierra</v>
      </c>
      <c r="D49" s="3">
        <f>SUMIF(CATEGORIAS[[#All],[SUBGRUPO]],A49,CATEGORIAS[[#All],[PRESUPUESTO
(ORIGINAL)]])</f>
        <v>21492401.631495975</v>
      </c>
      <c r="E49" s="3">
        <f>+SUMIF(CATEGORIAS[[#All],[SUBGRUPO]],A49,CATEGORIAS[[#All],[PRODUCCION
PARTIDAS
ORIGINALES
ACTUAL]])
+SUMIF(CATEGORIAS[[#All],[SUBGRUPO]],A49,CATEGORIAS[[#All],[PRODUCCION
ADICIONALES
ACTUAL]])
+SUMIF(CATEGORIAS[[#All],[SUBGRUPO]],A49,CATEGORIAS[[#All],[PROYECCION
DE INGRESO
DEL SALDO]])</f>
        <v>26718830.777369343</v>
      </c>
      <c r="G49" s="71">
        <f>+SUMIF(CATEGORIAS[[#All],[SUBGRUPO]],A49,CATEGORIAS[[#All],[PRODUCCION
PARTIDAS
ORIGINALES
ACTUAL]])
+SUMIF(CATEGORIAS[[#All],[SUBGRUPO]],A49,CATEGORIAS[[#All],[PRODUCCION
ADICIONALES
ACTUAL]])</f>
        <v>15420132.1664</v>
      </c>
      <c r="H49" s="71">
        <f>+SUMIF(CATEGORIAS[[#All],[SUBGRUPO]],A49,CATEGORIAS[[#All],[PROYECCION
DE INGRESO
DEL SALDO]])</f>
        <v>11298698.610969342</v>
      </c>
      <c r="I49" s="71">
        <f t="shared" si="45"/>
        <v>26718830.777369343</v>
      </c>
      <c r="K49" s="71">
        <f>+SUMIF(CATEGORIAS[[#All],[SUBGRUPO]],A49,CATEGORIAS[[#All],[COSTO
ACUMULADO  AX]])
+SUMIF(CATEGORIAS[[#All],[SUBGRUPO]],A49,CATEGORIAS[[#All],[CAMBIO DE
CATEGORIA]])
+SUMIF(CATEGORIAS[[#All],[SUBGRUPO]],A49,CATEGORIAS[[#All],[PROVISIONES]])</f>
        <v>15980000</v>
      </c>
      <c r="L49" s="71">
        <f>+SUMIF(CATEGORIAS[[#All],[SUBGRUPO]],A49,CATEGORIAS[[#All],[PROYECCION
TOTAL DE COSTO]])</f>
        <v>10738830.777369343</v>
      </c>
      <c r="M49" s="71">
        <f t="shared" si="46"/>
        <v>26718830.777369343</v>
      </c>
      <c r="O49" s="71">
        <f t="shared" si="47"/>
        <v>26718830.777369343</v>
      </c>
      <c r="P49" s="71">
        <f t="shared" si="48"/>
        <v>26718830.777369343</v>
      </c>
      <c r="Q49" s="234">
        <f t="shared" si="49"/>
        <v>0</v>
      </c>
      <c r="R49" s="125"/>
    </row>
    <row r="50" spans="1:18" ht="15" customHeight="1" x14ac:dyDescent="0.25">
      <c r="A50" s="14" t="str">
        <f>'Matriz de Produccion'!A51</f>
        <v>0D04</v>
      </c>
      <c r="B50" s="6" t="str">
        <f>VLOOKUP(A50,'Analisis por Categorias'!B:C,2,FALSE)</f>
        <v xml:space="preserve">Andamios </v>
      </c>
      <c r="D50" s="3">
        <f>SUMIF(CATEGORIAS[[#All],[SUBGRUPO]],A50,CATEGORIAS[[#All],[PRESUPUESTO
(ORIGINAL)]])</f>
        <v>51679693.519999996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52583283.934636705</v>
      </c>
      <c r="G50" s="71">
        <f>+SUMIF(CATEGORIAS[[#All],[SUBGRUPO]],A50,CATEGORIAS[[#All],[PRODUCCION
PARTIDAS
ORIGINALES
ACTUAL]])
+SUMIF(CATEGORIAS[[#All],[SUBGRUPO]],A50,CATEGORIAS[[#All],[PRODUCCION
ADICIONALES
ACTUAL]])</f>
        <v>20431073.231132135</v>
      </c>
      <c r="H50" s="71">
        <f>+SUMIF(CATEGORIAS[[#All],[SUBGRUPO]],A50,CATEGORIAS[[#All],[PROYECCION
DE INGRESO
DEL SALDO]])</f>
        <v>32152210.70350457</v>
      </c>
      <c r="I50" s="71">
        <f t="shared" si="45"/>
        <v>52583283.934636705</v>
      </c>
      <c r="K50" s="71">
        <f>+SUMIF(CATEGORIAS[[#All],[SUBGRUPO]],A50,CATEGORIAS[[#All],[COSTO
ACUMULADO  AX]])
+SUMIF(CATEGORIAS[[#All],[SUBGRUPO]],A50,CATEGORIAS[[#All],[CAMBIO DE
CATEGORIA]])
+SUMIF(CATEGORIAS[[#All],[SUBGRUPO]],A50,CATEGORIAS[[#All],[PROVISIONES]])</f>
        <v>20000000</v>
      </c>
      <c r="L50" s="71">
        <f>+SUMIF(CATEGORIAS[[#All],[SUBGRUPO]],A50,CATEGORIAS[[#All],[PROYECCION
TOTAL DE COSTO]])</f>
        <v>32583283.934636705</v>
      </c>
      <c r="M50" s="71">
        <f t="shared" si="46"/>
        <v>52583283.934636705</v>
      </c>
      <c r="O50" s="71">
        <f t="shared" si="47"/>
        <v>52583283.934636705</v>
      </c>
      <c r="P50" s="71">
        <f t="shared" si="48"/>
        <v>52583283.934636705</v>
      </c>
      <c r="Q50" s="234">
        <f t="shared" si="49"/>
        <v>0</v>
      </c>
      <c r="R50" s="125"/>
    </row>
    <row r="51" spans="1:18" x14ac:dyDescent="0.25">
      <c r="A51" s="14" t="str">
        <f>'Matriz de Produccion'!A52</f>
        <v>0D05</v>
      </c>
      <c r="B51" s="6" t="str">
        <f>VLOOKUP(A51,'Analisis por Categorias'!B:C,2,FALSE)</f>
        <v xml:space="preserve">Combustibles </v>
      </c>
      <c r="D51" s="3">
        <f>SUMIF(CATEGORIAS[[#All],[SUBGRUPO]],A51,CATEGORIAS[[#All],[PRESUPUESTO
(ORIGINAL)]])</f>
        <v>119610000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119610000</v>
      </c>
      <c r="G51" s="71">
        <f>+SUMIF(CATEGORIAS[[#All],[SUBGRUPO]],A51,CATEGORIAS[[#All],[PRODUCCION
PARTIDAS
ORIGINALES
ACTUAL]])
+SUMIF(CATEGORIAS[[#All],[SUBGRUPO]],A51,CATEGORIAS[[#All],[PRODUCCION
ADICIONALES
ACTUAL]])</f>
        <v>64826093.887091815</v>
      </c>
      <c r="H51" s="71">
        <f>+SUMIF(CATEGORIAS[[#All],[SUBGRUPO]],A51,CATEGORIAS[[#All],[PROYECCION
DE INGRESO
DEL SALDO]])</f>
        <v>54783906.112908185</v>
      </c>
      <c r="I51" s="71">
        <f t="shared" si="45"/>
        <v>119610000</v>
      </c>
      <c r="K51" s="71">
        <f>+SUMIF(CATEGORIAS[[#All],[SUBGRUPO]],A51,CATEGORIAS[[#All],[COSTO
ACUMULADO  AX]])
+SUMIF(CATEGORIAS[[#All],[SUBGRUPO]],A51,CATEGORIAS[[#All],[CAMBIO DE
CATEGORIA]])
+SUMIF(CATEGORIAS[[#All],[SUBGRUPO]],A51,CATEGORIAS[[#All],[PROVISIONES]])</f>
        <v>14323271</v>
      </c>
      <c r="L51" s="71">
        <f>+SUMIF(CATEGORIAS[[#All],[SUBGRUPO]],A51,CATEGORIAS[[#All],[PROYECCION
TOTAL DE COSTO]])</f>
        <v>105286729</v>
      </c>
      <c r="M51" s="71">
        <f t="shared" si="46"/>
        <v>119610000</v>
      </c>
      <c r="O51" s="71">
        <f t="shared" si="47"/>
        <v>119610000</v>
      </c>
      <c r="P51" s="71">
        <f t="shared" si="48"/>
        <v>119610000</v>
      </c>
      <c r="Q51" s="234">
        <f t="shared" si="49"/>
        <v>0</v>
      </c>
      <c r="R51" s="125"/>
    </row>
    <row r="52" spans="1:18" ht="15" customHeight="1" x14ac:dyDescent="0.25">
      <c r="A52" s="14" t="str">
        <f>'Matriz de Produccion'!A53</f>
        <v>0D06</v>
      </c>
      <c r="B52" s="6" t="str">
        <f>VLOOKUP(A52,'Analisis por Categorias'!B:C,2,FALSE)</f>
        <v xml:space="preserve">Fletes </v>
      </c>
      <c r="D52" s="3">
        <f>SUMIF(CATEGORIAS[[#All],[SUBGRUPO]],A52,CATEGORIAS[[#All],[PRESUPUESTO
(ORIGINAL)]])</f>
        <v>27900000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27982433.399999999</v>
      </c>
      <c r="G52" s="71">
        <f>+SUMIF(CATEGORIAS[[#All],[SUBGRUPO]],A52,CATEGORIAS[[#All],[PRODUCCION
PARTIDAS
ORIGINALES
ACTUAL]])
+SUMIF(CATEGORIAS[[#All],[SUBGRUPO]],A52,CATEGORIAS[[#All],[PRODUCCION
ADICIONALES
ACTUAL]])</f>
        <v>13030183.321390457</v>
      </c>
      <c r="H52" s="71">
        <f>+SUMIF(CATEGORIAS[[#All],[SUBGRUPO]],A52,CATEGORIAS[[#All],[PROYECCION
DE INGRESO
DEL SALDO]])</f>
        <v>14952250.078609541</v>
      </c>
      <c r="I52" s="71">
        <f t="shared" si="45"/>
        <v>27982433.399999999</v>
      </c>
      <c r="K52" s="71">
        <f>+SUMIF(CATEGORIAS[[#All],[SUBGRUPO]],A52,CATEGORIAS[[#All],[COSTO
ACUMULADO  AX]])
+SUMIF(CATEGORIAS[[#All],[SUBGRUPO]],A52,CATEGORIAS[[#All],[CAMBIO DE
CATEGORIA]])
+SUMIF(CATEGORIAS[[#All],[SUBGRUPO]],A52,CATEGORIAS[[#All],[PROVISIONES]])</f>
        <v>3250000</v>
      </c>
      <c r="L52" s="71">
        <f>+SUMIF(CATEGORIAS[[#All],[SUBGRUPO]],A52,CATEGORIAS[[#All],[PROYECCION
TOTAL DE COSTO]])</f>
        <v>24732433.399999999</v>
      </c>
      <c r="M52" s="71">
        <f t="shared" si="46"/>
        <v>27982433.399999999</v>
      </c>
      <c r="O52" s="71">
        <f t="shared" si="47"/>
        <v>27982433.399999999</v>
      </c>
      <c r="P52" s="71">
        <f t="shared" si="48"/>
        <v>27982433.399999999</v>
      </c>
      <c r="Q52" s="234">
        <f t="shared" si="49"/>
        <v>0</v>
      </c>
      <c r="R52" s="125"/>
    </row>
    <row r="53" spans="1:18" ht="15" customHeight="1" x14ac:dyDescent="0.25">
      <c r="A53" s="14" t="str">
        <f>'Matriz de Produccion'!A54</f>
        <v>0D07</v>
      </c>
      <c r="B53" s="6" t="str">
        <f>VLOOKUP(A53,'Analisis por Categorias'!B:C,2,FALSE)</f>
        <v>Operador</v>
      </c>
      <c r="D53" s="3">
        <f>SUMIF(CATEGORIAS[[#All],[SUBGRUPO]],A53,CATEGORIAS[[#All],[PRESUPUESTO
(ORIGINAL)]])</f>
        <v>93476144.542770028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93476144.542770028</v>
      </c>
      <c r="G53" s="71">
        <f>+SUMIF(CATEGORIAS[[#All],[SUBGRUPO]],A53,CATEGORIAS[[#All],[PRODUCCION
PARTIDAS
ORIGINALES
ACTUAL]])
+SUMIF(CATEGORIAS[[#All],[SUBGRUPO]],A53,CATEGORIAS[[#All],[PRODUCCION
ADICIONALES
ACTUAL]])</f>
        <v>43656318.980970815</v>
      </c>
      <c r="H53" s="71">
        <f>+SUMIF(CATEGORIAS[[#All],[SUBGRUPO]],A53,CATEGORIAS[[#All],[PROYECCION
DE INGRESO
DEL SALDO]])</f>
        <v>49819825.561799213</v>
      </c>
      <c r="I53" s="71">
        <f t="shared" ref="I53:I56" si="50">G53+H53</f>
        <v>93476144.542770028</v>
      </c>
      <c r="K53" s="71">
        <f>+SUMIF(CATEGORIAS[[#All],[SUBGRUPO]],A53,CATEGORIAS[[#All],[COSTO
ACUMULADO  AX]])
+SUMIF(CATEGORIAS[[#All],[SUBGRUPO]],A53,CATEGORIAS[[#All],[CAMBIO DE
CATEGORIA]])
+SUMIF(CATEGORIAS[[#All],[SUBGRUPO]],A53,CATEGORIAS[[#All],[PROVISIONES]])</f>
        <v>51257656.025389023</v>
      </c>
      <c r="L53" s="71">
        <f>+SUMIF(CATEGORIAS[[#All],[SUBGRUPO]],A53,CATEGORIAS[[#All],[PROYECCION
TOTAL DE COSTO]])</f>
        <v>42218488.517381005</v>
      </c>
      <c r="M53" s="71">
        <f t="shared" ref="M53:M56" si="51">K53+L53</f>
        <v>93476144.542770028</v>
      </c>
      <c r="O53" s="71">
        <f t="shared" ref="O53:O56" si="52">I53</f>
        <v>93476144.542770028</v>
      </c>
      <c r="P53" s="71">
        <f t="shared" ref="P53:P56" si="53">M53</f>
        <v>93476144.542770028</v>
      </c>
      <c r="Q53" s="234">
        <f t="shared" ref="Q53:Q56" si="54">O53-P53</f>
        <v>0</v>
      </c>
      <c r="R53" s="125"/>
    </row>
    <row r="54" spans="1:18" ht="15" customHeight="1" x14ac:dyDescent="0.25">
      <c r="A54" s="14" t="str">
        <f>'Matriz de Produccion'!A55</f>
        <v>0D08</v>
      </c>
      <c r="B54" s="6" t="str">
        <f>VLOOKUP(A54,'Analisis por Categorias'!B:C,2,FALSE)</f>
        <v>Rigger</v>
      </c>
      <c r="D54" s="3">
        <f>SUMIF(CATEGORIAS[[#All],[SUBGRUPO]],A54,CATEGORIAS[[#All],[PRESUPUESTO
(ORIGINAL)]])</f>
        <v>42918681.456833996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42918681.456833996</v>
      </c>
      <c r="G54" s="71">
        <f>+SUMIF(CATEGORIAS[[#All],[SUBGRUPO]],A54,CATEGORIAS[[#All],[PRODUCCION
PARTIDAS
ORIGINALES
ACTUAL]])
+SUMIF(CATEGORIAS[[#All],[SUBGRUPO]],A54,CATEGORIAS[[#All],[PRODUCCION
ADICIONALES
ACTUAL]])</f>
        <v>20044383.057165168</v>
      </c>
      <c r="H54" s="71">
        <f>+SUMIF(CATEGORIAS[[#All],[SUBGRUPO]],A54,CATEGORIAS[[#All],[PROYECCION
DE INGRESO
DEL SALDO]])</f>
        <v>22874298.399668828</v>
      </c>
      <c r="I54" s="71">
        <f t="shared" ref="I54:I55" si="55">G54+H54</f>
        <v>42918681.456833996</v>
      </c>
      <c r="K54" s="71">
        <f>+SUMIF(CATEGORIAS[[#All],[SUBGRUPO]],A54,CATEGORIAS[[#All],[COSTO
ACUMULADO  AX]])
+SUMIF(CATEGORIAS[[#All],[SUBGRUPO]],A54,CATEGORIAS[[#All],[CAMBIO DE
CATEGORIA]])
+SUMIF(CATEGORIAS[[#All],[SUBGRUPO]],A54,CATEGORIAS[[#All],[PROVISIONES]])</f>
        <v>12651493.153153153</v>
      </c>
      <c r="L54" s="71">
        <f>+SUMIF(CATEGORIAS[[#All],[SUBGRUPO]],A54,CATEGORIAS[[#All],[PROYECCION
TOTAL DE COSTO]])</f>
        <v>30267188.303680845</v>
      </c>
      <c r="M54" s="71">
        <f t="shared" ref="M54:M55" si="56">K54+L54</f>
        <v>42918681.456833996</v>
      </c>
      <c r="O54" s="71">
        <f t="shared" ref="O54:O55" si="57">I54</f>
        <v>42918681.456833996</v>
      </c>
      <c r="P54" s="71">
        <f t="shared" ref="P54:P55" si="58">M54</f>
        <v>42918681.456833996</v>
      </c>
      <c r="Q54" s="234">
        <f t="shared" ref="Q54:Q55" si="59">O54-P54</f>
        <v>0</v>
      </c>
      <c r="R54" s="125"/>
    </row>
    <row r="55" spans="1:18" ht="15" customHeight="1" x14ac:dyDescent="0.25">
      <c r="A55" s="14" t="str">
        <f>'Matriz de Produccion'!A56</f>
        <v>0D09</v>
      </c>
      <c r="B55" s="6" t="str">
        <f>VLOOKUP(A55,'Analisis por Categorias'!B:C,2,FALSE)</f>
        <v>Equipos menores</v>
      </c>
      <c r="D55" s="3">
        <f>SUMIF(CATEGORIAS[[#All],[SUBGRUPO]],A55,CATEGORIAS[[#All],[PRESUPUESTO
(ORIGINAL)]])</f>
        <v>24973480.478000004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58822121.568079934</v>
      </c>
      <c r="G55" s="71">
        <f>+SUMIF(CATEGORIAS[[#All],[SUBGRUPO]],A55,CATEGORIAS[[#All],[PRODUCCION
PARTIDAS
ORIGINALES
ACTUAL]])
+SUMIF(CATEGORIAS[[#All],[SUBGRUPO]],A55,CATEGORIAS[[#All],[PRODUCCION
ADICIONALES
ACTUAL]])</f>
        <v>5364210.4581342041</v>
      </c>
      <c r="H55" s="71">
        <f>+SUMIF(CATEGORIAS[[#All],[SUBGRUPO]],A55,CATEGORIAS[[#All],[PROYECCION
DE INGRESO
DEL SALDO]])</f>
        <v>53457911.109945729</v>
      </c>
      <c r="I55" s="71">
        <f t="shared" si="55"/>
        <v>58822121.568079934</v>
      </c>
      <c r="K55" s="71">
        <f>+SUMIF(CATEGORIAS[[#All],[SUBGRUPO]],A55,CATEGORIAS[[#All],[COSTO
ACUMULADO  AX]])
+SUMIF(CATEGORIAS[[#All],[SUBGRUPO]],A55,CATEGORIAS[[#All],[CAMBIO DE
CATEGORIA]])
+SUMIF(CATEGORIAS[[#All],[SUBGRUPO]],A55,CATEGORIAS[[#All],[PROVISIONES]])</f>
        <v>20460118</v>
      </c>
      <c r="L55" s="71">
        <f>+SUMIF(CATEGORIAS[[#All],[SUBGRUPO]],A55,CATEGORIAS[[#All],[PROYECCION
TOTAL DE COSTO]])</f>
        <v>38362003.568079934</v>
      </c>
      <c r="M55" s="71">
        <f t="shared" si="56"/>
        <v>58822121.568079934</v>
      </c>
      <c r="O55" s="71">
        <f t="shared" si="57"/>
        <v>58822121.568079934</v>
      </c>
      <c r="P55" s="71">
        <f t="shared" si="58"/>
        <v>58822121.568079934</v>
      </c>
      <c r="Q55" s="234">
        <f t="shared" si="59"/>
        <v>0</v>
      </c>
      <c r="R55" s="125"/>
    </row>
    <row r="56" spans="1:18" ht="15" customHeight="1" x14ac:dyDescent="0.25">
      <c r="A56" s="14" t="str">
        <f>'Matriz de Produccion'!A57</f>
        <v>0D10</v>
      </c>
      <c r="B56" s="6" t="str">
        <f>VLOOKUP(A56,'Analisis por Categorias'!B:C,2,FALSE)</f>
        <v>Cert. De Equipo</v>
      </c>
      <c r="D56" s="3">
        <f>SUMIF(CATEGORIAS[[#All],[SUBGRUPO]],A56,CATEGORIAS[[#All],[PRESUPUESTO
(ORIGINAL)]])</f>
        <v>0</v>
      </c>
      <c r="E56" s="3">
        <f>+SUMIF(CATEGORIAS[[#All],[SUBGRUPO]],A56,CATEGORIAS[[#All],[PRODUCCION
PARTIDAS
ORIGINALES
ACTUAL]])
+SUMIF(CATEGORIAS[[#All],[SUBGRUPO]],A56,CATEGORIAS[[#All],[PRODUCCION
ADICIONALES
ACTUAL]])
+SUMIF(CATEGORIAS[[#All],[SUBGRUPO]],A56,CATEGORIAS[[#All],[PROYECCION
DE INGRESO
DEL SALDO]])</f>
        <v>0</v>
      </c>
      <c r="G56" s="71">
        <f>+SUMIF(CATEGORIAS[[#All],[SUBGRUPO]],A56,CATEGORIAS[[#All],[PRODUCCION
PARTIDAS
ORIGINALES
ACTUAL]])
+SUMIF(CATEGORIAS[[#All],[SUBGRUPO]],A56,CATEGORIAS[[#All],[PRODUCCION
ADICIONALES
ACTUAL]])</f>
        <v>0</v>
      </c>
      <c r="H56" s="71">
        <f>+SUMIF(CATEGORIAS[[#All],[SUBGRUPO]],A56,CATEGORIAS[[#All],[PROYECCION
DE INGRESO
DEL SALDO]])</f>
        <v>0</v>
      </c>
      <c r="I56" s="71">
        <f t="shared" si="50"/>
        <v>0</v>
      </c>
      <c r="K56" s="71">
        <f>+SUMIF(CATEGORIAS[[#All],[SUBGRUPO]],A56,CATEGORIAS[[#All],[COSTO
ACUMULADO  AX]])
+SUMIF(CATEGORIAS[[#All],[SUBGRUPO]],A56,CATEGORIAS[[#All],[CAMBIO DE
CATEGORIA]])
+SUMIF(CATEGORIAS[[#All],[SUBGRUPO]],A56,CATEGORIAS[[#All],[PROVISIONES]])</f>
        <v>0</v>
      </c>
      <c r="L56" s="71">
        <f>+SUMIF(CATEGORIAS[[#All],[SUBGRUPO]],A56,CATEGORIAS[[#All],[PROYECCION
TOTAL DE COSTO]])</f>
        <v>0</v>
      </c>
      <c r="M56" s="71">
        <f t="shared" si="51"/>
        <v>0</v>
      </c>
      <c r="O56" s="71">
        <f t="shared" si="52"/>
        <v>0</v>
      </c>
      <c r="P56" s="71">
        <f t="shared" si="53"/>
        <v>0</v>
      </c>
      <c r="Q56" s="234">
        <f t="shared" si="54"/>
        <v>0</v>
      </c>
      <c r="R56" s="125"/>
    </row>
    <row r="57" spans="1:18" ht="8.25" customHeight="1" x14ac:dyDescent="0.25">
      <c r="Q57" s="233"/>
      <c r="R57" s="125"/>
    </row>
    <row r="58" spans="1:18" x14ac:dyDescent="0.25">
      <c r="A58" s="14" t="str">
        <f>'Matriz de Produccion'!A59</f>
        <v>0X00</v>
      </c>
      <c r="B58" s="81" t="str">
        <f>'Matriz de Produccion'!B59:B59</f>
        <v>E - SUBCONTRATOS</v>
      </c>
      <c r="D58" s="82">
        <f>SUM(D59:D69)</f>
        <v>104044850.4409</v>
      </c>
      <c r="E58" s="82">
        <f>SUM(E59:E69)</f>
        <v>105214802.86575359</v>
      </c>
      <c r="G58" s="83">
        <f>SUM(G59:G69)</f>
        <v>48494030.323253587</v>
      </c>
      <c r="H58" s="83">
        <f>SUM(H59:H69)</f>
        <v>56720772.542500004</v>
      </c>
      <c r="I58" s="83">
        <f>SUM(I59:I69)</f>
        <v>105214802.86575359</v>
      </c>
      <c r="K58" s="84">
        <f>SUM(K59:K69)</f>
        <v>47669482</v>
      </c>
      <c r="L58" s="84">
        <f>SUM(L59:L69)</f>
        <v>57545320.865753591</v>
      </c>
      <c r="M58" s="84">
        <f>SUM(M59:M69)</f>
        <v>105214802.86575359</v>
      </c>
      <c r="O58" s="12">
        <f>SUM(O59:O69)</f>
        <v>105214802.86575359</v>
      </c>
      <c r="P58" s="11">
        <f>SUM(P59:P69)</f>
        <v>105214802.86575359</v>
      </c>
      <c r="Q58" s="232">
        <f>SUM(Q59:Q69)</f>
        <v>0</v>
      </c>
      <c r="R58" s="125"/>
    </row>
    <row r="59" spans="1:18" ht="15" customHeight="1" x14ac:dyDescent="0.25">
      <c r="A59" s="14" t="str">
        <f>'Matriz de Produccion'!A60</f>
        <v>0X01</v>
      </c>
      <c r="B59" s="6" t="str">
        <f>VLOOKUP(A59,'Analisis por Categorias'!B:C,2,FALSE)</f>
        <v xml:space="preserve">Civil  </v>
      </c>
      <c r="D59" s="3">
        <f>SUMIF(CATEGORIAS[[#All],[SUBGRUPO]],A59,CATEGORIAS[[#All],[PRESUPUESTO
(ORIGINAL)]])</f>
        <v>15225366.156400001</v>
      </c>
      <c r="E59" s="3">
        <f>+SUMIF(CATEGORIAS[[#All],[SUBGRUPO]],A59,CATEGORIAS[[#All],[PRODUCCION
PARTIDAS
ORIGINALES
ACTUAL]])
+SUMIF(CATEGORIAS[[#All],[SUBGRUPO]],A59,CATEGORIAS[[#All],[PRODUCCION
ADICIONALES
ACTUAL]])
+SUMIF(CATEGORIAS[[#All],[SUBGRUPO]],A59,CATEGORIAS[[#All],[PROYECCION
DE INGRESO
DEL SALDO]])</f>
        <v>15225366.156399999</v>
      </c>
      <c r="G59" s="71">
        <f>+SUMIF(CATEGORIAS[[#All],[SUBGRUPO]],A59,CATEGORIAS[[#All],[PRODUCCION
PARTIDAS
ORIGINALES
ACTUAL]])
+SUMIF(CATEGORIAS[[#All],[SUBGRUPO]],A59,CATEGORIAS[[#All],[PRODUCCION
ADICIONALES
ACTUAL]])</f>
        <v>15221265.612399999</v>
      </c>
      <c r="H59" s="71">
        <f>+SUMIF(CATEGORIAS[[#All],[SUBGRUPO]],A59,CATEGORIAS[[#All],[PROYECCION
DE INGRESO
DEL SALDO]])</f>
        <v>4100.5439999999944</v>
      </c>
      <c r="I59" s="71">
        <f t="shared" ref="I59:I63" si="60">G59+H59</f>
        <v>15225366.156399999</v>
      </c>
      <c r="K59" s="71">
        <f>+SUMIF(CATEGORIAS[[#All],[SUBGRUPO]],A59,CATEGORIAS[[#All],[COSTO
ACUMULADO  AX]])
+SUMIF(CATEGORIAS[[#All],[SUBGRUPO]],A59,CATEGORIAS[[#All],[CAMBIO DE
CATEGORIA]])
+SUMIF(CATEGORIAS[[#All],[SUBGRUPO]],A59,CATEGORIAS[[#All],[PROVISIONES]])</f>
        <v>1974682</v>
      </c>
      <c r="L59" s="71">
        <f>+SUMIF(CATEGORIAS[[#All],[SUBGRUPO]],A59,CATEGORIAS[[#All],[PROYECCION
TOTAL DE COSTO]])</f>
        <v>13250684.156400001</v>
      </c>
      <c r="M59" s="71">
        <f t="shared" ref="M59:M63" si="61">K59+L59</f>
        <v>15225366.156400001</v>
      </c>
      <c r="O59" s="71">
        <f t="shared" ref="O59:O63" si="62">I59</f>
        <v>15225366.156399999</v>
      </c>
      <c r="P59" s="71">
        <f t="shared" ref="P59:P63" si="63">M59</f>
        <v>15225366.156400001</v>
      </c>
      <c r="Q59" s="234">
        <f t="shared" ref="Q59:Q63" si="64">O59-P59</f>
        <v>0</v>
      </c>
      <c r="R59" s="125"/>
    </row>
    <row r="60" spans="1:18" ht="15" customHeight="1" x14ac:dyDescent="0.25">
      <c r="A60" s="14" t="str">
        <f>'Matriz de Produccion'!A61</f>
        <v>0X02</v>
      </c>
      <c r="B60" s="6" t="str">
        <f>VLOOKUP(A60,'Analisis por Categorias'!B:C,2,FALSE)</f>
        <v xml:space="preserve">Mecánica </v>
      </c>
      <c r="D60" s="3">
        <f>SUMIF(CATEGORIAS[[#All],[SUBGRUPO]],A60,CATEGORIAS[[#All],[PRESUPUESTO
(ORIGINAL)]])</f>
        <v>0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0</v>
      </c>
      <c r="G60" s="71">
        <f>+SUMIF(CATEGORIAS[[#All],[SUBGRUPO]],A60,CATEGORIAS[[#All],[PRODUCCION
PARTIDAS
ORIGINALES
ACTUAL]])
+SUMIF(CATEGORIAS[[#All],[SUBGRUPO]],A60,CATEGORIAS[[#All],[PRODUCCION
ADICIONALES
ACTUAL]])</f>
        <v>0</v>
      </c>
      <c r="H60" s="71">
        <f>+SUMIF(CATEGORIAS[[#All],[SUBGRUPO]],A60,CATEGORIAS[[#All],[PROYECCION
DE INGRESO
DEL SALDO]])</f>
        <v>0</v>
      </c>
      <c r="I60" s="71">
        <f t="shared" si="60"/>
        <v>0</v>
      </c>
      <c r="K60" s="71">
        <f>+SUMIF(CATEGORIAS[[#All],[SUBGRUPO]],A60,CATEGORIAS[[#All],[COSTO
ACUMULADO  AX]])
+SUMIF(CATEGORIAS[[#All],[SUBGRUPO]],A60,CATEGORIAS[[#All],[CAMBIO DE
CATEGORIA]])
+SUMIF(CATEGORIAS[[#All],[SUBGRUPO]],A60,CATEGORIAS[[#All],[PROVISIONES]])</f>
        <v>0</v>
      </c>
      <c r="L60" s="71">
        <f>+SUMIF(CATEGORIAS[[#All],[SUBGRUPO]],A60,CATEGORIAS[[#All],[PROYECCION
TOTAL DE COSTO]])</f>
        <v>0</v>
      </c>
      <c r="M60" s="71">
        <f t="shared" si="61"/>
        <v>0</v>
      </c>
      <c r="O60" s="71">
        <f t="shared" si="62"/>
        <v>0</v>
      </c>
      <c r="P60" s="71">
        <f t="shared" si="63"/>
        <v>0</v>
      </c>
      <c r="Q60" s="234">
        <f t="shared" si="64"/>
        <v>0</v>
      </c>
      <c r="R60" s="125"/>
    </row>
    <row r="61" spans="1:18" x14ac:dyDescent="0.25">
      <c r="A61" s="14" t="str">
        <f>'Matriz de Produccion'!A62</f>
        <v>0X03</v>
      </c>
      <c r="B61" s="6" t="str">
        <f>VLOOKUP(A61,'Analisis por Categorias'!B:C,2,FALSE)</f>
        <v xml:space="preserve">Cañería </v>
      </c>
      <c r="D61" s="3">
        <f>SUMIF(CATEGORIAS[[#All],[SUBGRUPO]],A61,CATEGORIAS[[#All],[PRESUPUESTO
(ORIGINAL)]])</f>
        <v>67096254.284500003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68266206.709353596</v>
      </c>
      <c r="G61" s="71">
        <f>+SUMIF(CATEGORIAS[[#All],[SUBGRUPO]],A61,CATEGORIAS[[#All],[PRODUCCION
PARTIDAS
ORIGINALES
ACTUAL]])
+SUMIF(CATEGORIAS[[#All],[SUBGRUPO]],A61,CATEGORIAS[[#All],[PRODUCCION
ADICIONALES
ACTUAL]])</f>
        <v>32879844.710853584</v>
      </c>
      <c r="H61" s="71">
        <f>+SUMIF(CATEGORIAS[[#All],[SUBGRUPO]],A61,CATEGORIAS[[#All],[PROYECCION
DE INGRESO
DEL SALDO]])</f>
        <v>35386361.998500004</v>
      </c>
      <c r="I61" s="71">
        <f t="shared" si="60"/>
        <v>68266206.709353596</v>
      </c>
      <c r="K61" s="71">
        <f>+SUMIF(CATEGORIAS[[#All],[SUBGRUPO]],A61,CATEGORIAS[[#All],[COSTO
ACUMULADO  AX]])
+SUMIF(CATEGORIAS[[#All],[SUBGRUPO]],A61,CATEGORIAS[[#All],[CAMBIO DE
CATEGORIA]])
+SUMIF(CATEGORIAS[[#All],[SUBGRUPO]],A61,CATEGORIAS[[#All],[PROVISIONES]])</f>
        <v>45694800</v>
      </c>
      <c r="L61" s="71">
        <f>+SUMIF(CATEGORIAS[[#All],[SUBGRUPO]],A61,CATEGORIAS[[#All],[PROYECCION
TOTAL DE COSTO]])</f>
        <v>22571406.709353589</v>
      </c>
      <c r="M61" s="71">
        <f t="shared" si="61"/>
        <v>68266206.709353596</v>
      </c>
      <c r="O61" s="71">
        <f t="shared" si="62"/>
        <v>68266206.709353596</v>
      </c>
      <c r="P61" s="71">
        <f t="shared" si="63"/>
        <v>68266206.709353596</v>
      </c>
      <c r="Q61" s="234">
        <f t="shared" si="64"/>
        <v>0</v>
      </c>
      <c r="R61" s="125"/>
    </row>
    <row r="62" spans="1:18" ht="15" customHeight="1" x14ac:dyDescent="0.25">
      <c r="A62" s="14" t="str">
        <f>'Matriz de Produccion'!A63</f>
        <v>0X04</v>
      </c>
      <c r="B62" s="6" t="str">
        <f>VLOOKUP(A62,'Analisis por Categorias'!B:C,2,FALSE)</f>
        <v xml:space="preserve">Estructura </v>
      </c>
      <c r="D62" s="3">
        <f>SUMIF(CATEGORIAS[[#All],[SUBGRUPO]],A62,CATEGORIAS[[#All],[PRESUPUESTO
(ORIGINAL)]])</f>
        <v>0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0</v>
      </c>
      <c r="G62" s="71">
        <f>+SUMIF(CATEGORIAS[[#All],[SUBGRUPO]],A62,CATEGORIAS[[#All],[PRODUCCION
PARTIDAS
ORIGINALES
ACTUAL]])
+SUMIF(CATEGORIAS[[#All],[SUBGRUPO]],A62,CATEGORIAS[[#All],[PRODUCCION
ADICIONALES
ACTUAL]])</f>
        <v>0</v>
      </c>
      <c r="H62" s="71">
        <f>+SUMIF(CATEGORIAS[[#All],[SUBGRUPO]],A62,CATEGORIAS[[#All],[PROYECCION
DE INGRESO
DEL SALDO]])</f>
        <v>0</v>
      </c>
      <c r="I62" s="71">
        <f t="shared" si="60"/>
        <v>0</v>
      </c>
      <c r="K62" s="71">
        <f>+SUMIF(CATEGORIAS[[#All],[SUBGRUPO]],A62,CATEGORIAS[[#All],[COSTO
ACUMULADO  AX]])
+SUMIF(CATEGORIAS[[#All],[SUBGRUPO]],A62,CATEGORIAS[[#All],[CAMBIO DE
CATEGORIA]])
+SUMIF(CATEGORIAS[[#All],[SUBGRUPO]],A62,CATEGORIAS[[#All],[PROVISIONES]])</f>
        <v>0</v>
      </c>
      <c r="L62" s="71">
        <f>+SUMIF(CATEGORIAS[[#All],[SUBGRUPO]],A62,CATEGORIAS[[#All],[PROYECCION
TOTAL DE COSTO]])</f>
        <v>0</v>
      </c>
      <c r="M62" s="71">
        <f t="shared" si="61"/>
        <v>0</v>
      </c>
      <c r="O62" s="71">
        <f t="shared" si="62"/>
        <v>0</v>
      </c>
      <c r="P62" s="71">
        <f t="shared" si="63"/>
        <v>0</v>
      </c>
      <c r="Q62" s="234">
        <f t="shared" si="64"/>
        <v>0</v>
      </c>
      <c r="R62" s="125"/>
    </row>
    <row r="63" spans="1:18" x14ac:dyDescent="0.25">
      <c r="A63" s="14" t="str">
        <f>'Matriz de Produccion'!A64</f>
        <v>0X05</v>
      </c>
      <c r="B63" s="6" t="str">
        <f>VLOOKUP(A63,'Analisis por Categorias'!B:C,2,FALSE)</f>
        <v xml:space="preserve">Aislación </v>
      </c>
      <c r="D63" s="3">
        <f>SUMIF(CATEGORIAS[[#All],[SUBGRUPO]],A63,CATEGORIAS[[#All],[PRESUPUESTO
(ORIGINAL)]])</f>
        <v>0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0</v>
      </c>
      <c r="G63" s="71">
        <f>+SUMIF(CATEGORIAS[[#All],[SUBGRUPO]],A63,CATEGORIAS[[#All],[PRODUCCION
PARTIDAS
ORIGINALES
ACTUAL]])
+SUMIF(CATEGORIAS[[#All],[SUBGRUPO]],A63,CATEGORIAS[[#All],[PRODUCCION
ADICIONALES
ACTUAL]])</f>
        <v>0</v>
      </c>
      <c r="H63" s="71">
        <f>+SUMIF(CATEGORIAS[[#All],[SUBGRUPO]],A63,CATEGORIAS[[#All],[PROYECCION
DE INGRESO
DEL SALDO]])</f>
        <v>0</v>
      </c>
      <c r="I63" s="71">
        <f t="shared" si="60"/>
        <v>0</v>
      </c>
      <c r="K63" s="71">
        <f>+SUMIF(CATEGORIAS[[#All],[SUBGRUPO]],A63,CATEGORIAS[[#All],[COSTO
ACUMULADO  AX]])
+SUMIF(CATEGORIAS[[#All],[SUBGRUPO]],A63,CATEGORIAS[[#All],[CAMBIO DE
CATEGORIA]])
+SUMIF(CATEGORIAS[[#All],[SUBGRUPO]],A63,CATEGORIAS[[#All],[PROVISIONES]])</f>
        <v>0</v>
      </c>
      <c r="L63" s="71">
        <f>+SUMIF(CATEGORIAS[[#All],[SUBGRUPO]],A63,CATEGORIAS[[#All],[PROYECCION
TOTAL DE COSTO]])</f>
        <v>0</v>
      </c>
      <c r="M63" s="71">
        <f t="shared" si="61"/>
        <v>0</v>
      </c>
      <c r="O63" s="71">
        <f t="shared" si="62"/>
        <v>0</v>
      </c>
      <c r="P63" s="71">
        <f t="shared" si="63"/>
        <v>0</v>
      </c>
      <c r="Q63" s="234">
        <f t="shared" si="64"/>
        <v>0</v>
      </c>
      <c r="R63" s="125"/>
    </row>
    <row r="64" spans="1:18" x14ac:dyDescent="0.25">
      <c r="A64" s="14" t="str">
        <f>'Matriz de Produccion'!A65</f>
        <v>0X06</v>
      </c>
      <c r="B64" s="6" t="str">
        <f>VLOOKUP(A64,'Analisis por Categorias'!B:C,2,FALSE)</f>
        <v>Electricidad &amp; Instrumentación</v>
      </c>
      <c r="D64" s="3">
        <f>SUMIF(CATEGORIAS[[#All],[SUBGRUPO]],A64,CATEGORIAS[[#All],[PRESUPUESTO
(ORIGINAL)]])</f>
        <v>15451230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15451230</v>
      </c>
      <c r="G64" s="71">
        <f>+SUMIF(CATEGORIAS[[#All],[SUBGRUPO]],A64,CATEGORIAS[[#All],[PRODUCCION
PARTIDAS
ORIGINALES
ACTUAL]])
+SUMIF(CATEGORIAS[[#All],[SUBGRUPO]],A64,CATEGORIAS[[#All],[PRODUCCION
ADICIONALES
ACTUAL]])</f>
        <v>392920</v>
      </c>
      <c r="H64" s="71">
        <f>+SUMIF(CATEGORIAS[[#All],[SUBGRUPO]],A64,CATEGORIAS[[#All],[PROYECCION
DE INGRESO
DEL SALDO]])</f>
        <v>15058310</v>
      </c>
      <c r="I64" s="71">
        <f t="shared" ref="I64:I69" si="65">G64+H64</f>
        <v>15451230</v>
      </c>
      <c r="K64" s="71">
        <f>+SUMIF(CATEGORIAS[[#All],[SUBGRUPO]],A64,CATEGORIAS[[#All],[COSTO
ACUMULADO  AX]])
+SUMIF(CATEGORIAS[[#All],[SUBGRUPO]],A64,CATEGORIAS[[#All],[CAMBIO DE
CATEGORIA]])
+SUMIF(CATEGORIAS[[#All],[SUBGRUPO]],A64,CATEGORIAS[[#All],[PROVISIONES]])</f>
        <v>0</v>
      </c>
      <c r="L64" s="71">
        <f>+SUMIF(CATEGORIAS[[#All],[SUBGRUPO]],A64,CATEGORIAS[[#All],[PROYECCION
TOTAL DE COSTO]])</f>
        <v>15451230</v>
      </c>
      <c r="M64" s="71">
        <f t="shared" ref="M64:M69" si="66">K64+L64</f>
        <v>15451230</v>
      </c>
      <c r="O64" s="71">
        <f t="shared" ref="O64:O69" si="67">I64</f>
        <v>15451230</v>
      </c>
      <c r="P64" s="71">
        <f t="shared" ref="P64:P69" si="68">M64</f>
        <v>15451230</v>
      </c>
      <c r="Q64" s="234">
        <f t="shared" ref="Q64:Q69" si="69">O64-P64</f>
        <v>0</v>
      </c>
      <c r="R64" s="125"/>
    </row>
    <row r="65" spans="1:18" x14ac:dyDescent="0.25">
      <c r="A65" s="14" t="str">
        <f>'Matriz de Produccion'!A66</f>
        <v>0X07</v>
      </c>
      <c r="B65" s="6" t="str">
        <f>VLOOKUP(A65,'Analisis por Categorias'!B:C,2,FALSE)</f>
        <v xml:space="preserve">Caldera </v>
      </c>
      <c r="D65" s="3">
        <f>SUMIF(CATEGORIAS[[#All],[SUBGRUPO]],A65,CATEGORIAS[[#All],[PRESUPUESTO
(ORIGINAL)]])</f>
        <v>0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0</v>
      </c>
      <c r="G65" s="71">
        <f>+SUMIF(CATEGORIAS[[#All],[SUBGRUPO]],A65,CATEGORIAS[[#All],[PRODUCCION
PARTIDAS
ORIGINALES
ACTUAL]])
+SUMIF(CATEGORIAS[[#All],[SUBGRUPO]],A65,CATEGORIAS[[#All],[PRODUCCION
ADICIONALES
ACTUAL]])</f>
        <v>0</v>
      </c>
      <c r="H65" s="71">
        <f>+SUMIF(CATEGORIAS[[#All],[SUBGRUPO]],A65,CATEGORIAS[[#All],[PROYECCION
DE INGRESO
DEL SALDO]])</f>
        <v>0</v>
      </c>
      <c r="I65" s="71">
        <f t="shared" si="65"/>
        <v>0</v>
      </c>
      <c r="K65" s="71">
        <f>+SUMIF(CATEGORIAS[[#All],[SUBGRUPO]],A65,CATEGORIAS[[#All],[COSTO
ACUMULADO  AX]])
+SUMIF(CATEGORIAS[[#All],[SUBGRUPO]],A65,CATEGORIAS[[#All],[CAMBIO DE
CATEGORIA]])
+SUMIF(CATEGORIAS[[#All],[SUBGRUPO]],A65,CATEGORIAS[[#All],[PROVISIONES]])</f>
        <v>0</v>
      </c>
      <c r="L65" s="71">
        <f>+SUMIF(CATEGORIAS[[#All],[SUBGRUPO]],A65,CATEGORIAS[[#All],[PROYECCION
TOTAL DE COSTO]])</f>
        <v>0</v>
      </c>
      <c r="M65" s="71">
        <f t="shared" si="66"/>
        <v>0</v>
      </c>
      <c r="O65" s="71">
        <f t="shared" si="67"/>
        <v>0</v>
      </c>
      <c r="P65" s="71">
        <f t="shared" si="68"/>
        <v>0</v>
      </c>
      <c r="Q65" s="234">
        <f t="shared" si="69"/>
        <v>0</v>
      </c>
      <c r="R65" s="125"/>
    </row>
    <row r="66" spans="1:18" x14ac:dyDescent="0.25">
      <c r="A66" s="14" t="str">
        <f>'Matriz de Produccion'!A67</f>
        <v>0X08</v>
      </c>
      <c r="B66" s="6" t="str">
        <f>VLOOKUP(A66,'Analisis por Categorias'!B:C,2,FALSE)</f>
        <v xml:space="preserve">Ductos </v>
      </c>
      <c r="D66" s="3">
        <f>SUMIF(CATEGORIAS[[#All],[SUBGRUPO]],A66,CATEGORIAS[[#All],[PRESUPUESTO
(ORIGINAL)]])</f>
        <v>0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0</v>
      </c>
      <c r="G66" s="71">
        <f>+SUMIF(CATEGORIAS[[#All],[SUBGRUPO]],A66,CATEGORIAS[[#All],[PRODUCCION
PARTIDAS
ORIGINALES
ACTUAL]])
+SUMIF(CATEGORIAS[[#All],[SUBGRUPO]],A66,CATEGORIAS[[#All],[PRODUCCION
ADICIONALES
ACTUAL]])</f>
        <v>0</v>
      </c>
      <c r="H66" s="71">
        <f>+SUMIF(CATEGORIAS[[#All],[SUBGRUPO]],A66,CATEGORIAS[[#All],[PROYECCION
DE INGRESO
DEL SALDO]])</f>
        <v>0</v>
      </c>
      <c r="I66" s="71">
        <f t="shared" si="65"/>
        <v>0</v>
      </c>
      <c r="K66" s="71">
        <f>+SUMIF(CATEGORIAS[[#All],[SUBGRUPO]],A66,CATEGORIAS[[#All],[COSTO
ACUMULADO  AX]])
+SUMIF(CATEGORIAS[[#All],[SUBGRUPO]],A66,CATEGORIAS[[#All],[CAMBIO DE
CATEGORIA]])
+SUMIF(CATEGORIAS[[#All],[SUBGRUPO]],A66,CATEGORIAS[[#All],[PROVISIONES]])</f>
        <v>0</v>
      </c>
      <c r="L66" s="71">
        <f>+SUMIF(CATEGORIAS[[#All],[SUBGRUPO]],A66,CATEGORIAS[[#All],[PROYECCION
TOTAL DE COSTO]])</f>
        <v>0</v>
      </c>
      <c r="M66" s="71">
        <f t="shared" si="66"/>
        <v>0</v>
      </c>
      <c r="O66" s="71">
        <f t="shared" si="67"/>
        <v>0</v>
      </c>
      <c r="P66" s="71">
        <f t="shared" si="68"/>
        <v>0</v>
      </c>
      <c r="Q66" s="234">
        <f t="shared" si="69"/>
        <v>0</v>
      </c>
      <c r="R66" s="125"/>
    </row>
    <row r="67" spans="1:18" x14ac:dyDescent="0.25">
      <c r="A67" s="14" t="str">
        <f>'Matriz de Produccion'!A68</f>
        <v>0X09</v>
      </c>
      <c r="B67" s="6" t="str">
        <f>VLOOKUP(A67,'Analisis por Categorias'!B:C,2,FALSE)</f>
        <v xml:space="preserve">Estanque </v>
      </c>
      <c r="D67" s="3">
        <f>SUMIF(CATEGORIAS[[#All],[SUBGRUPO]],A67,CATEGORIAS[[#All],[PRESUPUESTO
(ORIGINAL)]])</f>
        <v>0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0</v>
      </c>
      <c r="G67" s="71">
        <f>+SUMIF(CATEGORIAS[[#All],[SUBGRUPO]],A67,CATEGORIAS[[#All],[PRODUCCION
PARTIDAS
ORIGINALES
ACTUAL]])
+SUMIF(CATEGORIAS[[#All],[SUBGRUPO]],A67,CATEGORIAS[[#All],[PRODUCCION
ADICIONALES
ACTUAL]])</f>
        <v>0</v>
      </c>
      <c r="H67" s="71">
        <f>+SUMIF(CATEGORIAS[[#All],[SUBGRUPO]],A67,CATEGORIAS[[#All],[PROYECCION
DE INGRESO
DEL SALDO]])</f>
        <v>0</v>
      </c>
      <c r="I67" s="71">
        <f t="shared" si="65"/>
        <v>0</v>
      </c>
      <c r="K67" s="71">
        <f>+SUMIF(CATEGORIAS[[#All],[SUBGRUPO]],A67,CATEGORIAS[[#All],[COSTO
ACUMULADO  AX]])
+SUMIF(CATEGORIAS[[#All],[SUBGRUPO]],A67,CATEGORIAS[[#All],[CAMBIO DE
CATEGORIA]])
+SUMIF(CATEGORIAS[[#All],[SUBGRUPO]],A67,CATEGORIAS[[#All],[PROVISIONES]])</f>
        <v>0</v>
      </c>
      <c r="L67" s="71">
        <f>+SUMIF(CATEGORIAS[[#All],[SUBGRUPO]],A67,CATEGORIAS[[#All],[PROYECCION
TOTAL DE COSTO]])</f>
        <v>0</v>
      </c>
      <c r="M67" s="71">
        <f t="shared" si="66"/>
        <v>0</v>
      </c>
      <c r="O67" s="71">
        <f t="shared" si="67"/>
        <v>0</v>
      </c>
      <c r="P67" s="71">
        <f t="shared" si="68"/>
        <v>0</v>
      </c>
      <c r="Q67" s="234">
        <f t="shared" si="69"/>
        <v>0</v>
      </c>
      <c r="R67" s="125"/>
    </row>
    <row r="68" spans="1:18" x14ac:dyDescent="0.25">
      <c r="A68" s="14" t="str">
        <f>'Matriz de Produccion'!A69</f>
        <v>0X10</v>
      </c>
      <c r="B68" s="6" t="str">
        <f>VLOOKUP(A68,'Analisis por Categorias'!B:C,2,FALSE)</f>
        <v xml:space="preserve">Ingeniería </v>
      </c>
      <c r="D68" s="3">
        <f>SUMIF(CATEGORIAS[[#All],[SUBGRUPO]],A68,CATEGORIAS[[#All],[PRESUPUESTO
(ORIGINAL)]])</f>
        <v>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0</v>
      </c>
      <c r="G68" s="71">
        <f>+SUMIF(CATEGORIAS[[#All],[SUBGRUPO]],A68,CATEGORIAS[[#All],[PRODUCCION
PARTIDAS
ORIGINALES
ACTUAL]])
+SUMIF(CATEGORIAS[[#All],[SUBGRUPO]],A68,CATEGORIAS[[#All],[PRODUCCION
ADICIONALES
ACTUAL]])</f>
        <v>0</v>
      </c>
      <c r="H68" s="71">
        <f>+SUMIF(CATEGORIAS[[#All],[SUBGRUPO]],A68,CATEGORIAS[[#All],[PROYECCION
DE INGRESO
DEL SALDO]])</f>
        <v>0</v>
      </c>
      <c r="I68" s="71">
        <f t="shared" si="65"/>
        <v>0</v>
      </c>
      <c r="K68" s="71">
        <f>+SUMIF(CATEGORIAS[[#All],[SUBGRUPO]],A68,CATEGORIAS[[#All],[COSTO
ACUMULADO  AX]])
+SUMIF(CATEGORIAS[[#All],[SUBGRUPO]],A68,CATEGORIAS[[#All],[CAMBIO DE
CATEGORIA]])
+SUMIF(CATEGORIAS[[#All],[SUBGRUPO]],A68,CATEGORIAS[[#All],[PROVISIONES]])</f>
        <v>0</v>
      </c>
      <c r="L68" s="71">
        <f>+SUMIF(CATEGORIAS[[#All],[SUBGRUPO]],A68,CATEGORIAS[[#All],[PROYECCION
TOTAL DE COSTO]])</f>
        <v>0</v>
      </c>
      <c r="M68" s="71">
        <f t="shared" si="66"/>
        <v>0</v>
      </c>
      <c r="O68" s="71">
        <f t="shared" si="67"/>
        <v>0</v>
      </c>
      <c r="P68" s="71">
        <f t="shared" si="68"/>
        <v>0</v>
      </c>
      <c r="Q68" s="234">
        <f t="shared" si="69"/>
        <v>0</v>
      </c>
      <c r="R68" s="125"/>
    </row>
    <row r="69" spans="1:18" x14ac:dyDescent="0.25">
      <c r="A69" s="14" t="str">
        <f>'Matriz de Produccion'!A70</f>
        <v>0X11</v>
      </c>
      <c r="B69" s="6" t="str">
        <f>VLOOKUP(A69,'Analisis por Categorias'!B:C,2,FALSE)</f>
        <v xml:space="preserve">Otras especialidades </v>
      </c>
      <c r="D69" s="3">
        <f>SUMIF(CATEGORIAS[[#All],[SUBGRUPO]],A69,CATEGORIAS[[#All],[PRESUPUESTO
(ORIGINAL)]])</f>
        <v>6272000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6272000</v>
      </c>
      <c r="G69" s="71">
        <f>+SUMIF(CATEGORIAS[[#All],[SUBGRUPO]],A69,CATEGORIAS[[#All],[PRODUCCION
PARTIDAS
ORIGINALES
ACTUAL]])
+SUMIF(CATEGORIAS[[#All],[SUBGRUPO]],A69,CATEGORIAS[[#All],[PRODUCCION
ADICIONALES
ACTUAL]])</f>
        <v>0</v>
      </c>
      <c r="H69" s="71">
        <f>+SUMIF(CATEGORIAS[[#All],[SUBGRUPO]],A69,CATEGORIAS[[#All],[PROYECCION
DE INGRESO
DEL SALDO]])</f>
        <v>6272000</v>
      </c>
      <c r="I69" s="71">
        <f t="shared" si="65"/>
        <v>6272000</v>
      </c>
      <c r="K69" s="71">
        <f>+SUMIF(CATEGORIAS[[#All],[SUBGRUPO]],A69,CATEGORIAS[[#All],[COSTO
ACUMULADO  AX]])
+SUMIF(CATEGORIAS[[#All],[SUBGRUPO]],A69,CATEGORIAS[[#All],[CAMBIO DE
CATEGORIA]])
+SUMIF(CATEGORIAS[[#All],[SUBGRUPO]],A69,CATEGORIAS[[#All],[PROVISIONES]])</f>
        <v>0</v>
      </c>
      <c r="L69" s="71">
        <f>+SUMIF(CATEGORIAS[[#All],[SUBGRUPO]],A69,CATEGORIAS[[#All],[PROYECCION
TOTAL DE COSTO]])</f>
        <v>6272000</v>
      </c>
      <c r="M69" s="71">
        <f t="shared" si="66"/>
        <v>6272000</v>
      </c>
      <c r="O69" s="71">
        <f t="shared" si="67"/>
        <v>6272000</v>
      </c>
      <c r="P69" s="71">
        <f t="shared" si="68"/>
        <v>6272000</v>
      </c>
      <c r="Q69" s="234">
        <f t="shared" si="69"/>
        <v>0</v>
      </c>
      <c r="R69" s="125"/>
    </row>
    <row r="70" spans="1:18" ht="8.25" customHeight="1" x14ac:dyDescent="0.25">
      <c r="Q70" s="233"/>
      <c r="R70" s="125"/>
    </row>
    <row r="71" spans="1:18" ht="15" customHeight="1" x14ac:dyDescent="0.25">
      <c r="B71" s="8" t="str">
        <f>'Matriz de Produccion'!B72:B72</f>
        <v>COSTOS INDIRECTOS</v>
      </c>
      <c r="D71" s="1">
        <f>SUM(D135:D140)</f>
        <v>2308544040.0047116</v>
      </c>
      <c r="E71" s="1">
        <f>SUM(E135:E140)</f>
        <v>2350012609.7031851</v>
      </c>
      <c r="G71" s="12">
        <f t="shared" ref="G71:Q71" si="70">SUM(G135:G140)</f>
        <v>1103628909.6672738</v>
      </c>
      <c r="H71" s="12">
        <f t="shared" si="70"/>
        <v>1246383700.0359111</v>
      </c>
      <c r="I71" s="12">
        <f t="shared" si="70"/>
        <v>2350012609.7031851</v>
      </c>
      <c r="K71" s="11">
        <f t="shared" si="70"/>
        <v>1022329381.6939356</v>
      </c>
      <c r="L71" s="11">
        <f t="shared" si="70"/>
        <v>1327683228.0092497</v>
      </c>
      <c r="M71" s="11">
        <f t="shared" si="70"/>
        <v>2350012609.7031851</v>
      </c>
      <c r="O71" s="12">
        <f t="shared" si="70"/>
        <v>2350012609.7031851</v>
      </c>
      <c r="P71" s="11">
        <f t="shared" si="70"/>
        <v>2350012609.7031851</v>
      </c>
      <c r="Q71" s="232">
        <f t="shared" si="70"/>
        <v>0</v>
      </c>
      <c r="R71" s="125"/>
    </row>
    <row r="72" spans="1:18" ht="8.25" customHeight="1" x14ac:dyDescent="0.25">
      <c r="Q72" s="233"/>
      <c r="R72" s="125"/>
    </row>
    <row r="73" spans="1:18" ht="15" customHeight="1" x14ac:dyDescent="0.25">
      <c r="A73" s="14" t="str">
        <f>'Matriz de Produccion'!A74</f>
        <v>1F00</v>
      </c>
      <c r="B73" s="81" t="str">
        <f>'Matriz de Produccion'!B74:B74</f>
        <v>F - MANO DE OBRA INDIRECTA</v>
      </c>
      <c r="D73" s="82">
        <f>SUM(D74:D86)</f>
        <v>1205789659.0351105</v>
      </c>
      <c r="E73" s="82">
        <f>SUM(E74:E86)</f>
        <v>1244763716.5351105</v>
      </c>
      <c r="G73" s="83">
        <f>SUM(G74:G84)</f>
        <v>563141946.3894043</v>
      </c>
      <c r="H73" s="83">
        <f>SUM(H74:H86)</f>
        <v>681621770.14570606</v>
      </c>
      <c r="I73" s="83">
        <f>SUM(I74:I86)</f>
        <v>1244763716.5351105</v>
      </c>
      <c r="K73" s="84">
        <f>SUM(K74:K84)</f>
        <v>579397072.76036048</v>
      </c>
      <c r="L73" s="84">
        <f>SUM(L74:L84)</f>
        <v>665366643.77474999</v>
      </c>
      <c r="M73" s="84">
        <f>SUM(M74:M84)</f>
        <v>1244763716.5351105</v>
      </c>
      <c r="O73" s="12">
        <f>SUM(O74:O86)</f>
        <v>1244763716.5351105</v>
      </c>
      <c r="P73" s="11">
        <f>SUM(P74:P86)</f>
        <v>1244763716.5351105</v>
      </c>
      <c r="Q73" s="232">
        <f>SUM(Q74:Q86)</f>
        <v>0</v>
      </c>
      <c r="R73" s="125"/>
    </row>
    <row r="74" spans="1:18" ht="15" customHeight="1" x14ac:dyDescent="0.25">
      <c r="A74" s="14" t="str">
        <f>'Matriz de Produccion'!A75</f>
        <v>1F01</v>
      </c>
      <c r="B74" s="6" t="str">
        <f>VLOOKUP(A74,'Analisis por Categorias'!B:C,2,FALSE)</f>
        <v xml:space="preserve">Staff Superior </v>
      </c>
      <c r="D74" s="3">
        <f>SUMIF(CATEGORIAS[[#All],[SUBGRUPO]],A74,CATEGORIAS[[#All],[PRESUPUESTO
(ORIGINAL)]])</f>
        <v>344918851.26215672</v>
      </c>
      <c r="E74" s="3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350303135.76215672</v>
      </c>
      <c r="G74" s="71">
        <f>+SUMIF(CATEGORIAS[[#All],[SUBGRUPO]],A74,CATEGORIAS[[#All],[PRODUCCION
PARTIDAS
ORIGINALES
ACTUAL]])
+SUMIF(CATEGORIAS[[#All],[SUBGRUPO]],A74,CATEGORIAS[[#All],[PRODUCCION
ADICIONALES
ACTUAL]])</f>
        <v>161088023.76162407</v>
      </c>
      <c r="H74" s="71">
        <f>+SUMIF(CATEGORIAS[[#All],[SUBGRUPO]],A74,CATEGORIAS[[#All],[PROYECCION
DE INGRESO
DEL SALDO]])</f>
        <v>189215112.00053266</v>
      </c>
      <c r="I74" s="71">
        <f>G74+H74</f>
        <v>350303135.76215672</v>
      </c>
      <c r="K74" s="71">
        <f>+SUMIF(CATEGORIAS[[#All],[SUBGRUPO]],A74,CATEGORIAS[[#All],[COSTO
ACUMULADO  AX]])
+SUMIF(CATEGORIAS[[#All],[SUBGRUPO]],A74,CATEGORIAS[[#All],[CAMBIO DE
CATEGORIA]])
+SUMIF(CATEGORIAS[[#All],[SUBGRUPO]],A74,CATEGORIAS[[#All],[PROVISIONES]])</f>
        <v>139217893.74135956</v>
      </c>
      <c r="L74" s="71">
        <f>+SUMIF(CATEGORIAS[[#All],[SUBGRUPO]],A74,CATEGORIAS[[#All],[PROYECCION
TOTAL DE COSTO]])</f>
        <v>211085242.02079716</v>
      </c>
      <c r="M74" s="71">
        <f>K74+L74</f>
        <v>350303135.76215672</v>
      </c>
      <c r="O74" s="71">
        <f>I74</f>
        <v>350303135.76215672</v>
      </c>
      <c r="P74" s="71">
        <f>M74</f>
        <v>350303135.76215672</v>
      </c>
      <c r="Q74" s="234">
        <f>O74-P74</f>
        <v>0</v>
      </c>
      <c r="R74" s="125"/>
    </row>
    <row r="75" spans="1:18" ht="15" customHeight="1" x14ac:dyDescent="0.25">
      <c r="A75" s="14" t="str">
        <f>'Matriz de Produccion'!A76</f>
        <v>1F02</v>
      </c>
      <c r="B75" s="6" t="str">
        <f>VLOOKUP(A75,'Analisis por Categorias'!B:C,2,FALSE)</f>
        <v xml:space="preserve">Oficina Técnica </v>
      </c>
      <c r="D75" s="3">
        <f>SUMIF(CATEGORIAS[[#All],[SUBGRUPO]],A75,CATEGORIAS[[#All],[PRESUPUESTO
(ORIGINAL)]])</f>
        <v>175799841.54363027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181184126.04363027</v>
      </c>
      <c r="G75" s="71">
        <f>+SUMIF(CATEGORIAS[[#All],[SUBGRUPO]],A75,CATEGORIAS[[#All],[PRODUCCION
PARTIDAS
ORIGINALES
ACTUAL]])
+SUMIF(CATEGORIAS[[#All],[SUBGRUPO]],A75,CATEGORIAS[[#All],[PRODUCCION
ADICIONALES
ACTUAL]])</f>
        <v>82104091.870426401</v>
      </c>
      <c r="H75" s="71">
        <f>+SUMIF(CATEGORIAS[[#All],[SUBGRUPO]],A75,CATEGORIAS[[#All],[PROYECCION
DE INGRESO
DEL SALDO]])</f>
        <v>99080034.173203871</v>
      </c>
      <c r="I75" s="71">
        <f>G75+H75</f>
        <v>181184126.04363027</v>
      </c>
      <c r="K75" s="71">
        <f>+SUMIF(CATEGORIAS[[#All],[SUBGRUPO]],A75,CATEGORIAS[[#All],[COSTO
ACUMULADO  AX]])
+SUMIF(CATEGORIAS[[#All],[SUBGRUPO]],A75,CATEGORIAS[[#All],[CAMBIO DE
CATEGORIA]])
+SUMIF(CATEGORIAS[[#All],[SUBGRUPO]],A75,CATEGORIAS[[#All],[PROVISIONES]])</f>
        <v>92671896.447010651</v>
      </c>
      <c r="L75" s="71">
        <f>+SUMIF(CATEGORIAS[[#All],[SUBGRUPO]],A75,CATEGORIAS[[#All],[PROYECCION
TOTAL DE COSTO]])</f>
        <v>88512229.596619621</v>
      </c>
      <c r="M75" s="85">
        <f>K75+L75</f>
        <v>181184126.04363027</v>
      </c>
      <c r="O75" s="85">
        <f>I75</f>
        <v>181184126.04363027</v>
      </c>
      <c r="P75" s="85">
        <f>M75</f>
        <v>181184126.04363027</v>
      </c>
      <c r="Q75" s="235">
        <f>O75-P75</f>
        <v>0</v>
      </c>
      <c r="R75" s="125"/>
    </row>
    <row r="76" spans="1:18" ht="15" customHeight="1" x14ac:dyDescent="0.25">
      <c r="A76" s="14" t="str">
        <f>'Matriz de Produccion'!A77</f>
        <v>1F03</v>
      </c>
      <c r="B76" s="6" t="str">
        <f>VLOOKUP(A76,'Analisis por Categorias'!B:C,2,FALSE)</f>
        <v xml:space="preserve">Supervisión </v>
      </c>
      <c r="D76" s="3">
        <f>SUMIF(CATEGORIAS[[#All],[SUBGRUPO]],A76,CATEGORIAS[[#All],[PRESUPUESTO
(ORIGINAL)]])</f>
        <v>101081023.761336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107107341.261336</v>
      </c>
      <c r="G76" s="71">
        <f>+SUMIF(CATEGORIAS[[#All],[SUBGRUPO]],A76,CATEGORIAS[[#All],[PRODUCCION
PARTIDAS
ORIGINALES
ACTUAL]])
+SUMIF(CATEGORIAS[[#All],[SUBGRUPO]],A76,CATEGORIAS[[#All],[PRODUCCION
ADICIONALES
ACTUAL]])</f>
        <v>47208038.348531649</v>
      </c>
      <c r="H76" s="71">
        <f>+SUMIF(CATEGORIAS[[#All],[SUBGRUPO]],A76,CATEGORIAS[[#All],[PROYECCION
DE INGRESO
DEL SALDO]])</f>
        <v>59899302.91280435</v>
      </c>
      <c r="I76" s="71">
        <f>G76+H76</f>
        <v>107107341.261336</v>
      </c>
      <c r="K76" s="71">
        <f>+SUMIF(CATEGORIAS[[#All],[SUBGRUPO]],A76,CATEGORIAS[[#All],[COSTO
ACUMULADO  AX]])
+SUMIF(CATEGORIAS[[#All],[SUBGRUPO]],A76,CATEGORIAS[[#All],[CAMBIO DE
CATEGORIA]])
+SUMIF(CATEGORIAS[[#All],[SUBGRUPO]],A76,CATEGORIAS[[#All],[PROVISIONES]])</f>
        <v>63486716.62981163</v>
      </c>
      <c r="L76" s="71">
        <f>+SUMIF(CATEGORIAS[[#All],[SUBGRUPO]],A76,CATEGORIAS[[#All],[PROYECCION
TOTAL DE COSTO]])</f>
        <v>43620624.631524369</v>
      </c>
      <c r="M76" s="71">
        <f>K76+L76</f>
        <v>107107341.261336</v>
      </c>
      <c r="O76" s="71">
        <f>I76</f>
        <v>107107341.261336</v>
      </c>
      <c r="P76" s="71">
        <f>M76</f>
        <v>107107341.261336</v>
      </c>
      <c r="Q76" s="234">
        <f>O76-P76</f>
        <v>0</v>
      </c>
      <c r="R76" s="125"/>
    </row>
    <row r="77" spans="1:18" ht="15" customHeight="1" x14ac:dyDescent="0.25">
      <c r="A77" s="14" t="str">
        <f>'Matriz de Produccion'!A78</f>
        <v>1F04</v>
      </c>
      <c r="B77" s="6" t="str">
        <f>VLOOKUP(A77,'Analisis por Categorias'!B:C,2,FALSE)</f>
        <v>Prevención de Riesgos</v>
      </c>
      <c r="D77" s="3">
        <f>SUMIF(CATEGORIAS[[#All],[SUBGRUPO]],A77,CATEGORIAS[[#All],[PRESUPUESTO
(ORIGINAL)]])</f>
        <v>141429555.02720675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147455872.52720675</v>
      </c>
      <c r="G77" s="71">
        <f>+SUMIF(CATEGORIAS[[#All],[SUBGRUPO]],A77,CATEGORIAS[[#All],[PRODUCCION
PARTIDAS
ORIGINALES
ACTUAL]])
+SUMIF(CATEGORIAS[[#All],[SUBGRUPO]],A77,CATEGORIAS[[#All],[PRODUCCION
ADICIONALES
ACTUAL]])</f>
        <v>66052079.894881114</v>
      </c>
      <c r="H77" s="71">
        <f>+SUMIF(CATEGORIAS[[#All],[SUBGRUPO]],A77,CATEGORIAS[[#All],[PROYECCION
DE INGRESO
DEL SALDO]])</f>
        <v>81403792.632325634</v>
      </c>
      <c r="I77" s="71">
        <f>G77+H77</f>
        <v>147455872.52720675</v>
      </c>
      <c r="K77" s="71">
        <f>+SUMIF(CATEGORIAS[[#All],[SUBGRUPO]],A77,CATEGORIAS[[#All],[COSTO
ACUMULADO  AX]])
+SUMIF(CATEGORIAS[[#All],[SUBGRUPO]],A77,CATEGORIAS[[#All],[CAMBIO DE
CATEGORIA]])
+SUMIF(CATEGORIAS[[#All],[SUBGRUPO]],A77,CATEGORIAS[[#All],[PROVISIONES]])</f>
        <v>61633223.168714166</v>
      </c>
      <c r="L77" s="71">
        <f>+SUMIF(CATEGORIAS[[#All],[SUBGRUPO]],A77,CATEGORIAS[[#All],[PROYECCION
TOTAL DE COSTO]])</f>
        <v>85822649.358492583</v>
      </c>
      <c r="M77" s="85">
        <f>K77+L77</f>
        <v>147455872.52720675</v>
      </c>
      <c r="O77" s="85">
        <f>I77</f>
        <v>147455872.52720675</v>
      </c>
      <c r="P77" s="85">
        <f>M77</f>
        <v>147455872.52720675</v>
      </c>
      <c r="Q77" s="235">
        <f>O77-P77</f>
        <v>0</v>
      </c>
      <c r="R77" s="125"/>
    </row>
    <row r="78" spans="1:18" ht="15" customHeight="1" x14ac:dyDescent="0.25">
      <c r="A78" s="14" t="str">
        <f>'Matriz de Produccion'!A79</f>
        <v>1F05</v>
      </c>
      <c r="B78" s="6" t="str">
        <f>VLOOKUP(A78,'Analisis por Categorias'!B:C,2,FALSE)</f>
        <v xml:space="preserve">Control De Calidad </v>
      </c>
      <c r="D78" s="3">
        <f>SUMIF(CATEGORIAS[[#All],[SUBGRUPO]],A78,CATEGORIAS[[#All],[PRESUPUESTO
(ORIGINAL)]])</f>
        <v>62286053.993973345</v>
      </c>
      <c r="E78" s="3">
        <f>+SUMIF(CATEGORIAS[[#All],[SUBGRUPO]],A78,CATEGORIAS[[#All],[PRODUCCION
PARTIDAS
ORIGINALES
ACTUAL]])
+SUMIF(CATEGORIAS[[#All],[SUBGRUPO]],A78,CATEGORIAS[[#All],[PRODUCCION
ADICIONALES
ACTUAL]])
+SUMIF(CATEGORIAS[[#All],[SUBGRUPO]],A78,CATEGORIAS[[#All],[PROYECCION
DE INGRESO
DEL SALDO]])</f>
        <v>67670338.493973345</v>
      </c>
      <c r="G78" s="71">
        <f>+SUMIF(CATEGORIAS[[#All],[SUBGRUPO]],A78,CATEGORIAS[[#All],[PRODUCCION
PARTIDAS
ORIGINALES
ACTUAL]])
+SUMIF(CATEGORIAS[[#All],[SUBGRUPO]],A78,CATEGORIAS[[#All],[PRODUCCION
ADICIONALES
ACTUAL]])</f>
        <v>29089559.208154012</v>
      </c>
      <c r="H78" s="71">
        <f>+SUMIF(CATEGORIAS[[#All],[SUBGRUPO]],A78,CATEGORIAS[[#All],[PROYECCION
DE INGRESO
DEL SALDO]])</f>
        <v>38580779.285819337</v>
      </c>
      <c r="I78" s="71">
        <f t="shared" ref="I78:I84" si="71">G78+H78</f>
        <v>67670338.493973345</v>
      </c>
      <c r="K78" s="71">
        <f>+SUMIF(CATEGORIAS[[#All],[SUBGRUPO]],A78,CATEGORIAS[[#All],[COSTO
ACUMULADO  AX]])
+SUMIF(CATEGORIAS[[#All],[SUBGRUPO]],A78,CATEGORIAS[[#All],[CAMBIO DE
CATEGORIA]])
+SUMIF(CATEGORIAS[[#All],[SUBGRUPO]],A78,CATEGORIAS[[#All],[PROVISIONES]])</f>
        <v>26934033.792792793</v>
      </c>
      <c r="L78" s="71">
        <f>+SUMIF(CATEGORIAS[[#All],[SUBGRUPO]],A78,CATEGORIAS[[#All],[PROYECCION
TOTAL DE COSTO]])</f>
        <v>40736304.701180547</v>
      </c>
      <c r="M78" s="71">
        <f t="shared" ref="M78:M84" si="72">K78+L78</f>
        <v>67670338.493973345</v>
      </c>
      <c r="O78" s="71">
        <f t="shared" ref="O78:O84" si="73">I78</f>
        <v>67670338.493973345</v>
      </c>
      <c r="P78" s="71">
        <f t="shared" ref="P78:P84" si="74">M78</f>
        <v>67670338.493973345</v>
      </c>
      <c r="Q78" s="234">
        <f t="shared" ref="Q78:Q84" si="75">O78-P78</f>
        <v>0</v>
      </c>
      <c r="R78" s="125"/>
    </row>
    <row r="79" spans="1:18" ht="15" customHeight="1" x14ac:dyDescent="0.25">
      <c r="A79" s="14" t="str">
        <f>'Matriz de Produccion'!A80</f>
        <v>1F06</v>
      </c>
      <c r="B79" s="6" t="str">
        <f>VLOOKUP(A79,'Analisis por Categorias'!B:C,2,FALSE)</f>
        <v xml:space="preserve">Administración </v>
      </c>
      <c r="D79" s="3">
        <f>SUMIF(CATEGORIAS[[#All],[SUBGRUPO]],A79,CATEGORIAS[[#All],[PRESUPUESTO
(ORIGINAL)]])</f>
        <v>50846869.032810956</v>
      </c>
      <c r="E79" s="3">
        <f>+SUMIF(CATEGORIAS[[#All],[SUBGRUPO]],A79,CATEGORIAS[[#All],[PRODUCCION
PARTIDAS
ORIGINALES
ACTUAL]])
+SUMIF(CATEGORIAS[[#All],[SUBGRUPO]],A79,CATEGORIAS[[#All],[PRODUCCION
ADICIONALES
ACTUAL]])
+SUMIF(CATEGORIAS[[#All],[SUBGRUPO]],A79,CATEGORIAS[[#All],[PROYECCION
DE INGRESO
DEL SALDO]])</f>
        <v>56231153.532810956</v>
      </c>
      <c r="G79" s="71">
        <f>+SUMIF(CATEGORIAS[[#All],[SUBGRUPO]],A79,CATEGORIAS[[#All],[PRODUCCION
PARTIDAS
ORIGINALES
ACTUAL]])
+SUMIF(CATEGORIAS[[#All],[SUBGRUPO]],A79,CATEGORIAS[[#All],[PRODUCCION
ADICIONALES
ACTUAL]])</f>
        <v>23747097.663665172</v>
      </c>
      <c r="H79" s="71">
        <f>+SUMIF(CATEGORIAS[[#All],[SUBGRUPO]],A79,CATEGORIAS[[#All],[PROYECCION
DE INGRESO
DEL SALDO]])</f>
        <v>32484055.869145785</v>
      </c>
      <c r="I79" s="71">
        <f>G79+H79</f>
        <v>56231153.532810956</v>
      </c>
      <c r="K79" s="71">
        <f>+SUMIF(CATEGORIAS[[#All],[SUBGRUPO]],A79,CATEGORIAS[[#All],[COSTO
ACUMULADO  AX]])
+SUMIF(CATEGORIAS[[#All],[SUBGRUPO]],A79,CATEGORIAS[[#All],[CAMBIO DE
CATEGORIA]])
+SUMIF(CATEGORIAS[[#All],[SUBGRUPO]],A79,CATEGORIAS[[#All],[PROVISIONES]])</f>
        <v>24940108.565110564</v>
      </c>
      <c r="L79" s="71">
        <f>+SUMIF(CATEGORIAS[[#All],[SUBGRUPO]],A79,CATEGORIAS[[#All],[PROYECCION
TOTAL DE COSTO]])</f>
        <v>31291044.967700392</v>
      </c>
      <c r="M79" s="85">
        <f>K79+L79</f>
        <v>56231153.532810956</v>
      </c>
      <c r="O79" s="85">
        <f>I79</f>
        <v>56231153.532810956</v>
      </c>
      <c r="P79" s="85">
        <f>M79</f>
        <v>56231153.532810956</v>
      </c>
      <c r="Q79" s="235">
        <f>O79-P79</f>
        <v>0</v>
      </c>
      <c r="R79" s="125"/>
    </row>
    <row r="80" spans="1:18" ht="15" customHeight="1" x14ac:dyDescent="0.25">
      <c r="A80" s="14" t="str">
        <f>'Matriz de Produccion'!A81</f>
        <v>1F07</v>
      </c>
      <c r="B80" s="6" t="str">
        <f>VLOOKUP(A80,'Analisis por Categorias'!B:C,2,FALSE)</f>
        <v xml:space="preserve">Servicios </v>
      </c>
      <c r="D80" s="3">
        <f>SUMIF(CATEGORIAS[[#All],[SUBGRUPO]],A80,CATEGORIAS[[#All],[PRESUPUESTO
(ORIGINAL)]])</f>
        <v>102860837.03514537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108245121.53514537</v>
      </c>
      <c r="G80" s="71">
        <f>+SUMIF(CATEGORIAS[[#All],[SUBGRUPO]],A80,CATEGORIAS[[#All],[PRODUCCION
PARTIDAS
ORIGINALES
ACTUAL]])
+SUMIF(CATEGORIAS[[#All],[SUBGRUPO]],A80,CATEGORIAS[[#All],[PRODUCCION
ADICIONALES
ACTUAL]])</f>
        <v>48039267.496760331</v>
      </c>
      <c r="H80" s="71">
        <f>+SUMIF(CATEGORIAS[[#All],[SUBGRUPO]],A80,CATEGORIAS[[#All],[PROYECCION
DE INGRESO
DEL SALDO]])</f>
        <v>60205854.038385041</v>
      </c>
      <c r="I80" s="71">
        <f>G80+H80</f>
        <v>108245121.53514537</v>
      </c>
      <c r="K80" s="71">
        <f>+SUMIF(CATEGORIAS[[#All],[SUBGRUPO]],A80,CATEGORIAS[[#All],[COSTO
ACUMULADO  AX]])
+SUMIF(CATEGORIAS[[#All],[SUBGRUPO]],A80,CATEGORIAS[[#All],[CAMBIO DE
CATEGORIA]])
+SUMIF(CATEGORIAS[[#All],[SUBGRUPO]],A80,CATEGORIAS[[#All],[PROVISIONES]])</f>
        <v>109626507.36805896</v>
      </c>
      <c r="L80" s="71">
        <f>+SUMIF(CATEGORIAS[[#All],[SUBGRUPO]],A80,CATEGORIAS[[#All],[PROYECCION
TOTAL DE COSTO]])</f>
        <v>-1381385.8329135925</v>
      </c>
      <c r="M80" s="85">
        <f>K80+L80</f>
        <v>108245121.53514537</v>
      </c>
      <c r="O80" s="85">
        <f>I80</f>
        <v>108245121.53514537</v>
      </c>
      <c r="P80" s="85">
        <f>M80</f>
        <v>108245121.53514537</v>
      </c>
      <c r="Q80" s="235">
        <f>O80-P80</f>
        <v>0</v>
      </c>
      <c r="R80" s="125"/>
    </row>
    <row r="81" spans="1:18" ht="15" customHeight="1" x14ac:dyDescent="0.25">
      <c r="A81" s="14" t="str">
        <f>'Matriz de Produccion'!A82</f>
        <v>1F08</v>
      </c>
      <c r="B81" s="6" t="str">
        <f>VLOOKUP(A81,'Analisis por Categorias'!B:C,2,FALSE)</f>
        <v>Topografia</v>
      </c>
      <c r="D81" s="3">
        <f>SUMIF(CATEGORIAS[[#All],[SUBGRUPO]],A81,CATEGORIAS[[#All],[PRESUPUESTO
(ORIGINAL)]])</f>
        <v>47989913.093136542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47989913.093136542</v>
      </c>
      <c r="G81" s="71">
        <f>+SUMIF(CATEGORIAS[[#All],[SUBGRUPO]],A81,CATEGORIAS[[#All],[PRODUCCION
PARTIDAS
ORIGINALES
ACTUAL]])
+SUMIF(CATEGORIAS[[#All],[SUBGRUPO]],A81,CATEGORIAS[[#All],[PRODUCCION
ADICIONALES
ACTUAL]])</f>
        <v>22412808.787855387</v>
      </c>
      <c r="H81" s="71">
        <f>+SUMIF(CATEGORIAS[[#All],[SUBGRUPO]],A81,CATEGORIAS[[#All],[PROYECCION
DE INGRESO
DEL SALDO]])</f>
        <v>25577104.305281155</v>
      </c>
      <c r="I81" s="71">
        <f>G81+H81</f>
        <v>47989913.093136542</v>
      </c>
      <c r="K81" s="71">
        <f>+SUMIF(CATEGORIAS[[#All],[SUBGRUPO]],A81,CATEGORIAS[[#All],[COSTO
ACUMULADO  AX]])
+SUMIF(CATEGORIAS[[#All],[SUBGRUPO]],A81,CATEGORIAS[[#All],[CAMBIO DE
CATEGORIA]])
+SUMIF(CATEGORIAS[[#All],[SUBGRUPO]],A81,CATEGORIAS[[#All],[PROVISIONES]])</f>
        <v>31389825.047502048</v>
      </c>
      <c r="L81" s="71">
        <f>+SUMIF(CATEGORIAS[[#All],[SUBGRUPO]],A81,CATEGORIAS[[#All],[PROYECCION
TOTAL DE COSTO]])</f>
        <v>16600088.045634493</v>
      </c>
      <c r="M81" s="85">
        <f>K81+L81</f>
        <v>47989913.093136542</v>
      </c>
      <c r="O81" s="85">
        <f>I81</f>
        <v>47989913.093136542</v>
      </c>
      <c r="P81" s="85">
        <f>M81</f>
        <v>47989913.093136542</v>
      </c>
      <c r="Q81" s="235">
        <f>O81-P81</f>
        <v>0</v>
      </c>
      <c r="R81" s="125"/>
    </row>
    <row r="82" spans="1:18" ht="15" customHeight="1" x14ac:dyDescent="0.25">
      <c r="A82" s="14" t="str">
        <f>'Matriz de Produccion'!A83</f>
        <v>1F09</v>
      </c>
      <c r="B82" s="6" t="str">
        <f>VLOOKUP(A82,'Analisis por Categorias'!B:C,2,FALSE)</f>
        <v xml:space="preserve">Movilización </v>
      </c>
      <c r="D82" s="3">
        <f>SUMIF(CATEGORIAS[[#All],[SUBGRUPO]],A82,CATEGORIAS[[#All],[PRESUPUESTO
(ORIGINAL)]])</f>
        <v>50970000.000000015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50970000.000000015</v>
      </c>
      <c r="G82" s="71">
        <f>+SUMIF(CATEGORIAS[[#All],[SUBGRUPO]],A82,CATEGORIAS[[#All],[PRODUCCION
PARTIDAS
ORIGINALES
ACTUAL]])
+SUMIF(CATEGORIAS[[#All],[SUBGRUPO]],A82,CATEGORIAS[[#All],[PRODUCCION
ADICIONALES
ACTUAL]])</f>
        <v>23804603.723701492</v>
      </c>
      <c r="H82" s="71">
        <f>+SUMIF(CATEGORIAS[[#All],[SUBGRUPO]],A82,CATEGORIAS[[#All],[PROYECCION
DE INGRESO
DEL SALDO]])</f>
        <v>27165396.276298523</v>
      </c>
      <c r="I82" s="71">
        <f t="shared" si="71"/>
        <v>50970000.000000015</v>
      </c>
      <c r="K82" s="71">
        <f>+SUMIF(CATEGORIAS[[#All],[SUBGRUPO]],A82,CATEGORIAS[[#All],[COSTO
ACUMULADO  AX]])
+SUMIF(CATEGORIAS[[#All],[SUBGRUPO]],A82,CATEGORIAS[[#All],[CAMBIO DE
CATEGORIA]])
+SUMIF(CATEGORIAS[[#All],[SUBGRUPO]],A82,CATEGORIAS[[#All],[PROVISIONES]])</f>
        <v>10078282</v>
      </c>
      <c r="L82" s="71">
        <f>+SUMIF(CATEGORIAS[[#All],[SUBGRUPO]],A82,CATEGORIAS[[#All],[PROYECCION
TOTAL DE COSTO]])</f>
        <v>40891718.000000015</v>
      </c>
      <c r="M82" s="85">
        <f t="shared" si="72"/>
        <v>50970000.000000015</v>
      </c>
      <c r="O82" s="85">
        <f t="shared" si="73"/>
        <v>50970000.000000015</v>
      </c>
      <c r="P82" s="85">
        <f t="shared" si="74"/>
        <v>50970000.000000015</v>
      </c>
      <c r="Q82" s="235">
        <f t="shared" si="75"/>
        <v>0</v>
      </c>
      <c r="R82" s="125"/>
    </row>
    <row r="83" spans="1:18" ht="15" customHeight="1" x14ac:dyDescent="0.25">
      <c r="A83" s="14" t="str">
        <f>'Matriz de Produccion'!A84</f>
        <v>1F10</v>
      </c>
      <c r="B83" s="6" t="str">
        <f>VLOOKUP(A83,'Analisis por Categorias'!B:C,2,FALSE)</f>
        <v>Hotelería</v>
      </c>
      <c r="D83" s="3">
        <f>SUMIF(CATEGORIAS[[#All],[SUBGRUPO]],A83,CATEGORIAS[[#All],[PRESUPUESTO
(ORIGINAL)]])</f>
        <v>0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0</v>
      </c>
      <c r="G83" s="71">
        <f>+SUMIF(CATEGORIAS[[#All],[SUBGRUPO]],A83,CATEGORIAS[[#All],[PRODUCCION
PARTIDAS
ORIGINALES
ACTUAL]])
+SUMIF(CATEGORIAS[[#All],[SUBGRUPO]],A83,CATEGORIAS[[#All],[PRODUCCION
ADICIONALES
ACTUAL]])</f>
        <v>0</v>
      </c>
      <c r="H83" s="71">
        <f>+SUMIF(CATEGORIAS[[#All],[SUBGRUPO]],A83,CATEGORIAS[[#All],[PROYECCION
DE INGRESO
DEL SALDO]])</f>
        <v>0</v>
      </c>
      <c r="I83" s="71">
        <f t="shared" ref="I83" si="76">G83+H83</f>
        <v>0</v>
      </c>
      <c r="K83" s="71">
        <f>+SUMIF(CATEGORIAS[[#All],[SUBGRUPO]],A83,CATEGORIAS[[#All],[COSTO
ACUMULADO  AX]])
+SUMIF(CATEGORIAS[[#All],[SUBGRUPO]],A83,CATEGORIAS[[#All],[CAMBIO DE
CATEGORIA]])
+SUMIF(CATEGORIAS[[#All],[SUBGRUPO]],A83,CATEGORIAS[[#All],[PROVISIONES]])</f>
        <v>0</v>
      </c>
      <c r="L83" s="71">
        <f>+SUMIF(CATEGORIAS[[#All],[SUBGRUPO]],A83,CATEGORIAS[[#All],[PROYECCION
TOTAL DE COSTO]])</f>
        <v>0</v>
      </c>
      <c r="M83" s="71">
        <f t="shared" ref="M83" si="77">K83+L83</f>
        <v>0</v>
      </c>
      <c r="O83" s="71">
        <f t="shared" ref="O83" si="78">I83</f>
        <v>0</v>
      </c>
      <c r="P83" s="71">
        <f t="shared" ref="P83" si="79">M83</f>
        <v>0</v>
      </c>
      <c r="Q83" s="234">
        <f t="shared" ref="Q83" si="80">O83-P83</f>
        <v>0</v>
      </c>
      <c r="R83" s="125"/>
    </row>
    <row r="84" spans="1:18" ht="15" customHeight="1" x14ac:dyDescent="0.25">
      <c r="A84" s="14" t="str">
        <f>'Matriz de Produccion'!A85</f>
        <v>1F11</v>
      </c>
      <c r="B84" s="6" t="str">
        <f>VLOOKUP(A84,'Analisis por Categorias'!B:C,2,FALSE)</f>
        <v>Alojamiento y Alimentación</v>
      </c>
      <c r="D84" s="3">
        <f>SUMIF(CATEGORIAS[[#All],[SUBGRUPO]],A84,CATEGORIAS[[#All],[PRESUPUESTO
(ORIGINAL)]])</f>
        <v>127606714.28571428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127606714.28571428</v>
      </c>
      <c r="G84" s="71">
        <f>+SUMIF(CATEGORIAS[[#All],[SUBGRUPO]],A84,CATEGORIAS[[#All],[PRODUCCION
PARTIDAS
ORIGINALES
ACTUAL]])
+SUMIF(CATEGORIAS[[#All],[SUBGRUPO]],A84,CATEGORIAS[[#All],[PRODUCCION
ADICIONALES
ACTUAL]])</f>
        <v>59596375.633804724</v>
      </c>
      <c r="H84" s="71">
        <f>+SUMIF(CATEGORIAS[[#All],[SUBGRUPO]],A84,CATEGORIAS[[#All],[PROYECCION
DE INGRESO
DEL SALDO]])</f>
        <v>68010338.65190956</v>
      </c>
      <c r="I84" s="71">
        <f t="shared" si="71"/>
        <v>127606714.28571428</v>
      </c>
      <c r="K84" s="71">
        <f>+SUMIF(CATEGORIAS[[#All],[SUBGRUPO]],A84,CATEGORIAS[[#All],[COSTO
ACUMULADO  AX]])
+SUMIF(CATEGORIAS[[#All],[SUBGRUPO]],A84,CATEGORIAS[[#All],[CAMBIO DE
CATEGORIA]])
+SUMIF(CATEGORIAS[[#All],[SUBGRUPO]],A84,CATEGORIAS[[#All],[PROVISIONES]])</f>
        <v>19418586</v>
      </c>
      <c r="L84" s="71">
        <f>+SUMIF(CATEGORIAS[[#All],[SUBGRUPO]],A84,CATEGORIAS[[#All],[PROYECCION
TOTAL DE COSTO]])</f>
        <v>108188128.28571428</v>
      </c>
      <c r="M84" s="71">
        <f t="shared" si="72"/>
        <v>127606714.28571428</v>
      </c>
      <c r="O84" s="71">
        <f t="shared" si="73"/>
        <v>127606714.28571428</v>
      </c>
      <c r="P84" s="71">
        <f t="shared" si="74"/>
        <v>127606714.28571428</v>
      </c>
      <c r="Q84" s="234">
        <f t="shared" si="75"/>
        <v>0</v>
      </c>
      <c r="R84" s="125"/>
    </row>
    <row r="85" spans="1:18" ht="15" customHeight="1" x14ac:dyDescent="0.25">
      <c r="A85" s="14" t="str">
        <f>'Matriz de Produccion'!A86</f>
        <v>1F12</v>
      </c>
      <c r="B85" s="6" t="str">
        <f>VLOOKUP(A85,'Analisis por Categorias'!B:C,2,FALSE)</f>
        <v>Provisiones</v>
      </c>
      <c r="D85" s="3">
        <f>SUMIF(CATEGORIAS[[#All],[SUBGRUPO]],A85,CATEGORIAS[[#All],[PRESUPUESTO
(ORIGINAL)]])</f>
        <v>0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0</v>
      </c>
      <c r="G85" s="71">
        <f>+SUMIF(CATEGORIAS[[#All],[SUBGRUPO]],A85,CATEGORIAS[[#All],[PRODUCCION
PARTIDAS
ORIGINALES
ACTUAL]])
+SUMIF(CATEGORIAS[[#All],[SUBGRUPO]],A85,CATEGORIAS[[#All],[PRODUCCION
ADICIONALES
ACTUAL]])</f>
        <v>0</v>
      </c>
      <c r="H85" s="71">
        <f>+SUMIF(CATEGORIAS[[#All],[SUBGRUPO]],A85,CATEGORIAS[[#All],[PROYECCION
DE INGRESO
DEL SALDO]])</f>
        <v>0</v>
      </c>
      <c r="I85" s="71">
        <f t="shared" ref="I85" si="81">G85+H85</f>
        <v>0</v>
      </c>
      <c r="K85" s="71">
        <f>+SUMIF(CATEGORIAS[[#All],[SUBGRUPO]],A85,CATEGORIAS[[#All],[COSTO
ACUMULADO  AX]])
+SUMIF(CATEGORIAS[[#All],[SUBGRUPO]],A85,CATEGORIAS[[#All],[CAMBIO DE
CATEGORIA]])
+SUMIF(CATEGORIAS[[#All],[SUBGRUPO]],A85,CATEGORIAS[[#All],[PROVISIONES]])</f>
        <v>0</v>
      </c>
      <c r="L85" s="71">
        <f>+SUMIF(CATEGORIAS[[#All],[SUBGRUPO]],A85,CATEGORIAS[[#All],[PROYECCION
TOTAL DE COSTO]])</f>
        <v>0</v>
      </c>
      <c r="M85" s="71">
        <f t="shared" ref="M85" si="82">K85+L85</f>
        <v>0</v>
      </c>
      <c r="O85" s="71">
        <f t="shared" ref="O85" si="83">I85</f>
        <v>0</v>
      </c>
      <c r="P85" s="71">
        <f t="shared" ref="P85" si="84">M85</f>
        <v>0</v>
      </c>
      <c r="Q85" s="234">
        <f t="shared" ref="Q85" si="85">O85-P85</f>
        <v>0</v>
      </c>
      <c r="R85" s="125"/>
    </row>
    <row r="86" spans="1:18" ht="15" customHeight="1" x14ac:dyDescent="0.25">
      <c r="A86" s="14" t="str">
        <f>'Matriz de Produccion'!A87</f>
        <v>1F13</v>
      </c>
      <c r="B86" s="6" t="str">
        <f>VLOOKUP(A86,'Analisis por Categorias'!B:C,2,FALSE)</f>
        <v>Otros</v>
      </c>
      <c r="D86" s="3">
        <f>SUMIF(CATEGORIAS[[#All],[SUBGRUPO]],A86,CATEGORIAS[[#All],[PRESUPUESTO
(ORIGINAL)]])</f>
        <v>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0</v>
      </c>
      <c r="G86" s="71">
        <f>+SUMIF(CATEGORIAS[[#All],[SUBGRUPO]],A86,CATEGORIAS[[#All],[PRODUCCION
PARTIDAS
ORIGINALES
ACTUAL]])
+SUMIF(CATEGORIAS[[#All],[SUBGRUPO]],A86,CATEGORIAS[[#All],[PRODUCCION
ADICIONALES
ACTUAL]])</f>
        <v>0</v>
      </c>
      <c r="H86" s="71">
        <f>+SUMIF(CATEGORIAS[[#All],[SUBGRUPO]],A86,CATEGORIAS[[#All],[PROYECCION
DE INGRESO
DEL SALDO]])</f>
        <v>0</v>
      </c>
      <c r="I86" s="71">
        <f t="shared" ref="I86" si="86">G86+H86</f>
        <v>0</v>
      </c>
      <c r="K86" s="71">
        <f>+SUMIF(CATEGORIAS[[#All],[SUBGRUPO]],A86,CATEGORIAS[[#All],[COSTO
ACUMULADO  AX]])
+SUMIF(CATEGORIAS[[#All],[SUBGRUPO]],A86,CATEGORIAS[[#All],[CAMBIO DE
CATEGORIA]])
+SUMIF(CATEGORIAS[[#All],[SUBGRUPO]],A86,CATEGORIAS[[#All],[PROVISIONES]])</f>
        <v>0</v>
      </c>
      <c r="L86" s="71">
        <f>+SUMIF(CATEGORIAS[[#All],[SUBGRUPO]],A86,CATEGORIAS[[#All],[PROYECCION
TOTAL DE COSTO]])</f>
        <v>0</v>
      </c>
      <c r="M86" s="71">
        <f t="shared" ref="M86" si="87">K86+L86</f>
        <v>0</v>
      </c>
      <c r="O86" s="71">
        <f t="shared" ref="O86" si="88">I86</f>
        <v>0</v>
      </c>
      <c r="P86" s="71">
        <f t="shared" ref="P86" si="89">M86</f>
        <v>0</v>
      </c>
      <c r="Q86" s="234">
        <f t="shared" ref="Q86" si="90">O86-P86</f>
        <v>0</v>
      </c>
      <c r="R86" s="125"/>
    </row>
    <row r="87" spans="1:18" ht="8.25" customHeight="1" x14ac:dyDescent="0.25">
      <c r="Q87" s="233"/>
      <c r="R87" s="125"/>
    </row>
    <row r="88" spans="1:18" ht="15" customHeight="1" x14ac:dyDescent="0.25">
      <c r="A88" s="14" t="str">
        <f>'Matriz de Produccion'!A89</f>
        <v>1G00</v>
      </c>
      <c r="B88" s="81" t="str">
        <f>'Matriz de Produccion'!B89:B89</f>
        <v>G - EQUIPOS INDIRECTOS</v>
      </c>
      <c r="D88" s="82">
        <f>SUM(D89:D93)</f>
        <v>90537194.880000025</v>
      </c>
      <c r="E88" s="82">
        <f>SUM(E89:E93)</f>
        <v>90537194.880000025</v>
      </c>
      <c r="G88" s="83">
        <f>SUM(G89:G93)</f>
        <v>42283736.440532394</v>
      </c>
      <c r="H88" s="83">
        <f>SUM(H89:H93)</f>
        <v>48253458.439467639</v>
      </c>
      <c r="I88" s="83">
        <f>SUM(I89:I93)</f>
        <v>90537194.880000025</v>
      </c>
      <c r="K88" s="84">
        <f>SUM(K89:K93)</f>
        <v>22130647</v>
      </c>
      <c r="L88" s="84">
        <f>SUM(L89:L93)</f>
        <v>68406547.880000025</v>
      </c>
      <c r="M88" s="84">
        <f>SUM(M89:M93)</f>
        <v>90537194.880000025</v>
      </c>
      <c r="O88" s="12">
        <f>SUM(O89:O93)</f>
        <v>90537194.880000025</v>
      </c>
      <c r="P88" s="11">
        <f>SUM(P89:P93)</f>
        <v>90537194.880000025</v>
      </c>
      <c r="Q88" s="232">
        <f>SUM(Q89:Q93)</f>
        <v>0</v>
      </c>
      <c r="R88" s="125"/>
    </row>
    <row r="89" spans="1:18" ht="15" customHeight="1" x14ac:dyDescent="0.25">
      <c r="A89" s="14" t="str">
        <f>'Matriz de Produccion'!A90</f>
        <v>1G01</v>
      </c>
      <c r="B89" s="6" t="str">
        <f>VLOOKUP(A89,'Analisis por Categorias'!B:C,2,FALSE)</f>
        <v>Camionetas</v>
      </c>
      <c r="D89" s="3">
        <f>SUMIF(CATEGORIAS[[#All],[SUBGRUPO]],A89,CATEGORIAS[[#All],[PRESUPUESTO
(ORIGINAL)]])</f>
        <v>87729840.00000003</v>
      </c>
      <c r="E89" s="3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87729840.00000003</v>
      </c>
      <c r="G89" s="71">
        <f>+SUMIF(CATEGORIAS[[#All],[SUBGRUPO]],A89,CATEGORIAS[[#All],[PRODUCCION
PARTIDAS
ORIGINALES
ACTUAL]])
+SUMIF(CATEGORIAS[[#All],[SUBGRUPO]],A89,CATEGORIAS[[#All],[PRODUCCION
ADICIONALES
ACTUAL]])</f>
        <v>40972612.829973251</v>
      </c>
      <c r="H89" s="71">
        <f>+SUMIF(CATEGORIAS[[#All],[SUBGRUPO]],A89,CATEGORIAS[[#All],[PROYECCION
DE INGRESO
DEL SALDO]])</f>
        <v>46757227.170026779</v>
      </c>
      <c r="I89" s="71">
        <f>G89+H89</f>
        <v>87729840.00000003</v>
      </c>
      <c r="K89" s="71">
        <f>+SUMIF(CATEGORIAS[[#All],[SUBGRUPO]],A89,CATEGORIAS[[#All],[COSTO
ACUMULADO  AX]])
+SUMIF(CATEGORIAS[[#All],[SUBGRUPO]],A89,CATEGORIAS[[#All],[CAMBIO DE
CATEGORIA]])
+SUMIF(CATEGORIAS[[#All],[SUBGRUPO]],A89,CATEGORIAS[[#All],[PROVISIONES]])</f>
        <v>22130647</v>
      </c>
      <c r="L89" s="71">
        <f>+SUMIF(CATEGORIAS[[#All],[SUBGRUPO]],A89,CATEGORIAS[[#All],[PROYECCION
TOTAL DE COSTO]])</f>
        <v>65599193.00000003</v>
      </c>
      <c r="M89" s="71">
        <f>K89+L89</f>
        <v>87729840.00000003</v>
      </c>
      <c r="O89" s="71">
        <f>I89</f>
        <v>87729840.00000003</v>
      </c>
      <c r="P89" s="71">
        <f>M89</f>
        <v>87729840.00000003</v>
      </c>
      <c r="Q89" s="234">
        <f>O89-P89</f>
        <v>0</v>
      </c>
      <c r="R89" s="125"/>
    </row>
    <row r="90" spans="1:18" ht="15" customHeight="1" x14ac:dyDescent="0.25">
      <c r="A90" s="14" t="str">
        <f>'Matriz de Produccion'!A91</f>
        <v>1G02</v>
      </c>
      <c r="B90" s="6" t="str">
        <f>VLOOKUP(A90,'Analisis por Categorias'!B:C,2,FALSE)</f>
        <v>Buses, Mini buses, Van y Sprinter</v>
      </c>
      <c r="D90" s="3">
        <f>SUMIF(CATEGORIAS[[#All],[SUBGRUPO]],A90,CATEGORIAS[[#All],[PRESUPUESTO
(ORIGINAL)]])</f>
        <v>0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71">
        <f>+SUMIF(CATEGORIAS[[#All],[SUBGRUPO]],A90,CATEGORIAS[[#All],[PRODUCCION
PARTIDAS
ORIGINALES
ACTUAL]])
+SUMIF(CATEGORIAS[[#All],[SUBGRUPO]],A90,CATEGORIAS[[#All],[PRODUCCION
ADICIONALES
ACTUAL]])</f>
        <v>0</v>
      </c>
      <c r="H90" s="71">
        <f>+SUMIF(CATEGORIAS[[#All],[SUBGRUPO]],A90,CATEGORIAS[[#All],[PROYECCION
DE INGRESO
DEL SALDO]])</f>
        <v>0</v>
      </c>
      <c r="I90" s="71">
        <f>G90+H90</f>
        <v>0</v>
      </c>
      <c r="K90" s="71">
        <f>+SUMIF(CATEGORIAS[[#All],[SUBGRUPO]],A90,CATEGORIAS[[#All],[COSTO
ACUMULADO  AX]])
+SUMIF(CATEGORIAS[[#All],[SUBGRUPO]],A90,CATEGORIAS[[#All],[CAMBIO DE
CATEGORIA]])
+SUMIF(CATEGORIAS[[#All],[SUBGRUPO]],A90,CATEGORIAS[[#All],[PROVISIONES]])</f>
        <v>0</v>
      </c>
      <c r="L90" s="71">
        <f>+SUMIF(CATEGORIAS[[#All],[SUBGRUPO]],A90,CATEGORIAS[[#All],[PROYECCION
TOTAL DE COSTO]])</f>
        <v>0</v>
      </c>
      <c r="M90" s="71">
        <f>K90+L90</f>
        <v>0</v>
      </c>
      <c r="O90" s="71">
        <f>I90</f>
        <v>0</v>
      </c>
      <c r="P90" s="71">
        <f>M90</f>
        <v>0</v>
      </c>
      <c r="Q90" s="234">
        <f>O90-P90</f>
        <v>0</v>
      </c>
      <c r="R90" s="125"/>
    </row>
    <row r="91" spans="1:18" ht="15" customHeight="1" x14ac:dyDescent="0.25">
      <c r="A91" s="14" t="str">
        <f>'Matriz de Produccion'!A92</f>
        <v>1G03</v>
      </c>
      <c r="B91" s="6" t="str">
        <f>VLOOKUP(A91,'Analisis por Categorias'!B:C,2,FALSE)</f>
        <v xml:space="preserve">Equipo topográfico </v>
      </c>
      <c r="D91" s="3">
        <f>SUMIF(CATEGORIAS[[#All],[SUBGRUPO]],A91,CATEGORIAS[[#All],[PRESUPUESTO
(ORIGINAL)]])</f>
        <v>2807354.88</v>
      </c>
      <c r="E91" s="3">
        <f>+SUMIF(CATEGORIAS[[#All],[SUBGRUPO]],A91,CATEGORIAS[[#All],[PRODUCCION
PARTIDAS
ORIGINALES
ACTUAL]])
+SUMIF(CATEGORIAS[[#All],[SUBGRUPO]],A91,CATEGORIAS[[#All],[PRODUCCION
ADICIONALES
ACTUAL]])
+SUMIF(CATEGORIAS[[#All],[SUBGRUPO]],A91,CATEGORIAS[[#All],[PROYECCION
DE INGRESO
DEL SALDO]])</f>
        <v>2807354.88</v>
      </c>
      <c r="G91" s="71">
        <f>+SUMIF(CATEGORIAS[[#All],[SUBGRUPO]],A91,CATEGORIAS[[#All],[PRODUCCION
PARTIDAS
ORIGINALES
ACTUAL]])
+SUMIF(CATEGORIAS[[#All],[SUBGRUPO]],A91,CATEGORIAS[[#All],[PRODUCCION
ADICIONALES
ACTUAL]])</f>
        <v>1311123.6105591436</v>
      </c>
      <c r="H91" s="71">
        <f>+SUMIF(CATEGORIAS[[#All],[SUBGRUPO]],A91,CATEGORIAS[[#All],[PROYECCION
DE INGRESO
DEL SALDO]])</f>
        <v>1496231.2694408563</v>
      </c>
      <c r="I91" s="71">
        <f t="shared" ref="I91:I93" si="91">G91+H91</f>
        <v>2807354.88</v>
      </c>
      <c r="K91" s="71">
        <f>+SUMIF(CATEGORIAS[[#All],[SUBGRUPO]],A91,CATEGORIAS[[#All],[COSTO
ACUMULADO  AX]])
+SUMIF(CATEGORIAS[[#All],[SUBGRUPO]],A91,CATEGORIAS[[#All],[CAMBIO DE
CATEGORIA]])
+SUMIF(CATEGORIAS[[#All],[SUBGRUPO]],A91,CATEGORIAS[[#All],[PROVISIONES]])</f>
        <v>0</v>
      </c>
      <c r="L91" s="71">
        <f>+SUMIF(CATEGORIAS[[#All],[SUBGRUPO]],A91,CATEGORIAS[[#All],[PROYECCION
TOTAL DE COSTO]])</f>
        <v>2807354.88</v>
      </c>
      <c r="M91" s="71">
        <f t="shared" ref="M91:M93" si="92">K91+L91</f>
        <v>2807354.88</v>
      </c>
      <c r="O91" s="71">
        <f t="shared" ref="O91:O93" si="93">I91</f>
        <v>2807354.88</v>
      </c>
      <c r="P91" s="71">
        <f t="shared" ref="P91:P93" si="94">M91</f>
        <v>2807354.88</v>
      </c>
      <c r="Q91" s="234">
        <f t="shared" ref="Q91:Q93" si="95">O91-P91</f>
        <v>0</v>
      </c>
      <c r="R91" s="125"/>
    </row>
    <row r="92" spans="1:18" ht="15" customHeight="1" x14ac:dyDescent="0.25">
      <c r="A92" s="14" t="str">
        <f>'Matriz de Produccion'!A93</f>
        <v>1G04</v>
      </c>
      <c r="B92" s="6" t="str">
        <f>VLOOKUP(A92,'Analisis por Categorias'!B:C,2,FALSE)</f>
        <v xml:space="preserve">Combustibles </v>
      </c>
      <c r="D92" s="3">
        <f>SUMIF(CATEGORIAS[[#All],[SUBGRUPO]],A92,CATEGORIAS[[#All],[PRESUPUESTO
(ORIGINAL)]])</f>
        <v>0</v>
      </c>
      <c r="E92" s="3">
        <f>+SUMIF(CATEGORIAS[[#All],[SUBGRUPO]],A92,CATEGORIAS[[#All],[PRODUCCION
PARTIDAS
ORIGINALES
ACTUAL]])
+SUMIF(CATEGORIAS[[#All],[SUBGRUPO]],A92,CATEGORIAS[[#All],[PRODUCCION
ADICIONALES
ACTUAL]])
+SUMIF(CATEGORIAS[[#All],[SUBGRUPO]],A92,CATEGORIAS[[#All],[PROYECCION
DE INGRESO
DEL SALDO]])</f>
        <v>0</v>
      </c>
      <c r="G92" s="71">
        <f>+SUMIF(CATEGORIAS[[#All],[SUBGRUPO]],A92,CATEGORIAS[[#All],[PRODUCCION
PARTIDAS
ORIGINALES
ACTUAL]])
+SUMIF(CATEGORIAS[[#All],[SUBGRUPO]],A92,CATEGORIAS[[#All],[PRODUCCION
ADICIONALES
ACTUAL]])</f>
        <v>0</v>
      </c>
      <c r="H92" s="71">
        <f>+SUMIF(CATEGORIAS[[#All],[SUBGRUPO]],A92,CATEGORIAS[[#All],[PROYECCION
DE INGRESO
DEL SALDO]])</f>
        <v>0</v>
      </c>
      <c r="I92" s="71">
        <f t="shared" si="91"/>
        <v>0</v>
      </c>
      <c r="K92" s="71">
        <f>+SUMIF(CATEGORIAS[[#All],[SUBGRUPO]],A92,CATEGORIAS[[#All],[COSTO
ACUMULADO  AX]])
+SUMIF(CATEGORIAS[[#All],[SUBGRUPO]],A92,CATEGORIAS[[#All],[CAMBIO DE
CATEGORIA]])
+SUMIF(CATEGORIAS[[#All],[SUBGRUPO]],A92,CATEGORIAS[[#All],[PROVISIONES]])</f>
        <v>0</v>
      </c>
      <c r="L92" s="71">
        <f>+SUMIF(CATEGORIAS[[#All],[SUBGRUPO]],A92,CATEGORIAS[[#All],[PROYECCION
TOTAL DE COSTO]])</f>
        <v>0</v>
      </c>
      <c r="M92" s="71">
        <f t="shared" si="92"/>
        <v>0</v>
      </c>
      <c r="O92" s="71">
        <f t="shared" si="93"/>
        <v>0</v>
      </c>
      <c r="P92" s="71">
        <f t="shared" si="94"/>
        <v>0</v>
      </c>
      <c r="Q92" s="234">
        <f t="shared" si="95"/>
        <v>0</v>
      </c>
      <c r="R92" s="125"/>
    </row>
    <row r="93" spans="1:18" ht="15" customHeight="1" x14ac:dyDescent="0.25">
      <c r="A93" s="14" t="str">
        <f>'Matriz de Produccion'!A94</f>
        <v>1G05</v>
      </c>
      <c r="B93" s="6" t="str">
        <f>VLOOKUP(A93,'Analisis por Categorias'!B:C,2,FALSE)</f>
        <v xml:space="preserve">Otros Equipos </v>
      </c>
      <c r="D93" s="3">
        <f>SUMIF(CATEGORIAS[[#All],[SUBGRUPO]],A93,CATEGORIAS[[#All],[PRESUPUESTO
(ORIGINAL)]])</f>
        <v>0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0</v>
      </c>
      <c r="G93" s="71">
        <f>+SUMIF(CATEGORIAS[[#All],[SUBGRUPO]],A93,CATEGORIAS[[#All],[PRODUCCION
PARTIDAS
ORIGINALES
ACTUAL]])
+SUMIF(CATEGORIAS[[#All],[SUBGRUPO]],A93,CATEGORIAS[[#All],[PRODUCCION
ADICIONALES
ACTUAL]])</f>
        <v>0</v>
      </c>
      <c r="H93" s="71">
        <f>+SUMIF(CATEGORIAS[[#All],[SUBGRUPO]],A93,CATEGORIAS[[#All],[PROYECCION
DE INGRESO
DEL SALDO]])</f>
        <v>0</v>
      </c>
      <c r="I93" s="71">
        <f t="shared" si="91"/>
        <v>0</v>
      </c>
      <c r="K93" s="71">
        <f>+SUMIF(CATEGORIAS[[#All],[SUBGRUPO]],A93,CATEGORIAS[[#All],[COSTO
ACUMULADO  AX]])
+SUMIF(CATEGORIAS[[#All],[SUBGRUPO]],A93,CATEGORIAS[[#All],[CAMBIO DE
CATEGORIA]])
+SUMIF(CATEGORIAS[[#All],[SUBGRUPO]],A93,CATEGORIAS[[#All],[PROVISIONES]])</f>
        <v>0</v>
      </c>
      <c r="L93" s="71">
        <f>+SUMIF(CATEGORIAS[[#All],[SUBGRUPO]],A93,CATEGORIAS[[#All],[PROYECCION
TOTAL DE COSTO]])</f>
        <v>0</v>
      </c>
      <c r="M93" s="71">
        <f t="shared" si="92"/>
        <v>0</v>
      </c>
      <c r="O93" s="71">
        <f t="shared" si="93"/>
        <v>0</v>
      </c>
      <c r="P93" s="71">
        <f t="shared" si="94"/>
        <v>0</v>
      </c>
      <c r="Q93" s="234">
        <f t="shared" si="95"/>
        <v>0</v>
      </c>
      <c r="R93" s="125"/>
    </row>
    <row r="94" spans="1:18" ht="8.25" customHeight="1" x14ac:dyDescent="0.25">
      <c r="Q94" s="233"/>
      <c r="R94" s="125"/>
    </row>
    <row r="95" spans="1:18" ht="15" customHeight="1" x14ac:dyDescent="0.25">
      <c r="A95" s="14" t="str">
        <f>'Matriz de Produccion'!A96</f>
        <v>1H00</v>
      </c>
      <c r="B95" s="81" t="str">
        <f>'Matriz de Produccion'!B96:B96</f>
        <v>H - INSTALACIÓN DE FAENAS</v>
      </c>
      <c r="D95" s="82">
        <f>SUM(D96:D105)</f>
        <v>164811573.62139496</v>
      </c>
      <c r="E95" s="82">
        <f>SUM(E96:E105)</f>
        <v>166757070.55323496</v>
      </c>
      <c r="G95" s="83">
        <f>SUM(G96:G105)</f>
        <v>117813488.61827117</v>
      </c>
      <c r="H95" s="83">
        <f>SUM(H96:H105)</f>
        <v>48943581.934963793</v>
      </c>
      <c r="I95" s="83">
        <f>SUM(I96:I105)</f>
        <v>166757070.55323496</v>
      </c>
      <c r="K95" s="84">
        <f>SUM(K96:K105)</f>
        <v>44689035</v>
      </c>
      <c r="L95" s="84">
        <f>SUM(L96:L105)</f>
        <v>122068035.55323496</v>
      </c>
      <c r="M95" s="84">
        <f>SUM(M96:M105)</f>
        <v>166757070.55323496</v>
      </c>
      <c r="O95" s="12">
        <f>SUM(O96:O105)</f>
        <v>166757070.55323496</v>
      </c>
      <c r="P95" s="11">
        <f>SUM(P96:P105)</f>
        <v>166757070.55323496</v>
      </c>
      <c r="Q95" s="232">
        <f>SUM(Q96:Q105)</f>
        <v>0</v>
      </c>
      <c r="R95" s="125"/>
    </row>
    <row r="96" spans="1:18" ht="15" customHeight="1" x14ac:dyDescent="0.25">
      <c r="A96" s="14" t="str">
        <f>'Matriz de Produccion'!A97</f>
        <v>1H01</v>
      </c>
      <c r="B96" s="6" t="str">
        <f>VLOOKUP(A96,'Analisis por Categorias'!B:C,2,FALSE)</f>
        <v>Mano De Obra</v>
      </c>
      <c r="D96" s="3">
        <f>SUMIF(CATEGORIAS[[#All],[SUBGRUPO]],A96,CATEGORIAS[[#All],[PRESUPUESTO
(ORIGINAL)]])</f>
        <v>10998290.191088844</v>
      </c>
      <c r="E96" s="3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10998290.191088844</v>
      </c>
      <c r="G96" s="71">
        <f>+SUMIF(CATEGORIAS[[#All],[SUBGRUPO]],A96,CATEGORIAS[[#All],[PRODUCCION
PARTIDAS
ORIGINALES
ACTUAL]])
+SUMIF(CATEGORIAS[[#All],[SUBGRUPO]],A96,CATEGORIAS[[#All],[PRODUCCION
ADICIONALES
ACTUAL]])</f>
        <v>8248717.6433166321</v>
      </c>
      <c r="H96" s="71">
        <f>+SUMIF(CATEGORIAS[[#All],[SUBGRUPO]],A96,CATEGORIAS[[#All],[PROYECCION
DE INGRESO
DEL SALDO]])</f>
        <v>2749572.547772212</v>
      </c>
      <c r="I96" s="71">
        <f t="shared" ref="I96" si="96">G96+H96</f>
        <v>10998290.191088844</v>
      </c>
      <c r="K96" s="71">
        <f>+SUMIF(CATEGORIAS[[#All],[SUBGRUPO]],A96,CATEGORIAS[[#All],[COSTO
ACUMULADO  AX]])
+SUMIF(CATEGORIAS[[#All],[SUBGRUPO]],A96,CATEGORIAS[[#All],[CAMBIO DE
CATEGORIA]])
+SUMIF(CATEGORIAS[[#All],[SUBGRUPO]],A96,CATEGORIAS[[#All],[PROVISIONES]])</f>
        <v>12194049</v>
      </c>
      <c r="L96" s="71">
        <f>+SUMIF(CATEGORIAS[[#All],[SUBGRUPO]],A96,CATEGORIAS[[#All],[PROYECCION
TOTAL DE COSTO]])</f>
        <v>-1195758.8089111559</v>
      </c>
      <c r="M96" s="71">
        <f t="shared" ref="M96" si="97">K96+L96</f>
        <v>10998290.191088844</v>
      </c>
      <c r="O96" s="71">
        <f t="shared" ref="O96" si="98">I96</f>
        <v>10998290.191088844</v>
      </c>
      <c r="P96" s="71">
        <f t="shared" ref="P96" si="99">M96</f>
        <v>10998290.191088844</v>
      </c>
      <c r="Q96" s="234">
        <f t="shared" ref="Q96" si="100">O96-P96</f>
        <v>0</v>
      </c>
      <c r="R96" s="125"/>
    </row>
    <row r="97" spans="1:18" ht="15" customHeight="1" x14ac:dyDescent="0.25">
      <c r="A97" s="14" t="str">
        <f>'Matriz de Produccion'!A98</f>
        <v>1H02</v>
      </c>
      <c r="B97" s="6" t="str">
        <f>VLOOKUP(A97,'Analisis por Categorias'!B:C,2,FALSE)</f>
        <v xml:space="preserve">Containers </v>
      </c>
      <c r="D97" s="3">
        <f>SUMIF(CATEGORIAS[[#All],[SUBGRUPO]],A97,CATEGORIAS[[#All],[PRESUPUESTO
(ORIGINAL)]])</f>
        <v>24060000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24060000</v>
      </c>
      <c r="G97" s="71">
        <f>+SUMIF(CATEGORIAS[[#All],[SUBGRUPO]],A97,CATEGORIAS[[#All],[PRODUCCION
PARTIDAS
ORIGINALES
ACTUAL]])
+SUMIF(CATEGORIAS[[#All],[SUBGRUPO]],A97,CATEGORIAS[[#All],[PRODUCCION
ADICIONALES
ACTUAL]])</f>
        <v>18045000</v>
      </c>
      <c r="H97" s="71">
        <f>+SUMIF(CATEGORIAS[[#All],[SUBGRUPO]],A97,CATEGORIAS[[#All],[PROYECCION
DE INGRESO
DEL SALDO]])</f>
        <v>6015000</v>
      </c>
      <c r="I97" s="71">
        <f t="shared" ref="I97:I102" si="101">G97+H97</f>
        <v>24060000</v>
      </c>
      <c r="K97" s="71">
        <f>+SUMIF(CATEGORIAS[[#All],[SUBGRUPO]],A97,CATEGORIAS[[#All],[COSTO
ACUMULADO  AX]])
+SUMIF(CATEGORIAS[[#All],[SUBGRUPO]],A97,CATEGORIAS[[#All],[CAMBIO DE
CATEGORIA]])
+SUMIF(CATEGORIAS[[#All],[SUBGRUPO]],A97,CATEGORIAS[[#All],[PROVISIONES]])</f>
        <v>12318294</v>
      </c>
      <c r="L97" s="71">
        <f>+SUMIF(CATEGORIAS[[#All],[SUBGRUPO]],A97,CATEGORIAS[[#All],[PROYECCION
TOTAL DE COSTO]])</f>
        <v>11741706</v>
      </c>
      <c r="M97" s="71">
        <f t="shared" ref="M97:M102" si="102">K97+L97</f>
        <v>24060000</v>
      </c>
      <c r="O97" s="71">
        <f t="shared" ref="O97:O102" si="103">I97</f>
        <v>24060000</v>
      </c>
      <c r="P97" s="71">
        <f t="shared" ref="P97:P102" si="104">M97</f>
        <v>24060000</v>
      </c>
      <c r="Q97" s="234">
        <f t="shared" ref="Q97:Q102" si="105">O97-P97</f>
        <v>0</v>
      </c>
      <c r="R97" s="125"/>
    </row>
    <row r="98" spans="1:18" ht="15" customHeight="1" x14ac:dyDescent="0.25">
      <c r="A98" s="14" t="str">
        <f>'Matriz de Produccion'!A99</f>
        <v>1H03</v>
      </c>
      <c r="B98" s="6" t="str">
        <f>VLOOKUP(A98,'Analisis por Categorias'!B:C,2,FALSE)</f>
        <v xml:space="preserve">Materiales </v>
      </c>
      <c r="D98" s="3">
        <f>SUMIF(CATEGORIAS[[#All],[SUBGRUPO]],A98,CATEGORIAS[[#All],[PRESUPUESTO
(ORIGINAL)]])</f>
        <v>33295000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33295000</v>
      </c>
      <c r="G98" s="71">
        <f>+SUMIF(CATEGORIAS[[#All],[SUBGRUPO]],A98,CATEGORIAS[[#All],[PRODUCCION
PARTIDAS
ORIGINALES
ACTUAL]])
+SUMIF(CATEGORIAS[[#All],[SUBGRUPO]],A98,CATEGORIAS[[#All],[PRODUCCION
ADICIONALES
ACTUAL]])</f>
        <v>22848987.451986682</v>
      </c>
      <c r="H98" s="71">
        <f>+SUMIF(CATEGORIAS[[#All],[SUBGRUPO]],A98,CATEGORIAS[[#All],[PROYECCION
DE INGRESO
DEL SALDO]])</f>
        <v>10446012.548013318</v>
      </c>
      <c r="I98" s="71">
        <f t="shared" si="101"/>
        <v>33295000</v>
      </c>
      <c r="K98" s="71">
        <f>+SUMIF(CATEGORIAS[[#All],[SUBGRUPO]],A98,CATEGORIAS[[#All],[COSTO
ACUMULADO  AX]])
+SUMIF(CATEGORIAS[[#All],[SUBGRUPO]],A98,CATEGORIAS[[#All],[CAMBIO DE
CATEGORIA]])
+SUMIF(CATEGORIAS[[#All],[SUBGRUPO]],A98,CATEGORIAS[[#All],[PROVISIONES]])</f>
        <v>10570940</v>
      </c>
      <c r="L98" s="71">
        <f>+SUMIF(CATEGORIAS[[#All],[SUBGRUPO]],A98,CATEGORIAS[[#All],[PROYECCION
TOTAL DE COSTO]])</f>
        <v>22724060</v>
      </c>
      <c r="M98" s="71">
        <f>K98+L98</f>
        <v>33295000</v>
      </c>
      <c r="O98" s="71">
        <f>I98</f>
        <v>33295000</v>
      </c>
      <c r="P98" s="71">
        <f>M98</f>
        <v>33295000</v>
      </c>
      <c r="Q98" s="234">
        <f>O98-P98</f>
        <v>0</v>
      </c>
      <c r="R98" s="125"/>
    </row>
    <row r="99" spans="1:18" ht="15" customHeight="1" x14ac:dyDescent="0.25">
      <c r="A99" s="14" t="str">
        <f>'Matriz de Produccion'!A100</f>
        <v>1H04</v>
      </c>
      <c r="B99" s="6" t="str">
        <f>VLOOKUP(A99,'Analisis por Categorias'!B:C,2,FALSE)</f>
        <v xml:space="preserve">Energía Eléctrica </v>
      </c>
      <c r="D99" s="3">
        <f>SUMIF(CATEGORIAS[[#All],[SUBGRUPO]],A99,CATEGORIAS[[#All],[PRESUPUESTO
(ORIGINAL)]])</f>
        <v>31512000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33457496.931840003</v>
      </c>
      <c r="G99" s="71">
        <f>+SUMIF(CATEGORIAS[[#All],[SUBGRUPO]],A99,CATEGORIAS[[#All],[PRODUCCION
PARTIDAS
ORIGINALES
ACTUAL]])
+SUMIF(CATEGORIAS[[#All],[SUBGRUPO]],A99,CATEGORIAS[[#All],[PRODUCCION
ADICIONALES
ACTUAL]])</f>
        <v>23634000</v>
      </c>
      <c r="H99" s="71">
        <f>+SUMIF(CATEGORIAS[[#All],[SUBGRUPO]],A99,CATEGORIAS[[#All],[PROYECCION
DE INGRESO
DEL SALDO]])</f>
        <v>9823496.9318400007</v>
      </c>
      <c r="I99" s="71">
        <f t="shared" si="101"/>
        <v>33457496.931840003</v>
      </c>
      <c r="K99" s="71">
        <f>+SUMIF(CATEGORIAS[[#All],[SUBGRUPO]],A99,CATEGORIAS[[#All],[COSTO
ACUMULADO  AX]])
+SUMIF(CATEGORIAS[[#All],[SUBGRUPO]],A99,CATEGORIAS[[#All],[CAMBIO DE
CATEGORIA]])
+SUMIF(CATEGORIAS[[#All],[SUBGRUPO]],A99,CATEGORIAS[[#All],[PROVISIONES]])</f>
        <v>4936840</v>
      </c>
      <c r="L99" s="71">
        <f>+SUMIF(CATEGORIAS[[#All],[SUBGRUPO]],A99,CATEGORIAS[[#All],[PROYECCION
TOTAL DE COSTO]])</f>
        <v>28520656.931840003</v>
      </c>
      <c r="M99" s="71">
        <f>K99+L99</f>
        <v>33457496.931840003</v>
      </c>
      <c r="O99" s="71">
        <f>I99</f>
        <v>33457496.931840003</v>
      </c>
      <c r="P99" s="71">
        <f>M99</f>
        <v>33457496.931840003</v>
      </c>
      <c r="Q99" s="234">
        <f>O99-P99</f>
        <v>0</v>
      </c>
      <c r="R99" s="125"/>
    </row>
    <row r="100" spans="1:18" ht="15" customHeight="1" x14ac:dyDescent="0.25">
      <c r="A100" s="14" t="str">
        <f>'Matriz de Produccion'!A101</f>
        <v>1H05</v>
      </c>
      <c r="B100" s="6" t="str">
        <f>VLOOKUP(A100,'Analisis por Categorias'!B:C,2,FALSE)</f>
        <v xml:space="preserve">Mobiliario </v>
      </c>
      <c r="D100" s="3">
        <f>SUMIF(CATEGORIAS[[#All],[SUBGRUPO]],A100,CATEGORIAS[[#All],[PRESUPUESTO
(ORIGINAL)]])</f>
        <v>3695000.0000000005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3695000.0000000005</v>
      </c>
      <c r="G100" s="71">
        <f>+SUMIF(CATEGORIAS[[#All],[SUBGRUPO]],A100,CATEGORIAS[[#All],[PRODUCCION
PARTIDAS
ORIGINALES
ACTUAL]])
+SUMIF(CATEGORIAS[[#All],[SUBGRUPO]],A100,CATEGORIAS[[#All],[PRODUCCION
ADICIONALES
ACTUAL]])</f>
        <v>2771250</v>
      </c>
      <c r="H100" s="71">
        <f>+SUMIF(CATEGORIAS[[#All],[SUBGRUPO]],A100,CATEGORIAS[[#All],[PROYECCION
DE INGRESO
DEL SALDO]])</f>
        <v>923750.00000000047</v>
      </c>
      <c r="I100" s="71">
        <f t="shared" si="101"/>
        <v>3695000.0000000005</v>
      </c>
      <c r="K100" s="71">
        <f>+SUMIF(CATEGORIAS[[#All],[SUBGRUPO]],A100,CATEGORIAS[[#All],[COSTO
ACUMULADO  AX]])
+SUMIF(CATEGORIAS[[#All],[SUBGRUPO]],A100,CATEGORIAS[[#All],[CAMBIO DE
CATEGORIA]])
+SUMIF(CATEGORIAS[[#All],[SUBGRUPO]],A100,CATEGORIAS[[#All],[PROVISIONES]])</f>
        <v>1378909</v>
      </c>
      <c r="L100" s="71">
        <f>+SUMIF(CATEGORIAS[[#All],[SUBGRUPO]],A100,CATEGORIAS[[#All],[PROYECCION
TOTAL DE COSTO]])</f>
        <v>2316091</v>
      </c>
      <c r="M100" s="71">
        <f t="shared" si="102"/>
        <v>3695000</v>
      </c>
      <c r="O100" s="71">
        <f t="shared" si="103"/>
        <v>3695000.0000000005</v>
      </c>
      <c r="P100" s="71">
        <f t="shared" si="104"/>
        <v>3695000</v>
      </c>
      <c r="Q100" s="234">
        <f t="shared" si="105"/>
        <v>0</v>
      </c>
      <c r="R100" s="125"/>
    </row>
    <row r="101" spans="1:18" ht="15" customHeight="1" x14ac:dyDescent="0.25">
      <c r="A101" s="14" t="str">
        <f>'Matriz de Produccion'!A102</f>
        <v>1H06</v>
      </c>
      <c r="B101" s="6" t="str">
        <f>VLOOKUP(A101,'Analisis por Categorias'!B:C,2,FALSE)</f>
        <v xml:space="preserve">Baños Químicos </v>
      </c>
      <c r="D101" s="3">
        <f>SUMIF(CATEGORIAS[[#All],[SUBGRUPO]],A101,CATEGORIAS[[#All],[PRESUPUESTO
(ORIGINAL)]])</f>
        <v>28435644.852235559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28435644.852235559</v>
      </c>
      <c r="G101" s="71">
        <f>+SUMIF(CATEGORIAS[[#All],[SUBGRUPO]],A101,CATEGORIAS[[#All],[PRODUCCION
PARTIDAS
ORIGINALES
ACTUAL]])
+SUMIF(CATEGORIAS[[#All],[SUBGRUPO]],A101,CATEGORIAS[[#All],[PRODUCCION
ADICIONALES
ACTUAL]])</f>
        <v>19917551.307295822</v>
      </c>
      <c r="H101" s="71">
        <f>+SUMIF(CATEGORIAS[[#All],[SUBGRUPO]],A101,CATEGORIAS[[#All],[PROYECCION
DE INGRESO
DEL SALDO]])</f>
        <v>8518093.5449397378</v>
      </c>
      <c r="I101" s="71">
        <f t="shared" si="101"/>
        <v>28435644.852235559</v>
      </c>
      <c r="K101" s="71">
        <f>+SUMIF(CATEGORIAS[[#All],[SUBGRUPO]],A101,CATEGORIAS[[#All],[COSTO
ACUMULADO  AX]])
+SUMIF(CATEGORIAS[[#All],[SUBGRUPO]],A101,CATEGORIAS[[#All],[CAMBIO DE
CATEGORIA]])
+SUMIF(CATEGORIAS[[#All],[SUBGRUPO]],A101,CATEGORIAS[[#All],[PROVISIONES]])</f>
        <v>3290003</v>
      </c>
      <c r="L101" s="71">
        <f>+SUMIF(CATEGORIAS[[#All],[SUBGRUPO]],A101,CATEGORIAS[[#All],[PROYECCION
TOTAL DE COSTO]])</f>
        <v>25145641.852235559</v>
      </c>
      <c r="M101" s="71">
        <f t="shared" si="102"/>
        <v>28435644.852235559</v>
      </c>
      <c r="O101" s="71">
        <f t="shared" si="103"/>
        <v>28435644.852235559</v>
      </c>
      <c r="P101" s="71">
        <f t="shared" si="104"/>
        <v>28435644.852235559</v>
      </c>
      <c r="Q101" s="234">
        <f t="shared" si="105"/>
        <v>0</v>
      </c>
      <c r="R101" s="125"/>
    </row>
    <row r="102" spans="1:18" ht="15" customHeight="1" x14ac:dyDescent="0.25">
      <c r="A102" s="14" t="str">
        <f>'Matriz de Produccion'!A103</f>
        <v>1H07</v>
      </c>
      <c r="B102" s="6" t="str">
        <f>VLOOKUP(A102,'Analisis por Categorias'!B:C,2,FALSE)</f>
        <v>Servicios Básicos (Luz, Agua, Gas)</v>
      </c>
      <c r="D102" s="3">
        <f>SUMIF(CATEGORIAS[[#All],[SUBGRUPO]],A102,CATEGORIAS[[#All],[PRESUPUESTO
(ORIGINAL)]])</f>
        <v>8500000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8500000</v>
      </c>
      <c r="G102" s="71">
        <f>+SUMIF(CATEGORIAS[[#All],[SUBGRUPO]],A102,CATEGORIAS[[#All],[PRODUCCION
PARTIDAS
ORIGINALES
ACTUAL]])
+SUMIF(CATEGORIAS[[#All],[SUBGRUPO]],A102,CATEGORIAS[[#All],[PRODUCCION
ADICIONALES
ACTUAL]])</f>
        <v>6375000</v>
      </c>
      <c r="H102" s="71">
        <f>+SUMIF(CATEGORIAS[[#All],[SUBGRUPO]],A102,CATEGORIAS[[#All],[PROYECCION
DE INGRESO
DEL SALDO]])</f>
        <v>2125000</v>
      </c>
      <c r="I102" s="71">
        <f t="shared" si="101"/>
        <v>8500000</v>
      </c>
      <c r="K102" s="71">
        <f>+SUMIF(CATEGORIAS[[#All],[SUBGRUPO]],A102,CATEGORIAS[[#All],[COSTO
ACUMULADO  AX]])
+SUMIF(CATEGORIAS[[#All],[SUBGRUPO]],A102,CATEGORIAS[[#All],[CAMBIO DE
CATEGORIA]])
+SUMIF(CATEGORIAS[[#All],[SUBGRUPO]],A102,CATEGORIAS[[#All],[PROVISIONES]])</f>
        <v>0</v>
      </c>
      <c r="L102" s="71">
        <f>+SUMIF(CATEGORIAS[[#All],[SUBGRUPO]],A102,CATEGORIAS[[#All],[PROYECCION
TOTAL DE COSTO]])</f>
        <v>8500000</v>
      </c>
      <c r="M102" s="71">
        <f t="shared" si="102"/>
        <v>8500000</v>
      </c>
      <c r="O102" s="71">
        <f t="shared" si="103"/>
        <v>8500000</v>
      </c>
      <c r="P102" s="71">
        <f t="shared" si="104"/>
        <v>8500000</v>
      </c>
      <c r="Q102" s="234">
        <f t="shared" si="105"/>
        <v>0</v>
      </c>
      <c r="R102" s="125"/>
    </row>
    <row r="103" spans="1:18" ht="15" customHeight="1" x14ac:dyDescent="0.25">
      <c r="A103" s="14" t="str">
        <f>'Matriz de Produccion'!A104</f>
        <v>1H08</v>
      </c>
      <c r="B103" s="6" t="str">
        <f>VLOOKUP(A103,'Analisis por Categorias'!B:C,2,FALSE)</f>
        <v xml:space="preserve">Fletes </v>
      </c>
      <c r="D103" s="3">
        <f>SUMIF(CATEGORIAS[[#All],[SUBGRUPO]],A103,CATEGORIAS[[#All],[PRESUPUESTO
(ORIGINAL)]])</f>
        <v>16315638.578070559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16315638.578070559</v>
      </c>
      <c r="G103" s="71">
        <f>+SUMIF(CATEGORIAS[[#All],[SUBGRUPO]],A103,CATEGORIAS[[#All],[PRODUCCION
PARTIDAS
ORIGINALES
ACTUAL]])
+SUMIF(CATEGORIAS[[#All],[SUBGRUPO]],A103,CATEGORIAS[[#All],[PRODUCCION
ADICIONALES
ACTUAL]])</f>
        <v>12236728.933552915</v>
      </c>
      <c r="H103" s="71">
        <f>+SUMIF(CATEGORIAS[[#All],[SUBGRUPO]],A103,CATEGORIAS[[#All],[PROYECCION
DE INGRESO
DEL SALDO]])</f>
        <v>4078909.6445176434</v>
      </c>
      <c r="I103" s="71">
        <f t="shared" ref="I103:I105" si="106">G103+H103</f>
        <v>16315638.578070559</v>
      </c>
      <c r="K103" s="71">
        <f>+SUMIF(CATEGORIAS[[#All],[SUBGRUPO]],A103,CATEGORIAS[[#All],[COSTO
ACUMULADO  AX]])
+SUMIF(CATEGORIAS[[#All],[SUBGRUPO]],A103,CATEGORIAS[[#All],[CAMBIO DE
CATEGORIA]])
+SUMIF(CATEGORIAS[[#All],[SUBGRUPO]],A103,CATEGORIAS[[#All],[PROVISIONES]])</f>
        <v>0</v>
      </c>
      <c r="L103" s="71">
        <f>+SUMIF(CATEGORIAS[[#All],[SUBGRUPO]],A103,CATEGORIAS[[#All],[PROYECCION
TOTAL DE COSTO]])</f>
        <v>16315638.578070559</v>
      </c>
      <c r="M103" s="71">
        <f t="shared" ref="M103:M105" si="107">K103+L103</f>
        <v>16315638.578070559</v>
      </c>
      <c r="O103" s="71">
        <f t="shared" ref="O103:O105" si="108">I103</f>
        <v>16315638.578070559</v>
      </c>
      <c r="P103" s="71">
        <f t="shared" ref="P103:P105" si="109">M103</f>
        <v>16315638.578070559</v>
      </c>
      <c r="Q103" s="234">
        <f t="shared" ref="Q103:Q105" si="110">O103-P103</f>
        <v>0</v>
      </c>
      <c r="R103" s="125"/>
    </row>
    <row r="104" spans="1:18" ht="15" customHeight="1" x14ac:dyDescent="0.25">
      <c r="A104" s="14" t="str">
        <f>'Matriz de Produccion'!A105</f>
        <v>1H09</v>
      </c>
      <c r="B104" s="6" t="str">
        <f>VLOOKUP(A104,'Analisis por Categorias'!B:C,2,FALSE)</f>
        <v xml:space="preserve">Combustibles </v>
      </c>
      <c r="D104" s="3">
        <f>SUMIF(CATEGORIAS[[#All],[SUBGRUPO]],A104,CATEGORIAS[[#All],[PRESUPUESTO
(ORIGINAL)]])</f>
        <v>0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71">
        <f>+SUMIF(CATEGORIAS[[#All],[SUBGRUPO]],A104,CATEGORIAS[[#All],[PRODUCCION
PARTIDAS
ORIGINALES
ACTUAL]])
+SUMIF(CATEGORIAS[[#All],[SUBGRUPO]],A104,CATEGORIAS[[#All],[PRODUCCION
ADICIONALES
ACTUAL]])</f>
        <v>0</v>
      </c>
      <c r="H104" s="71">
        <f>+SUMIF(CATEGORIAS[[#All],[SUBGRUPO]],A104,CATEGORIAS[[#All],[PROYECCION
DE INGRESO
DEL SALDO]])</f>
        <v>0</v>
      </c>
      <c r="I104" s="71">
        <f t="shared" si="106"/>
        <v>0</v>
      </c>
      <c r="K104" s="71">
        <f>+SUMIF(CATEGORIAS[[#All],[SUBGRUPO]],A104,CATEGORIAS[[#All],[COSTO
ACUMULADO  AX]])
+SUMIF(CATEGORIAS[[#All],[SUBGRUPO]],A104,CATEGORIAS[[#All],[CAMBIO DE
CATEGORIA]])
+SUMIF(CATEGORIAS[[#All],[SUBGRUPO]],A104,CATEGORIAS[[#All],[PROVISIONES]])</f>
        <v>0</v>
      </c>
      <c r="L104" s="71">
        <f>+SUMIF(CATEGORIAS[[#All],[SUBGRUPO]],A104,CATEGORIAS[[#All],[PROYECCION
TOTAL DE COSTO]])</f>
        <v>0</v>
      </c>
      <c r="M104" s="71">
        <f t="shared" si="107"/>
        <v>0</v>
      </c>
      <c r="O104" s="71">
        <f t="shared" si="108"/>
        <v>0</v>
      </c>
      <c r="P104" s="71">
        <f t="shared" si="109"/>
        <v>0</v>
      </c>
      <c r="Q104" s="234">
        <f t="shared" si="110"/>
        <v>0</v>
      </c>
      <c r="R104" s="125"/>
    </row>
    <row r="105" spans="1:18" ht="15" customHeight="1" x14ac:dyDescent="0.25">
      <c r="A105" s="14" t="str">
        <f>'Matriz de Produccion'!A106</f>
        <v>1H10</v>
      </c>
      <c r="B105" s="6" t="str">
        <f>VLOOKUP(A105,'Analisis por Categorias'!B:C,2,FALSE)</f>
        <v xml:space="preserve">Permisos De Construcción </v>
      </c>
      <c r="D105" s="3">
        <f>SUMIF(CATEGORIAS[[#All],[SUBGRUPO]],A105,CATEGORIAS[[#All],[PRESUPUESTO
(ORIGINAL)]])</f>
        <v>8000000.0000000019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8000000.0000000019</v>
      </c>
      <c r="G105" s="71">
        <f>+SUMIF(CATEGORIAS[[#All],[SUBGRUPO]],A105,CATEGORIAS[[#All],[PRODUCCION
PARTIDAS
ORIGINALES
ACTUAL]])
+SUMIF(CATEGORIAS[[#All],[SUBGRUPO]],A105,CATEGORIAS[[#All],[PRODUCCION
ADICIONALES
ACTUAL]])</f>
        <v>3736253.2821191279</v>
      </c>
      <c r="H105" s="71">
        <f>+SUMIF(CATEGORIAS[[#All],[SUBGRUPO]],A105,CATEGORIAS[[#All],[PROYECCION
DE INGRESO
DEL SALDO]])</f>
        <v>4263746.7178808739</v>
      </c>
      <c r="I105" s="71">
        <f t="shared" si="106"/>
        <v>8000000.0000000019</v>
      </c>
      <c r="K105" s="71">
        <f>+SUMIF(CATEGORIAS[[#All],[SUBGRUPO]],A105,CATEGORIAS[[#All],[COSTO
ACUMULADO  AX]])
+SUMIF(CATEGORIAS[[#All],[SUBGRUPO]],A105,CATEGORIAS[[#All],[CAMBIO DE
CATEGORIA]])
+SUMIF(CATEGORIAS[[#All],[SUBGRUPO]],A105,CATEGORIAS[[#All],[PROVISIONES]])</f>
        <v>0</v>
      </c>
      <c r="L105" s="71">
        <f>+SUMIF(CATEGORIAS[[#All],[SUBGRUPO]],A105,CATEGORIAS[[#All],[PROYECCION
TOTAL DE COSTO]])</f>
        <v>8000000.0000000019</v>
      </c>
      <c r="M105" s="71">
        <f t="shared" si="107"/>
        <v>8000000.0000000019</v>
      </c>
      <c r="O105" s="71">
        <f t="shared" si="108"/>
        <v>8000000.0000000019</v>
      </c>
      <c r="P105" s="71">
        <f t="shared" si="109"/>
        <v>8000000.0000000019</v>
      </c>
      <c r="Q105" s="234">
        <f t="shared" si="110"/>
        <v>0</v>
      </c>
      <c r="R105" s="125"/>
    </row>
    <row r="106" spans="1:18" ht="8.25" customHeight="1" x14ac:dyDescent="0.25">
      <c r="Q106" s="233"/>
      <c r="R106" s="125"/>
    </row>
    <row r="107" spans="1:18" ht="14.25" customHeight="1" x14ac:dyDescent="0.25">
      <c r="A107" s="14" t="str">
        <f>'Matriz de Produccion'!A108</f>
        <v>1I00</v>
      </c>
      <c r="B107" s="81" t="str">
        <f>'Matriz de Produccion'!B108:B108</f>
        <v>I - GASTOS GENERALES</v>
      </c>
      <c r="D107" s="82">
        <f>SUM(D108:D117)</f>
        <v>235079922.81330013</v>
      </c>
      <c r="E107" s="82">
        <f>SUM(E108:E117)</f>
        <v>235628938.07993358</v>
      </c>
      <c r="G107" s="83">
        <f>SUM(G108:G117)</f>
        <v>94414254.75669086</v>
      </c>
      <c r="H107" s="83">
        <f>SUM(H108:H117)</f>
        <v>141214683.32324272</v>
      </c>
      <c r="I107" s="83">
        <f>SUM(I108:I117)</f>
        <v>235628938.07993358</v>
      </c>
      <c r="K107" s="84">
        <f>SUM(K108:K117)</f>
        <v>90137143.471200004</v>
      </c>
      <c r="L107" s="84">
        <f>SUM(L108:L117)</f>
        <v>145491794.60873359</v>
      </c>
      <c r="M107" s="84">
        <f>SUM(M108:M117)</f>
        <v>235628938.07993358</v>
      </c>
      <c r="O107" s="12">
        <f>SUM(O108:O117)</f>
        <v>235628938.07993358</v>
      </c>
      <c r="P107" s="11">
        <f>SUM(P108:P117)</f>
        <v>235628938.07993358</v>
      </c>
      <c r="Q107" s="232">
        <f>SUM(Q108:Q117)</f>
        <v>0</v>
      </c>
      <c r="R107" s="125"/>
    </row>
    <row r="108" spans="1:18" ht="15" customHeight="1" x14ac:dyDescent="0.25">
      <c r="A108" s="14" t="str">
        <f>'Matriz de Produccion'!A109</f>
        <v>1I01</v>
      </c>
      <c r="B108" s="6" t="str">
        <f>VLOOKUP(A108,'Analisis por Categorias'!B:C,2,FALSE)</f>
        <v xml:space="preserve">Gastos contratación </v>
      </c>
      <c r="D108" s="3">
        <f>SUMIF(CATEGORIAS[[#All],[SUBGRUPO]],A108,CATEGORIAS[[#All],[PRESUPUESTO
(ORIGINAL)]])</f>
        <v>169007626.47784966</v>
      </c>
      <c r="E108" s="3">
        <f>+SUMIF(CATEGORIAS[[#All],[SUBGRUPO]],A108,CATEGORIAS[[#All],[PRODUCCION
PARTIDAS
ORIGINALES
ACTUAL]])
+SUMIF(CATEGORIAS[[#All],[SUBGRUPO]],A108,CATEGORIAS[[#All],[PRODUCCION
ADICIONALES
ACTUAL]])
+SUMIF(CATEGORIAS[[#All],[SUBGRUPO]],A108,CATEGORIAS[[#All],[PROYECCION
DE INGRESO
DEL SALDO]])</f>
        <v>169007626.47784966</v>
      </c>
      <c r="G108" s="71">
        <f>+SUMIF(CATEGORIAS[[#All],[SUBGRUPO]],A108,CATEGORIAS[[#All],[PRODUCCION
PARTIDAS
ORIGINALES
ACTUAL]])
+SUMIF(CATEGORIAS[[#All],[SUBGRUPO]],A108,CATEGORIAS[[#All],[PRODUCCION
ADICIONALES
ACTUAL]])</f>
        <v>64347808.25306838</v>
      </c>
      <c r="H108" s="71">
        <f>+SUMIF(CATEGORIAS[[#All],[SUBGRUPO]],A108,CATEGORIAS[[#All],[PROYECCION
DE INGRESO
DEL SALDO]])</f>
        <v>104659818.22478127</v>
      </c>
      <c r="I108" s="71">
        <f t="shared" ref="I108:I113" si="111">G108+H108</f>
        <v>169007626.47784966</v>
      </c>
      <c r="K108" s="71">
        <f>+SUMIF(CATEGORIAS[[#All],[SUBGRUPO]],A108,CATEGORIAS[[#All],[COSTO
ACUMULADO  AX]])
+SUMIF(CATEGORIAS[[#All],[SUBGRUPO]],A108,CATEGORIAS[[#All],[CAMBIO DE
CATEGORIA]])
+SUMIF(CATEGORIAS[[#All],[SUBGRUPO]],A108,CATEGORIAS[[#All],[PROVISIONES]])</f>
        <v>26964885</v>
      </c>
      <c r="L108" s="71">
        <f>+SUMIF(CATEGORIAS[[#All],[SUBGRUPO]],A108,CATEGORIAS[[#All],[PROYECCION
TOTAL DE COSTO]])</f>
        <v>142042741.47784966</v>
      </c>
      <c r="M108" s="71">
        <f t="shared" ref="M108:M113" si="112">K108+L108</f>
        <v>169007626.47784966</v>
      </c>
      <c r="O108" s="71">
        <f t="shared" ref="O108:O113" si="113">I108</f>
        <v>169007626.47784966</v>
      </c>
      <c r="P108" s="71">
        <f t="shared" ref="P108:P113" si="114">M108</f>
        <v>169007626.47784966</v>
      </c>
      <c r="Q108" s="234">
        <f t="shared" ref="Q108:Q113" si="115">O108-P108</f>
        <v>0</v>
      </c>
      <c r="R108" s="125"/>
    </row>
    <row r="109" spans="1:18" ht="15" customHeight="1" x14ac:dyDescent="0.25">
      <c r="A109" s="14" t="str">
        <f>'Matriz de Produccion'!A110</f>
        <v>1I02</v>
      </c>
      <c r="B109" s="6" t="str">
        <f>VLOOKUP(A109,'Analisis por Categorias'!B:C,2,FALSE)</f>
        <v>Otros Gastos Generales</v>
      </c>
      <c r="D109" s="3">
        <f>SUMIF(CATEGORIAS[[#All],[SUBGRUPO]],A109,CATEGORIAS[[#All],[PRESUPUESTO
(ORIGINAL)]])</f>
        <v>1470322.9617211157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1470322.9617211157</v>
      </c>
      <c r="G109" s="71">
        <f>+SUMIF(CATEGORIAS[[#All],[SUBGRUPO]],A109,CATEGORIAS[[#All],[PRODUCCION
PARTIDAS
ORIGINALES
ACTUAL]])
+SUMIF(CATEGORIAS[[#All],[SUBGRUPO]],A109,CATEGORIAS[[#All],[PRODUCCION
ADICIONALES
ACTUAL]])</f>
        <v>686687.37393820425</v>
      </c>
      <c r="H109" s="71">
        <f>+SUMIF(CATEGORIAS[[#All],[SUBGRUPO]],A109,CATEGORIAS[[#All],[PROYECCION
DE INGRESO
DEL SALDO]])</f>
        <v>783635.58778291149</v>
      </c>
      <c r="I109" s="71">
        <f t="shared" si="111"/>
        <v>1470322.9617211157</v>
      </c>
      <c r="K109" s="71">
        <f>+SUMIF(CATEGORIAS[[#All],[SUBGRUPO]],A109,CATEGORIAS[[#All],[COSTO
ACUMULADO  AX]])
+SUMIF(CATEGORIAS[[#All],[SUBGRUPO]],A109,CATEGORIAS[[#All],[CAMBIO DE
CATEGORIA]])
+SUMIF(CATEGORIAS[[#All],[SUBGRUPO]],A109,CATEGORIAS[[#All],[PROVISIONES]])</f>
        <v>22077561</v>
      </c>
      <c r="L109" s="71">
        <f>+SUMIF(CATEGORIAS[[#All],[SUBGRUPO]],A109,CATEGORIAS[[#All],[PROYECCION
TOTAL DE COSTO]])</f>
        <v>-20607238.038278885</v>
      </c>
      <c r="M109" s="71">
        <f t="shared" si="112"/>
        <v>1470322.9617211148</v>
      </c>
      <c r="O109" s="71">
        <f t="shared" si="113"/>
        <v>1470322.9617211157</v>
      </c>
      <c r="P109" s="71">
        <f t="shared" si="114"/>
        <v>1470322.9617211148</v>
      </c>
      <c r="Q109" s="234">
        <f t="shared" si="115"/>
        <v>0</v>
      </c>
      <c r="R109" s="125"/>
    </row>
    <row r="110" spans="1:18" ht="15" customHeight="1" x14ac:dyDescent="0.25">
      <c r="A110" s="14" t="str">
        <f>'Matriz de Produccion'!A111</f>
        <v>1I03</v>
      </c>
      <c r="B110" s="6" t="str">
        <f>VLOOKUP(A110,'Analisis por Categorias'!B:C,2,FALSE)</f>
        <v>Internet</v>
      </c>
      <c r="D110" s="3">
        <f>SUMIF(CATEGORIAS[[#All],[SUBGRUPO]],A110,CATEGORIAS[[#All],[PRESUPUESTO
(ORIGINAL)]])</f>
        <v>3623408.6400000006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3623408.6400000006</v>
      </c>
      <c r="G110" s="71">
        <f>+SUMIF(CATEGORIAS[[#All],[SUBGRUPO]],A110,CATEGORIAS[[#All],[PRODUCCION
PARTIDAS
ORIGINALES
ACTUAL]])
+SUMIF(CATEGORIAS[[#All],[SUBGRUPO]],A110,CATEGORIAS[[#All],[PRODUCCION
ADICIONALES
ACTUAL]])</f>
        <v>1692246.5529573506</v>
      </c>
      <c r="H110" s="71">
        <f>+SUMIF(CATEGORIAS[[#All],[SUBGRUPO]],A110,CATEGORIAS[[#All],[PROYECCION
DE INGRESO
DEL SALDO]])</f>
        <v>1931162.08704265</v>
      </c>
      <c r="I110" s="71">
        <f t="shared" si="111"/>
        <v>3623408.6400000006</v>
      </c>
      <c r="K110" s="71">
        <f>+SUMIF(CATEGORIAS[[#All],[SUBGRUPO]],A110,CATEGORIAS[[#All],[COSTO
ACUMULADO  AX]])
+SUMIF(CATEGORIAS[[#All],[SUBGRUPO]],A110,CATEGORIAS[[#All],[CAMBIO DE
CATEGORIA]])
+SUMIF(CATEGORIAS[[#All],[SUBGRUPO]],A110,CATEGORIAS[[#All],[PROVISIONES]])</f>
        <v>29404</v>
      </c>
      <c r="L110" s="71">
        <f>+SUMIF(CATEGORIAS[[#All],[SUBGRUPO]],A110,CATEGORIAS[[#All],[PROYECCION
TOTAL DE COSTO]])</f>
        <v>3594004.6400000006</v>
      </c>
      <c r="M110" s="85">
        <f t="shared" si="112"/>
        <v>3623408.6400000006</v>
      </c>
      <c r="O110" s="85">
        <f t="shared" si="113"/>
        <v>3623408.6400000006</v>
      </c>
      <c r="P110" s="85">
        <f t="shared" si="114"/>
        <v>3623408.6400000006</v>
      </c>
      <c r="Q110" s="235">
        <f t="shared" si="115"/>
        <v>0</v>
      </c>
      <c r="R110" s="125"/>
    </row>
    <row r="111" spans="1:18" ht="15" customHeight="1" x14ac:dyDescent="0.25">
      <c r="A111" s="14" t="str">
        <f>'Matriz de Produccion'!A112</f>
        <v>1I04</v>
      </c>
      <c r="B111" s="6" t="str">
        <f>VLOOKUP(A111,'Analisis por Categorias'!B:C,2,FALSE)</f>
        <v xml:space="preserve">Fletes generales de Obra </v>
      </c>
      <c r="D111" s="3">
        <f>SUMIF(CATEGORIAS[[#All],[SUBGRUPO]],A111,CATEGORIAS[[#All],[PRESUPUESTO
(ORIGINAL)]])</f>
        <v>17524296.883200001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18073312.149833452</v>
      </c>
      <c r="G111" s="71">
        <f>+SUMIF(CATEGORIAS[[#All],[SUBGRUPO]],A111,CATEGORIAS[[#All],[PRODUCCION
PARTIDAS
ORIGINALES
ACTUAL]])
+SUMIF(CATEGORIAS[[#All],[SUBGRUPO]],A111,CATEGORIAS[[#All],[PRODUCCION
ADICIONALES
ACTUAL]])</f>
        <v>8733416.7349692062</v>
      </c>
      <c r="H111" s="71">
        <f>+SUMIF(CATEGORIAS[[#All],[SUBGRUPO]],A111,CATEGORIAS[[#All],[PROYECCION
DE INGRESO
DEL SALDO]])</f>
        <v>9339895.4148642458</v>
      </c>
      <c r="I111" s="71">
        <f t="shared" si="111"/>
        <v>18073312.149833452</v>
      </c>
      <c r="K111" s="71">
        <f>+SUMIF(CATEGORIAS[[#All],[SUBGRUPO]],A111,CATEGORIAS[[#All],[COSTO
ACUMULADO  AX]])
+SUMIF(CATEGORIAS[[#All],[SUBGRUPO]],A111,CATEGORIAS[[#All],[CAMBIO DE
CATEGORIA]])
+SUMIF(CATEGORIAS[[#All],[SUBGRUPO]],A111,CATEGORIAS[[#All],[PROVISIONES]])</f>
        <v>27236392</v>
      </c>
      <c r="L111" s="71">
        <f>+SUMIF(CATEGORIAS[[#All],[SUBGRUPO]],A111,CATEGORIAS[[#All],[PROYECCION
TOTAL DE COSTO]])</f>
        <v>-9163079.850166548</v>
      </c>
      <c r="M111" s="71">
        <f t="shared" si="112"/>
        <v>18073312.149833452</v>
      </c>
      <c r="O111" s="71">
        <f t="shared" si="113"/>
        <v>18073312.149833452</v>
      </c>
      <c r="P111" s="71">
        <f t="shared" si="114"/>
        <v>18073312.149833452</v>
      </c>
      <c r="Q111" s="234">
        <f t="shared" si="115"/>
        <v>0</v>
      </c>
      <c r="R111" s="125"/>
    </row>
    <row r="112" spans="1:18" ht="15" customHeight="1" x14ac:dyDescent="0.25">
      <c r="A112" s="14" t="str">
        <f>'Matriz de Produccion'!A113</f>
        <v>1I05</v>
      </c>
      <c r="B112" s="6" t="str">
        <f>VLOOKUP(A112,'Analisis por Categorias'!B:C,2,FALSE)</f>
        <v>Telecomunicaciones</v>
      </c>
      <c r="D112" s="3">
        <f>SUMIF(CATEGORIAS[[#All],[SUBGRUPO]],A112,CATEGORIAS[[#All],[PRESUPUESTO
(ORIGINAL)]])</f>
        <v>11671910.636503397</v>
      </c>
      <c r="E112" s="3">
        <f>+SUMIF(CATEGORIAS[[#All],[SUBGRUPO]],A112,CATEGORIAS[[#All],[PRODUCCION
PARTIDAS
ORIGINALES
ACTUAL]])
+SUMIF(CATEGORIAS[[#All],[SUBGRUPO]],A112,CATEGORIAS[[#All],[PRODUCCION
ADICIONALES
ACTUAL]])
+SUMIF(CATEGORIAS[[#All],[SUBGRUPO]],A112,CATEGORIAS[[#All],[PROYECCION
DE INGRESO
DEL SALDO]])</f>
        <v>11671910.636503397</v>
      </c>
      <c r="G112" s="71">
        <f>+SUMIF(CATEGORIAS[[#All],[SUBGRUPO]],A112,CATEGORIAS[[#All],[PRODUCCION
PARTIDAS
ORIGINALES
ACTUAL]])
+SUMIF(CATEGORIAS[[#All],[SUBGRUPO]],A112,CATEGORIAS[[#All],[PRODUCCION
ADICIONALES
ACTUAL]])</f>
        <v>5451151.803029621</v>
      </c>
      <c r="H112" s="71">
        <f>+SUMIF(CATEGORIAS[[#All],[SUBGRUPO]],A112,CATEGORIAS[[#All],[PROYECCION
DE INGRESO
DEL SALDO]])</f>
        <v>6220758.8334737755</v>
      </c>
      <c r="I112" s="71">
        <f t="shared" si="111"/>
        <v>11671910.636503397</v>
      </c>
      <c r="K112" s="71">
        <f>+SUMIF(CATEGORIAS[[#All],[SUBGRUPO]],A112,CATEGORIAS[[#All],[COSTO
ACUMULADO  AX]])
+SUMIF(CATEGORIAS[[#All],[SUBGRUPO]],A112,CATEGORIAS[[#All],[CAMBIO DE
CATEGORIA]])
+SUMIF(CATEGORIAS[[#All],[SUBGRUPO]],A112,CATEGORIAS[[#All],[PROVISIONES]])</f>
        <v>479028</v>
      </c>
      <c r="L112" s="71">
        <f>+SUMIF(CATEGORIAS[[#All],[SUBGRUPO]],A112,CATEGORIAS[[#All],[PROYECCION
TOTAL DE COSTO]])</f>
        <v>11192882.636503397</v>
      </c>
      <c r="M112" s="85">
        <f t="shared" si="112"/>
        <v>11671910.636503397</v>
      </c>
      <c r="O112" s="85">
        <f t="shared" si="113"/>
        <v>11671910.636503397</v>
      </c>
      <c r="P112" s="85">
        <f t="shared" si="114"/>
        <v>11671910.636503397</v>
      </c>
      <c r="Q112" s="235">
        <f t="shared" si="115"/>
        <v>0</v>
      </c>
      <c r="R112" s="125"/>
    </row>
    <row r="113" spans="1:18" ht="15" customHeight="1" x14ac:dyDescent="0.25">
      <c r="A113" s="14" t="str">
        <f>'Matriz de Produccion'!A114</f>
        <v>1I06</v>
      </c>
      <c r="B113" s="6" t="str">
        <f>VLOOKUP(A113,'Analisis por Categorias'!B:C,2,FALSE)</f>
        <v>Computación y Software</v>
      </c>
      <c r="D113" s="3">
        <f>SUMIF(CATEGORIAS[[#All],[SUBGRUPO]],A113,CATEGORIAS[[#All],[PRESUPUESTO
(ORIGINAL)]])</f>
        <v>14068881.920000002</v>
      </c>
      <c r="E113" s="3">
        <f>+SUMIF(CATEGORIAS[[#All],[SUBGRUPO]],A113,CATEGORIAS[[#All],[PRODUCCION
PARTIDAS
ORIGINALES
ACTUAL]])
+SUMIF(CATEGORIAS[[#All],[SUBGRUPO]],A113,CATEGORIAS[[#All],[PRODUCCION
ADICIONALES
ACTUAL]])
+SUMIF(CATEGORIAS[[#All],[SUBGRUPO]],A113,CATEGORIAS[[#All],[PROYECCION
DE INGRESO
DEL SALDO]])</f>
        <v>14068881.920000002</v>
      </c>
      <c r="G113" s="71">
        <f>+SUMIF(CATEGORIAS[[#All],[SUBGRUPO]],A113,CATEGORIAS[[#All],[PRODUCCION
PARTIDAS
ORIGINALES
ACTUAL]])
+SUMIF(CATEGORIAS[[#All],[SUBGRUPO]],A113,CATEGORIAS[[#All],[PRODUCCION
ADICIONALES
ACTUAL]])</f>
        <v>6570613.2811683053</v>
      </c>
      <c r="H113" s="71">
        <f>+SUMIF(CATEGORIAS[[#All],[SUBGRUPO]],A113,CATEGORIAS[[#All],[PROYECCION
DE INGRESO
DEL SALDO]])</f>
        <v>7498268.6388316965</v>
      </c>
      <c r="I113" s="71">
        <f t="shared" si="111"/>
        <v>14068881.920000002</v>
      </c>
      <c r="K113" s="71">
        <f>+SUMIF(CATEGORIAS[[#All],[SUBGRUPO]],A113,CATEGORIAS[[#All],[COSTO
ACUMULADO  AX]])
+SUMIF(CATEGORIAS[[#All],[SUBGRUPO]],A113,CATEGORIAS[[#All],[CAMBIO DE
CATEGORIA]])
+SUMIF(CATEGORIAS[[#All],[SUBGRUPO]],A113,CATEGORIAS[[#All],[PROVISIONES]])</f>
        <v>2169496.4711999996</v>
      </c>
      <c r="L113" s="71">
        <f>+SUMIF(CATEGORIAS[[#All],[SUBGRUPO]],A113,CATEGORIAS[[#All],[PROYECCION
TOTAL DE COSTO]])</f>
        <v>11899385.448800001</v>
      </c>
      <c r="M113" s="71">
        <f t="shared" si="112"/>
        <v>14068881.920000002</v>
      </c>
      <c r="O113" s="71">
        <f t="shared" si="113"/>
        <v>14068881.920000002</v>
      </c>
      <c r="P113" s="71">
        <f t="shared" si="114"/>
        <v>14068881.920000002</v>
      </c>
      <c r="Q113" s="234">
        <f t="shared" si="115"/>
        <v>0</v>
      </c>
      <c r="R113" s="125"/>
    </row>
    <row r="114" spans="1:18" ht="15" customHeight="1" x14ac:dyDescent="0.25">
      <c r="A114" s="14" t="str">
        <f>'Matriz de Produccion'!A115</f>
        <v>1I07</v>
      </c>
      <c r="B114" s="6" t="str">
        <f>VLOOKUP(A114,'Analisis por Categorias'!B:C,2,FALSE)</f>
        <v>Gastos Oficina</v>
      </c>
      <c r="D114" s="3">
        <f>SUMIF(CATEGORIAS[[#All],[SUBGRUPO]],A114,CATEGORIAS[[#All],[PRESUPUESTO
(ORIGINAL)]])</f>
        <v>6170090.2575000012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6170090.2575000012</v>
      </c>
      <c r="G114" s="71">
        <f>+SUMIF(CATEGORIAS[[#All],[SUBGRUPO]],A114,CATEGORIAS[[#All],[PRODUCCION
PARTIDAS
ORIGINALES
ACTUAL]])
+SUMIF(CATEGORIAS[[#All],[SUBGRUPO]],A114,CATEGORIAS[[#All],[PRODUCCION
ADICIONALES
ACTUAL]])</f>
        <v>1541204.4788741404</v>
      </c>
      <c r="H114" s="71">
        <f>+SUMIF(CATEGORIAS[[#All],[SUBGRUPO]],A114,CATEGORIAS[[#All],[PROYECCION
DE INGRESO
DEL SALDO]])</f>
        <v>4628885.7786258608</v>
      </c>
      <c r="I114" s="71">
        <f t="shared" ref="I114:I117" si="116">G114+H114</f>
        <v>6170090.2575000012</v>
      </c>
      <c r="K114" s="71">
        <f>+SUMIF(CATEGORIAS[[#All],[SUBGRUPO]],A114,CATEGORIAS[[#All],[COSTO
ACUMULADO  AX]])
+SUMIF(CATEGORIAS[[#All],[SUBGRUPO]],A114,CATEGORIAS[[#All],[CAMBIO DE
CATEGORIA]])
+SUMIF(CATEGORIAS[[#All],[SUBGRUPO]],A114,CATEGORIAS[[#All],[PROVISIONES]])</f>
        <v>4091211</v>
      </c>
      <c r="L114" s="71">
        <f>+SUMIF(CATEGORIAS[[#All],[SUBGRUPO]],A114,CATEGORIAS[[#All],[PROYECCION
TOTAL DE COSTO]])</f>
        <v>2078879.2575000012</v>
      </c>
      <c r="M114" s="85">
        <f t="shared" ref="M114:M117" si="117">K114+L114</f>
        <v>6170090.2575000012</v>
      </c>
      <c r="O114" s="85">
        <f t="shared" ref="O114:O117" si="118">I114</f>
        <v>6170090.2575000012</v>
      </c>
      <c r="P114" s="85">
        <f t="shared" ref="P114:P117" si="119">M114</f>
        <v>6170090.2575000012</v>
      </c>
      <c r="Q114" s="235">
        <f t="shared" ref="Q114:Q117" si="120">O114-P114</f>
        <v>0</v>
      </c>
      <c r="R114" s="125"/>
    </row>
    <row r="115" spans="1:18" ht="15" customHeight="1" x14ac:dyDescent="0.25">
      <c r="A115" s="14" t="str">
        <f>'Matriz de Produccion'!A116</f>
        <v>1I08</v>
      </c>
      <c r="B115" s="6" t="str">
        <f>VLOOKUP(A115,'Analisis por Categorias'!B:C,2,FALSE)</f>
        <v>Calificaciones</v>
      </c>
      <c r="D115" s="3">
        <f>SUMIF(CATEGORIAS[[#All],[SUBGRUPO]],A115,CATEGORIAS[[#All],[PRESUPUESTO
(ORIGINAL)]])</f>
        <v>0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0</v>
      </c>
      <c r="G115" s="71">
        <f>+SUMIF(CATEGORIAS[[#All],[SUBGRUPO]],A115,CATEGORIAS[[#All],[PRODUCCION
PARTIDAS
ORIGINALES
ACTUAL]])
+SUMIF(CATEGORIAS[[#All],[SUBGRUPO]],A115,CATEGORIAS[[#All],[PRODUCCION
ADICIONALES
ACTUAL]])</f>
        <v>0</v>
      </c>
      <c r="H115" s="71">
        <f>+SUMIF(CATEGORIAS[[#All],[SUBGRUPO]],A115,CATEGORIAS[[#All],[PROYECCION
DE INGRESO
DEL SALDO]])</f>
        <v>0</v>
      </c>
      <c r="I115" s="71">
        <f t="shared" si="116"/>
        <v>0</v>
      </c>
      <c r="K115" s="71">
        <f>+SUMIF(CATEGORIAS[[#All],[SUBGRUPO]],A115,CATEGORIAS[[#All],[COSTO
ACUMULADO  AX]])
+SUMIF(CATEGORIAS[[#All],[SUBGRUPO]],A115,CATEGORIAS[[#All],[CAMBIO DE
CATEGORIA]])
+SUMIF(CATEGORIAS[[#All],[SUBGRUPO]],A115,CATEGORIAS[[#All],[PROVISIONES]])</f>
        <v>0</v>
      </c>
      <c r="L115" s="71">
        <f>+SUMIF(CATEGORIAS[[#All],[SUBGRUPO]],A115,CATEGORIAS[[#All],[PROYECCION
TOTAL DE COSTO]])</f>
        <v>0</v>
      </c>
      <c r="M115" s="85">
        <f t="shared" si="117"/>
        <v>0</v>
      </c>
      <c r="O115" s="85">
        <f t="shared" si="118"/>
        <v>0</v>
      </c>
      <c r="P115" s="85">
        <f t="shared" si="119"/>
        <v>0</v>
      </c>
      <c r="Q115" s="235">
        <f t="shared" si="120"/>
        <v>0</v>
      </c>
      <c r="R115" s="125"/>
    </row>
    <row r="116" spans="1:18" ht="15" customHeight="1" x14ac:dyDescent="0.25">
      <c r="A116" s="14" t="str">
        <f>'Matriz de Produccion'!A117</f>
        <v>1I09</v>
      </c>
      <c r="B116" s="6" t="str">
        <f>VLOOKUP(A116,'Analisis por Categorias'!B:C,2,FALSE)</f>
        <v>Seguridad MOI</v>
      </c>
      <c r="D116" s="3">
        <f>SUMIF(CATEGORIAS[[#All],[SUBGRUPO]],A116,CATEGORIAS[[#All],[PRESUPUESTO
(ORIGINAL)]])</f>
        <v>6483651.42857143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6483651.42857143</v>
      </c>
      <c r="G116" s="71">
        <f>+SUMIF(CATEGORIAS[[#All],[SUBGRUPO]],A116,CATEGORIAS[[#All],[PRODUCCION
PARTIDAS
ORIGINALES
ACTUAL]])
+SUMIF(CATEGORIAS[[#All],[SUBGRUPO]],A116,CATEGORIAS[[#All],[PRODUCCION
ADICIONALES
ACTUAL]])</f>
        <v>3028070.4912645472</v>
      </c>
      <c r="H116" s="71">
        <f>+SUMIF(CATEGORIAS[[#All],[SUBGRUPO]],A116,CATEGORIAS[[#All],[PROYECCION
DE INGRESO
DEL SALDO]])</f>
        <v>3455580.9373068828</v>
      </c>
      <c r="I116" s="71">
        <f t="shared" si="116"/>
        <v>6483651.42857143</v>
      </c>
      <c r="K116" s="71">
        <f>+SUMIF(CATEGORIAS[[#All],[SUBGRUPO]],A116,CATEGORIAS[[#All],[COSTO
ACUMULADO  AX]])
+SUMIF(CATEGORIAS[[#All],[SUBGRUPO]],A116,CATEGORIAS[[#All],[CAMBIO DE
CATEGORIA]])
+SUMIF(CATEGORIAS[[#All],[SUBGRUPO]],A116,CATEGORIAS[[#All],[PROVISIONES]])</f>
        <v>4714066</v>
      </c>
      <c r="L116" s="71">
        <f>+SUMIF(CATEGORIAS[[#All],[SUBGRUPO]],A116,CATEGORIAS[[#All],[PROYECCION
TOTAL DE COSTO]])</f>
        <v>1769585.42857143</v>
      </c>
      <c r="M116" s="85">
        <f t="shared" si="117"/>
        <v>6483651.42857143</v>
      </c>
      <c r="O116" s="85">
        <f t="shared" si="118"/>
        <v>6483651.42857143</v>
      </c>
      <c r="P116" s="85">
        <f t="shared" si="119"/>
        <v>6483651.42857143</v>
      </c>
      <c r="Q116" s="235">
        <f t="shared" si="120"/>
        <v>0</v>
      </c>
      <c r="R116" s="125"/>
    </row>
    <row r="117" spans="1:18" ht="15" customHeight="1" x14ac:dyDescent="0.25">
      <c r="A117" s="14" t="str">
        <f>'Matriz de Produccion'!A118</f>
        <v>1I10</v>
      </c>
      <c r="B117" s="6" t="str">
        <f>VLOOKUP(A117,'Analisis por Categorias'!B:C,2,FALSE)</f>
        <v>Agua y café Oficina</v>
      </c>
      <c r="D117" s="3">
        <f>SUMIF(CATEGORIAS[[#All],[SUBGRUPO]],A117,CATEGORIAS[[#All],[PRESUPUESTO
(ORIGINAL)]])</f>
        <v>5059733.6079545459</v>
      </c>
      <c r="E117" s="3">
        <f>+SUMIF(CATEGORIAS[[#All],[SUBGRUPO]],A117,CATEGORIAS[[#All],[PRODUCCION
PARTIDAS
ORIGINALES
ACTUAL]])
+SUMIF(CATEGORIAS[[#All],[SUBGRUPO]],A117,CATEGORIAS[[#All],[PRODUCCION
ADICIONALES
ACTUAL]])
+SUMIF(CATEGORIAS[[#All],[SUBGRUPO]],A117,CATEGORIAS[[#All],[PROYECCION
DE INGRESO
DEL SALDO]])</f>
        <v>5059733.6079545459</v>
      </c>
      <c r="G117" s="71">
        <f>+SUMIF(CATEGORIAS[[#All],[SUBGRUPO]],A117,CATEGORIAS[[#All],[PRODUCCION
PARTIDAS
ORIGINALES
ACTUAL]])
+SUMIF(CATEGORIAS[[#All],[SUBGRUPO]],A117,CATEGORIAS[[#All],[PRODUCCION
ADICIONALES
ACTUAL]])</f>
        <v>2363055.7874210784</v>
      </c>
      <c r="H117" s="71">
        <f>+SUMIF(CATEGORIAS[[#All],[SUBGRUPO]],A117,CATEGORIAS[[#All],[PROYECCION
DE INGRESO
DEL SALDO]])</f>
        <v>2696677.8205334675</v>
      </c>
      <c r="I117" s="71">
        <f t="shared" si="116"/>
        <v>5059733.6079545459</v>
      </c>
      <c r="K117" s="71">
        <f>+SUMIF(CATEGORIAS[[#All],[SUBGRUPO]],A117,CATEGORIAS[[#All],[COSTO
ACUMULADO  AX]])
+SUMIF(CATEGORIAS[[#All],[SUBGRUPO]],A117,CATEGORIAS[[#All],[CAMBIO DE
CATEGORIA]])
+SUMIF(CATEGORIAS[[#All],[SUBGRUPO]],A117,CATEGORIAS[[#All],[PROVISIONES]])</f>
        <v>2375100</v>
      </c>
      <c r="L117" s="71">
        <f>+SUMIF(CATEGORIAS[[#All],[SUBGRUPO]],A117,CATEGORIAS[[#All],[PROYECCION
TOTAL DE COSTO]])</f>
        <v>2684633.6079545459</v>
      </c>
      <c r="M117" s="85">
        <f t="shared" si="117"/>
        <v>5059733.6079545459</v>
      </c>
      <c r="O117" s="85">
        <f t="shared" si="118"/>
        <v>5059733.6079545459</v>
      </c>
      <c r="P117" s="85">
        <f t="shared" si="119"/>
        <v>5059733.6079545459</v>
      </c>
      <c r="Q117" s="235">
        <f t="shared" si="120"/>
        <v>0</v>
      </c>
      <c r="R117" s="125"/>
    </row>
    <row r="118" spans="1:18" ht="8.25" customHeight="1" x14ac:dyDescent="0.25">
      <c r="Q118" s="233"/>
      <c r="R118" s="125"/>
    </row>
    <row r="119" spans="1:18" ht="14.25" customHeight="1" x14ac:dyDescent="0.25">
      <c r="A119" s="14" t="str">
        <f>'Matriz de Produccion'!A122</f>
        <v>1J00</v>
      </c>
      <c r="B119" s="81" t="s">
        <v>229</v>
      </c>
      <c r="D119" s="82">
        <f>SUM(D120:D122)</f>
        <v>81343992.782874912</v>
      </c>
      <c r="E119" s="82">
        <f>SUM(E120:E122)</f>
        <v>81343992.782874912</v>
      </c>
      <c r="G119" s="83">
        <f>SUM(G120:G122)</f>
        <v>37990220.001961373</v>
      </c>
      <c r="H119" s="83">
        <f>SUM(H120:H122)</f>
        <v>43353772.780913532</v>
      </c>
      <c r="I119" s="83">
        <f>SUM(I120:I122)</f>
        <v>81343992.782874912</v>
      </c>
      <c r="K119" s="84">
        <f>SUM(K120:K122)</f>
        <v>37990220.001961306</v>
      </c>
      <c r="L119" s="84">
        <f>SUM(L120:L122)</f>
        <v>43353772.780913599</v>
      </c>
      <c r="M119" s="84">
        <f>SUM(M120:M122)</f>
        <v>81343992.782874912</v>
      </c>
      <c r="O119" s="12">
        <f>SUM(O120:O122)</f>
        <v>81343992.782874912</v>
      </c>
      <c r="P119" s="11">
        <f>SUM(P120:P122)</f>
        <v>81343992.782874912</v>
      </c>
      <c r="Q119" s="232">
        <f>SUM(Q120:Q122)</f>
        <v>0</v>
      </c>
      <c r="R119" s="125"/>
    </row>
    <row r="120" spans="1:18" ht="15" customHeight="1" x14ac:dyDescent="0.25">
      <c r="A120" s="14" t="str">
        <f>'Matriz de Produccion'!A123</f>
        <v>1J01</v>
      </c>
      <c r="B120" s="6" t="str">
        <f>VLOOKUP(A120,'Analisis por Categorias'!B:C,2,FALSE)</f>
        <v>Boletas de Garantia</v>
      </c>
      <c r="D120" s="3">
        <f>SUMIF(CATEGORIAS[[#All],[SUBGRUPO]],A120,CATEGORIAS[[#All],[PRESUPUESTO
(ORIGINAL)]])</f>
        <v>27257060.439430937</v>
      </c>
      <c r="E120" s="3">
        <f>+SUMIF(CATEGORIAS[[#All],[SUBGRUPO]],A120,CATEGORIAS[[#All],[PRODUCCION
PARTIDAS
ORIGINALES
ACTUAL]])
+SUMIF(CATEGORIAS[[#All],[SUBGRUPO]],A120,CATEGORIAS[[#All],[PRODUCCION
ADICIONALES
ACTUAL]])
+SUMIF(CATEGORIAS[[#All],[SUBGRUPO]],A120,CATEGORIAS[[#All],[PROYECCION
DE INGRESO
DEL SALDO]])</f>
        <v>27257060.439430937</v>
      </c>
      <c r="G120" s="71">
        <f>+SUMIF(CATEGORIAS[[#All],[SUBGRUPO]],A120,CATEGORIAS[[#All],[PRODUCCION
PARTIDAS
ORIGINALES
ACTUAL]])
+SUMIF(CATEGORIAS[[#All],[SUBGRUPO]],A120,CATEGORIAS[[#All],[PRODUCCION
ADICIONALES
ACTUAL]])</f>
        <v>12729910.190967908</v>
      </c>
      <c r="H120" s="71">
        <f>+SUMIF(CATEGORIAS[[#All],[SUBGRUPO]],A120,CATEGORIAS[[#All],[PROYECCION
DE INGRESO
DEL SALDO]])</f>
        <v>14527150.248463029</v>
      </c>
      <c r="I120" s="71">
        <f>G120+H120</f>
        <v>27257060.439430937</v>
      </c>
      <c r="K120" s="71">
        <f>+SUMIF(CATEGORIAS[[#All],[SUBGRUPO]],A120,CATEGORIAS[[#All],[COSTO
ACUMULADO  AX]])
+SUMIF(CATEGORIAS[[#All],[SUBGRUPO]],A120,CATEGORIAS[[#All],[CAMBIO DE
CATEGORIA]])
+SUMIF(CATEGORIAS[[#All],[SUBGRUPO]],A120,CATEGORIAS[[#All],[PROVISIONES]])</f>
        <v>12729910.190967901</v>
      </c>
      <c r="L120" s="71">
        <f>+SUMIF(CATEGORIAS[[#All],[SUBGRUPO]],A120,CATEGORIAS[[#All],[PROYECCION
TOTAL DE COSTO]])</f>
        <v>14527150.248463036</v>
      </c>
      <c r="M120" s="71">
        <f>K120+L120</f>
        <v>27257060.439430937</v>
      </c>
      <c r="O120" s="71">
        <f>I120</f>
        <v>27257060.439430937</v>
      </c>
      <c r="P120" s="71">
        <f>M120</f>
        <v>27257060.439430937</v>
      </c>
      <c r="Q120" s="234">
        <f>O120-P120</f>
        <v>0</v>
      </c>
      <c r="R120" s="125"/>
    </row>
    <row r="121" spans="1:18" ht="15" customHeight="1" x14ac:dyDescent="0.25">
      <c r="A121" s="14" t="str">
        <f>'Matriz de Produccion'!A124</f>
        <v>1J02</v>
      </c>
      <c r="B121" s="6" t="str">
        <f>VLOOKUP(A121,'Analisis por Categorias'!B:C,2,FALSE)</f>
        <v>Seguros</v>
      </c>
      <c r="D121" s="3">
        <f>SUMIF(CATEGORIAS[[#All],[SUBGRUPO]],A121,CATEGORIAS[[#All],[PRESUPUESTO
(ORIGINAL)]])</f>
        <v>26265253.552345507</v>
      </c>
      <c r="E121" s="3">
        <f>+SUMIF(CATEGORIAS[[#All],[SUBGRUPO]],A121,CATEGORIAS[[#All],[PRODUCCION
PARTIDAS
ORIGINALES
ACTUAL]])
+SUMIF(CATEGORIAS[[#All],[SUBGRUPO]],A121,CATEGORIAS[[#All],[PRODUCCION
ADICIONALES
ACTUAL]])
+SUMIF(CATEGORIAS[[#All],[SUBGRUPO]],A121,CATEGORIAS[[#All],[PROYECCION
DE INGRESO
DEL SALDO]])</f>
        <v>26265253.552345507</v>
      </c>
      <c r="G121" s="71">
        <f>+SUMIF(CATEGORIAS[[#All],[SUBGRUPO]],A121,CATEGORIAS[[#All],[PRODUCCION
PARTIDAS
ORIGINALES
ACTUAL]])
+SUMIF(CATEGORIAS[[#All],[SUBGRUPO]],A121,CATEGORIAS[[#All],[PRODUCCION
ADICIONALES
ACTUAL]])</f>
        <v>12266704.973830247</v>
      </c>
      <c r="H121" s="71">
        <f>+SUMIF(CATEGORIAS[[#All],[SUBGRUPO]],A121,CATEGORIAS[[#All],[PROYECCION
DE INGRESO
DEL SALDO]])</f>
        <v>13998548.57851526</v>
      </c>
      <c r="I121" s="71">
        <f>G121+H121</f>
        <v>26265253.552345507</v>
      </c>
      <c r="K121" s="71">
        <f>+SUMIF(CATEGORIAS[[#All],[SUBGRUPO]],A121,CATEGORIAS[[#All],[COSTO
ACUMULADO  AX]])
+SUMIF(CATEGORIAS[[#All],[SUBGRUPO]],A121,CATEGORIAS[[#All],[CAMBIO DE
CATEGORIA]])
+SUMIF(CATEGORIAS[[#All],[SUBGRUPO]],A121,CATEGORIAS[[#All],[PROVISIONES]])</f>
        <v>12266704.973830201</v>
      </c>
      <c r="L121" s="71">
        <f>+SUMIF(CATEGORIAS[[#All],[SUBGRUPO]],A121,CATEGORIAS[[#All],[PROYECCION
TOTAL DE COSTO]])</f>
        <v>13998548.578515306</v>
      </c>
      <c r="M121" s="71">
        <f>K121+L121</f>
        <v>26265253.552345507</v>
      </c>
      <c r="O121" s="71">
        <f>I121</f>
        <v>26265253.552345507</v>
      </c>
      <c r="P121" s="71">
        <f>M121</f>
        <v>26265253.552345507</v>
      </c>
      <c r="Q121" s="234">
        <f>O121-P121</f>
        <v>0</v>
      </c>
      <c r="R121" s="125"/>
    </row>
    <row r="122" spans="1:18" x14ac:dyDescent="0.25">
      <c r="A122" s="14" t="str">
        <f>'Matriz de Produccion'!A125</f>
        <v>1J03</v>
      </c>
      <c r="B122" s="6" t="str">
        <f>VLOOKUP(A122,'Analisis por Categorias'!B:C,2,FALSE)</f>
        <v>Gastos Financieros</v>
      </c>
      <c r="D122" s="3">
        <f>SUMIF(CATEGORIAS[[#All],[SUBGRUPO]],A122,CATEGORIAS[[#All],[PRESUPUESTO
(ORIGINAL)]])</f>
        <v>27821678.791098461</v>
      </c>
      <c r="E122" s="3">
        <f>+SUMIF(CATEGORIAS[[#All],[SUBGRUPO]],A122,CATEGORIAS[[#All],[PRODUCCION
PARTIDAS
ORIGINALES
ACTUAL]])
+SUMIF(CATEGORIAS[[#All],[SUBGRUPO]],A122,CATEGORIAS[[#All],[PRODUCCION
ADICIONALES
ACTUAL]])
+SUMIF(CATEGORIAS[[#All],[SUBGRUPO]],A122,CATEGORIAS[[#All],[PROYECCION
DE INGRESO
DEL SALDO]])</f>
        <v>27821678.791098461</v>
      </c>
      <c r="G122" s="71">
        <f>+SUMIF(CATEGORIAS[[#All],[SUBGRUPO]],A122,CATEGORIAS[[#All],[PRODUCCION
PARTIDAS
ORIGINALES
ACTUAL]])
+SUMIF(CATEGORIAS[[#All],[SUBGRUPO]],A122,CATEGORIAS[[#All],[PRODUCCION
ADICIONALES
ACTUAL]])</f>
        <v>12993604.837163217</v>
      </c>
      <c r="H122" s="71">
        <f>+SUMIF(CATEGORIAS[[#All],[SUBGRUPO]],A122,CATEGORIAS[[#All],[PROYECCION
DE INGRESO
DEL SALDO]])</f>
        <v>14828073.953935243</v>
      </c>
      <c r="I122" s="71">
        <f>G122+H122</f>
        <v>27821678.791098461</v>
      </c>
      <c r="K122" s="71">
        <f>+SUMIF(CATEGORIAS[[#All],[SUBGRUPO]],A122,CATEGORIAS[[#All],[COSTO
ACUMULADO  AX]])
+SUMIF(CATEGORIAS[[#All],[SUBGRUPO]],A122,CATEGORIAS[[#All],[CAMBIO DE
CATEGORIA]])
+SUMIF(CATEGORIAS[[#All],[SUBGRUPO]],A122,CATEGORIAS[[#All],[PROVISIONES]])</f>
        <v>12993604.837163201</v>
      </c>
      <c r="L122" s="71">
        <f>+SUMIF(CATEGORIAS[[#All],[SUBGRUPO]],A122,CATEGORIAS[[#All],[PROYECCION
TOTAL DE COSTO]])</f>
        <v>14828073.95393526</v>
      </c>
      <c r="M122" s="71">
        <f>K122+L122</f>
        <v>27821678.791098461</v>
      </c>
      <c r="O122" s="71">
        <f>I122</f>
        <v>27821678.791098461</v>
      </c>
      <c r="P122" s="71">
        <f>M122</f>
        <v>27821678.791098461</v>
      </c>
      <c r="Q122" s="234">
        <f>O122-P122</f>
        <v>0</v>
      </c>
      <c r="R122" s="125"/>
    </row>
    <row r="123" spans="1:18" ht="8.25" customHeight="1" x14ac:dyDescent="0.25">
      <c r="Q123" s="233"/>
      <c r="R123" s="125"/>
    </row>
    <row r="124" spans="1:18" ht="13.5" customHeight="1" x14ac:dyDescent="0.25">
      <c r="A124" s="14" t="str">
        <f>'Matriz de Produccion'!A127</f>
        <v>1K00</v>
      </c>
      <c r="B124" s="81" t="s">
        <v>233</v>
      </c>
      <c r="D124" s="82">
        <f>SUM(D125:D127)</f>
        <v>530981696.87203121</v>
      </c>
      <c r="E124" s="82">
        <f>SUM(E125:E127)</f>
        <v>530981696.87203121</v>
      </c>
      <c r="G124" s="83">
        <f>SUM(G125:G127)</f>
        <v>247985263.46041375</v>
      </c>
      <c r="H124" s="83">
        <f>SUM(H125:H127)</f>
        <v>282996433.4116174</v>
      </c>
      <c r="I124" s="83">
        <f>SUM(I125:I127)</f>
        <v>530981696.87203121</v>
      </c>
      <c r="K124" s="84">
        <f>SUM(K125:K127)</f>
        <v>247985263.46041375</v>
      </c>
      <c r="L124" s="84">
        <f>SUM(L125:L127)</f>
        <v>282996433.4116174</v>
      </c>
      <c r="M124" s="84">
        <f>SUM(M125:M127)</f>
        <v>530981696.87203121</v>
      </c>
      <c r="O124" s="12">
        <f>SUM(O125:O127)</f>
        <v>530981696.87203121</v>
      </c>
      <c r="P124" s="11">
        <f>SUM(P125:P127)</f>
        <v>530981696.87203121</v>
      </c>
      <c r="Q124" s="232">
        <f>SUM(Q125:Q127)</f>
        <v>0</v>
      </c>
      <c r="R124" s="125"/>
    </row>
    <row r="125" spans="1:18" ht="15" customHeight="1" x14ac:dyDescent="0.25">
      <c r="A125" s="14" t="str">
        <f>'Matriz de Produccion'!A128</f>
        <v>1K01</v>
      </c>
      <c r="B125" s="6" t="str">
        <f>VLOOKUP(A125,'Analisis por Categorias'!B:C,2,FALSE)</f>
        <v xml:space="preserve">Oficina Central </v>
      </c>
      <c r="D125" s="3">
        <f>SUMIF(CATEGORIAS[[#All],[SUBGRUPO]],A125,CATEGORIAS[[#All],[PRESUPUESTO
(ORIGINAL)]])</f>
        <v>212392678.74881247</v>
      </c>
      <c r="E125" s="3">
        <f>+SUMIF(CATEGORIAS[[#All],[SUBGRUPO]],A125,CATEGORIAS[[#All],[PRODUCCION
PARTIDAS
ORIGINALES
ACTUAL]])
+SUMIF(CATEGORIAS[[#All],[SUBGRUPO]],A125,CATEGORIAS[[#All],[PRODUCCION
ADICIONALES
ACTUAL]])
+SUMIF(CATEGORIAS[[#All],[SUBGRUPO]],A125,CATEGORIAS[[#All],[PROYECCION
DE INGRESO
DEL SALDO]])</f>
        <v>212392678.74881247</v>
      </c>
      <c r="G125" s="71">
        <f>+SUMIF(CATEGORIAS[[#All],[SUBGRUPO]],A125,CATEGORIAS[[#All],[PRODUCCION
PARTIDAS
ORIGINALES
ACTUAL]])
+SUMIF(CATEGORIAS[[#All],[SUBGRUPO]],A125,CATEGORIAS[[#All],[PRODUCCION
ADICIONALES
ACTUAL]])</f>
        <v>99194105.384165511</v>
      </c>
      <c r="H125" s="71">
        <f>+SUMIF(CATEGORIAS[[#All],[SUBGRUPO]],A125,CATEGORIAS[[#All],[PROYECCION
DE INGRESO
DEL SALDO]])</f>
        <v>113198573.36464696</v>
      </c>
      <c r="I125" s="71">
        <f>G125+H125</f>
        <v>212392678.74881247</v>
      </c>
      <c r="K125" s="71">
        <f>+SUMIF(CATEGORIAS[[#All],[SUBGRUPO]],A125,CATEGORIAS[[#All],[COSTO
ACUMULADO  AX]])
+SUMIF(CATEGORIAS[[#All],[SUBGRUPO]],A125,CATEGORIAS[[#All],[CAMBIO DE
CATEGORIA]])
+SUMIF(CATEGORIAS[[#All],[SUBGRUPO]],A125,CATEGORIAS[[#All],[PROVISIONES]])</f>
        <v>99194105.384165511</v>
      </c>
      <c r="L125" s="71">
        <f>+SUMIF(CATEGORIAS[[#All],[SUBGRUPO]],A125,CATEGORIAS[[#All],[PROYECCION
TOTAL DE COSTO]])</f>
        <v>113198573.36464696</v>
      </c>
      <c r="M125" s="71">
        <f>K125+L125</f>
        <v>212392678.74881247</v>
      </c>
      <c r="O125" s="71">
        <f>I125</f>
        <v>212392678.74881247</v>
      </c>
      <c r="P125" s="71">
        <f>M125</f>
        <v>212392678.74881247</v>
      </c>
      <c r="Q125" s="234">
        <f>O125-P125</f>
        <v>0</v>
      </c>
      <c r="R125" s="125"/>
    </row>
    <row r="126" spans="1:18" ht="15" customHeight="1" x14ac:dyDescent="0.25">
      <c r="A126" s="14" t="str">
        <f>'Matriz de Produccion'!A129</f>
        <v>1K02</v>
      </c>
      <c r="B126" s="6" t="str">
        <f>VLOOKUP(A126,'Analisis por Categorias'!B:C,2,FALSE)</f>
        <v xml:space="preserve">Imprevistos </v>
      </c>
      <c r="D126" s="3">
        <f>SUMIF(CATEGORIAS[[#All],[SUBGRUPO]],A126,CATEGORIAS[[#All],[PRESUPUESTO
(ORIGINAL)]])</f>
        <v>106196339.37440623</v>
      </c>
      <c r="E126" s="3">
        <f>+SUMIF(CATEGORIAS[[#All],[SUBGRUPO]],A126,CATEGORIAS[[#All],[PRODUCCION
PARTIDAS
ORIGINALES
ACTUAL]])
+SUMIF(CATEGORIAS[[#All],[SUBGRUPO]],A126,CATEGORIAS[[#All],[PRODUCCION
ADICIONALES
ACTUAL]])
+SUMIF(CATEGORIAS[[#All],[SUBGRUPO]],A126,CATEGORIAS[[#All],[PROYECCION
DE INGRESO
DEL SALDO]])</f>
        <v>106196339.37440623</v>
      </c>
      <c r="G126" s="71">
        <f>+SUMIF(CATEGORIAS[[#All],[SUBGRUPO]],A126,CATEGORIAS[[#All],[PRODUCCION
PARTIDAS
ORIGINALES
ACTUAL]])
+SUMIF(CATEGORIAS[[#All],[SUBGRUPO]],A126,CATEGORIAS[[#All],[PRODUCCION
ADICIONALES
ACTUAL]])</f>
        <v>49597052.692082755</v>
      </c>
      <c r="H126" s="71">
        <f>+SUMIF(CATEGORIAS[[#All],[SUBGRUPO]],A126,CATEGORIAS[[#All],[PROYECCION
DE INGRESO
DEL SALDO]])</f>
        <v>56599286.682323478</v>
      </c>
      <c r="I126" s="71">
        <f>G126+H126</f>
        <v>106196339.37440623</v>
      </c>
      <c r="K126" s="71">
        <f>+SUMIF(CATEGORIAS[[#All],[SUBGRUPO]],A126,CATEGORIAS[[#All],[COSTO
ACUMULADO  AX]])
+SUMIF(CATEGORIAS[[#All],[SUBGRUPO]],A126,CATEGORIAS[[#All],[CAMBIO DE
CATEGORIA]])
+SUMIF(CATEGORIAS[[#All],[SUBGRUPO]],A126,CATEGORIAS[[#All],[PROVISIONES]])</f>
        <v>49597052.692082755</v>
      </c>
      <c r="L126" s="71">
        <f>+SUMIF(CATEGORIAS[[#All],[SUBGRUPO]],A126,CATEGORIAS[[#All],[PROYECCION
TOTAL DE COSTO]])</f>
        <v>56599286.682323478</v>
      </c>
      <c r="M126" s="85">
        <f>K126+L126</f>
        <v>106196339.37440623</v>
      </c>
      <c r="O126" s="85">
        <f>I126</f>
        <v>106196339.37440623</v>
      </c>
      <c r="P126" s="85">
        <f>M126</f>
        <v>106196339.37440623</v>
      </c>
      <c r="Q126" s="235">
        <f>O126-P126</f>
        <v>0</v>
      </c>
      <c r="R126" s="125"/>
    </row>
    <row r="127" spans="1:18" ht="15" customHeight="1" x14ac:dyDescent="0.25">
      <c r="A127" s="14" t="str">
        <f>'Matriz de Produccion'!A130</f>
        <v>1K03</v>
      </c>
      <c r="B127" s="6" t="str">
        <f>VLOOKUP(A127,'Analisis por Categorias'!B:C,2,FALSE)</f>
        <v xml:space="preserve">Utilidades </v>
      </c>
      <c r="D127" s="3">
        <f>SUMIF(CATEGORIAS[[#All],[SUBGRUPO]],A127,CATEGORIAS[[#All],[PRESUPUESTO
(ORIGINAL)]])</f>
        <v>212392678.74881247</v>
      </c>
      <c r="E127" s="3">
        <f>+SUMIF(CATEGORIAS[[#All],[SUBGRUPO]],A127,CATEGORIAS[[#All],[PRODUCCION
PARTIDAS
ORIGINALES
ACTUAL]])
+SUMIF(CATEGORIAS[[#All],[SUBGRUPO]],A127,CATEGORIAS[[#All],[PRODUCCION
ADICIONALES
ACTUAL]])
+SUMIF(CATEGORIAS[[#All],[SUBGRUPO]],A127,CATEGORIAS[[#All],[PROYECCION
DE INGRESO
DEL SALDO]])</f>
        <v>212392678.74881247</v>
      </c>
      <c r="G127" s="71">
        <f>+SUMIF(CATEGORIAS[[#All],[SUBGRUPO]],A127,CATEGORIAS[[#All],[PRODUCCION
PARTIDAS
ORIGINALES
ACTUAL]])
+SUMIF(CATEGORIAS[[#All],[SUBGRUPO]],A127,CATEGORIAS[[#All],[PRODUCCION
ADICIONALES
ACTUAL]])</f>
        <v>99194105.384165511</v>
      </c>
      <c r="H127" s="71">
        <f>+SUMIF(CATEGORIAS[[#All],[SUBGRUPO]],A127,CATEGORIAS[[#All],[PROYECCION
DE INGRESO
DEL SALDO]])</f>
        <v>113198573.36464696</v>
      </c>
      <c r="I127" s="71">
        <f>G127+H127</f>
        <v>212392678.74881247</v>
      </c>
      <c r="K127" s="71">
        <f>+SUMIF(CATEGORIAS[[#All],[SUBGRUPO]],A127,CATEGORIAS[[#All],[COSTO
ACUMULADO  AX]])
+SUMIF(CATEGORIAS[[#All],[SUBGRUPO]],A127,CATEGORIAS[[#All],[CAMBIO DE
CATEGORIA]])
+SUMIF(CATEGORIAS[[#All],[SUBGRUPO]],A127,CATEGORIAS[[#All],[PROVISIONES]])</f>
        <v>99194105.384165511</v>
      </c>
      <c r="L127" s="71">
        <f>+SUMIF(CATEGORIAS[[#All],[SUBGRUPO]],A127,CATEGORIAS[[#All],[PROYECCION
TOTAL DE COSTO]])</f>
        <v>113198573.36464696</v>
      </c>
      <c r="M127" s="71">
        <f>K127+L127</f>
        <v>212392678.74881247</v>
      </c>
      <c r="O127" s="71">
        <f>I127</f>
        <v>212392678.74881247</v>
      </c>
      <c r="P127" s="71">
        <f>M127</f>
        <v>212392678.74881247</v>
      </c>
      <c r="Q127" s="234">
        <f>O127-P127</f>
        <v>0</v>
      </c>
      <c r="R127" s="125"/>
    </row>
    <row r="128" spans="1:18" ht="8.25" customHeight="1" x14ac:dyDescent="0.25">
      <c r="Q128" s="233"/>
      <c r="R128" s="125"/>
    </row>
    <row r="129" spans="1:22" x14ac:dyDescent="0.25">
      <c r="B129" s="7" t="s">
        <v>234</v>
      </c>
      <c r="D129" s="350">
        <f>SUM(D130:D140)</f>
        <v>5309816968.7201071</v>
      </c>
      <c r="E129" s="350">
        <f>SUM(E130:E140)</f>
        <v>5514917512.4993162</v>
      </c>
      <c r="G129" s="351">
        <f>SUM(G130:G140)</f>
        <v>2272709405.0881023</v>
      </c>
      <c r="H129" s="351">
        <f>SUM(H130:H140)</f>
        <v>3242208107.4112139</v>
      </c>
      <c r="I129" s="351">
        <f>SUM(I130:I140)</f>
        <v>5514917512.4993162</v>
      </c>
      <c r="K129" s="353">
        <f>SUM(K130:K140)</f>
        <v>2467599564.3722324</v>
      </c>
      <c r="L129" s="353">
        <f>SUM(L130:L140)</f>
        <v>3049643327.1524744</v>
      </c>
      <c r="M129" s="353">
        <f>SUM(M130:M140)</f>
        <v>5517242891.5247068</v>
      </c>
      <c r="O129" s="354">
        <f>SUM(O130:O140)</f>
        <v>5514917512.4993162</v>
      </c>
      <c r="P129" s="355">
        <f>SUM(P130:P140)</f>
        <v>5517242891.5247059</v>
      </c>
      <c r="Q129" s="357">
        <f>SUM(Q130:Q141)</f>
        <v>-2325379.0253891945</v>
      </c>
      <c r="R129" s="225"/>
      <c r="S129" s="285"/>
      <c r="T129" s="233"/>
    </row>
    <row r="130" spans="1:22" x14ac:dyDescent="0.25">
      <c r="A130" s="14" t="str">
        <f>'Matriz de Produccion'!A133</f>
        <v>0A00</v>
      </c>
      <c r="B130" s="81" t="s">
        <v>168</v>
      </c>
      <c r="D130" s="86">
        <f>D9</f>
        <v>1425866588.2684827</v>
      </c>
      <c r="E130" s="86">
        <f>E9</f>
        <v>1481201543.175487</v>
      </c>
      <c r="G130" s="85">
        <f>G9</f>
        <v>527910094.65412843</v>
      </c>
      <c r="H130" s="85">
        <f>H9</f>
        <v>953291448.52135861</v>
      </c>
      <c r="I130" s="85">
        <f t="shared" ref="I130:I140" si="121">G130+H130</f>
        <v>1481201543.175487</v>
      </c>
      <c r="K130" s="85">
        <f>K9</f>
        <v>837107293.29975438</v>
      </c>
      <c r="L130" s="352">
        <f>L9</f>
        <v>646419638.90112185</v>
      </c>
      <c r="M130" s="85">
        <f t="shared" ref="M130:M140" si="122">K130+L130</f>
        <v>1483526932.2008762</v>
      </c>
      <c r="O130" s="85">
        <f>O9</f>
        <v>1481201543.175487</v>
      </c>
      <c r="P130" s="85">
        <f>P9</f>
        <v>1483526932.2008762</v>
      </c>
      <c r="Q130" s="235">
        <f t="shared" ref="Q130:Q140" si="123">O130-P130</f>
        <v>-2325389.0253891945</v>
      </c>
      <c r="R130" s="340"/>
    </row>
    <row r="131" spans="1:22" x14ac:dyDescent="0.25">
      <c r="A131" s="14" t="str">
        <f>'Matriz de Produccion'!A134</f>
        <v>0B00</v>
      </c>
      <c r="B131" s="81" t="s">
        <v>180</v>
      </c>
      <c r="D131" s="86">
        <f>D24</f>
        <v>455675553.39120007</v>
      </c>
      <c r="E131" s="86">
        <f>E24</f>
        <v>484453453.90711045</v>
      </c>
      <c r="G131" s="85">
        <f>G24</f>
        <v>179167759.27447525</v>
      </c>
      <c r="H131" s="85">
        <f>H24</f>
        <v>305285694.63263524</v>
      </c>
      <c r="I131" s="85">
        <f t="shared" si="121"/>
        <v>484453453.90711045</v>
      </c>
      <c r="K131" s="85">
        <f>K24</f>
        <v>201432538</v>
      </c>
      <c r="L131" s="85">
        <f>L24</f>
        <v>283020908.90711045</v>
      </c>
      <c r="M131" s="85">
        <f t="shared" si="122"/>
        <v>484453446.90711045</v>
      </c>
      <c r="O131" s="85">
        <f>O24</f>
        <v>484453453.90711045</v>
      </c>
      <c r="P131" s="85">
        <f>P24</f>
        <v>484453446.90711045</v>
      </c>
      <c r="Q131" s="235">
        <f t="shared" si="123"/>
        <v>7</v>
      </c>
      <c r="R131" s="338"/>
    </row>
    <row r="132" spans="1:22" x14ac:dyDescent="0.25">
      <c r="A132" s="14" t="str">
        <f>'Matriz de Produccion'!A135</f>
        <v>0C00</v>
      </c>
      <c r="B132" s="81" t="s">
        <v>185</v>
      </c>
      <c r="D132" s="86">
        <f>D37</f>
        <v>274813305.51671207</v>
      </c>
      <c r="E132" s="86">
        <f>E37</f>
        <v>299306035.81877053</v>
      </c>
      <c r="G132" s="85">
        <f>G37</f>
        <v>102376261.30977447</v>
      </c>
      <c r="H132" s="85">
        <f>H37</f>
        <v>196929774.50899607</v>
      </c>
      <c r="I132" s="85">
        <f t="shared" si="121"/>
        <v>299306035.81877053</v>
      </c>
      <c r="K132" s="85">
        <f>K37</f>
        <v>91594824.199999988</v>
      </c>
      <c r="L132" s="85">
        <f>L37</f>
        <v>207711211.61877054</v>
      </c>
      <c r="M132" s="85">
        <f t="shared" si="122"/>
        <v>299306035.81877053</v>
      </c>
      <c r="O132" s="85">
        <f>O37</f>
        <v>299306035.81877053</v>
      </c>
      <c r="P132" s="85">
        <f>P37</f>
        <v>299306035.81877053</v>
      </c>
      <c r="Q132" s="235">
        <f t="shared" si="123"/>
        <v>0</v>
      </c>
      <c r="R132" s="338"/>
    </row>
    <row r="133" spans="1:22" x14ac:dyDescent="0.25">
      <c r="A133" s="14" t="str">
        <f>'Matriz de Produccion'!A136</f>
        <v>0D00</v>
      </c>
      <c r="B133" s="81" t="s">
        <v>190</v>
      </c>
      <c r="D133" s="86">
        <f>D46</f>
        <v>740872631.09810007</v>
      </c>
      <c r="E133" s="86">
        <f>E46</f>
        <v>794729067.02900994</v>
      </c>
      <c r="G133" s="85">
        <f>G46</f>
        <v>311132349.85919666</v>
      </c>
      <c r="H133" s="85">
        <f>H46</f>
        <v>483596717.16981339</v>
      </c>
      <c r="I133" s="85">
        <f t="shared" si="121"/>
        <v>794729067.02901006</v>
      </c>
      <c r="K133" s="85">
        <f>K46</f>
        <v>267466045.17854217</v>
      </c>
      <c r="L133" s="85">
        <f>L46</f>
        <v>527263018.85046786</v>
      </c>
      <c r="M133" s="85">
        <f t="shared" si="122"/>
        <v>794729064.02901006</v>
      </c>
      <c r="O133" s="85">
        <f>O46</f>
        <v>794729067.02900994</v>
      </c>
      <c r="P133" s="85">
        <f>P46</f>
        <v>794729064.02900994</v>
      </c>
      <c r="Q133" s="235">
        <f t="shared" si="123"/>
        <v>3</v>
      </c>
      <c r="R133" s="338"/>
    </row>
    <row r="134" spans="1:22" x14ac:dyDescent="0.25">
      <c r="A134" s="14" t="str">
        <f>'Matriz de Produccion'!A137</f>
        <v>0X00</v>
      </c>
      <c r="B134" s="81" t="s">
        <v>196</v>
      </c>
      <c r="D134" s="86">
        <f>D58</f>
        <v>104044850.4409</v>
      </c>
      <c r="E134" s="86">
        <f>E58</f>
        <v>105214802.86575359</v>
      </c>
      <c r="G134" s="85">
        <f>G58</f>
        <v>48494030.323253587</v>
      </c>
      <c r="H134" s="85">
        <f>H58</f>
        <v>56720772.542500004</v>
      </c>
      <c r="I134" s="85">
        <f t="shared" si="121"/>
        <v>105214802.86575359</v>
      </c>
      <c r="K134" s="85">
        <f>K58</f>
        <v>47669482</v>
      </c>
      <c r="L134" s="85">
        <f>L58</f>
        <v>57545320.865753591</v>
      </c>
      <c r="M134" s="85">
        <f t="shared" si="122"/>
        <v>105214802.86575359</v>
      </c>
      <c r="O134" s="85">
        <f>O58</f>
        <v>105214802.86575359</v>
      </c>
      <c r="P134" s="85">
        <f>P58</f>
        <v>105214802.86575359</v>
      </c>
      <c r="Q134" s="235">
        <f t="shared" si="123"/>
        <v>0</v>
      </c>
      <c r="R134" s="338"/>
      <c r="V134" s="236"/>
    </row>
    <row r="135" spans="1:22" x14ac:dyDescent="0.25">
      <c r="A135" s="14" t="str">
        <f>'Matriz de Produccion'!A138</f>
        <v>1F00</v>
      </c>
      <c r="B135" s="81" t="s">
        <v>205</v>
      </c>
      <c r="D135" s="86">
        <f>D73</f>
        <v>1205789659.0351105</v>
      </c>
      <c r="E135" s="86">
        <f>E73</f>
        <v>1244763716.5351105</v>
      </c>
      <c r="G135" s="85">
        <f>G73</f>
        <v>563141946.3894043</v>
      </c>
      <c r="H135" s="85">
        <f>H73</f>
        <v>681621770.14570606</v>
      </c>
      <c r="I135" s="85">
        <f t="shared" si="121"/>
        <v>1244763716.5351105</v>
      </c>
      <c r="K135" s="85">
        <f>K73</f>
        <v>579397072.76036048</v>
      </c>
      <c r="L135" s="85">
        <f>L73</f>
        <v>665366643.77474999</v>
      </c>
      <c r="M135" s="85">
        <f t="shared" si="122"/>
        <v>1244763716.5351105</v>
      </c>
      <c r="O135" s="85">
        <f>O73</f>
        <v>1244763716.5351105</v>
      </c>
      <c r="P135" s="85">
        <f>P73</f>
        <v>1244763716.5351105</v>
      </c>
      <c r="Q135" s="235">
        <f t="shared" si="123"/>
        <v>0</v>
      </c>
      <c r="R135" s="338"/>
    </row>
    <row r="136" spans="1:22" x14ac:dyDescent="0.25">
      <c r="A136" s="14" t="str">
        <f>'Matriz de Produccion'!A139</f>
        <v>1G00</v>
      </c>
      <c r="B136" s="81" t="s">
        <v>207</v>
      </c>
      <c r="D136" s="86">
        <f>D88</f>
        <v>90537194.880000025</v>
      </c>
      <c r="E136" s="86">
        <f>E88</f>
        <v>90537194.880000025</v>
      </c>
      <c r="G136" s="85">
        <f>G88</f>
        <v>42283736.440532394</v>
      </c>
      <c r="H136" s="85">
        <f>H88</f>
        <v>48253458.439467639</v>
      </c>
      <c r="I136" s="85">
        <f t="shared" si="121"/>
        <v>90537194.880000025</v>
      </c>
      <c r="K136" s="85">
        <f>K88</f>
        <v>22130647</v>
      </c>
      <c r="L136" s="85">
        <f>L88</f>
        <v>68406547.880000025</v>
      </c>
      <c r="M136" s="85">
        <f t="shared" si="122"/>
        <v>90537194.880000025</v>
      </c>
      <c r="O136" s="85">
        <f>O88</f>
        <v>90537194.880000025</v>
      </c>
      <c r="P136" s="85">
        <f>P88</f>
        <v>90537194.880000025</v>
      </c>
      <c r="Q136" s="235">
        <f t="shared" si="123"/>
        <v>0</v>
      </c>
      <c r="R136" s="338"/>
    </row>
    <row r="137" spans="1:22" x14ac:dyDescent="0.25">
      <c r="A137" s="14" t="str">
        <f>'Matriz de Produccion'!A140</f>
        <v>1H00</v>
      </c>
      <c r="B137" s="81" t="s">
        <v>212</v>
      </c>
      <c r="D137" s="86">
        <f>D95</f>
        <v>164811573.62139496</v>
      </c>
      <c r="E137" s="86">
        <f>E95</f>
        <v>166757070.55323496</v>
      </c>
      <c r="G137" s="85">
        <f>G95</f>
        <v>117813488.61827117</v>
      </c>
      <c r="H137" s="85">
        <f>H95</f>
        <v>48943581.934963793</v>
      </c>
      <c r="I137" s="85">
        <f t="shared" si="121"/>
        <v>166757070.55323496</v>
      </c>
      <c r="K137" s="85">
        <f>K95</f>
        <v>44689035</v>
      </c>
      <c r="L137" s="85">
        <f>L95</f>
        <v>122068035.55323496</v>
      </c>
      <c r="M137" s="85">
        <f t="shared" si="122"/>
        <v>166757070.55323496</v>
      </c>
      <c r="O137" s="85">
        <f>O95</f>
        <v>166757070.55323496</v>
      </c>
      <c r="P137" s="85">
        <f>P95</f>
        <v>166757070.55323496</v>
      </c>
      <c r="Q137" s="235">
        <f t="shared" si="123"/>
        <v>0</v>
      </c>
      <c r="R137" s="338"/>
    </row>
    <row r="138" spans="1:22" x14ac:dyDescent="0.25">
      <c r="A138" s="14" t="str">
        <f>'Matriz de Produccion'!A141</f>
        <v>1I00</v>
      </c>
      <c r="B138" s="81" t="s">
        <v>221</v>
      </c>
      <c r="D138" s="86">
        <f>D107</f>
        <v>235079922.81330013</v>
      </c>
      <c r="E138" s="86">
        <f>E107</f>
        <v>235628938.07993358</v>
      </c>
      <c r="G138" s="85">
        <f>G107</f>
        <v>94414254.75669086</v>
      </c>
      <c r="H138" s="85">
        <f>H107</f>
        <v>141214683.32324272</v>
      </c>
      <c r="I138" s="85">
        <f t="shared" si="121"/>
        <v>235628938.07993358</v>
      </c>
      <c r="K138" s="85">
        <f>K107</f>
        <v>90137143.471200004</v>
      </c>
      <c r="L138" s="85">
        <f>L107</f>
        <v>145491794.60873359</v>
      </c>
      <c r="M138" s="85">
        <f t="shared" si="122"/>
        <v>235628938.07993358</v>
      </c>
      <c r="O138" s="85">
        <f>O107</f>
        <v>235628938.07993358</v>
      </c>
      <c r="P138" s="85">
        <f>P107</f>
        <v>235628938.07993358</v>
      </c>
      <c r="Q138" s="235">
        <f t="shared" si="123"/>
        <v>0</v>
      </c>
      <c r="R138" s="338"/>
    </row>
    <row r="139" spans="1:22" ht="15" customHeight="1" x14ac:dyDescent="0.25">
      <c r="A139" s="14" t="str">
        <f>'Matriz de Produccion'!A142</f>
        <v>1J00</v>
      </c>
      <c r="B139" s="81" t="s">
        <v>229</v>
      </c>
      <c r="D139" s="86">
        <f>D119</f>
        <v>81343992.782874912</v>
      </c>
      <c r="E139" s="86">
        <f>E119</f>
        <v>81343992.782874912</v>
      </c>
      <c r="F139" s="86"/>
      <c r="G139" s="86">
        <f>G119</f>
        <v>37990220.001961373</v>
      </c>
      <c r="H139" s="86">
        <f>H119</f>
        <v>43353772.780913532</v>
      </c>
      <c r="I139" s="85">
        <f t="shared" si="121"/>
        <v>81343992.782874912</v>
      </c>
      <c r="K139" s="85">
        <f>K119</f>
        <v>37990220.001961306</v>
      </c>
      <c r="L139" s="85">
        <f>L119</f>
        <v>43353772.780913599</v>
      </c>
      <c r="M139" s="85">
        <f t="shared" si="122"/>
        <v>81343992.782874912</v>
      </c>
      <c r="O139" s="85">
        <f>O119</f>
        <v>81343992.782874912</v>
      </c>
      <c r="P139" s="85">
        <f>P119</f>
        <v>81343992.782874912</v>
      </c>
      <c r="Q139" s="235">
        <f t="shared" si="123"/>
        <v>0</v>
      </c>
      <c r="R139" s="225"/>
    </row>
    <row r="140" spans="1:22" ht="15" customHeight="1" x14ac:dyDescent="0.25">
      <c r="A140" s="14" t="str">
        <f>A124</f>
        <v>1K00</v>
      </c>
      <c r="B140" s="81" t="s">
        <v>233</v>
      </c>
      <c r="D140" s="86">
        <f>D124</f>
        <v>530981696.87203121</v>
      </c>
      <c r="E140" s="86">
        <f>E124</f>
        <v>530981696.87203121</v>
      </c>
      <c r="F140" s="86"/>
      <c r="G140" s="86">
        <f>G124</f>
        <v>247985263.46041375</v>
      </c>
      <c r="H140" s="86">
        <f>H124</f>
        <v>282996433.4116174</v>
      </c>
      <c r="I140" s="85">
        <f t="shared" si="121"/>
        <v>530981696.87203115</v>
      </c>
      <c r="K140" s="86">
        <f>K124</f>
        <v>247985263.46041375</v>
      </c>
      <c r="L140" s="86">
        <f>L124</f>
        <v>282996433.4116174</v>
      </c>
      <c r="M140" s="85">
        <f t="shared" si="122"/>
        <v>530981696.87203115</v>
      </c>
      <c r="O140" s="86">
        <f>O124</f>
        <v>530981696.87203121</v>
      </c>
      <c r="P140" s="86">
        <f>P124</f>
        <v>530981696.87203121</v>
      </c>
      <c r="Q140" s="235">
        <f t="shared" si="123"/>
        <v>0</v>
      </c>
      <c r="R140" s="345">
        <f>P129-P140</f>
        <v>4986261194.6526747</v>
      </c>
      <c r="S140" s="282"/>
    </row>
    <row r="141" spans="1:22" ht="15" customHeight="1" x14ac:dyDescent="0.25">
      <c r="B141" s="271"/>
      <c r="D141" s="86"/>
      <c r="E141" s="86"/>
      <c r="F141" s="86"/>
      <c r="G141" s="86"/>
      <c r="H141" s="86"/>
      <c r="I141" s="85"/>
      <c r="K141" s="86"/>
      <c r="L141" s="86"/>
      <c r="M141" s="85"/>
      <c r="O141" s="86"/>
      <c r="P141" s="86"/>
      <c r="Q141" s="235"/>
      <c r="R141" s="266"/>
      <c r="S141" s="282"/>
    </row>
    <row r="142" spans="1:22" x14ac:dyDescent="0.25">
      <c r="K142" s="127">
        <f>K129-K140</f>
        <v>2219614300.9118185</v>
      </c>
      <c r="O142" s="125"/>
      <c r="P142" s="333"/>
      <c r="Q142" s="333"/>
    </row>
    <row r="143" spans="1:22" x14ac:dyDescent="0.25">
      <c r="M143" s="135">
        <f>+M129-M140</f>
        <v>4986261194.6526756</v>
      </c>
      <c r="O143" s="125">
        <f>SUM(O58:O141)/5</f>
        <v>3658060491.9679399</v>
      </c>
      <c r="P143" s="333" t="s">
        <v>2413</v>
      </c>
      <c r="Q143" s="333" t="s">
        <v>2396</v>
      </c>
    </row>
    <row r="144" spans="1:22" x14ac:dyDescent="0.25">
      <c r="O144" s="225" t="s">
        <v>2397</v>
      </c>
      <c r="P144" s="135">
        <f>+I129</f>
        <v>5514917512.4993162</v>
      </c>
      <c r="Q144" s="135">
        <v>5528598912.1025</v>
      </c>
    </row>
    <row r="145" spans="15:19" x14ac:dyDescent="0.25">
      <c r="O145" s="14" t="s">
        <v>2398</v>
      </c>
      <c r="P145" s="135">
        <f>+G129</f>
        <v>2272709405.0881023</v>
      </c>
      <c r="Q145" s="135">
        <v>1533347210.5749314</v>
      </c>
    </row>
    <row r="147" spans="15:19" x14ac:dyDescent="0.25">
      <c r="O147" s="14" t="s">
        <v>2399</v>
      </c>
      <c r="P147" s="135">
        <f>E140</f>
        <v>530981696.87203121</v>
      </c>
      <c r="Q147" s="135">
        <v>530981696.87203121</v>
      </c>
    </row>
    <row r="148" spans="15:19" x14ac:dyDescent="0.25">
      <c r="O148" s="14" t="s">
        <v>2400</v>
      </c>
      <c r="P148" s="135">
        <f>+Q129-Q140</f>
        <v>-2325379.0253891945</v>
      </c>
      <c r="Q148" s="135">
        <v>0</v>
      </c>
      <c r="S148" s="336"/>
    </row>
    <row r="149" spans="15:19" x14ac:dyDescent="0.25">
      <c r="P149" s="135"/>
      <c r="Q149" s="135"/>
    </row>
    <row r="151" spans="15:19" x14ac:dyDescent="0.25">
      <c r="O151" s="14" t="s">
        <v>2401</v>
      </c>
      <c r="P151" s="135">
        <f>P148*0.1</f>
        <v>-232537.90253891947</v>
      </c>
      <c r="Q151" s="135">
        <v>0</v>
      </c>
    </row>
    <row r="153" spans="15:19" x14ac:dyDescent="0.25">
      <c r="O153" s="240"/>
    </row>
    <row r="154" spans="15:19" x14ac:dyDescent="0.25">
      <c r="O154" s="14" t="s">
        <v>2402</v>
      </c>
      <c r="P154" s="135">
        <f>P147</f>
        <v>530981696.87203121</v>
      </c>
      <c r="Q154" s="135">
        <v>530981696.87203121</v>
      </c>
    </row>
    <row r="155" spans="15:19" x14ac:dyDescent="0.25">
      <c r="O155" s="14" t="s">
        <v>2403</v>
      </c>
      <c r="P155" s="341">
        <f>P154-P148</f>
        <v>533307075.89742041</v>
      </c>
      <c r="Q155" s="341">
        <v>530981696.87203121</v>
      </c>
    </row>
    <row r="157" spans="15:19" x14ac:dyDescent="0.25">
      <c r="O157" s="14" t="s">
        <v>2404</v>
      </c>
      <c r="P157" s="240">
        <f>+P145/P144</f>
        <v>0.41210215745514001</v>
      </c>
      <c r="Q157" s="240">
        <v>0.2773482459033742</v>
      </c>
    </row>
    <row r="159" spans="15:19" x14ac:dyDescent="0.25">
      <c r="O159" s="14" t="s">
        <v>2405</v>
      </c>
      <c r="P159" s="334">
        <f>+P155*P157</f>
        <v>219776996.56341904</v>
      </c>
      <c r="Q159" s="334">
        <v>147266842.23425502</v>
      </c>
    </row>
    <row r="160" spans="15:19" x14ac:dyDescent="0.25">
      <c r="O160" s="14" t="s">
        <v>2406</v>
      </c>
      <c r="P160" s="334">
        <f>0.0035*P145</f>
        <v>7954482.9178083586</v>
      </c>
      <c r="Q160" s="334">
        <v>5366715.2370122597</v>
      </c>
    </row>
    <row r="161" spans="15:18" x14ac:dyDescent="0.25">
      <c r="O161" s="14" t="s">
        <v>2407</v>
      </c>
      <c r="P161" s="334">
        <f>+P159-P160</f>
        <v>211822513.64561069</v>
      </c>
      <c r="Q161" s="334">
        <v>141900126.99724275</v>
      </c>
    </row>
    <row r="162" spans="15:18" x14ac:dyDescent="0.25">
      <c r="O162" s="14" t="s">
        <v>2408</v>
      </c>
      <c r="P162" s="334">
        <v>20000000</v>
      </c>
      <c r="Q162" s="334">
        <v>15000000</v>
      </c>
    </row>
    <row r="163" spans="15:18" x14ac:dyDescent="0.25">
      <c r="O163" s="14" t="s">
        <v>2409</v>
      </c>
      <c r="P163" s="334">
        <f>0.02*(P154-P162)*P157</f>
        <v>4211533.194021049</v>
      </c>
      <c r="Q163" s="334">
        <v>2862132.3709140881</v>
      </c>
      <c r="R163" s="335"/>
    </row>
    <row r="164" spans="15:18" x14ac:dyDescent="0.25">
      <c r="O164" s="14" t="s">
        <v>2410</v>
      </c>
      <c r="P164" s="342">
        <f>(P161-P162-P163)*0.01</f>
        <v>1876109.8045158964</v>
      </c>
      <c r="Q164" s="342">
        <v>1240379.9462632868</v>
      </c>
      <c r="R164" s="334"/>
    </row>
    <row r="165" spans="15:18" x14ac:dyDescent="0.25">
      <c r="O165" s="14" t="s">
        <v>2411</v>
      </c>
      <c r="P165" s="334"/>
      <c r="Q165" s="334"/>
      <c r="R165" s="343" t="s">
        <v>2414</v>
      </c>
    </row>
    <row r="166" spans="15:18" x14ac:dyDescent="0.25">
      <c r="O166" s="14" t="s">
        <v>2412</v>
      </c>
      <c r="P166" s="335">
        <f>+P161-P162-P163+P165</f>
        <v>187610980.45158964</v>
      </c>
      <c r="Q166" s="335">
        <v>124037994.62632866</v>
      </c>
      <c r="R166" s="343">
        <f>P166-Q166</f>
        <v>63572985.825260982</v>
      </c>
    </row>
    <row r="167" spans="15:18" x14ac:dyDescent="0.25">
      <c r="R167" s="343"/>
    </row>
  </sheetData>
  <sheetProtection selectLockedCells="1" autoFilter="0" selectUnlockedCells="1"/>
  <mergeCells count="8">
    <mergeCell ref="O4:Q4"/>
    <mergeCell ref="G4:I4"/>
    <mergeCell ref="K4:M4"/>
    <mergeCell ref="G1:M1"/>
    <mergeCell ref="B1:D1"/>
    <mergeCell ref="O1:Q1"/>
    <mergeCell ref="G2:M2"/>
    <mergeCell ref="O2:P2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  <rowBreaks count="2" manualBreakCount="2">
    <brk id="70" max="16383" man="1"/>
    <brk id="128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AAD9-AF2E-4728-898F-912DB10089AF}">
  <dimension ref="B1:O37"/>
  <sheetViews>
    <sheetView workbookViewId="0">
      <selection activeCell="E1" sqref="E1"/>
    </sheetView>
  </sheetViews>
  <sheetFormatPr baseColWidth="10" defaultColWidth="11.42578125" defaultRowHeight="15" x14ac:dyDescent="0.25"/>
  <cols>
    <col min="3" max="3" width="57.85546875" bestFit="1" customWidth="1"/>
    <col min="5" max="5" width="13.85546875" customWidth="1"/>
    <col min="9" max="10" width="11.85546875" bestFit="1" customWidth="1"/>
    <col min="14" max="14" width="17.5703125" bestFit="1" customWidth="1"/>
    <col min="15" max="15" width="25" bestFit="1" customWidth="1"/>
  </cols>
  <sheetData>
    <row r="1" spans="2:15" x14ac:dyDescent="0.25">
      <c r="E1" t="s">
        <v>258</v>
      </c>
      <c r="F1" s="224">
        <v>36028.1</v>
      </c>
    </row>
    <row r="3" spans="2:15" x14ac:dyDescent="0.25">
      <c r="J3" s="220">
        <f>SUM(J5:J67)</f>
        <v>-3.7252902984619141E-8</v>
      </c>
    </row>
    <row r="4" spans="2:15" x14ac:dyDescent="0.25">
      <c r="B4" s="221" t="s">
        <v>259</v>
      </c>
      <c r="C4" s="221" t="s">
        <v>260</v>
      </c>
      <c r="D4" s="286" t="s">
        <v>261</v>
      </c>
      <c r="E4" s="286" t="s">
        <v>262</v>
      </c>
      <c r="F4" s="286" t="s">
        <v>263</v>
      </c>
      <c r="G4" s="288" t="s">
        <v>264</v>
      </c>
      <c r="H4" s="286" t="s">
        <v>265</v>
      </c>
      <c r="I4" s="288" t="s">
        <v>266</v>
      </c>
      <c r="J4" s="288" t="s">
        <v>267</v>
      </c>
      <c r="N4" s="291" t="s">
        <v>268</v>
      </c>
      <c r="O4" t="s">
        <v>269</v>
      </c>
    </row>
    <row r="5" spans="2:15" x14ac:dyDescent="0.25">
      <c r="B5" t="s">
        <v>270</v>
      </c>
      <c r="C5" t="s">
        <v>271</v>
      </c>
      <c r="D5" s="276" t="s">
        <v>272</v>
      </c>
      <c r="E5" s="287"/>
      <c r="F5" s="287"/>
      <c r="G5" s="220"/>
      <c r="H5" s="287"/>
      <c r="I5" s="220"/>
      <c r="J5" s="222"/>
      <c r="K5" s="220"/>
      <c r="N5" s="277" t="s">
        <v>273</v>
      </c>
      <c r="O5" s="220">
        <v>-41642160.93883834</v>
      </c>
    </row>
    <row r="6" spans="2:15" x14ac:dyDescent="0.25">
      <c r="B6" t="s">
        <v>270</v>
      </c>
      <c r="C6" t="s">
        <v>274</v>
      </c>
      <c r="D6" s="276" t="s">
        <v>272</v>
      </c>
      <c r="E6" s="287">
        <v>117.642</v>
      </c>
      <c r="F6" s="287">
        <v>107840</v>
      </c>
      <c r="G6" s="220">
        <v>12686513.279999999</v>
      </c>
      <c r="H6" s="287">
        <f>$F$1*2.72</f>
        <v>97996.432000000001</v>
      </c>
      <c r="I6" s="220">
        <f>+H6*E6*1.05</f>
        <v>12104921.0660112</v>
      </c>
      <c r="J6" s="220">
        <f>G6-I6</f>
        <v>581592.2139887996</v>
      </c>
      <c r="K6" s="220" t="s">
        <v>275</v>
      </c>
      <c r="N6" s="277" t="s">
        <v>270</v>
      </c>
      <c r="O6" s="220">
        <v>19835555.330247011</v>
      </c>
    </row>
    <row r="7" spans="2:15" x14ac:dyDescent="0.25">
      <c r="B7" t="s">
        <v>270</v>
      </c>
      <c r="C7" t="s">
        <v>276</v>
      </c>
      <c r="D7" s="276" t="s">
        <v>272</v>
      </c>
      <c r="E7" s="287">
        <v>748.58799999999997</v>
      </c>
      <c r="F7" s="287">
        <v>118161</v>
      </c>
      <c r="G7" s="220">
        <v>88453906.667999998</v>
      </c>
      <c r="H7" s="287">
        <f>$F$1*2.72</f>
        <v>97996.432000000001</v>
      </c>
      <c r="I7" s="220">
        <f t="shared" ref="I7:I8" si="0">+H7*E7*1.05</f>
        <v>77026900.68991679</v>
      </c>
      <c r="J7" s="220">
        <f t="shared" ref="J7:J8" si="1">G7-I7</f>
        <v>11427005.978083208</v>
      </c>
      <c r="K7" s="220" t="s">
        <v>275</v>
      </c>
      <c r="N7" s="277" t="s">
        <v>277</v>
      </c>
      <c r="O7" s="220">
        <v>6266554.6491999924</v>
      </c>
    </row>
    <row r="8" spans="2:15" x14ac:dyDescent="0.25">
      <c r="B8" t="s">
        <v>270</v>
      </c>
      <c r="C8" t="s">
        <v>278</v>
      </c>
      <c r="D8" s="276" t="s">
        <v>272</v>
      </c>
      <c r="E8" s="287">
        <v>416.85</v>
      </c>
      <c r="F8" s="287">
        <v>128482</v>
      </c>
      <c r="G8" s="220">
        <v>53557721.700000003</v>
      </c>
      <c r="H8" s="287">
        <f>$F$1*2.9</f>
        <v>104481.48999999999</v>
      </c>
      <c r="I8" s="220">
        <f t="shared" si="0"/>
        <v>45730764.561825</v>
      </c>
      <c r="J8" s="220">
        <f t="shared" si="1"/>
        <v>7826957.1381750032</v>
      </c>
      <c r="K8" s="220" t="s">
        <v>275</v>
      </c>
      <c r="N8" s="277" t="s">
        <v>279</v>
      </c>
      <c r="O8" s="220">
        <v>-40810619.25</v>
      </c>
    </row>
    <row r="9" spans="2:15" x14ac:dyDescent="0.25">
      <c r="B9" t="s">
        <v>279</v>
      </c>
      <c r="C9" t="s">
        <v>280</v>
      </c>
      <c r="D9" s="276" t="s">
        <v>272</v>
      </c>
      <c r="E9" s="287">
        <v>17329.349999999999</v>
      </c>
      <c r="F9" s="287">
        <v>14500</v>
      </c>
      <c r="G9" s="220">
        <v>251275574.99999997</v>
      </c>
      <c r="H9" s="287"/>
      <c r="I9" s="220"/>
      <c r="J9" s="220">
        <f>(G9-I9)-2.09547579288483E-08</f>
        <v>251275574.99999994</v>
      </c>
      <c r="K9" s="220"/>
      <c r="N9" s="277" t="s">
        <v>281</v>
      </c>
      <c r="O9" s="220">
        <v>-19569977</v>
      </c>
    </row>
    <row r="10" spans="2:15" x14ac:dyDescent="0.25">
      <c r="B10" t="s">
        <v>279</v>
      </c>
      <c r="C10" t="s">
        <v>280</v>
      </c>
      <c r="D10" s="276" t="s">
        <v>272</v>
      </c>
      <c r="E10" s="287">
        <v>4332.3374999999996</v>
      </c>
      <c r="F10" s="287"/>
      <c r="G10" s="220"/>
      <c r="H10" s="287">
        <v>17950</v>
      </c>
      <c r="I10" s="220">
        <f>-H10*E10</f>
        <v>-77765458.125</v>
      </c>
      <c r="J10" s="220">
        <f>I10</f>
        <v>-77765458.125</v>
      </c>
      <c r="K10" s="220"/>
      <c r="N10" s="277" t="s">
        <v>282</v>
      </c>
      <c r="O10" s="220">
        <v>13260000</v>
      </c>
    </row>
    <row r="11" spans="2:15" x14ac:dyDescent="0.25">
      <c r="B11" t="s">
        <v>279</v>
      </c>
      <c r="C11" t="s">
        <v>280</v>
      </c>
      <c r="D11" s="276" t="s">
        <v>272</v>
      </c>
      <c r="E11" s="287">
        <v>12997.012499999999</v>
      </c>
      <c r="F11" s="287"/>
      <c r="G11" s="220"/>
      <c r="H11" s="287">
        <v>16490</v>
      </c>
      <c r="I11" s="220">
        <f>-H11*E11</f>
        <v>-214320736.12499997</v>
      </c>
      <c r="J11" s="220">
        <f>I11</f>
        <v>-214320736.12499997</v>
      </c>
      <c r="K11" s="220"/>
      <c r="N11" s="277" t="s">
        <v>283</v>
      </c>
      <c r="O11" s="220">
        <v>189002771.34359804</v>
      </c>
    </row>
    <row r="12" spans="2:15" x14ac:dyDescent="0.25">
      <c r="B12" t="s">
        <v>277</v>
      </c>
      <c r="C12" t="s">
        <v>284</v>
      </c>
      <c r="D12" s="276" t="s">
        <v>285</v>
      </c>
      <c r="E12" s="287">
        <v>128098.01</v>
      </c>
      <c r="F12" s="287">
        <v>818</v>
      </c>
      <c r="G12" s="220">
        <v>104784172.17999999</v>
      </c>
      <c r="H12" s="287">
        <f>699+55</f>
        <v>754</v>
      </c>
      <c r="I12" s="220">
        <f>+H12*E12*1.02</f>
        <v>98517617.5308</v>
      </c>
      <c r="J12" s="220">
        <f t="shared" ref="J12:J17" si="2">G12-I12</f>
        <v>6266554.6491999924</v>
      </c>
      <c r="K12" s="220" t="s">
        <v>286</v>
      </c>
      <c r="N12" s="277" t="s">
        <v>287</v>
      </c>
      <c r="O12" s="220">
        <v>-16146234.755325735</v>
      </c>
    </row>
    <row r="13" spans="2:15" x14ac:dyDescent="0.25">
      <c r="B13" t="s">
        <v>288</v>
      </c>
      <c r="C13" t="s">
        <v>289</v>
      </c>
      <c r="D13" s="276" t="s">
        <v>290</v>
      </c>
      <c r="E13" s="287">
        <v>124367</v>
      </c>
      <c r="F13" s="287">
        <v>60</v>
      </c>
      <c r="G13" s="220">
        <v>7462020</v>
      </c>
      <c r="H13" s="287">
        <f>820000/25000</f>
        <v>32.799999999999997</v>
      </c>
      <c r="I13" s="220">
        <f>+H13*E13*1.02</f>
        <v>4160822.3519999995</v>
      </c>
      <c r="J13" s="220">
        <f t="shared" si="2"/>
        <v>3301197.6480000005</v>
      </c>
      <c r="K13" s="220" t="s">
        <v>286</v>
      </c>
      <c r="N13" s="277" t="s">
        <v>291</v>
      </c>
      <c r="O13" s="220">
        <v>-76454898.668214262</v>
      </c>
    </row>
    <row r="14" spans="2:15" x14ac:dyDescent="0.25">
      <c r="B14" t="s">
        <v>282</v>
      </c>
      <c r="C14" t="s">
        <v>292</v>
      </c>
      <c r="D14" s="276" t="s">
        <v>272</v>
      </c>
      <c r="E14" s="287">
        <v>3700</v>
      </c>
      <c r="F14" s="287">
        <v>19800</v>
      </c>
      <c r="G14" s="220">
        <v>73260000</v>
      </c>
      <c r="H14" s="287">
        <v>60000000</v>
      </c>
      <c r="I14" s="220">
        <f>H14</f>
        <v>60000000</v>
      </c>
      <c r="J14" s="220">
        <f t="shared" si="2"/>
        <v>13260000</v>
      </c>
      <c r="K14" s="220"/>
      <c r="N14" s="277" t="s">
        <v>293</v>
      </c>
      <c r="O14" s="220">
        <v>-12750000</v>
      </c>
    </row>
    <row r="15" spans="2:15" x14ac:dyDescent="0.25">
      <c r="B15" t="s">
        <v>294</v>
      </c>
      <c r="C15" t="s">
        <v>295</v>
      </c>
      <c r="D15" s="276" t="s">
        <v>296</v>
      </c>
      <c r="E15" s="287">
        <v>7</v>
      </c>
      <c r="F15" s="287">
        <f>61*75638.0952380952</f>
        <v>4613923.8095238069</v>
      </c>
      <c r="G15" s="220">
        <f>F15*E15</f>
        <v>32297466.666666649</v>
      </c>
      <c r="H15" s="287">
        <f>21*F1</f>
        <v>756590.1</v>
      </c>
      <c r="I15" s="220">
        <f>H15*E15</f>
        <v>5296130.7</v>
      </c>
      <c r="J15" s="220">
        <f t="shared" si="2"/>
        <v>27001335.96666665</v>
      </c>
      <c r="K15" s="220"/>
      <c r="N15" s="277" t="s">
        <v>294</v>
      </c>
      <c r="O15" s="220">
        <v>27001335.96666665</v>
      </c>
    </row>
    <row r="16" spans="2:15" x14ac:dyDescent="0.25">
      <c r="B16" t="s">
        <v>283</v>
      </c>
      <c r="C16" t="s">
        <v>297</v>
      </c>
      <c r="D16" s="276" t="s">
        <v>298</v>
      </c>
      <c r="E16" s="287">
        <v>180002.73</v>
      </c>
      <c r="F16" s="287">
        <f>G16/E16</f>
        <v>2248.089172358018</v>
      </c>
      <c r="G16" s="220">
        <v>404662188.3078838</v>
      </c>
      <c r="H16" s="287">
        <f>((250000/196)*0.25)+((5700000/43/196)*1.3)</f>
        <v>1198.0897009966779</v>
      </c>
      <c r="I16" s="220">
        <f>H16*E16</f>
        <v>215659416.96428576</v>
      </c>
      <c r="J16" s="220">
        <f t="shared" si="2"/>
        <v>189002771.34359804</v>
      </c>
      <c r="K16" s="220" t="s">
        <v>299</v>
      </c>
      <c r="L16" s="289"/>
      <c r="N16" s="277" t="s">
        <v>300</v>
      </c>
      <c r="O16" s="220">
        <v>-51293524.325333335</v>
      </c>
    </row>
    <row r="17" spans="2:15" x14ac:dyDescent="0.25">
      <c r="B17" t="s">
        <v>287</v>
      </c>
      <c r="C17" t="s">
        <v>301</v>
      </c>
      <c r="D17" s="276" t="s">
        <v>298</v>
      </c>
      <c r="E17" s="287">
        <v>180002.73</v>
      </c>
      <c r="F17" s="287">
        <f>G17/E17</f>
        <v>826.6674031916682</v>
      </c>
      <c r="G17" s="220">
        <v>148802389.37651101</v>
      </c>
      <c r="H17" s="287">
        <f>(((5800*22)/196)+((4800*22/196)*0.1))*1.3</f>
        <v>916.36734693877554</v>
      </c>
      <c r="I17" s="220">
        <f>H17*E17</f>
        <v>164948624.13183674</v>
      </c>
      <c r="J17" s="220">
        <f t="shared" si="2"/>
        <v>-16146234.755325735</v>
      </c>
      <c r="K17" s="220" t="s">
        <v>302</v>
      </c>
      <c r="N17" s="277" t="s">
        <v>288</v>
      </c>
      <c r="O17" s="220">
        <v>3301197.6480000005</v>
      </c>
    </row>
    <row r="18" spans="2:15" x14ac:dyDescent="0.25">
      <c r="B18" t="s">
        <v>273</v>
      </c>
      <c r="C18" t="s">
        <v>303</v>
      </c>
      <c r="E18" s="220"/>
      <c r="F18" s="220"/>
      <c r="G18" s="220"/>
      <c r="H18" s="287"/>
      <c r="I18" s="220"/>
      <c r="J18" s="220"/>
      <c r="K18" s="220"/>
      <c r="N18" s="277" t="s">
        <v>304</v>
      </c>
      <c r="O18" s="220">
        <v>2.0954757928848267E-8</v>
      </c>
    </row>
    <row r="19" spans="2:15" x14ac:dyDescent="0.25">
      <c r="B19" t="s">
        <v>273</v>
      </c>
      <c r="C19" s="290" t="s">
        <v>305</v>
      </c>
      <c r="D19" s="276" t="s">
        <v>296</v>
      </c>
      <c r="E19" s="276">
        <v>7.5</v>
      </c>
      <c r="G19" s="220"/>
      <c r="H19" s="287">
        <v>2530000</v>
      </c>
      <c r="I19" s="220">
        <f t="shared" ref="I19:I20" si="3">H19*E19</f>
        <v>18975000</v>
      </c>
      <c r="J19" s="220">
        <f t="shared" ref="J19:J20" si="4">G19-I19</f>
        <v>-18975000</v>
      </c>
      <c r="K19" s="220"/>
    </row>
    <row r="20" spans="2:15" x14ac:dyDescent="0.25">
      <c r="B20" t="s">
        <v>273</v>
      </c>
      <c r="C20" s="290" t="s">
        <v>306</v>
      </c>
      <c r="D20" s="276" t="s">
        <v>296</v>
      </c>
      <c r="E20" s="276">
        <v>7</v>
      </c>
      <c r="G20" s="220"/>
      <c r="H20" s="287">
        <v>2106000</v>
      </c>
      <c r="I20" s="220">
        <f t="shared" si="3"/>
        <v>14742000</v>
      </c>
      <c r="J20" s="220">
        <f t="shared" si="4"/>
        <v>-14742000</v>
      </c>
      <c r="K20" s="220"/>
    </row>
    <row r="21" spans="2:15" x14ac:dyDescent="0.25">
      <c r="B21" t="s">
        <v>273</v>
      </c>
      <c r="C21" s="290" t="s">
        <v>307</v>
      </c>
      <c r="D21" s="276" t="s">
        <v>296</v>
      </c>
      <c r="E21" s="276">
        <f>E20+E19</f>
        <v>14.5</v>
      </c>
      <c r="H21" s="287">
        <v>680543.06547619053</v>
      </c>
      <c r="I21" s="220">
        <f>(H21*E21)+-1942713.51056642</f>
        <v>7925160.9388383422</v>
      </c>
      <c r="J21" s="220">
        <f t="shared" ref="J21:J23" si="5">G21-I21</f>
        <v>-7925160.9388383422</v>
      </c>
    </row>
    <row r="22" spans="2:15" x14ac:dyDescent="0.25">
      <c r="B22" t="s">
        <v>281</v>
      </c>
      <c r="C22" t="s">
        <v>308</v>
      </c>
      <c r="H22" s="276"/>
    </row>
    <row r="23" spans="2:15" x14ac:dyDescent="0.25">
      <c r="B23" t="s">
        <v>281</v>
      </c>
      <c r="C23" s="290" t="s">
        <v>309</v>
      </c>
      <c r="D23" s="276" t="s">
        <v>290</v>
      </c>
      <c r="E23" s="276">
        <v>1</v>
      </c>
      <c r="H23" s="287">
        <v>19569977</v>
      </c>
      <c r="I23" s="220">
        <f t="shared" ref="I23" si="6">H23*E23</f>
        <v>19569977</v>
      </c>
      <c r="J23" s="220">
        <f t="shared" si="5"/>
        <v>-19569977</v>
      </c>
    </row>
    <row r="24" spans="2:15" x14ac:dyDescent="0.25">
      <c r="B24" t="s">
        <v>293</v>
      </c>
      <c r="C24" t="s">
        <v>310</v>
      </c>
      <c r="E24" s="276"/>
      <c r="H24" s="276"/>
    </row>
    <row r="25" spans="2:15" x14ac:dyDescent="0.25">
      <c r="B25" t="s">
        <v>293</v>
      </c>
      <c r="C25" s="290" t="s">
        <v>311</v>
      </c>
      <c r="E25" s="276">
        <v>61</v>
      </c>
      <c r="H25" s="287">
        <v>60000</v>
      </c>
      <c r="I25" s="220">
        <f t="shared" ref="I25:I30" si="7">H25*E25</f>
        <v>3660000</v>
      </c>
      <c r="J25" s="220">
        <f t="shared" ref="J25:J31" si="8">G25-I25</f>
        <v>-3660000</v>
      </c>
    </row>
    <row r="26" spans="2:15" x14ac:dyDescent="0.25">
      <c r="B26" t="s">
        <v>293</v>
      </c>
      <c r="C26" s="290" t="s">
        <v>312</v>
      </c>
      <c r="E26" s="276">
        <v>77</v>
      </c>
      <c r="H26" s="287">
        <v>50000</v>
      </c>
      <c r="I26" s="220">
        <f t="shared" si="7"/>
        <v>3850000</v>
      </c>
      <c r="J26" s="220">
        <f t="shared" si="8"/>
        <v>-3850000</v>
      </c>
    </row>
    <row r="27" spans="2:15" x14ac:dyDescent="0.25">
      <c r="B27" t="s">
        <v>293</v>
      </c>
      <c r="C27" s="290" t="s">
        <v>313</v>
      </c>
      <c r="E27" s="276">
        <v>50</v>
      </c>
      <c r="H27" s="287">
        <v>40000</v>
      </c>
      <c r="I27" s="220">
        <f t="shared" si="7"/>
        <v>2000000</v>
      </c>
      <c r="J27" s="220">
        <f t="shared" si="8"/>
        <v>-2000000</v>
      </c>
    </row>
    <row r="28" spans="2:15" x14ac:dyDescent="0.25">
      <c r="B28" t="s">
        <v>293</v>
      </c>
      <c r="C28" s="290" t="s">
        <v>314</v>
      </c>
      <c r="E28" s="276">
        <v>6</v>
      </c>
      <c r="H28" s="287">
        <v>40000</v>
      </c>
      <c r="I28" s="220">
        <f t="shared" si="7"/>
        <v>240000</v>
      </c>
      <c r="J28" s="220">
        <f t="shared" si="8"/>
        <v>-240000</v>
      </c>
    </row>
    <row r="29" spans="2:15" x14ac:dyDescent="0.25">
      <c r="B29" t="s">
        <v>293</v>
      </c>
      <c r="C29" s="290" t="s">
        <v>315</v>
      </c>
      <c r="E29" s="276">
        <v>16</v>
      </c>
      <c r="H29" s="287">
        <v>150000</v>
      </c>
      <c r="I29" s="220">
        <f t="shared" si="7"/>
        <v>2400000</v>
      </c>
      <c r="J29" s="220">
        <f t="shared" si="8"/>
        <v>-2400000</v>
      </c>
    </row>
    <row r="30" spans="2:15" x14ac:dyDescent="0.25">
      <c r="B30" t="s">
        <v>293</v>
      </c>
      <c r="C30" s="290" t="s">
        <v>316</v>
      </c>
      <c r="E30" s="276">
        <v>4</v>
      </c>
      <c r="H30" s="287">
        <v>150000</v>
      </c>
      <c r="I30" s="220">
        <f t="shared" si="7"/>
        <v>600000</v>
      </c>
      <c r="J30" s="220">
        <f t="shared" si="8"/>
        <v>-600000</v>
      </c>
    </row>
    <row r="31" spans="2:15" x14ac:dyDescent="0.25">
      <c r="B31" t="s">
        <v>291</v>
      </c>
      <c r="C31" t="s">
        <v>317</v>
      </c>
      <c r="D31" s="276" t="s">
        <v>298</v>
      </c>
      <c r="E31" s="287">
        <v>1560</v>
      </c>
      <c r="F31" s="287">
        <v>14002.728693812138</v>
      </c>
      <c r="G31" s="220">
        <f>F31*E31</f>
        <v>21844256.762346935</v>
      </c>
      <c r="H31" s="287">
        <f>F31</f>
        <v>14002.728693812138</v>
      </c>
      <c r="I31" s="220">
        <f>H31*E31*4.5</f>
        <v>98299155.4305612</v>
      </c>
      <c r="J31" s="220">
        <f t="shared" si="8"/>
        <v>-76454898.668214262</v>
      </c>
      <c r="K31" s="220" t="s">
        <v>318</v>
      </c>
    </row>
    <row r="32" spans="2:15" x14ac:dyDescent="0.25">
      <c r="B32" t="s">
        <v>300</v>
      </c>
      <c r="C32" t="s">
        <v>319</v>
      </c>
      <c r="D32" s="276" t="s">
        <v>320</v>
      </c>
      <c r="E32" s="287">
        <f>38*7</f>
        <v>266</v>
      </c>
      <c r="F32" s="287">
        <v>50000</v>
      </c>
      <c r="G32" s="220">
        <f>F32*E32</f>
        <v>13300000</v>
      </c>
      <c r="H32" s="287"/>
      <c r="I32" s="220"/>
      <c r="J32" s="220">
        <f t="shared" ref="J32:J37" si="9">G32-I32</f>
        <v>13300000</v>
      </c>
    </row>
    <row r="33" spans="2:10" x14ac:dyDescent="0.25">
      <c r="B33" t="s">
        <v>300</v>
      </c>
      <c r="C33" s="290" t="s">
        <v>321</v>
      </c>
      <c r="D33" s="276" t="s">
        <v>320</v>
      </c>
      <c r="E33" s="287">
        <f>46*7</f>
        <v>322</v>
      </c>
      <c r="F33" s="287"/>
      <c r="G33" s="220"/>
      <c r="H33" s="287">
        <f>2.21*$F$1</f>
        <v>79622.100999999995</v>
      </c>
      <c r="I33" s="220">
        <f>H33*E33</f>
        <v>25638316.522</v>
      </c>
      <c r="J33" s="220">
        <f t="shared" si="9"/>
        <v>-25638316.522</v>
      </c>
    </row>
    <row r="34" spans="2:10" x14ac:dyDescent="0.25">
      <c r="B34" t="s">
        <v>300</v>
      </c>
      <c r="C34" s="290" t="s">
        <v>322</v>
      </c>
      <c r="D34" s="276" t="s">
        <v>296</v>
      </c>
      <c r="E34" s="287">
        <f>10*7</f>
        <v>70</v>
      </c>
      <c r="F34" s="287"/>
      <c r="G34" s="220"/>
      <c r="H34" s="287">
        <f>4.41*$F$1</f>
        <v>158883.921</v>
      </c>
      <c r="I34" s="220">
        <f t="shared" ref="I34:I37" si="10">H34*E34</f>
        <v>11121874.470000001</v>
      </c>
      <c r="J34" s="220">
        <f t="shared" si="9"/>
        <v>-11121874.470000001</v>
      </c>
    </row>
    <row r="35" spans="2:10" x14ac:dyDescent="0.25">
      <c r="B35" t="s">
        <v>300</v>
      </c>
      <c r="C35" s="290" t="s">
        <v>323</v>
      </c>
      <c r="D35" s="276" t="s">
        <v>290</v>
      </c>
      <c r="E35" s="287">
        <v>1</v>
      </c>
      <c r="F35" s="287"/>
      <c r="G35" s="220"/>
      <c r="H35" s="287">
        <v>10000000</v>
      </c>
      <c r="I35" s="220">
        <f t="shared" si="10"/>
        <v>10000000</v>
      </c>
      <c r="J35" s="220">
        <f t="shared" si="9"/>
        <v>-10000000</v>
      </c>
    </row>
    <row r="36" spans="2:10" x14ac:dyDescent="0.25">
      <c r="B36" t="s">
        <v>300</v>
      </c>
      <c r="C36" s="290" t="s">
        <v>324</v>
      </c>
      <c r="D36" s="276" t="s">
        <v>320</v>
      </c>
      <c r="E36" s="287">
        <v>1</v>
      </c>
      <c r="F36" s="287"/>
      <c r="G36" s="220"/>
      <c r="H36" s="287">
        <v>2000000</v>
      </c>
      <c r="I36" s="220">
        <f t="shared" si="10"/>
        <v>2000000</v>
      </c>
      <c r="J36" s="220">
        <f t="shared" si="9"/>
        <v>-2000000</v>
      </c>
    </row>
    <row r="37" spans="2:10" x14ac:dyDescent="0.25">
      <c r="B37" t="s">
        <v>300</v>
      </c>
      <c r="C37" s="290" t="s">
        <v>325</v>
      </c>
      <c r="D37" s="276" t="s">
        <v>296</v>
      </c>
      <c r="E37" s="287">
        <v>7</v>
      </c>
      <c r="F37" s="287"/>
      <c r="G37" s="220"/>
      <c r="H37" s="287">
        <v>2261904.7619047621</v>
      </c>
      <c r="I37" s="220">
        <f t="shared" si="10"/>
        <v>15833333.333333336</v>
      </c>
      <c r="J37" s="220">
        <f t="shared" si="9"/>
        <v>-15833333.333333336</v>
      </c>
    </row>
  </sheetData>
  <autoFilter ref="B4:J37" xr:uid="{439AAAD9-AF2E-4728-898F-912DB10089AF}"/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A1:P573"/>
  <sheetViews>
    <sheetView workbookViewId="0">
      <selection activeCell="P1" sqref="P1"/>
    </sheetView>
  </sheetViews>
  <sheetFormatPr baseColWidth="10" defaultColWidth="11.42578125" defaultRowHeight="15" x14ac:dyDescent="0.25"/>
  <cols>
    <col min="1" max="1" width="13.42578125" bestFit="1" customWidth="1"/>
    <col min="2" max="2" width="14" bestFit="1" customWidth="1"/>
    <col min="3" max="3" width="12" bestFit="1" customWidth="1"/>
    <col min="4" max="4" width="12.7109375" bestFit="1" customWidth="1"/>
    <col min="5" max="5" width="18" customWidth="1"/>
    <col min="6" max="6" width="15.42578125" bestFit="1" customWidth="1"/>
    <col min="7" max="7" width="17.7109375" bestFit="1" customWidth="1"/>
    <col min="8" max="8" width="18.5703125" bestFit="1" customWidth="1"/>
    <col min="9" max="9" width="17.85546875" customWidth="1"/>
    <col min="10" max="10" width="16.7109375" bestFit="1" customWidth="1"/>
    <col min="11" max="11" width="11.85546875" bestFit="1" customWidth="1"/>
    <col min="12" max="12" width="15.5703125" bestFit="1" customWidth="1"/>
    <col min="13" max="13" width="14.7109375" bestFit="1" customWidth="1"/>
    <col min="14" max="14" width="19.7109375" bestFit="1" customWidth="1"/>
    <col min="15" max="15" width="5.140625" customWidth="1"/>
    <col min="16" max="16" width="19.28515625" customWidth="1"/>
  </cols>
  <sheetData>
    <row r="1" spans="1:16" x14ac:dyDescent="0.25">
      <c r="E1" s="65">
        <f t="shared" ref="E1:J1" si="0">SUM(E3:E989)</f>
        <v>0</v>
      </c>
      <c r="F1" s="65">
        <f t="shared" si="0"/>
        <v>0</v>
      </c>
      <c r="G1" s="65">
        <f t="shared" si="0"/>
        <v>0</v>
      </c>
      <c r="H1" s="65">
        <f t="shared" si="0"/>
        <v>0</v>
      </c>
      <c r="I1" s="65">
        <f t="shared" si="0"/>
        <v>-789843587</v>
      </c>
      <c r="J1" s="65">
        <f t="shared" si="0"/>
        <v>-712072209.05000007</v>
      </c>
      <c r="K1" s="65"/>
      <c r="L1" s="65">
        <f>SUM(L3:L989)</f>
        <v>789843587</v>
      </c>
      <c r="M1" s="65">
        <f>SUM(M3:M989)</f>
        <v>509364568</v>
      </c>
      <c r="N1" s="65">
        <f>SUM(N3:N989)</f>
        <v>202707641.04999998</v>
      </c>
      <c r="O1" s="122"/>
      <c r="P1" s="129">
        <f>SUM(I1:N1)</f>
        <v>0</v>
      </c>
    </row>
    <row r="2" spans="1:16" ht="30" x14ac:dyDescent="0.25">
      <c r="A2" s="191" t="s">
        <v>1432</v>
      </c>
      <c r="B2" s="191" t="s">
        <v>1433</v>
      </c>
      <c r="C2" s="191" t="s">
        <v>1434</v>
      </c>
      <c r="D2" s="191" t="s">
        <v>1435</v>
      </c>
      <c r="E2" s="191" t="s">
        <v>1436</v>
      </c>
      <c r="F2" s="191" t="s">
        <v>1437</v>
      </c>
      <c r="G2" s="191" t="s">
        <v>1438</v>
      </c>
      <c r="H2" s="191" t="s">
        <v>1439</v>
      </c>
      <c r="I2" s="191" t="s">
        <v>1440</v>
      </c>
      <c r="J2" s="191" t="s">
        <v>1441</v>
      </c>
      <c r="K2" s="191" t="s">
        <v>1442</v>
      </c>
      <c r="L2" s="192" t="s">
        <v>1443</v>
      </c>
      <c r="M2" s="192" t="s">
        <v>1444</v>
      </c>
      <c r="N2" s="192" t="s">
        <v>1445</v>
      </c>
      <c r="O2" s="122"/>
      <c r="P2" s="129">
        <f>'Matriz de Proyecciones'!M129</f>
        <v>5517242891.5247068</v>
      </c>
    </row>
    <row r="3" spans="1:16" x14ac:dyDescent="0.25">
      <c r="A3" s="210">
        <f>Indice!$I$11</f>
        <v>0</v>
      </c>
      <c r="B3">
        <v>0</v>
      </c>
      <c r="C3" s="39">
        <f>Indice!$I$12</f>
        <v>45992</v>
      </c>
      <c r="E3">
        <f>ROUND(SUMIFS(CATEGORIAS[[#All],[TOTAL PRODUCCION
ACTUAL]],CATEGORIAS[[#All],[CATEGORIA2]],Imputar[[#This Row],[Categoría]]),0)</f>
        <v>0</v>
      </c>
      <c r="F3">
        <v>0</v>
      </c>
      <c r="G3">
        <f>ROUND(SUMIFS(CATEGORIAS[[#All],[PROYECCION
DE INGRESO
DEL SALDO]],CATEGORIAS[[#All],[CATEGORIA2]],Imputar[[#This Row],[Categoría]]),0)</f>
        <v>0</v>
      </c>
      <c r="H3">
        <f>ROUND(SUMIFS(CATEGORIAS[[#All],[CAMBIO DE
CATEGORIA]],CATEGORIAS[[#All],[CATEGORIA2]],Imputar[[#This Row],[Categoría]]),0)</f>
        <v>0</v>
      </c>
      <c r="I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">
        <f>+ROUND(SUMIFS(CATEGORIAS[[#All],[PROYECCION
TOTAL DE COSTO]],CATEGORIAS[[#All],[CATEGORIA2]],Imputar[[#This Row],[Categoría]]),0)
-Imputar[[#This Row],[Inventario]]
-Imputar[[#This Row],[Pedidos no Rec]]</f>
        <v>-5500021</v>
      </c>
      <c r="K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">
        <f>_xlfn.IFNA(VLOOKUP(Imputar[[#This Row],[Categoría]],EIMI!C:T,8,0),0)</f>
        <v>0</v>
      </c>
      <c r="M3">
        <f>_xlfn.IFNA(VLOOKUP(Imputar[[#This Row],[Categoría]],EIMI!C:T,9,0),0)</f>
        <v>5500021</v>
      </c>
      <c r="N3">
        <f>_xlfn.IFNA(VLOOKUP(Imputar[[#This Row],[Categoría]],EIMI!C:T,10,0),0)</f>
        <v>0</v>
      </c>
      <c r="P3" s="129">
        <f>P1-P2</f>
        <v>-5517242891.5247068</v>
      </c>
    </row>
    <row r="4" spans="1:16" x14ac:dyDescent="0.25">
      <c r="A4" s="210">
        <f>Indice!$I$11</f>
        <v>0</v>
      </c>
      <c r="B4" t="s">
        <v>362</v>
      </c>
      <c r="C4" s="39">
        <f>Indice!$I$12</f>
        <v>45992</v>
      </c>
      <c r="E4">
        <f>ROUND(SUMIFS(CATEGORIAS[[#All],[TOTAL PRODUCCION
ACTUAL]],CATEGORIAS[[#All],[CATEGORIA2]],Imputar[[#This Row],[Categoría]]),0)</f>
        <v>0</v>
      </c>
      <c r="F4">
        <v>0</v>
      </c>
      <c r="G4">
        <f>ROUND(SUMIFS(CATEGORIAS[[#All],[PROYECCION
DE INGRESO
DEL SALDO]],CATEGORIAS[[#All],[CATEGORIA2]],Imputar[[#This Row],[Categoría]]),0)</f>
        <v>0</v>
      </c>
      <c r="H4">
        <f>ROUND(SUMIFS(CATEGORIAS[[#All],[CAMBIO DE
CATEGORIA]],CATEGORIAS[[#All],[CATEGORIA2]],Imputar[[#This Row],[Categoría]]),0)</f>
        <v>0</v>
      </c>
      <c r="I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">
        <f>+ROUND(SUMIFS(CATEGORIAS[[#All],[PROYECCION
TOTAL DE COSTO]],CATEGORIAS[[#All],[CATEGORIA2]],Imputar[[#This Row],[Categoría]]),0)
-Imputar[[#This Row],[Inventario]]
-Imputar[[#This Row],[Pedidos no Rec]]</f>
        <v>-1015681</v>
      </c>
      <c r="K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">
        <f>_xlfn.IFNA(VLOOKUP(Imputar[[#This Row],[Categoría]],EIMI!C:T,8,0),0)</f>
        <v>0</v>
      </c>
      <c r="M4">
        <f>_xlfn.IFNA(VLOOKUP(Imputar[[#This Row],[Categoría]],EIMI!C:T,9,0),0)</f>
        <v>1015681</v>
      </c>
      <c r="N4">
        <f>_xlfn.IFNA(VLOOKUP(Imputar[[#This Row],[Categoría]],EIMI!C:T,10,0),0)</f>
        <v>0</v>
      </c>
    </row>
    <row r="5" spans="1:16" x14ac:dyDescent="0.25">
      <c r="A5" s="210">
        <f>Indice!$I$11</f>
        <v>0</v>
      </c>
      <c r="B5" t="s">
        <v>363</v>
      </c>
      <c r="C5" s="39">
        <f>Indice!$I$12</f>
        <v>45992</v>
      </c>
      <c r="E5">
        <f>ROUND(SUMIFS(CATEGORIAS[[#All],[TOTAL PRODUCCION
ACTUAL]],CATEGORIAS[[#All],[CATEGORIA2]],Imputar[[#This Row],[Categoría]]),0)</f>
        <v>0</v>
      </c>
      <c r="F5">
        <v>0</v>
      </c>
      <c r="G5">
        <f>ROUND(SUMIFS(CATEGORIAS[[#All],[PROYECCION
DE INGRESO
DEL SALDO]],CATEGORIAS[[#All],[CATEGORIA2]],Imputar[[#This Row],[Categoría]]),0)</f>
        <v>0</v>
      </c>
      <c r="H5">
        <f>ROUND(SUMIFS(CATEGORIAS[[#All],[CAMBIO DE
CATEGORIA]],CATEGORIAS[[#All],[CATEGORIA2]],Imputar[[#This Row],[Categoría]]),0)</f>
        <v>0</v>
      </c>
      <c r="I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">
        <f>+ROUND(SUMIFS(CATEGORIAS[[#All],[PROYECCION
TOTAL DE COSTO]],CATEGORIAS[[#All],[CATEGORIA2]],Imputar[[#This Row],[Categoría]]),0)
-Imputar[[#This Row],[Inventario]]
-Imputar[[#This Row],[Pedidos no Rec]]</f>
        <v>0</v>
      </c>
      <c r="K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">
        <f>_xlfn.IFNA(VLOOKUP(Imputar[[#This Row],[Categoría]],EIMI!C:T,8,0),0)</f>
        <v>0</v>
      </c>
      <c r="M5">
        <f>_xlfn.IFNA(VLOOKUP(Imputar[[#This Row],[Categoría]],EIMI!C:T,9,0),0)</f>
        <v>0</v>
      </c>
      <c r="N5">
        <f>_xlfn.IFNA(VLOOKUP(Imputar[[#This Row],[Categoría]],EIMI!C:T,10,0),0)</f>
        <v>0</v>
      </c>
    </row>
    <row r="6" spans="1:16" x14ac:dyDescent="0.25">
      <c r="A6" s="210">
        <f>Indice!$I$11</f>
        <v>0</v>
      </c>
      <c r="B6" t="s">
        <v>365</v>
      </c>
      <c r="C6" s="39">
        <f>Indice!$I$12</f>
        <v>45992</v>
      </c>
      <c r="E6">
        <f>ROUND(SUMIFS(CATEGORIAS[[#All],[TOTAL PRODUCCION
ACTUAL]],CATEGORIAS[[#All],[CATEGORIA2]],Imputar[[#This Row],[Categoría]]),0)</f>
        <v>0</v>
      </c>
      <c r="F6">
        <v>0</v>
      </c>
      <c r="G6">
        <f>ROUND(SUMIFS(CATEGORIAS[[#All],[PROYECCION
DE INGRESO
DEL SALDO]],CATEGORIAS[[#All],[CATEGORIA2]],Imputar[[#This Row],[Categoría]]),0)</f>
        <v>0</v>
      </c>
      <c r="H6">
        <f>ROUND(SUMIFS(CATEGORIAS[[#All],[CAMBIO DE
CATEGORIA]],CATEGORIAS[[#All],[CATEGORIA2]],Imputar[[#This Row],[Categoría]]),0)</f>
        <v>0</v>
      </c>
      <c r="I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">
        <f>+ROUND(SUMIFS(CATEGORIAS[[#All],[PROYECCION
TOTAL DE COSTO]],CATEGORIAS[[#All],[CATEGORIA2]],Imputar[[#This Row],[Categoría]]),0)
-Imputar[[#This Row],[Inventario]]
-Imputar[[#This Row],[Pedidos no Rec]]</f>
        <v>0</v>
      </c>
      <c r="K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">
        <f>_xlfn.IFNA(VLOOKUP(Imputar[[#This Row],[Categoría]],EIMI!C:T,8,0),0)</f>
        <v>0</v>
      </c>
      <c r="M6">
        <f>_xlfn.IFNA(VLOOKUP(Imputar[[#This Row],[Categoría]],EIMI!C:T,9,0),0)</f>
        <v>0</v>
      </c>
      <c r="N6">
        <f>_xlfn.IFNA(VLOOKUP(Imputar[[#This Row],[Categoría]],EIMI!C:T,10,0),0)</f>
        <v>0</v>
      </c>
    </row>
    <row r="7" spans="1:16" x14ac:dyDescent="0.25">
      <c r="A7" s="210">
        <f>Indice!$I$11</f>
        <v>0</v>
      </c>
      <c r="B7" t="s">
        <v>367</v>
      </c>
      <c r="C7" s="39">
        <f>Indice!$I$12</f>
        <v>45992</v>
      </c>
      <c r="E7">
        <f>ROUND(SUMIFS(CATEGORIAS[[#All],[TOTAL PRODUCCION
ACTUAL]],CATEGORIAS[[#All],[CATEGORIA2]],Imputar[[#This Row],[Categoría]]),0)</f>
        <v>0</v>
      </c>
      <c r="F7">
        <v>0</v>
      </c>
      <c r="G7">
        <f>ROUND(SUMIFS(CATEGORIAS[[#All],[PROYECCION
DE INGRESO
DEL SALDO]],CATEGORIAS[[#All],[CATEGORIA2]],Imputar[[#This Row],[Categoría]]),0)</f>
        <v>0</v>
      </c>
      <c r="H7">
        <f>ROUND(SUMIFS(CATEGORIAS[[#All],[CAMBIO DE
CATEGORIA]],CATEGORIAS[[#All],[CATEGORIA2]],Imputar[[#This Row],[Categoría]]),0)</f>
        <v>0</v>
      </c>
      <c r="I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">
        <f>+ROUND(SUMIFS(CATEGORIAS[[#All],[PROYECCION
TOTAL DE COSTO]],CATEGORIAS[[#All],[CATEGORIA2]],Imputar[[#This Row],[Categoría]]),0)
-Imputar[[#This Row],[Inventario]]
-Imputar[[#This Row],[Pedidos no Rec]]</f>
        <v>0</v>
      </c>
      <c r="K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">
        <f>_xlfn.IFNA(VLOOKUP(Imputar[[#This Row],[Categoría]],EIMI!C:T,8,0),0)</f>
        <v>0</v>
      </c>
      <c r="M7">
        <f>_xlfn.IFNA(VLOOKUP(Imputar[[#This Row],[Categoría]],EIMI!C:T,9,0),0)</f>
        <v>0</v>
      </c>
      <c r="N7">
        <f>_xlfn.IFNA(VLOOKUP(Imputar[[#This Row],[Categoría]],EIMI!C:T,10,0),0)</f>
        <v>0</v>
      </c>
    </row>
    <row r="8" spans="1:16" x14ac:dyDescent="0.25">
      <c r="A8" s="210">
        <f>Indice!$I$11</f>
        <v>0</v>
      </c>
      <c r="B8" t="s">
        <v>369</v>
      </c>
      <c r="C8" s="39">
        <f>Indice!$I$12</f>
        <v>45992</v>
      </c>
      <c r="E8">
        <f>ROUND(SUMIFS(CATEGORIAS[[#All],[TOTAL PRODUCCION
ACTUAL]],CATEGORIAS[[#All],[CATEGORIA2]],Imputar[[#This Row],[Categoría]]),0)</f>
        <v>0</v>
      </c>
      <c r="F8">
        <v>0</v>
      </c>
      <c r="G8">
        <f>ROUND(SUMIFS(CATEGORIAS[[#All],[PROYECCION
DE INGRESO
DEL SALDO]],CATEGORIAS[[#All],[CATEGORIA2]],Imputar[[#This Row],[Categoría]]),0)</f>
        <v>0</v>
      </c>
      <c r="H8">
        <f>ROUND(SUMIFS(CATEGORIAS[[#All],[CAMBIO DE
CATEGORIA]],CATEGORIAS[[#All],[CATEGORIA2]],Imputar[[#This Row],[Categoría]]),0)</f>
        <v>0</v>
      </c>
      <c r="I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">
        <f>+ROUND(SUMIFS(CATEGORIAS[[#All],[PROYECCION
TOTAL DE COSTO]],CATEGORIAS[[#All],[CATEGORIA2]],Imputar[[#This Row],[Categoría]]),0)
-Imputar[[#This Row],[Inventario]]
-Imputar[[#This Row],[Pedidos no Rec]]</f>
        <v>0</v>
      </c>
      <c r="K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">
        <f>_xlfn.IFNA(VLOOKUP(Imputar[[#This Row],[Categoría]],EIMI!C:T,8,0),0)</f>
        <v>0</v>
      </c>
      <c r="M8">
        <f>_xlfn.IFNA(VLOOKUP(Imputar[[#This Row],[Categoría]],EIMI!C:T,9,0),0)</f>
        <v>0</v>
      </c>
      <c r="N8">
        <f>_xlfn.IFNA(VLOOKUP(Imputar[[#This Row],[Categoría]],EIMI!C:T,10,0),0)</f>
        <v>0</v>
      </c>
    </row>
    <row r="9" spans="1:16" x14ac:dyDescent="0.25">
      <c r="A9" s="210">
        <f>Indice!$I$11</f>
        <v>0</v>
      </c>
      <c r="B9" t="s">
        <v>371</v>
      </c>
      <c r="C9" s="39">
        <f>Indice!$I$12</f>
        <v>45992</v>
      </c>
      <c r="E9">
        <f>ROUND(SUMIFS(CATEGORIAS[[#All],[TOTAL PRODUCCION
ACTUAL]],CATEGORIAS[[#All],[CATEGORIA2]],Imputar[[#This Row],[Categoría]]),0)</f>
        <v>0</v>
      </c>
      <c r="F9">
        <v>0</v>
      </c>
      <c r="G9">
        <f>ROUND(SUMIFS(CATEGORIAS[[#All],[PROYECCION
DE INGRESO
DEL SALDO]],CATEGORIAS[[#All],[CATEGORIA2]],Imputar[[#This Row],[Categoría]]),0)</f>
        <v>0</v>
      </c>
      <c r="H9">
        <f>ROUND(SUMIFS(CATEGORIAS[[#All],[CAMBIO DE
CATEGORIA]],CATEGORIAS[[#All],[CATEGORIA2]],Imputar[[#This Row],[Categoría]]),0)</f>
        <v>0</v>
      </c>
      <c r="I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">
        <f>+ROUND(SUMIFS(CATEGORIAS[[#All],[PROYECCION
TOTAL DE COSTO]],CATEGORIAS[[#All],[CATEGORIA2]],Imputar[[#This Row],[Categoría]]),0)
-Imputar[[#This Row],[Inventario]]
-Imputar[[#This Row],[Pedidos no Rec]]</f>
        <v>0</v>
      </c>
      <c r="K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">
        <f>_xlfn.IFNA(VLOOKUP(Imputar[[#This Row],[Categoría]],EIMI!C:T,8,0),0)</f>
        <v>0</v>
      </c>
      <c r="M9">
        <f>_xlfn.IFNA(VLOOKUP(Imputar[[#This Row],[Categoría]],EIMI!C:T,9,0),0)</f>
        <v>0</v>
      </c>
      <c r="N9">
        <f>_xlfn.IFNA(VLOOKUP(Imputar[[#This Row],[Categoría]],EIMI!C:T,10,0),0)</f>
        <v>0</v>
      </c>
    </row>
    <row r="10" spans="1:16" x14ac:dyDescent="0.25">
      <c r="A10" s="210">
        <f>Indice!$I$11</f>
        <v>0</v>
      </c>
      <c r="B10" t="s">
        <v>373</v>
      </c>
      <c r="C10" s="39">
        <f>Indice!$I$12</f>
        <v>45992</v>
      </c>
      <c r="E10">
        <f>ROUND(SUMIFS(CATEGORIAS[[#All],[TOTAL PRODUCCION
ACTUAL]],CATEGORIAS[[#All],[CATEGORIA2]],Imputar[[#This Row],[Categoría]]),0)</f>
        <v>0</v>
      </c>
      <c r="F10">
        <v>0</v>
      </c>
      <c r="G10">
        <f>ROUND(SUMIFS(CATEGORIAS[[#All],[PROYECCION
DE INGRESO
DEL SALDO]],CATEGORIAS[[#All],[CATEGORIA2]],Imputar[[#This Row],[Categoría]]),0)</f>
        <v>0</v>
      </c>
      <c r="H10">
        <f>ROUND(SUMIFS(CATEGORIAS[[#All],[CAMBIO DE
CATEGORIA]],CATEGORIAS[[#All],[CATEGORIA2]],Imputar[[#This Row],[Categoría]]),0)</f>
        <v>0</v>
      </c>
      <c r="I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-1258899</v>
      </c>
      <c r="J10">
        <f>+ROUND(SUMIFS(CATEGORIAS[[#All],[PROYECCION
TOTAL DE COSTO]],CATEGORIAS[[#All],[CATEGORIA2]],Imputar[[#This Row],[Categoría]]),0)
-Imputar[[#This Row],[Inventario]]
-Imputar[[#This Row],[Pedidos no Rec]]</f>
        <v>0</v>
      </c>
      <c r="K1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10">
        <f>_xlfn.IFNA(VLOOKUP(Imputar[[#This Row],[Categoría]],EIMI!C:T,8,0),0)</f>
        <v>1258899</v>
      </c>
      <c r="M10">
        <f>_xlfn.IFNA(VLOOKUP(Imputar[[#This Row],[Categoría]],EIMI!C:T,9,0),0)</f>
        <v>0</v>
      </c>
      <c r="N10">
        <f>_xlfn.IFNA(VLOOKUP(Imputar[[#This Row],[Categoría]],EIMI!C:T,10,0),0)</f>
        <v>0</v>
      </c>
    </row>
    <row r="11" spans="1:16" hidden="1" x14ac:dyDescent="0.25">
      <c r="A11" s="210">
        <f>Indice!$I$11</f>
        <v>0</v>
      </c>
      <c r="B11" t="s">
        <v>375</v>
      </c>
      <c r="C11" s="39">
        <f>Indice!$I$12</f>
        <v>45992</v>
      </c>
      <c r="E11">
        <f>ROUND(SUMIFS(CATEGORIAS[[#All],[TOTAL PRODUCCION
ACTUAL]],CATEGORIAS[[#All],[CATEGORIA2]],Imputar[[#This Row],[Categoría]]),0)</f>
        <v>0</v>
      </c>
      <c r="F11">
        <v>0</v>
      </c>
      <c r="G11">
        <f>ROUND(SUMIFS(CATEGORIAS[[#All],[PROYECCION
DE INGRESO
DEL SALDO]],CATEGORIAS[[#All],[CATEGORIA2]],Imputar[[#This Row],[Categoría]]),0)</f>
        <v>0</v>
      </c>
      <c r="H11">
        <f>ROUND(SUMIFS(CATEGORIAS[[#All],[CAMBIO DE
CATEGORIA]],CATEGORIAS[[#All],[CATEGORIA2]],Imputar[[#This Row],[Categoría]]),0)</f>
        <v>0</v>
      </c>
      <c r="I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">
        <f>+ROUND(SUMIFS(CATEGORIAS[[#All],[PROYECCION
TOTAL DE COSTO]],CATEGORIAS[[#All],[CATEGORIA2]],Imputar[[#This Row],[Categoría]]),0)
-Imputar[[#This Row],[Inventario]]
-Imputar[[#This Row],[Pedidos no Rec]]</f>
        <v>0</v>
      </c>
      <c r="K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">
        <f>_xlfn.IFNA(VLOOKUP(Imputar[[#This Row],[Categoría]],EIMI!C:T,8,0),0)</f>
        <v>0</v>
      </c>
      <c r="M11">
        <f>_xlfn.IFNA(VLOOKUP(Imputar[[#This Row],[Categoría]],EIMI!C:T,9,0),0)</f>
        <v>0</v>
      </c>
      <c r="N11">
        <f>_xlfn.IFNA(VLOOKUP(Imputar[[#This Row],[Categoría]],EIMI!C:T,10,0),0)</f>
        <v>0</v>
      </c>
    </row>
    <row r="12" spans="1:16" hidden="1" x14ac:dyDescent="0.25">
      <c r="A12" s="210">
        <f>Indice!$I$11</f>
        <v>0</v>
      </c>
      <c r="B12" t="s">
        <v>377</v>
      </c>
      <c r="C12" s="39">
        <f>Indice!$I$12</f>
        <v>45992</v>
      </c>
      <c r="E12">
        <f>ROUND(SUMIFS(CATEGORIAS[[#All],[TOTAL PRODUCCION
ACTUAL]],CATEGORIAS[[#All],[CATEGORIA2]],Imputar[[#This Row],[Categoría]]),0)</f>
        <v>0</v>
      </c>
      <c r="F12">
        <v>0</v>
      </c>
      <c r="G12">
        <f>ROUND(SUMIFS(CATEGORIAS[[#All],[PROYECCION
DE INGRESO
DEL SALDO]],CATEGORIAS[[#All],[CATEGORIA2]],Imputar[[#This Row],[Categoría]]),0)</f>
        <v>0</v>
      </c>
      <c r="H12">
        <f>ROUND(SUMIFS(CATEGORIAS[[#All],[CAMBIO DE
CATEGORIA]],CATEGORIAS[[#All],[CATEGORIA2]],Imputar[[#This Row],[Categoría]]),0)</f>
        <v>0</v>
      </c>
      <c r="I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">
        <f>+ROUND(SUMIFS(CATEGORIAS[[#All],[PROYECCION
TOTAL DE COSTO]],CATEGORIAS[[#All],[CATEGORIA2]],Imputar[[#This Row],[Categoría]]),0)
-Imputar[[#This Row],[Inventario]]
-Imputar[[#This Row],[Pedidos no Rec]]</f>
        <v>0</v>
      </c>
      <c r="K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">
        <f>_xlfn.IFNA(VLOOKUP(Imputar[[#This Row],[Categoría]],EIMI!C:T,8,0),0)</f>
        <v>0</v>
      </c>
      <c r="M12">
        <f>_xlfn.IFNA(VLOOKUP(Imputar[[#This Row],[Categoría]],EIMI!C:T,9,0),0)</f>
        <v>0</v>
      </c>
      <c r="N12">
        <f>_xlfn.IFNA(VLOOKUP(Imputar[[#This Row],[Categoría]],EIMI!C:T,10,0),0)</f>
        <v>0</v>
      </c>
    </row>
    <row r="13" spans="1:16" hidden="1" x14ac:dyDescent="0.25">
      <c r="A13" s="210">
        <f>Indice!$I$11</f>
        <v>0</v>
      </c>
      <c r="B13" t="s">
        <v>379</v>
      </c>
      <c r="C13" s="39">
        <f>Indice!$I$12</f>
        <v>45992</v>
      </c>
      <c r="E13">
        <f>ROUND(SUMIFS(CATEGORIAS[[#All],[TOTAL PRODUCCION
ACTUAL]],CATEGORIAS[[#All],[CATEGORIA2]],Imputar[[#This Row],[Categoría]]),0)</f>
        <v>0</v>
      </c>
      <c r="F13">
        <v>0</v>
      </c>
      <c r="G13">
        <f>ROUND(SUMIFS(CATEGORIAS[[#All],[PROYECCION
DE INGRESO
DEL SALDO]],CATEGORIAS[[#All],[CATEGORIA2]],Imputar[[#This Row],[Categoría]]),0)</f>
        <v>0</v>
      </c>
      <c r="H13">
        <f>ROUND(SUMIFS(CATEGORIAS[[#All],[CAMBIO DE
CATEGORIA]],CATEGORIAS[[#All],[CATEGORIA2]],Imputar[[#This Row],[Categoría]]),0)</f>
        <v>0</v>
      </c>
      <c r="I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">
        <f>+ROUND(SUMIFS(CATEGORIAS[[#All],[PROYECCION
TOTAL DE COSTO]],CATEGORIAS[[#All],[CATEGORIA2]],Imputar[[#This Row],[Categoría]]),0)
-Imputar[[#This Row],[Inventario]]
-Imputar[[#This Row],[Pedidos no Rec]]</f>
        <v>0</v>
      </c>
      <c r="K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">
        <f>_xlfn.IFNA(VLOOKUP(Imputar[[#This Row],[Categoría]],EIMI!C:T,8,0),0)</f>
        <v>0</v>
      </c>
      <c r="M13">
        <f>_xlfn.IFNA(VLOOKUP(Imputar[[#This Row],[Categoría]],EIMI!C:T,9,0),0)</f>
        <v>0</v>
      </c>
      <c r="N13">
        <f>_xlfn.IFNA(VLOOKUP(Imputar[[#This Row],[Categoría]],EIMI!C:T,10,0),0)</f>
        <v>0</v>
      </c>
    </row>
    <row r="14" spans="1:16" x14ac:dyDescent="0.25">
      <c r="A14" s="210">
        <f>Indice!$I$11</f>
        <v>0</v>
      </c>
      <c r="B14" t="s">
        <v>382</v>
      </c>
      <c r="C14" s="39">
        <f>Indice!$I$12</f>
        <v>45992</v>
      </c>
      <c r="E14">
        <f>ROUND(SUMIFS(CATEGORIAS[[#All],[TOTAL PRODUCCION
ACTUAL]],CATEGORIAS[[#All],[CATEGORIA2]],Imputar[[#This Row],[Categoría]]),0)</f>
        <v>0</v>
      </c>
      <c r="F14">
        <v>0</v>
      </c>
      <c r="G14">
        <f>ROUND(SUMIFS(CATEGORIAS[[#All],[PROYECCION
DE INGRESO
DEL SALDO]],CATEGORIAS[[#All],[CATEGORIA2]],Imputar[[#This Row],[Categoría]]),0)</f>
        <v>0</v>
      </c>
      <c r="H14">
        <f>ROUND(SUMIFS(CATEGORIAS[[#All],[CAMBIO DE
CATEGORIA]],CATEGORIAS[[#All],[CATEGORIA2]],Imputar[[#This Row],[Categoría]]),0)</f>
        <v>0</v>
      </c>
      <c r="I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">
        <f>+ROUND(SUMIFS(CATEGORIAS[[#All],[PROYECCION
TOTAL DE COSTO]],CATEGORIAS[[#All],[CATEGORIA2]],Imputar[[#This Row],[Categoría]]),0)
-Imputar[[#This Row],[Inventario]]
-Imputar[[#This Row],[Pedidos no Rec]]</f>
        <v>0</v>
      </c>
      <c r="K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">
        <f>_xlfn.IFNA(VLOOKUP(Imputar[[#This Row],[Categoría]],EIMI!C:T,8,0),0)</f>
        <v>0</v>
      </c>
      <c r="M14">
        <f>_xlfn.IFNA(VLOOKUP(Imputar[[#This Row],[Categoría]],EIMI!C:T,9,0),0)</f>
        <v>0</v>
      </c>
      <c r="N14">
        <f>_xlfn.IFNA(VLOOKUP(Imputar[[#This Row],[Categoría]],EIMI!C:T,10,0),0)</f>
        <v>0</v>
      </c>
    </row>
    <row r="15" spans="1:16" hidden="1" x14ac:dyDescent="0.25">
      <c r="A15" s="210">
        <f>Indice!$I$11</f>
        <v>0</v>
      </c>
      <c r="B15" t="s">
        <v>384</v>
      </c>
      <c r="C15" s="39">
        <f>Indice!$I$12</f>
        <v>45992</v>
      </c>
      <c r="E15">
        <f>ROUND(SUMIFS(CATEGORIAS[[#All],[TOTAL PRODUCCION
ACTUAL]],CATEGORIAS[[#All],[CATEGORIA2]],Imputar[[#This Row],[Categoría]]),0)</f>
        <v>0</v>
      </c>
      <c r="F15">
        <v>0</v>
      </c>
      <c r="G15">
        <f>ROUND(SUMIFS(CATEGORIAS[[#All],[PROYECCION
DE INGRESO
DEL SALDO]],CATEGORIAS[[#All],[CATEGORIA2]],Imputar[[#This Row],[Categoría]]),0)</f>
        <v>0</v>
      </c>
      <c r="H15">
        <f>ROUND(SUMIFS(CATEGORIAS[[#All],[CAMBIO DE
CATEGORIA]],CATEGORIAS[[#All],[CATEGORIA2]],Imputar[[#This Row],[Categoría]]),0)</f>
        <v>0</v>
      </c>
      <c r="I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">
        <f>+ROUND(SUMIFS(CATEGORIAS[[#All],[PROYECCION
TOTAL DE COSTO]],CATEGORIAS[[#All],[CATEGORIA2]],Imputar[[#This Row],[Categoría]]),0)
-Imputar[[#This Row],[Inventario]]
-Imputar[[#This Row],[Pedidos no Rec]]</f>
        <v>0</v>
      </c>
      <c r="K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">
        <f>_xlfn.IFNA(VLOOKUP(Imputar[[#This Row],[Categoría]],EIMI!C:T,8,0),0)</f>
        <v>0</v>
      </c>
      <c r="M15">
        <f>_xlfn.IFNA(VLOOKUP(Imputar[[#This Row],[Categoría]],EIMI!C:T,9,0),0)</f>
        <v>0</v>
      </c>
      <c r="N15">
        <f>_xlfn.IFNA(VLOOKUP(Imputar[[#This Row],[Categoría]],EIMI!C:T,10,0),0)</f>
        <v>0</v>
      </c>
    </row>
    <row r="16" spans="1:16" x14ac:dyDescent="0.25">
      <c r="A16" s="210">
        <f>Indice!$I$11</f>
        <v>0</v>
      </c>
      <c r="B16" t="s">
        <v>386</v>
      </c>
      <c r="C16" s="39">
        <f>Indice!$I$12</f>
        <v>45992</v>
      </c>
      <c r="E16">
        <f>ROUND(SUMIFS(CATEGORIAS[[#All],[TOTAL PRODUCCION
ACTUAL]],CATEGORIAS[[#All],[CATEGORIA2]],Imputar[[#This Row],[Categoría]]),0)</f>
        <v>0</v>
      </c>
      <c r="F16">
        <v>0</v>
      </c>
      <c r="G16">
        <f>ROUND(SUMIFS(CATEGORIAS[[#All],[PROYECCION
DE INGRESO
DEL SALDO]],CATEGORIAS[[#All],[CATEGORIA2]],Imputar[[#This Row],[Categoría]]),0)</f>
        <v>0</v>
      </c>
      <c r="H16">
        <f>ROUND(SUMIFS(CATEGORIAS[[#All],[CAMBIO DE
CATEGORIA]],CATEGORIAS[[#All],[CATEGORIA2]],Imputar[[#This Row],[Categoría]]),0)</f>
        <v>0</v>
      </c>
      <c r="I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">
        <f>+ROUND(SUMIFS(CATEGORIAS[[#All],[PROYECCION
TOTAL DE COSTO]],CATEGORIAS[[#All],[CATEGORIA2]],Imputar[[#This Row],[Categoría]]),0)
-Imputar[[#This Row],[Inventario]]
-Imputar[[#This Row],[Pedidos no Rec]]</f>
        <v>0</v>
      </c>
      <c r="K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">
        <f>_xlfn.IFNA(VLOOKUP(Imputar[[#This Row],[Categoría]],EIMI!C:T,8,0),0)</f>
        <v>0</v>
      </c>
      <c r="M16">
        <f>_xlfn.IFNA(VLOOKUP(Imputar[[#This Row],[Categoría]],EIMI!C:T,9,0),0)</f>
        <v>0</v>
      </c>
      <c r="N16">
        <f>_xlfn.IFNA(VLOOKUP(Imputar[[#This Row],[Categoría]],EIMI!C:T,10,0),0)</f>
        <v>0</v>
      </c>
    </row>
    <row r="17" spans="1:14" hidden="1" x14ac:dyDescent="0.25">
      <c r="A17" s="210">
        <f>Indice!$I$11</f>
        <v>0</v>
      </c>
      <c r="B17" t="s">
        <v>388</v>
      </c>
      <c r="C17" s="39">
        <f>Indice!$I$12</f>
        <v>45992</v>
      </c>
      <c r="E17">
        <f>ROUND(SUMIFS(CATEGORIAS[[#All],[TOTAL PRODUCCION
ACTUAL]],CATEGORIAS[[#All],[CATEGORIA2]],Imputar[[#This Row],[Categoría]]),0)</f>
        <v>0</v>
      </c>
      <c r="F17">
        <v>0</v>
      </c>
      <c r="G17">
        <f>ROUND(SUMIFS(CATEGORIAS[[#All],[PROYECCION
DE INGRESO
DEL SALDO]],CATEGORIAS[[#All],[CATEGORIA2]],Imputar[[#This Row],[Categoría]]),0)</f>
        <v>0</v>
      </c>
      <c r="H17">
        <f>ROUND(SUMIFS(CATEGORIAS[[#All],[CAMBIO DE
CATEGORIA]],CATEGORIAS[[#All],[CATEGORIA2]],Imputar[[#This Row],[Categoría]]),0)</f>
        <v>0</v>
      </c>
      <c r="I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">
        <f>+ROUND(SUMIFS(CATEGORIAS[[#All],[PROYECCION
TOTAL DE COSTO]],CATEGORIAS[[#All],[CATEGORIA2]],Imputar[[#This Row],[Categoría]]),0)
-Imputar[[#This Row],[Inventario]]
-Imputar[[#This Row],[Pedidos no Rec]]</f>
        <v>0</v>
      </c>
      <c r="K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">
        <f>_xlfn.IFNA(VLOOKUP(Imputar[[#This Row],[Categoría]],EIMI!C:T,8,0),0)</f>
        <v>0</v>
      </c>
      <c r="M17">
        <f>_xlfn.IFNA(VLOOKUP(Imputar[[#This Row],[Categoría]],EIMI!C:T,9,0),0)</f>
        <v>0</v>
      </c>
      <c r="N17">
        <f>_xlfn.IFNA(VLOOKUP(Imputar[[#This Row],[Categoría]],EIMI!C:T,10,0),0)</f>
        <v>0</v>
      </c>
    </row>
    <row r="18" spans="1:14" x14ac:dyDescent="0.25">
      <c r="A18" s="210">
        <f>Indice!$I$11</f>
        <v>0</v>
      </c>
      <c r="B18" t="s">
        <v>390</v>
      </c>
      <c r="C18" s="39">
        <f>Indice!$I$12</f>
        <v>45992</v>
      </c>
      <c r="E18">
        <f>ROUND(SUMIFS(CATEGORIAS[[#All],[TOTAL PRODUCCION
ACTUAL]],CATEGORIAS[[#All],[CATEGORIA2]],Imputar[[#This Row],[Categoría]]),0)</f>
        <v>0</v>
      </c>
      <c r="F18">
        <v>0</v>
      </c>
      <c r="G18">
        <f>ROUND(SUMIFS(CATEGORIAS[[#All],[PROYECCION
DE INGRESO
DEL SALDO]],CATEGORIAS[[#All],[CATEGORIA2]],Imputar[[#This Row],[Categoría]]),0)</f>
        <v>0</v>
      </c>
      <c r="H18">
        <f>ROUND(SUMIFS(CATEGORIAS[[#All],[CAMBIO DE
CATEGORIA]],CATEGORIAS[[#All],[CATEGORIA2]],Imputar[[#This Row],[Categoría]]),0)</f>
        <v>0</v>
      </c>
      <c r="I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-443042</v>
      </c>
      <c r="J18">
        <f>+ROUND(SUMIFS(CATEGORIAS[[#All],[PROYECCION
TOTAL DE COSTO]],CATEGORIAS[[#All],[CATEGORIA2]],Imputar[[#This Row],[Categoría]]),0)
-Imputar[[#This Row],[Inventario]]
-Imputar[[#This Row],[Pedidos no Rec]]</f>
        <v>0</v>
      </c>
      <c r="K1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18">
        <f>_xlfn.IFNA(VLOOKUP(Imputar[[#This Row],[Categoría]],EIMI!C:T,8,0),0)</f>
        <v>443042</v>
      </c>
      <c r="M18">
        <f>_xlfn.IFNA(VLOOKUP(Imputar[[#This Row],[Categoría]],EIMI!C:T,9,0),0)</f>
        <v>0</v>
      </c>
      <c r="N18">
        <f>_xlfn.IFNA(VLOOKUP(Imputar[[#This Row],[Categoría]],EIMI!C:T,10,0),0)</f>
        <v>0</v>
      </c>
    </row>
    <row r="19" spans="1:14" hidden="1" x14ac:dyDescent="0.25">
      <c r="A19" s="210">
        <f>Indice!$I$11</f>
        <v>0</v>
      </c>
      <c r="B19" t="s">
        <v>392</v>
      </c>
      <c r="C19" s="39">
        <f>Indice!$I$12</f>
        <v>45992</v>
      </c>
      <c r="E19">
        <f>ROUND(SUMIFS(CATEGORIAS[[#All],[TOTAL PRODUCCION
ACTUAL]],CATEGORIAS[[#All],[CATEGORIA2]],Imputar[[#This Row],[Categoría]]),0)</f>
        <v>0</v>
      </c>
      <c r="F19">
        <v>0</v>
      </c>
      <c r="G19">
        <f>ROUND(SUMIFS(CATEGORIAS[[#All],[PROYECCION
DE INGRESO
DEL SALDO]],CATEGORIAS[[#All],[CATEGORIA2]],Imputar[[#This Row],[Categoría]]),0)</f>
        <v>0</v>
      </c>
      <c r="H19">
        <f>ROUND(SUMIFS(CATEGORIAS[[#All],[CAMBIO DE
CATEGORIA]],CATEGORIAS[[#All],[CATEGORIA2]],Imputar[[#This Row],[Categoría]]),0)</f>
        <v>0</v>
      </c>
      <c r="I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">
        <f>+ROUND(SUMIFS(CATEGORIAS[[#All],[PROYECCION
TOTAL DE COSTO]],CATEGORIAS[[#All],[CATEGORIA2]],Imputar[[#This Row],[Categoría]]),0)
-Imputar[[#This Row],[Inventario]]
-Imputar[[#This Row],[Pedidos no Rec]]</f>
        <v>0</v>
      </c>
      <c r="K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">
        <f>_xlfn.IFNA(VLOOKUP(Imputar[[#This Row],[Categoría]],EIMI!C:T,8,0),0)</f>
        <v>0</v>
      </c>
      <c r="M19">
        <f>_xlfn.IFNA(VLOOKUP(Imputar[[#This Row],[Categoría]],EIMI!C:T,9,0),0)</f>
        <v>0</v>
      </c>
      <c r="N19">
        <f>_xlfn.IFNA(VLOOKUP(Imputar[[#This Row],[Categoría]],EIMI!C:T,10,0),0)</f>
        <v>0</v>
      </c>
    </row>
    <row r="20" spans="1:14" hidden="1" x14ac:dyDescent="0.25">
      <c r="A20" s="210">
        <f>Indice!$I$11</f>
        <v>0</v>
      </c>
      <c r="B20" t="s">
        <v>394</v>
      </c>
      <c r="C20" s="39">
        <f>Indice!$I$12</f>
        <v>45992</v>
      </c>
      <c r="E20">
        <f>ROUND(SUMIFS(CATEGORIAS[[#All],[TOTAL PRODUCCION
ACTUAL]],CATEGORIAS[[#All],[CATEGORIA2]],Imputar[[#This Row],[Categoría]]),0)</f>
        <v>0</v>
      </c>
      <c r="F20">
        <v>0</v>
      </c>
      <c r="G20">
        <f>ROUND(SUMIFS(CATEGORIAS[[#All],[PROYECCION
DE INGRESO
DEL SALDO]],CATEGORIAS[[#All],[CATEGORIA2]],Imputar[[#This Row],[Categoría]]),0)</f>
        <v>0</v>
      </c>
      <c r="H20">
        <f>ROUND(SUMIFS(CATEGORIAS[[#All],[CAMBIO DE
CATEGORIA]],CATEGORIAS[[#All],[CATEGORIA2]],Imputar[[#This Row],[Categoría]]),0)</f>
        <v>0</v>
      </c>
      <c r="I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">
        <f>+ROUND(SUMIFS(CATEGORIAS[[#All],[PROYECCION
TOTAL DE COSTO]],CATEGORIAS[[#All],[CATEGORIA2]],Imputar[[#This Row],[Categoría]]),0)
-Imputar[[#This Row],[Inventario]]
-Imputar[[#This Row],[Pedidos no Rec]]</f>
        <v>0</v>
      </c>
      <c r="K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">
        <f>_xlfn.IFNA(VLOOKUP(Imputar[[#This Row],[Categoría]],EIMI!C:T,8,0),0)</f>
        <v>0</v>
      </c>
      <c r="M20">
        <f>_xlfn.IFNA(VLOOKUP(Imputar[[#This Row],[Categoría]],EIMI!C:T,9,0),0)</f>
        <v>0</v>
      </c>
      <c r="N20">
        <f>_xlfn.IFNA(VLOOKUP(Imputar[[#This Row],[Categoría]],EIMI!C:T,10,0),0)</f>
        <v>0</v>
      </c>
    </row>
    <row r="21" spans="1:14" hidden="1" x14ac:dyDescent="0.25">
      <c r="A21" s="210">
        <f>Indice!$I$11</f>
        <v>0</v>
      </c>
      <c r="B21" t="s">
        <v>396</v>
      </c>
      <c r="C21" s="39">
        <f>Indice!$I$12</f>
        <v>45992</v>
      </c>
      <c r="E21">
        <f>ROUND(SUMIFS(CATEGORIAS[[#All],[TOTAL PRODUCCION
ACTUAL]],CATEGORIAS[[#All],[CATEGORIA2]],Imputar[[#This Row],[Categoría]]),0)</f>
        <v>0</v>
      </c>
      <c r="F21">
        <v>0</v>
      </c>
      <c r="G21">
        <f>ROUND(SUMIFS(CATEGORIAS[[#All],[PROYECCION
DE INGRESO
DEL SALDO]],CATEGORIAS[[#All],[CATEGORIA2]],Imputar[[#This Row],[Categoría]]),0)</f>
        <v>0</v>
      </c>
      <c r="H21">
        <f>ROUND(SUMIFS(CATEGORIAS[[#All],[CAMBIO DE
CATEGORIA]],CATEGORIAS[[#All],[CATEGORIA2]],Imputar[[#This Row],[Categoría]]),0)</f>
        <v>0</v>
      </c>
      <c r="I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">
        <f>+ROUND(SUMIFS(CATEGORIAS[[#All],[PROYECCION
TOTAL DE COSTO]],CATEGORIAS[[#All],[CATEGORIA2]],Imputar[[#This Row],[Categoría]]),0)
-Imputar[[#This Row],[Inventario]]
-Imputar[[#This Row],[Pedidos no Rec]]</f>
        <v>0</v>
      </c>
      <c r="K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">
        <f>_xlfn.IFNA(VLOOKUP(Imputar[[#This Row],[Categoría]],EIMI!C:T,8,0),0)</f>
        <v>0</v>
      </c>
      <c r="M21">
        <f>_xlfn.IFNA(VLOOKUP(Imputar[[#This Row],[Categoría]],EIMI!C:T,9,0),0)</f>
        <v>0</v>
      </c>
      <c r="N21">
        <f>_xlfn.IFNA(VLOOKUP(Imputar[[#This Row],[Categoría]],EIMI!C:T,10,0),0)</f>
        <v>0</v>
      </c>
    </row>
    <row r="22" spans="1:14" hidden="1" x14ac:dyDescent="0.25">
      <c r="A22" s="210">
        <f>Indice!$I$11</f>
        <v>0</v>
      </c>
      <c r="B22" t="s">
        <v>398</v>
      </c>
      <c r="C22" s="39">
        <f>Indice!$I$12</f>
        <v>45992</v>
      </c>
      <c r="E22">
        <f>ROUND(SUMIFS(CATEGORIAS[[#All],[TOTAL PRODUCCION
ACTUAL]],CATEGORIAS[[#All],[CATEGORIA2]],Imputar[[#This Row],[Categoría]]),0)</f>
        <v>0</v>
      </c>
      <c r="F22">
        <v>0</v>
      </c>
      <c r="G22">
        <f>ROUND(SUMIFS(CATEGORIAS[[#All],[PROYECCION
DE INGRESO
DEL SALDO]],CATEGORIAS[[#All],[CATEGORIA2]],Imputar[[#This Row],[Categoría]]),0)</f>
        <v>0</v>
      </c>
      <c r="H22">
        <f>ROUND(SUMIFS(CATEGORIAS[[#All],[CAMBIO DE
CATEGORIA]],CATEGORIAS[[#All],[CATEGORIA2]],Imputar[[#This Row],[Categoría]]),0)</f>
        <v>0</v>
      </c>
      <c r="I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">
        <f>+ROUND(SUMIFS(CATEGORIAS[[#All],[PROYECCION
TOTAL DE COSTO]],CATEGORIAS[[#All],[CATEGORIA2]],Imputar[[#This Row],[Categoría]]),0)
-Imputar[[#This Row],[Inventario]]
-Imputar[[#This Row],[Pedidos no Rec]]</f>
        <v>0</v>
      </c>
      <c r="K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">
        <f>_xlfn.IFNA(VLOOKUP(Imputar[[#This Row],[Categoría]],EIMI!C:T,8,0),0)</f>
        <v>0</v>
      </c>
      <c r="M22">
        <f>_xlfn.IFNA(VLOOKUP(Imputar[[#This Row],[Categoría]],EIMI!C:T,9,0),0)</f>
        <v>0</v>
      </c>
      <c r="N22">
        <f>_xlfn.IFNA(VLOOKUP(Imputar[[#This Row],[Categoría]],EIMI!C:T,10,0),0)</f>
        <v>0</v>
      </c>
    </row>
    <row r="23" spans="1:14" hidden="1" x14ac:dyDescent="0.25">
      <c r="A23" s="210">
        <f>Indice!$I$11</f>
        <v>0</v>
      </c>
      <c r="B23" t="s">
        <v>400</v>
      </c>
      <c r="C23" s="39">
        <f>Indice!$I$12</f>
        <v>45992</v>
      </c>
      <c r="E23">
        <f>ROUND(SUMIFS(CATEGORIAS[[#All],[TOTAL PRODUCCION
ACTUAL]],CATEGORIAS[[#All],[CATEGORIA2]],Imputar[[#This Row],[Categoría]]),0)</f>
        <v>0</v>
      </c>
      <c r="F23">
        <v>0</v>
      </c>
      <c r="G23">
        <f>ROUND(SUMIFS(CATEGORIAS[[#All],[PROYECCION
DE INGRESO
DEL SALDO]],CATEGORIAS[[#All],[CATEGORIA2]],Imputar[[#This Row],[Categoría]]),0)</f>
        <v>0</v>
      </c>
      <c r="H23">
        <f>ROUND(SUMIFS(CATEGORIAS[[#All],[CAMBIO DE
CATEGORIA]],CATEGORIAS[[#All],[CATEGORIA2]],Imputar[[#This Row],[Categoría]]),0)</f>
        <v>0</v>
      </c>
      <c r="I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">
        <f>+ROUND(SUMIFS(CATEGORIAS[[#All],[PROYECCION
TOTAL DE COSTO]],CATEGORIAS[[#All],[CATEGORIA2]],Imputar[[#This Row],[Categoría]]),0)
-Imputar[[#This Row],[Inventario]]
-Imputar[[#This Row],[Pedidos no Rec]]</f>
        <v>0</v>
      </c>
      <c r="K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">
        <f>_xlfn.IFNA(VLOOKUP(Imputar[[#This Row],[Categoría]],EIMI!C:T,8,0),0)</f>
        <v>0</v>
      </c>
      <c r="M23">
        <f>_xlfn.IFNA(VLOOKUP(Imputar[[#This Row],[Categoría]],EIMI!C:T,9,0),0)</f>
        <v>0</v>
      </c>
      <c r="N23">
        <f>_xlfn.IFNA(VLOOKUP(Imputar[[#This Row],[Categoría]],EIMI!C:T,10,0),0)</f>
        <v>0</v>
      </c>
    </row>
    <row r="24" spans="1:14" hidden="1" x14ac:dyDescent="0.25">
      <c r="A24" s="210">
        <f>Indice!$I$11</f>
        <v>0</v>
      </c>
      <c r="B24" t="s">
        <v>402</v>
      </c>
      <c r="C24" s="39">
        <f>Indice!$I$12</f>
        <v>45992</v>
      </c>
      <c r="E24">
        <f>ROUND(SUMIFS(CATEGORIAS[[#All],[TOTAL PRODUCCION
ACTUAL]],CATEGORIAS[[#All],[CATEGORIA2]],Imputar[[#This Row],[Categoría]]),0)</f>
        <v>0</v>
      </c>
      <c r="F24">
        <v>0</v>
      </c>
      <c r="G24">
        <f>ROUND(SUMIFS(CATEGORIAS[[#All],[PROYECCION
DE INGRESO
DEL SALDO]],CATEGORIAS[[#All],[CATEGORIA2]],Imputar[[#This Row],[Categoría]]),0)</f>
        <v>0</v>
      </c>
      <c r="H24">
        <f>ROUND(SUMIFS(CATEGORIAS[[#All],[CAMBIO DE
CATEGORIA]],CATEGORIAS[[#All],[CATEGORIA2]],Imputar[[#This Row],[Categoría]]),0)</f>
        <v>0</v>
      </c>
      <c r="I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">
        <f>+ROUND(SUMIFS(CATEGORIAS[[#All],[PROYECCION
TOTAL DE COSTO]],CATEGORIAS[[#All],[CATEGORIA2]],Imputar[[#This Row],[Categoría]]),0)
-Imputar[[#This Row],[Inventario]]
-Imputar[[#This Row],[Pedidos no Rec]]</f>
        <v>0</v>
      </c>
      <c r="K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">
        <f>_xlfn.IFNA(VLOOKUP(Imputar[[#This Row],[Categoría]],EIMI!C:T,8,0),0)</f>
        <v>0</v>
      </c>
      <c r="M24">
        <f>_xlfn.IFNA(VLOOKUP(Imputar[[#This Row],[Categoría]],EIMI!C:T,9,0),0)</f>
        <v>0</v>
      </c>
      <c r="N24">
        <f>_xlfn.IFNA(VLOOKUP(Imputar[[#This Row],[Categoría]],EIMI!C:T,10,0),0)</f>
        <v>0</v>
      </c>
    </row>
    <row r="25" spans="1:14" hidden="1" x14ac:dyDescent="0.25">
      <c r="A25" s="210">
        <f>Indice!$I$11</f>
        <v>0</v>
      </c>
      <c r="B25" t="s">
        <v>404</v>
      </c>
      <c r="C25" s="39">
        <f>Indice!$I$12</f>
        <v>45992</v>
      </c>
      <c r="E25">
        <f>ROUND(SUMIFS(CATEGORIAS[[#All],[TOTAL PRODUCCION
ACTUAL]],CATEGORIAS[[#All],[CATEGORIA2]],Imputar[[#This Row],[Categoría]]),0)</f>
        <v>0</v>
      </c>
      <c r="F25">
        <v>0</v>
      </c>
      <c r="G25">
        <f>ROUND(SUMIFS(CATEGORIAS[[#All],[PROYECCION
DE INGRESO
DEL SALDO]],CATEGORIAS[[#All],[CATEGORIA2]],Imputar[[#This Row],[Categoría]]),0)</f>
        <v>0</v>
      </c>
      <c r="H25">
        <f>ROUND(SUMIFS(CATEGORIAS[[#All],[CAMBIO DE
CATEGORIA]],CATEGORIAS[[#All],[CATEGORIA2]],Imputar[[#This Row],[Categoría]]),0)</f>
        <v>0</v>
      </c>
      <c r="I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">
        <f>+ROUND(SUMIFS(CATEGORIAS[[#All],[PROYECCION
TOTAL DE COSTO]],CATEGORIAS[[#All],[CATEGORIA2]],Imputar[[#This Row],[Categoría]]),0)
-Imputar[[#This Row],[Inventario]]
-Imputar[[#This Row],[Pedidos no Rec]]</f>
        <v>0</v>
      </c>
      <c r="K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">
        <f>_xlfn.IFNA(VLOOKUP(Imputar[[#This Row],[Categoría]],EIMI!C:T,8,0),0)</f>
        <v>0</v>
      </c>
      <c r="M25">
        <f>_xlfn.IFNA(VLOOKUP(Imputar[[#This Row],[Categoría]],EIMI!C:T,9,0),0)</f>
        <v>0</v>
      </c>
      <c r="N25">
        <f>_xlfn.IFNA(VLOOKUP(Imputar[[#This Row],[Categoría]],EIMI!C:T,10,0),0)</f>
        <v>0</v>
      </c>
    </row>
    <row r="26" spans="1:14" hidden="1" x14ac:dyDescent="0.25">
      <c r="A26" s="210">
        <f>Indice!$I$11</f>
        <v>0</v>
      </c>
      <c r="B26" t="s">
        <v>406</v>
      </c>
      <c r="C26" s="39">
        <f>Indice!$I$12</f>
        <v>45992</v>
      </c>
      <c r="E26">
        <f>ROUND(SUMIFS(CATEGORIAS[[#All],[TOTAL PRODUCCION
ACTUAL]],CATEGORIAS[[#All],[CATEGORIA2]],Imputar[[#This Row],[Categoría]]),0)</f>
        <v>0</v>
      </c>
      <c r="F26">
        <v>0</v>
      </c>
      <c r="G26">
        <f>ROUND(SUMIFS(CATEGORIAS[[#All],[PROYECCION
DE INGRESO
DEL SALDO]],CATEGORIAS[[#All],[CATEGORIA2]],Imputar[[#This Row],[Categoría]]),0)</f>
        <v>0</v>
      </c>
      <c r="H26">
        <f>ROUND(SUMIFS(CATEGORIAS[[#All],[CAMBIO DE
CATEGORIA]],CATEGORIAS[[#All],[CATEGORIA2]],Imputar[[#This Row],[Categoría]]),0)</f>
        <v>0</v>
      </c>
      <c r="I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">
        <f>+ROUND(SUMIFS(CATEGORIAS[[#All],[PROYECCION
TOTAL DE COSTO]],CATEGORIAS[[#All],[CATEGORIA2]],Imputar[[#This Row],[Categoría]]),0)
-Imputar[[#This Row],[Inventario]]
-Imputar[[#This Row],[Pedidos no Rec]]</f>
        <v>0</v>
      </c>
      <c r="K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">
        <f>_xlfn.IFNA(VLOOKUP(Imputar[[#This Row],[Categoría]],EIMI!C:T,8,0),0)</f>
        <v>0</v>
      </c>
      <c r="M26">
        <f>_xlfn.IFNA(VLOOKUP(Imputar[[#This Row],[Categoría]],EIMI!C:T,9,0),0)</f>
        <v>0</v>
      </c>
      <c r="N26">
        <f>_xlfn.IFNA(VLOOKUP(Imputar[[#This Row],[Categoría]],EIMI!C:T,10,0),0)</f>
        <v>0</v>
      </c>
    </row>
    <row r="27" spans="1:14" x14ac:dyDescent="0.25">
      <c r="A27" s="210">
        <f>Indice!$I$11</f>
        <v>0</v>
      </c>
      <c r="B27" t="s">
        <v>409</v>
      </c>
      <c r="C27" s="39">
        <f>Indice!$I$12</f>
        <v>45992</v>
      </c>
      <c r="E27">
        <f>ROUND(SUMIFS(CATEGORIAS[[#All],[TOTAL PRODUCCION
ACTUAL]],CATEGORIAS[[#All],[CATEGORIA2]],Imputar[[#This Row],[Categoría]]),0)</f>
        <v>0</v>
      </c>
      <c r="F27">
        <v>0</v>
      </c>
      <c r="G27">
        <f>ROUND(SUMIFS(CATEGORIAS[[#All],[PROYECCION
DE INGRESO
DEL SALDO]],CATEGORIAS[[#All],[CATEGORIA2]],Imputar[[#This Row],[Categoría]]),0)</f>
        <v>0</v>
      </c>
      <c r="H27">
        <f>ROUND(SUMIFS(CATEGORIAS[[#All],[CAMBIO DE
CATEGORIA]],CATEGORIAS[[#All],[CATEGORIA2]],Imputar[[#This Row],[Categoría]]),0)</f>
        <v>0</v>
      </c>
      <c r="I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-1393899</v>
      </c>
      <c r="J27">
        <f>+ROUND(SUMIFS(CATEGORIAS[[#All],[PROYECCION
TOTAL DE COSTO]],CATEGORIAS[[#All],[CATEGORIA2]],Imputar[[#This Row],[Categoría]]),0)
-Imputar[[#This Row],[Inventario]]
-Imputar[[#This Row],[Pedidos no Rec]]</f>
        <v>0</v>
      </c>
      <c r="K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27">
        <f>_xlfn.IFNA(VLOOKUP(Imputar[[#This Row],[Categoría]],EIMI!C:T,8,0),0)</f>
        <v>1393899</v>
      </c>
      <c r="M27">
        <f>_xlfn.IFNA(VLOOKUP(Imputar[[#This Row],[Categoría]],EIMI!C:T,9,0),0)</f>
        <v>0</v>
      </c>
      <c r="N27">
        <f>_xlfn.IFNA(VLOOKUP(Imputar[[#This Row],[Categoría]],EIMI!C:T,10,0),0)</f>
        <v>0</v>
      </c>
    </row>
    <row r="28" spans="1:14" hidden="1" x14ac:dyDescent="0.25">
      <c r="A28" s="210">
        <f>Indice!$I$11</f>
        <v>0</v>
      </c>
      <c r="B28" t="s">
        <v>411</v>
      </c>
      <c r="C28" s="39">
        <f>Indice!$I$12</f>
        <v>45992</v>
      </c>
      <c r="E28">
        <f>ROUND(SUMIFS(CATEGORIAS[[#All],[TOTAL PRODUCCION
ACTUAL]],CATEGORIAS[[#All],[CATEGORIA2]],Imputar[[#This Row],[Categoría]]),0)</f>
        <v>0</v>
      </c>
      <c r="F28">
        <v>0</v>
      </c>
      <c r="G28">
        <f>ROUND(SUMIFS(CATEGORIAS[[#All],[PROYECCION
DE INGRESO
DEL SALDO]],CATEGORIAS[[#All],[CATEGORIA2]],Imputar[[#This Row],[Categoría]]),0)</f>
        <v>0</v>
      </c>
      <c r="H28">
        <f>ROUND(SUMIFS(CATEGORIAS[[#All],[CAMBIO DE
CATEGORIA]],CATEGORIAS[[#All],[CATEGORIA2]],Imputar[[#This Row],[Categoría]]),0)</f>
        <v>0</v>
      </c>
      <c r="I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">
        <f>+ROUND(SUMIFS(CATEGORIAS[[#All],[PROYECCION
TOTAL DE COSTO]],CATEGORIAS[[#All],[CATEGORIA2]],Imputar[[#This Row],[Categoría]]),0)
-Imputar[[#This Row],[Inventario]]
-Imputar[[#This Row],[Pedidos no Rec]]</f>
        <v>0</v>
      </c>
      <c r="K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">
        <f>_xlfn.IFNA(VLOOKUP(Imputar[[#This Row],[Categoría]],EIMI!C:T,8,0),0)</f>
        <v>0</v>
      </c>
      <c r="M28">
        <f>_xlfn.IFNA(VLOOKUP(Imputar[[#This Row],[Categoría]],EIMI!C:T,9,0),0)</f>
        <v>0</v>
      </c>
      <c r="N28">
        <f>_xlfn.IFNA(VLOOKUP(Imputar[[#This Row],[Categoría]],EIMI!C:T,10,0),0)</f>
        <v>0</v>
      </c>
    </row>
    <row r="29" spans="1:14" x14ac:dyDescent="0.25">
      <c r="A29" s="210">
        <f>Indice!$I$11</f>
        <v>0</v>
      </c>
      <c r="B29" t="s">
        <v>273</v>
      </c>
      <c r="C29" s="39">
        <f>Indice!$I$12</f>
        <v>45992</v>
      </c>
      <c r="E29">
        <f>ROUND(SUMIFS(CATEGORIAS[[#All],[TOTAL PRODUCCION
ACTUAL]],CATEGORIAS[[#All],[CATEGORIA2]],Imputar[[#This Row],[Categoría]]),0)</f>
        <v>0</v>
      </c>
      <c r="F29">
        <v>0</v>
      </c>
      <c r="G29">
        <f>ROUND(SUMIFS(CATEGORIAS[[#All],[PROYECCION
DE INGRESO
DEL SALDO]],CATEGORIAS[[#All],[CATEGORIA2]],Imputar[[#This Row],[Categoría]]),0)</f>
        <v>0</v>
      </c>
      <c r="H29">
        <f>ROUND(SUMIFS(CATEGORIAS[[#All],[CAMBIO DE
CATEGORIA]],CATEGORIAS[[#All],[CATEGORIA2]],Imputar[[#This Row],[Categoría]]),0)</f>
        <v>0</v>
      </c>
      <c r="I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-7404938</v>
      </c>
      <c r="J29">
        <f>+ROUND(SUMIFS(CATEGORIAS[[#All],[PROYECCION
TOTAL DE COSTO]],CATEGORIAS[[#All],[CATEGORIA2]],Imputar[[#This Row],[Categoría]]),0)
-Imputar[[#This Row],[Inventario]]
-Imputar[[#This Row],[Pedidos no Rec]]</f>
        <v>0</v>
      </c>
      <c r="K2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29">
        <f>_xlfn.IFNA(VLOOKUP(Imputar[[#This Row],[Categoría]],EIMI!C:T,8,0),0)</f>
        <v>7404938</v>
      </c>
      <c r="M29">
        <f>_xlfn.IFNA(VLOOKUP(Imputar[[#This Row],[Categoría]],EIMI!C:T,9,0),0)</f>
        <v>0</v>
      </c>
      <c r="N29">
        <f>_xlfn.IFNA(VLOOKUP(Imputar[[#This Row],[Categoría]],EIMI!C:T,10,0),0)</f>
        <v>0</v>
      </c>
    </row>
    <row r="30" spans="1:14" x14ac:dyDescent="0.25">
      <c r="A30" s="210">
        <f>Indice!$I$11</f>
        <v>0</v>
      </c>
      <c r="B30" t="s">
        <v>413</v>
      </c>
      <c r="C30" s="39">
        <f>Indice!$I$12</f>
        <v>45992</v>
      </c>
      <c r="E30">
        <f>ROUND(SUMIFS(CATEGORIAS[[#All],[TOTAL PRODUCCION
ACTUAL]],CATEGORIAS[[#All],[CATEGORIA2]],Imputar[[#This Row],[Categoría]]),0)</f>
        <v>0</v>
      </c>
      <c r="F30">
        <v>0</v>
      </c>
      <c r="G30">
        <f>ROUND(SUMIFS(CATEGORIAS[[#All],[PROYECCION
DE INGRESO
DEL SALDO]],CATEGORIAS[[#All],[CATEGORIA2]],Imputar[[#This Row],[Categoría]]),0)</f>
        <v>0</v>
      </c>
      <c r="H30">
        <f>ROUND(SUMIFS(CATEGORIAS[[#All],[CAMBIO DE
CATEGORIA]],CATEGORIAS[[#All],[CATEGORIA2]],Imputar[[#This Row],[Categoría]]),0)</f>
        <v>0</v>
      </c>
      <c r="I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-452991</v>
      </c>
      <c r="J30">
        <f>+ROUND(SUMIFS(CATEGORIAS[[#All],[PROYECCION
TOTAL DE COSTO]],CATEGORIAS[[#All],[CATEGORIA2]],Imputar[[#This Row],[Categoría]]),0)
-Imputar[[#This Row],[Inventario]]
-Imputar[[#This Row],[Pedidos no Rec]]</f>
        <v>0</v>
      </c>
      <c r="K3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0">
        <f>_xlfn.IFNA(VLOOKUP(Imputar[[#This Row],[Categoría]],EIMI!C:T,8,0),0)</f>
        <v>452991</v>
      </c>
      <c r="M30">
        <f>_xlfn.IFNA(VLOOKUP(Imputar[[#This Row],[Categoría]],EIMI!C:T,9,0),0)</f>
        <v>0</v>
      </c>
      <c r="N30">
        <f>_xlfn.IFNA(VLOOKUP(Imputar[[#This Row],[Categoría]],EIMI!C:T,10,0),0)</f>
        <v>0</v>
      </c>
    </row>
    <row r="31" spans="1:14" hidden="1" x14ac:dyDescent="0.25">
      <c r="A31" s="210">
        <f>Indice!$I$11</f>
        <v>0</v>
      </c>
      <c r="B31" t="s">
        <v>419</v>
      </c>
      <c r="C31" s="39">
        <f>Indice!$I$12</f>
        <v>45992</v>
      </c>
      <c r="E31">
        <f>ROUND(SUMIFS(CATEGORIAS[[#All],[TOTAL PRODUCCION
ACTUAL]],CATEGORIAS[[#All],[CATEGORIA2]],Imputar[[#This Row],[Categoría]]),0)</f>
        <v>0</v>
      </c>
      <c r="F31">
        <v>0</v>
      </c>
      <c r="G31">
        <f>ROUND(SUMIFS(CATEGORIAS[[#All],[PROYECCION
DE INGRESO
DEL SALDO]],CATEGORIAS[[#All],[CATEGORIA2]],Imputar[[#This Row],[Categoría]]),0)</f>
        <v>0</v>
      </c>
      <c r="H31">
        <f>ROUND(SUMIFS(CATEGORIAS[[#All],[CAMBIO DE
CATEGORIA]],CATEGORIAS[[#All],[CATEGORIA2]],Imputar[[#This Row],[Categoría]]),0)</f>
        <v>0</v>
      </c>
      <c r="I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">
        <f>+ROUND(SUMIFS(CATEGORIAS[[#All],[PROYECCION
TOTAL DE COSTO]],CATEGORIAS[[#All],[CATEGORIA2]],Imputar[[#This Row],[Categoría]]),0)
-Imputar[[#This Row],[Inventario]]
-Imputar[[#This Row],[Pedidos no Rec]]</f>
        <v>0</v>
      </c>
      <c r="K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">
        <f>_xlfn.IFNA(VLOOKUP(Imputar[[#This Row],[Categoría]],EIMI!C:T,8,0),0)</f>
        <v>0</v>
      </c>
      <c r="M31">
        <f>_xlfn.IFNA(VLOOKUP(Imputar[[#This Row],[Categoría]],EIMI!C:T,9,0),0)</f>
        <v>0</v>
      </c>
      <c r="N31">
        <f>_xlfn.IFNA(VLOOKUP(Imputar[[#This Row],[Categoría]],EIMI!C:T,10,0),0)</f>
        <v>0</v>
      </c>
    </row>
    <row r="32" spans="1:14" hidden="1" x14ac:dyDescent="0.25">
      <c r="A32" s="210">
        <f>Indice!$I$11</f>
        <v>0</v>
      </c>
      <c r="B32" t="s">
        <v>421</v>
      </c>
      <c r="C32" s="39">
        <f>Indice!$I$12</f>
        <v>45992</v>
      </c>
      <c r="E32">
        <f>ROUND(SUMIFS(CATEGORIAS[[#All],[TOTAL PRODUCCION
ACTUAL]],CATEGORIAS[[#All],[CATEGORIA2]],Imputar[[#This Row],[Categoría]]),0)</f>
        <v>0</v>
      </c>
      <c r="F32">
        <v>0</v>
      </c>
      <c r="G32">
        <f>ROUND(SUMIFS(CATEGORIAS[[#All],[PROYECCION
DE INGRESO
DEL SALDO]],CATEGORIAS[[#All],[CATEGORIA2]],Imputar[[#This Row],[Categoría]]),0)</f>
        <v>0</v>
      </c>
      <c r="H32">
        <f>ROUND(SUMIFS(CATEGORIAS[[#All],[CAMBIO DE
CATEGORIA]],CATEGORIAS[[#All],[CATEGORIA2]],Imputar[[#This Row],[Categoría]]),0)</f>
        <v>0</v>
      </c>
      <c r="I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">
        <f>+ROUND(SUMIFS(CATEGORIAS[[#All],[PROYECCION
TOTAL DE COSTO]],CATEGORIAS[[#All],[CATEGORIA2]],Imputar[[#This Row],[Categoría]]),0)
-Imputar[[#This Row],[Inventario]]
-Imputar[[#This Row],[Pedidos no Rec]]</f>
        <v>0</v>
      </c>
      <c r="K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">
        <f>_xlfn.IFNA(VLOOKUP(Imputar[[#This Row],[Categoría]],EIMI!C:T,8,0),0)</f>
        <v>0</v>
      </c>
      <c r="M32">
        <f>_xlfn.IFNA(VLOOKUP(Imputar[[#This Row],[Categoría]],EIMI!C:T,9,0),0)</f>
        <v>0</v>
      </c>
      <c r="N32">
        <f>_xlfn.IFNA(VLOOKUP(Imputar[[#This Row],[Categoría]],EIMI!C:T,10,0),0)</f>
        <v>0</v>
      </c>
    </row>
    <row r="33" spans="1:14" hidden="1" x14ac:dyDescent="0.25">
      <c r="A33" s="210">
        <f>Indice!$I$11</f>
        <v>0</v>
      </c>
      <c r="B33" t="s">
        <v>423</v>
      </c>
      <c r="C33" s="39">
        <f>Indice!$I$12</f>
        <v>45992</v>
      </c>
      <c r="E33">
        <f>ROUND(SUMIFS(CATEGORIAS[[#All],[TOTAL PRODUCCION
ACTUAL]],CATEGORIAS[[#All],[CATEGORIA2]],Imputar[[#This Row],[Categoría]]),0)</f>
        <v>0</v>
      </c>
      <c r="F33">
        <v>0</v>
      </c>
      <c r="G33">
        <f>ROUND(SUMIFS(CATEGORIAS[[#All],[PROYECCION
DE INGRESO
DEL SALDO]],CATEGORIAS[[#All],[CATEGORIA2]],Imputar[[#This Row],[Categoría]]),0)</f>
        <v>0</v>
      </c>
      <c r="H33">
        <f>ROUND(SUMIFS(CATEGORIAS[[#All],[CAMBIO DE
CATEGORIA]],CATEGORIAS[[#All],[CATEGORIA2]],Imputar[[#This Row],[Categoría]]),0)</f>
        <v>0</v>
      </c>
      <c r="I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">
        <f>+ROUND(SUMIFS(CATEGORIAS[[#All],[PROYECCION
TOTAL DE COSTO]],CATEGORIAS[[#All],[CATEGORIA2]],Imputar[[#This Row],[Categoría]]),0)
-Imputar[[#This Row],[Inventario]]
-Imputar[[#This Row],[Pedidos no Rec]]</f>
        <v>0</v>
      </c>
      <c r="K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">
        <f>_xlfn.IFNA(VLOOKUP(Imputar[[#This Row],[Categoría]],EIMI!C:T,8,0),0)</f>
        <v>0</v>
      </c>
      <c r="M33">
        <f>_xlfn.IFNA(VLOOKUP(Imputar[[#This Row],[Categoría]],EIMI!C:T,9,0),0)</f>
        <v>0</v>
      </c>
      <c r="N33">
        <f>_xlfn.IFNA(VLOOKUP(Imputar[[#This Row],[Categoría]],EIMI!C:T,10,0),0)</f>
        <v>0</v>
      </c>
    </row>
    <row r="34" spans="1:14" x14ac:dyDescent="0.25">
      <c r="A34" s="210">
        <f>Indice!$I$11</f>
        <v>0</v>
      </c>
      <c r="B34" t="s">
        <v>425</v>
      </c>
      <c r="C34" s="39">
        <f>Indice!$I$12</f>
        <v>45992</v>
      </c>
      <c r="E34">
        <f>ROUND(SUMIFS(CATEGORIAS[[#All],[TOTAL PRODUCCION
ACTUAL]],CATEGORIAS[[#All],[CATEGORIA2]],Imputar[[#This Row],[Categoría]]),0)</f>
        <v>0</v>
      </c>
      <c r="F34">
        <v>0</v>
      </c>
      <c r="G34">
        <f>ROUND(SUMIFS(CATEGORIAS[[#All],[PROYECCION
DE INGRESO
DEL SALDO]],CATEGORIAS[[#All],[CATEGORIA2]],Imputar[[#This Row],[Categoría]]),0)</f>
        <v>0</v>
      </c>
      <c r="H34">
        <f>ROUND(SUMIFS(CATEGORIAS[[#All],[CAMBIO DE
CATEGORIA]],CATEGORIAS[[#All],[CATEGORIA2]],Imputar[[#This Row],[Categoría]]),0)</f>
        <v>0</v>
      </c>
      <c r="I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-182627191</v>
      </c>
      <c r="J34">
        <f>+ROUND(SUMIFS(CATEGORIAS[[#All],[PROYECCION
TOTAL DE COSTO]],CATEGORIAS[[#All],[CATEGORIA2]],Imputar[[#This Row],[Categoría]]),0)
-Imputar[[#This Row],[Inventario]]
-Imputar[[#This Row],[Pedidos no Rec]]</f>
        <v>0</v>
      </c>
      <c r="K3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">
        <f>_xlfn.IFNA(VLOOKUP(Imputar[[#This Row],[Categoría]],EIMI!C:T,8,0),0)</f>
        <v>182627191</v>
      </c>
      <c r="M34">
        <f>_xlfn.IFNA(VLOOKUP(Imputar[[#This Row],[Categoría]],EIMI!C:T,9,0),0)</f>
        <v>0</v>
      </c>
      <c r="N34">
        <f>_xlfn.IFNA(VLOOKUP(Imputar[[#This Row],[Categoría]],EIMI!C:T,10,0),0)</f>
        <v>0</v>
      </c>
    </row>
    <row r="35" spans="1:14" x14ac:dyDescent="0.25">
      <c r="A35" s="210">
        <f>Indice!$I$11</f>
        <v>0</v>
      </c>
      <c r="B35" t="s">
        <v>427</v>
      </c>
      <c r="C35" s="39">
        <f>Indice!$I$12</f>
        <v>45992</v>
      </c>
      <c r="E35">
        <f>ROUND(SUMIFS(CATEGORIAS[[#All],[TOTAL PRODUCCION
ACTUAL]],CATEGORIAS[[#All],[CATEGORIA2]],Imputar[[#This Row],[Categoría]]),0)</f>
        <v>0</v>
      </c>
      <c r="F35">
        <v>0</v>
      </c>
      <c r="G35">
        <f>ROUND(SUMIFS(CATEGORIAS[[#All],[PROYECCION
DE INGRESO
DEL SALDO]],CATEGORIAS[[#All],[CATEGORIA2]],Imputar[[#This Row],[Categoría]]),0)</f>
        <v>0</v>
      </c>
      <c r="H35">
        <f>ROUND(SUMIFS(CATEGORIAS[[#All],[CAMBIO DE
CATEGORIA]],CATEGORIAS[[#All],[CATEGORIA2]],Imputar[[#This Row],[Categoría]]),0)</f>
        <v>0</v>
      </c>
      <c r="I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-73492012</v>
      </c>
      <c r="J35">
        <f>+ROUND(SUMIFS(CATEGORIAS[[#All],[PROYECCION
TOTAL DE COSTO]],CATEGORIAS[[#All],[CATEGORIA2]],Imputar[[#This Row],[Categoría]]),0)
-Imputar[[#This Row],[Inventario]]
-Imputar[[#This Row],[Pedidos no Rec]]</f>
        <v>0</v>
      </c>
      <c r="K3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">
        <f>_xlfn.IFNA(VLOOKUP(Imputar[[#This Row],[Categoría]],EIMI!C:T,8,0),0)</f>
        <v>73492012</v>
      </c>
      <c r="M35">
        <f>_xlfn.IFNA(VLOOKUP(Imputar[[#This Row],[Categoría]],EIMI!C:T,9,0),0)</f>
        <v>0</v>
      </c>
      <c r="N35">
        <f>_xlfn.IFNA(VLOOKUP(Imputar[[#This Row],[Categoría]],EIMI!C:T,10,0),0)</f>
        <v>0</v>
      </c>
    </row>
    <row r="36" spans="1:14" x14ac:dyDescent="0.25">
      <c r="A36" s="210">
        <f>Indice!$I$11</f>
        <v>0</v>
      </c>
      <c r="B36" t="s">
        <v>429</v>
      </c>
      <c r="C36" s="39">
        <f>Indice!$I$12</f>
        <v>45992</v>
      </c>
      <c r="E36">
        <f>ROUND(SUMIFS(CATEGORIAS[[#All],[TOTAL PRODUCCION
ACTUAL]],CATEGORIAS[[#All],[CATEGORIA2]],Imputar[[#This Row],[Categoría]]),0)</f>
        <v>0</v>
      </c>
      <c r="F36">
        <v>0</v>
      </c>
      <c r="G36">
        <f>ROUND(SUMIFS(CATEGORIAS[[#All],[PROYECCION
DE INGRESO
DEL SALDO]],CATEGORIAS[[#All],[CATEGORIA2]],Imputar[[#This Row],[Categoría]]),0)</f>
        <v>0</v>
      </c>
      <c r="H36">
        <f>ROUND(SUMIFS(CATEGORIAS[[#All],[CAMBIO DE
CATEGORIA]],CATEGORIAS[[#All],[CATEGORIA2]],Imputar[[#This Row],[Categoría]]),0)</f>
        <v>0</v>
      </c>
      <c r="I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-16524772</v>
      </c>
      <c r="J36">
        <f>+ROUND(SUMIFS(CATEGORIAS[[#All],[PROYECCION
TOTAL DE COSTO]],CATEGORIAS[[#All],[CATEGORIA2]],Imputar[[#This Row],[Categoría]]),0)
-Imputar[[#This Row],[Inventario]]
-Imputar[[#This Row],[Pedidos no Rec]]</f>
        <v>0</v>
      </c>
      <c r="K3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6">
        <f>_xlfn.IFNA(VLOOKUP(Imputar[[#This Row],[Categoría]],EIMI!C:T,8,0),0)</f>
        <v>16524772</v>
      </c>
      <c r="M36">
        <f>_xlfn.IFNA(VLOOKUP(Imputar[[#This Row],[Categoría]],EIMI!C:T,9,0),0)</f>
        <v>0</v>
      </c>
      <c r="N36">
        <f>_xlfn.IFNA(VLOOKUP(Imputar[[#This Row],[Categoría]],EIMI!C:T,10,0),0)</f>
        <v>0</v>
      </c>
    </row>
    <row r="37" spans="1:14" x14ac:dyDescent="0.25">
      <c r="A37" s="210">
        <f>Indice!$I$11</f>
        <v>0</v>
      </c>
      <c r="B37" t="s">
        <v>431</v>
      </c>
      <c r="C37" s="39">
        <f>Indice!$I$12</f>
        <v>45992</v>
      </c>
      <c r="E37">
        <f>ROUND(SUMIFS(CATEGORIAS[[#All],[TOTAL PRODUCCION
ACTUAL]],CATEGORIAS[[#All],[CATEGORIA2]],Imputar[[#This Row],[Categoría]]),0)</f>
        <v>0</v>
      </c>
      <c r="F37">
        <v>0</v>
      </c>
      <c r="G37">
        <f>ROUND(SUMIFS(CATEGORIAS[[#All],[PROYECCION
DE INGRESO
DEL SALDO]],CATEGORIAS[[#All],[CATEGORIA2]],Imputar[[#This Row],[Categoría]]),0)</f>
        <v>0</v>
      </c>
      <c r="H37">
        <f>ROUND(SUMIFS(CATEGORIAS[[#All],[CAMBIO DE
CATEGORIA]],CATEGORIAS[[#All],[CATEGORIA2]],Imputar[[#This Row],[Categoría]]),0)</f>
        <v>0</v>
      </c>
      <c r="I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-17338026</v>
      </c>
      <c r="J37">
        <f>+ROUND(SUMIFS(CATEGORIAS[[#All],[PROYECCION
TOTAL DE COSTO]],CATEGORIAS[[#All],[CATEGORIA2]],Imputar[[#This Row],[Categoría]]),0)
-Imputar[[#This Row],[Inventario]]
-Imputar[[#This Row],[Pedidos no Rec]]</f>
        <v>0</v>
      </c>
      <c r="K3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">
        <f>_xlfn.IFNA(VLOOKUP(Imputar[[#This Row],[Categoría]],EIMI!C:T,8,0),0)</f>
        <v>17338026</v>
      </c>
      <c r="M37">
        <f>_xlfn.IFNA(VLOOKUP(Imputar[[#This Row],[Categoría]],EIMI!C:T,9,0),0)</f>
        <v>0</v>
      </c>
      <c r="N37">
        <f>_xlfn.IFNA(VLOOKUP(Imputar[[#This Row],[Categoría]],EIMI!C:T,10,0),0)</f>
        <v>0</v>
      </c>
    </row>
    <row r="38" spans="1:14" x14ac:dyDescent="0.25">
      <c r="A38" s="210">
        <f>Indice!$I$11</f>
        <v>0</v>
      </c>
      <c r="B38" t="s">
        <v>433</v>
      </c>
      <c r="C38" s="39">
        <f>Indice!$I$12</f>
        <v>45992</v>
      </c>
      <c r="E38">
        <f>ROUND(SUMIFS(CATEGORIAS[[#All],[TOTAL PRODUCCION
ACTUAL]],CATEGORIAS[[#All],[CATEGORIA2]],Imputar[[#This Row],[Categoría]]),0)</f>
        <v>0</v>
      </c>
      <c r="F38">
        <v>0</v>
      </c>
      <c r="G38">
        <f>ROUND(SUMIFS(CATEGORIAS[[#All],[PROYECCION
DE INGRESO
DEL SALDO]],CATEGORIAS[[#All],[CATEGORIA2]],Imputar[[#This Row],[Categoría]]),0)</f>
        <v>0</v>
      </c>
      <c r="H38">
        <f>ROUND(SUMIFS(CATEGORIAS[[#All],[CAMBIO DE
CATEGORIA]],CATEGORIAS[[#All],[CATEGORIA2]],Imputar[[#This Row],[Categoría]]),0)</f>
        <v>0</v>
      </c>
      <c r="I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-34752716</v>
      </c>
      <c r="J38">
        <f>+ROUND(SUMIFS(CATEGORIAS[[#All],[PROYECCION
TOTAL DE COSTO]],CATEGORIAS[[#All],[CATEGORIA2]],Imputar[[#This Row],[Categoría]]),0)
-Imputar[[#This Row],[Inventario]]
-Imputar[[#This Row],[Pedidos no Rec]]</f>
        <v>0</v>
      </c>
      <c r="K3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">
        <f>_xlfn.IFNA(VLOOKUP(Imputar[[#This Row],[Categoría]],EIMI!C:T,8,0),0)</f>
        <v>34752716</v>
      </c>
      <c r="M38">
        <f>_xlfn.IFNA(VLOOKUP(Imputar[[#This Row],[Categoría]],EIMI!C:T,9,0),0)</f>
        <v>0</v>
      </c>
      <c r="N38">
        <f>_xlfn.IFNA(VLOOKUP(Imputar[[#This Row],[Categoría]],EIMI!C:T,10,0),0)</f>
        <v>0</v>
      </c>
    </row>
    <row r="39" spans="1:14" x14ac:dyDescent="0.25">
      <c r="A39" s="210">
        <f>Indice!$I$11</f>
        <v>0</v>
      </c>
      <c r="B39" t="s">
        <v>435</v>
      </c>
      <c r="C39" s="39">
        <f>Indice!$I$12</f>
        <v>45992</v>
      </c>
      <c r="E39">
        <f>ROUND(SUMIFS(CATEGORIAS[[#All],[TOTAL PRODUCCION
ACTUAL]],CATEGORIAS[[#All],[CATEGORIA2]],Imputar[[#This Row],[Categoría]]),0)</f>
        <v>0</v>
      </c>
      <c r="F39">
        <v>0</v>
      </c>
      <c r="G39">
        <f>ROUND(SUMIFS(CATEGORIAS[[#All],[PROYECCION
DE INGRESO
DEL SALDO]],CATEGORIAS[[#All],[CATEGORIA2]],Imputar[[#This Row],[Categoría]]),0)</f>
        <v>0</v>
      </c>
      <c r="H39">
        <f>ROUND(SUMIFS(CATEGORIAS[[#All],[CAMBIO DE
CATEGORIA]],CATEGORIAS[[#All],[CATEGORIA2]],Imputar[[#This Row],[Categoría]]),0)</f>
        <v>0</v>
      </c>
      <c r="I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">
        <f>+ROUND(SUMIFS(CATEGORIAS[[#All],[PROYECCION
TOTAL DE COSTO]],CATEGORIAS[[#All],[CATEGORIA2]],Imputar[[#This Row],[Categoría]]),0)
-Imputar[[#This Row],[Inventario]]
-Imputar[[#This Row],[Pedidos no Rec]]</f>
        <v>0</v>
      </c>
      <c r="K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">
        <f>_xlfn.IFNA(VLOOKUP(Imputar[[#This Row],[Categoría]],EIMI!C:T,8,0),0)</f>
        <v>0</v>
      </c>
      <c r="M39">
        <f>_xlfn.IFNA(VLOOKUP(Imputar[[#This Row],[Categoría]],EIMI!C:T,9,0),0)</f>
        <v>0</v>
      </c>
      <c r="N39">
        <f>_xlfn.IFNA(VLOOKUP(Imputar[[#This Row],[Categoría]],EIMI!C:T,10,0),0)</f>
        <v>0</v>
      </c>
    </row>
    <row r="40" spans="1:14" x14ac:dyDescent="0.25">
      <c r="A40" s="210">
        <f>Indice!$I$11</f>
        <v>0</v>
      </c>
      <c r="B40" t="s">
        <v>437</v>
      </c>
      <c r="C40" s="39">
        <f>Indice!$I$12</f>
        <v>45992</v>
      </c>
      <c r="E40">
        <f>ROUND(SUMIFS(CATEGORIAS[[#All],[TOTAL PRODUCCION
ACTUAL]],CATEGORIAS[[#All],[CATEGORIA2]],Imputar[[#This Row],[Categoría]]),0)</f>
        <v>0</v>
      </c>
      <c r="F40">
        <v>0</v>
      </c>
      <c r="G40">
        <f>ROUND(SUMIFS(CATEGORIAS[[#All],[PROYECCION
DE INGRESO
DEL SALDO]],CATEGORIAS[[#All],[CATEGORIA2]],Imputar[[#This Row],[Categoría]]),0)</f>
        <v>0</v>
      </c>
      <c r="H40">
        <f>ROUND(SUMIFS(CATEGORIAS[[#All],[CAMBIO DE
CATEGORIA]],CATEGORIAS[[#All],[CATEGORIA2]],Imputar[[#This Row],[Categoría]]),0)</f>
        <v>0</v>
      </c>
      <c r="I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-30722107</v>
      </c>
      <c r="J40">
        <f>+ROUND(SUMIFS(CATEGORIAS[[#All],[PROYECCION
TOTAL DE COSTO]],CATEGORIAS[[#All],[CATEGORIA2]],Imputar[[#This Row],[Categoría]]),0)
-Imputar[[#This Row],[Inventario]]
-Imputar[[#This Row],[Pedidos no Rec]]</f>
        <v>0</v>
      </c>
      <c r="K4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">
        <f>_xlfn.IFNA(VLOOKUP(Imputar[[#This Row],[Categoría]],EIMI!C:T,8,0),0)</f>
        <v>30722107</v>
      </c>
      <c r="M40">
        <f>_xlfn.IFNA(VLOOKUP(Imputar[[#This Row],[Categoría]],EIMI!C:T,9,0),0)</f>
        <v>0</v>
      </c>
      <c r="N40">
        <f>_xlfn.IFNA(VLOOKUP(Imputar[[#This Row],[Categoría]],EIMI!C:T,10,0),0)</f>
        <v>0</v>
      </c>
    </row>
    <row r="41" spans="1:14" x14ac:dyDescent="0.25">
      <c r="A41" s="210">
        <f>Indice!$I$11</f>
        <v>0</v>
      </c>
      <c r="B41" t="s">
        <v>439</v>
      </c>
      <c r="C41" s="39">
        <f>Indice!$I$12</f>
        <v>45992</v>
      </c>
      <c r="E41">
        <f>ROUND(SUMIFS(CATEGORIAS[[#All],[TOTAL PRODUCCION
ACTUAL]],CATEGORIAS[[#All],[CATEGORIA2]],Imputar[[#This Row],[Categoría]]),0)</f>
        <v>0</v>
      </c>
      <c r="F41">
        <v>0</v>
      </c>
      <c r="G41">
        <f>ROUND(SUMIFS(CATEGORIAS[[#All],[PROYECCION
DE INGRESO
DEL SALDO]],CATEGORIAS[[#All],[CATEGORIA2]],Imputar[[#This Row],[Categoría]]),0)</f>
        <v>0</v>
      </c>
      <c r="H41">
        <f>ROUND(SUMIFS(CATEGORIAS[[#All],[CAMBIO DE
CATEGORIA]],CATEGORIAS[[#All],[CATEGORIA2]],Imputar[[#This Row],[Categoría]]),0)</f>
        <v>0</v>
      </c>
      <c r="I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-46772446</v>
      </c>
      <c r="J41">
        <f>+ROUND(SUMIFS(CATEGORIAS[[#All],[PROYECCION
TOTAL DE COSTO]],CATEGORIAS[[#All],[CATEGORIA2]],Imputar[[#This Row],[Categoría]]),0)
-Imputar[[#This Row],[Inventario]]
-Imputar[[#This Row],[Pedidos no Rec]]</f>
        <v>-5726619</v>
      </c>
      <c r="K4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1">
        <f>_xlfn.IFNA(VLOOKUP(Imputar[[#This Row],[Categoría]],EIMI!C:T,8,0),0)</f>
        <v>46772446</v>
      </c>
      <c r="M41">
        <f>_xlfn.IFNA(VLOOKUP(Imputar[[#This Row],[Categoría]],EIMI!C:T,9,0),0)</f>
        <v>5672319</v>
      </c>
      <c r="N41">
        <f>_xlfn.IFNA(VLOOKUP(Imputar[[#This Row],[Categoría]],EIMI!C:T,10,0),0)</f>
        <v>54300</v>
      </c>
    </row>
    <row r="42" spans="1:14" hidden="1" x14ac:dyDescent="0.25">
      <c r="A42" s="210">
        <f>Indice!$I$11</f>
        <v>0</v>
      </c>
      <c r="B42" t="s">
        <v>441</v>
      </c>
      <c r="C42" s="39">
        <f>Indice!$I$12</f>
        <v>45992</v>
      </c>
      <c r="E42">
        <f>ROUND(SUMIFS(CATEGORIAS[[#All],[TOTAL PRODUCCION
ACTUAL]],CATEGORIAS[[#All],[CATEGORIA2]],Imputar[[#This Row],[Categoría]]),0)</f>
        <v>0</v>
      </c>
      <c r="F42">
        <v>0</v>
      </c>
      <c r="G42">
        <f>ROUND(SUMIFS(CATEGORIAS[[#All],[PROYECCION
DE INGRESO
DEL SALDO]],CATEGORIAS[[#All],[CATEGORIA2]],Imputar[[#This Row],[Categoría]]),0)</f>
        <v>0</v>
      </c>
      <c r="H42">
        <f>ROUND(SUMIFS(CATEGORIAS[[#All],[CAMBIO DE
CATEGORIA]],CATEGORIAS[[#All],[CATEGORIA2]],Imputar[[#This Row],[Categoría]]),0)</f>
        <v>0</v>
      </c>
      <c r="I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">
        <f>+ROUND(SUMIFS(CATEGORIAS[[#All],[PROYECCION
TOTAL DE COSTO]],CATEGORIAS[[#All],[CATEGORIA2]],Imputar[[#This Row],[Categoría]]),0)
-Imputar[[#This Row],[Inventario]]
-Imputar[[#This Row],[Pedidos no Rec]]</f>
        <v>0</v>
      </c>
      <c r="K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">
        <f>_xlfn.IFNA(VLOOKUP(Imputar[[#This Row],[Categoría]],EIMI!C:T,8,0),0)</f>
        <v>0</v>
      </c>
      <c r="M42">
        <f>_xlfn.IFNA(VLOOKUP(Imputar[[#This Row],[Categoría]],EIMI!C:T,9,0),0)</f>
        <v>0</v>
      </c>
      <c r="N42">
        <f>_xlfn.IFNA(VLOOKUP(Imputar[[#This Row],[Categoría]],EIMI!C:T,10,0),0)</f>
        <v>0</v>
      </c>
    </row>
    <row r="43" spans="1:14" x14ac:dyDescent="0.25">
      <c r="A43" s="210">
        <f>Indice!$I$11</f>
        <v>0</v>
      </c>
      <c r="B43" t="s">
        <v>446</v>
      </c>
      <c r="C43" s="39">
        <f>Indice!$I$12</f>
        <v>45992</v>
      </c>
      <c r="E43">
        <f>ROUND(SUMIFS(CATEGORIAS[[#All],[TOTAL PRODUCCION
ACTUAL]],CATEGORIAS[[#All],[CATEGORIA2]],Imputar[[#This Row],[Categoría]]),0)</f>
        <v>0</v>
      </c>
      <c r="F43">
        <v>0</v>
      </c>
      <c r="G43">
        <f>ROUND(SUMIFS(CATEGORIAS[[#All],[PROYECCION
DE INGRESO
DEL SALDO]],CATEGORIAS[[#All],[CATEGORIA2]],Imputar[[#This Row],[Categoría]]),0)</f>
        <v>0</v>
      </c>
      <c r="H43">
        <f>ROUND(SUMIFS(CATEGORIAS[[#All],[CAMBIO DE
CATEGORIA]],CATEGORIAS[[#All],[CATEGORIA2]],Imputar[[#This Row],[Categoría]]),0)</f>
        <v>0</v>
      </c>
      <c r="I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-5195084</v>
      </c>
      <c r="J43">
        <f>+ROUND(SUMIFS(CATEGORIAS[[#All],[PROYECCION
TOTAL DE COSTO]],CATEGORIAS[[#All],[CATEGORIA2]],Imputar[[#This Row],[Categoría]]),0)
-Imputar[[#This Row],[Inventario]]
-Imputar[[#This Row],[Pedidos no Rec]]</f>
        <v>-272800</v>
      </c>
      <c r="K4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">
        <f>_xlfn.IFNA(VLOOKUP(Imputar[[#This Row],[Categoría]],EIMI!C:T,8,0),0)</f>
        <v>5195084</v>
      </c>
      <c r="M43">
        <f>_xlfn.IFNA(VLOOKUP(Imputar[[#This Row],[Categoría]],EIMI!C:T,9,0),0)</f>
        <v>0</v>
      </c>
      <c r="N43">
        <f>_xlfn.IFNA(VLOOKUP(Imputar[[#This Row],[Categoría]],EIMI!C:T,10,0),0)</f>
        <v>272800</v>
      </c>
    </row>
    <row r="44" spans="1:14" hidden="1" x14ac:dyDescent="0.25">
      <c r="A44" s="210">
        <f>Indice!$I$11</f>
        <v>0</v>
      </c>
      <c r="B44" t="s">
        <v>448</v>
      </c>
      <c r="C44" s="39">
        <f>Indice!$I$12</f>
        <v>45992</v>
      </c>
      <c r="E44">
        <f>ROUND(SUMIFS(CATEGORIAS[[#All],[TOTAL PRODUCCION
ACTUAL]],CATEGORIAS[[#All],[CATEGORIA2]],Imputar[[#This Row],[Categoría]]),0)</f>
        <v>0</v>
      </c>
      <c r="F44">
        <v>0</v>
      </c>
      <c r="G44">
        <f>ROUND(SUMIFS(CATEGORIAS[[#All],[PROYECCION
DE INGRESO
DEL SALDO]],CATEGORIAS[[#All],[CATEGORIA2]],Imputar[[#This Row],[Categoría]]),0)</f>
        <v>0</v>
      </c>
      <c r="H44">
        <f>ROUND(SUMIFS(CATEGORIAS[[#All],[CAMBIO DE
CATEGORIA]],CATEGORIAS[[#All],[CATEGORIA2]],Imputar[[#This Row],[Categoría]]),0)</f>
        <v>0</v>
      </c>
      <c r="I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">
        <f>+ROUND(SUMIFS(CATEGORIAS[[#All],[PROYECCION
TOTAL DE COSTO]],CATEGORIAS[[#All],[CATEGORIA2]],Imputar[[#This Row],[Categoría]]),0)
-Imputar[[#This Row],[Inventario]]
-Imputar[[#This Row],[Pedidos no Rec]]</f>
        <v>0</v>
      </c>
      <c r="K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">
        <f>_xlfn.IFNA(VLOOKUP(Imputar[[#This Row],[Categoría]],EIMI!C:T,8,0),0)</f>
        <v>0</v>
      </c>
      <c r="M44">
        <f>_xlfn.IFNA(VLOOKUP(Imputar[[#This Row],[Categoría]],EIMI!C:T,9,0),0)</f>
        <v>0</v>
      </c>
      <c r="N44">
        <f>_xlfn.IFNA(VLOOKUP(Imputar[[#This Row],[Categoría]],EIMI!C:T,10,0),0)</f>
        <v>0</v>
      </c>
    </row>
    <row r="45" spans="1:14" hidden="1" x14ac:dyDescent="0.25">
      <c r="A45" s="210">
        <f>Indice!$I$11</f>
        <v>0</v>
      </c>
      <c r="B45" t="s">
        <v>450</v>
      </c>
      <c r="C45" s="39">
        <f>Indice!$I$12</f>
        <v>45992</v>
      </c>
      <c r="E45">
        <f>ROUND(SUMIFS(CATEGORIAS[[#All],[TOTAL PRODUCCION
ACTUAL]],CATEGORIAS[[#All],[CATEGORIA2]],Imputar[[#This Row],[Categoría]]),0)</f>
        <v>0</v>
      </c>
      <c r="F45">
        <v>0</v>
      </c>
      <c r="G45">
        <f>ROUND(SUMIFS(CATEGORIAS[[#All],[PROYECCION
DE INGRESO
DEL SALDO]],CATEGORIAS[[#All],[CATEGORIA2]],Imputar[[#This Row],[Categoría]]),0)</f>
        <v>0</v>
      </c>
      <c r="H45">
        <f>ROUND(SUMIFS(CATEGORIAS[[#All],[CAMBIO DE
CATEGORIA]],CATEGORIAS[[#All],[CATEGORIA2]],Imputar[[#This Row],[Categoría]]),0)</f>
        <v>0</v>
      </c>
      <c r="I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">
        <f>+ROUND(SUMIFS(CATEGORIAS[[#All],[PROYECCION
TOTAL DE COSTO]],CATEGORIAS[[#All],[CATEGORIA2]],Imputar[[#This Row],[Categoría]]),0)
-Imputar[[#This Row],[Inventario]]
-Imputar[[#This Row],[Pedidos no Rec]]</f>
        <v>0</v>
      </c>
      <c r="K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">
        <f>_xlfn.IFNA(VLOOKUP(Imputar[[#This Row],[Categoría]],EIMI!C:T,8,0),0)</f>
        <v>0</v>
      </c>
      <c r="M45">
        <f>_xlfn.IFNA(VLOOKUP(Imputar[[#This Row],[Categoría]],EIMI!C:T,9,0),0)</f>
        <v>0</v>
      </c>
      <c r="N45">
        <f>_xlfn.IFNA(VLOOKUP(Imputar[[#This Row],[Categoría]],EIMI!C:T,10,0),0)</f>
        <v>0</v>
      </c>
    </row>
    <row r="46" spans="1:14" hidden="1" x14ac:dyDescent="0.25">
      <c r="A46" s="210">
        <f>Indice!$I$11</f>
        <v>0</v>
      </c>
      <c r="B46" t="s">
        <v>451</v>
      </c>
      <c r="C46" s="39">
        <f>Indice!$I$12</f>
        <v>45992</v>
      </c>
      <c r="E46">
        <f>ROUND(SUMIFS(CATEGORIAS[[#All],[TOTAL PRODUCCION
ACTUAL]],CATEGORIAS[[#All],[CATEGORIA2]],Imputar[[#This Row],[Categoría]]),0)</f>
        <v>0</v>
      </c>
      <c r="F46">
        <v>0</v>
      </c>
      <c r="G46">
        <f>ROUND(SUMIFS(CATEGORIAS[[#All],[PROYECCION
DE INGRESO
DEL SALDO]],CATEGORIAS[[#All],[CATEGORIA2]],Imputar[[#This Row],[Categoría]]),0)</f>
        <v>0</v>
      </c>
      <c r="H46">
        <f>ROUND(SUMIFS(CATEGORIAS[[#All],[CAMBIO DE
CATEGORIA]],CATEGORIAS[[#All],[CATEGORIA2]],Imputar[[#This Row],[Categoría]]),0)</f>
        <v>0</v>
      </c>
      <c r="I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">
        <f>+ROUND(SUMIFS(CATEGORIAS[[#All],[PROYECCION
TOTAL DE COSTO]],CATEGORIAS[[#All],[CATEGORIA2]],Imputar[[#This Row],[Categoría]]),0)
-Imputar[[#This Row],[Inventario]]
-Imputar[[#This Row],[Pedidos no Rec]]</f>
        <v>0</v>
      </c>
      <c r="K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">
        <f>_xlfn.IFNA(VLOOKUP(Imputar[[#This Row],[Categoría]],EIMI!C:T,8,0),0)</f>
        <v>0</v>
      </c>
      <c r="M46">
        <f>_xlfn.IFNA(VLOOKUP(Imputar[[#This Row],[Categoría]],EIMI!C:T,9,0),0)</f>
        <v>0</v>
      </c>
      <c r="N46">
        <f>_xlfn.IFNA(VLOOKUP(Imputar[[#This Row],[Categoría]],EIMI!C:T,10,0),0)</f>
        <v>0</v>
      </c>
    </row>
    <row r="47" spans="1:14" x14ac:dyDescent="0.25">
      <c r="A47" s="210">
        <f>Indice!$I$11</f>
        <v>0</v>
      </c>
      <c r="B47" t="s">
        <v>455</v>
      </c>
      <c r="C47" s="39">
        <f>Indice!$I$12</f>
        <v>45992</v>
      </c>
      <c r="E47">
        <f>ROUND(SUMIFS(CATEGORIAS[[#All],[TOTAL PRODUCCION
ACTUAL]],CATEGORIAS[[#All],[CATEGORIA2]],Imputar[[#This Row],[Categoría]]),0)</f>
        <v>0</v>
      </c>
      <c r="F47">
        <v>0</v>
      </c>
      <c r="G47">
        <f>ROUND(SUMIFS(CATEGORIAS[[#All],[PROYECCION
DE INGRESO
DEL SALDO]],CATEGORIAS[[#All],[CATEGORIA2]],Imputar[[#This Row],[Categoría]]),0)</f>
        <v>0</v>
      </c>
      <c r="H47">
        <f>ROUND(SUMIFS(CATEGORIAS[[#All],[CAMBIO DE
CATEGORIA]],CATEGORIAS[[#All],[CATEGORIA2]],Imputar[[#This Row],[Categoría]]),0)</f>
        <v>0</v>
      </c>
      <c r="I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-16831501</v>
      </c>
      <c r="J47">
        <f>+ROUND(SUMIFS(CATEGORIAS[[#All],[PROYECCION
TOTAL DE COSTO]],CATEGORIAS[[#All],[CATEGORIA2]],Imputar[[#This Row],[Categoría]]),0)
-Imputar[[#This Row],[Inventario]]
-Imputar[[#This Row],[Pedidos no Rec]]</f>
        <v>-77500</v>
      </c>
      <c r="K4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">
        <f>_xlfn.IFNA(VLOOKUP(Imputar[[#This Row],[Categoría]],EIMI!C:T,8,0),0)</f>
        <v>16831501</v>
      </c>
      <c r="M47">
        <f>_xlfn.IFNA(VLOOKUP(Imputar[[#This Row],[Categoría]],EIMI!C:T,9,0),0)</f>
        <v>0</v>
      </c>
      <c r="N47">
        <f>_xlfn.IFNA(VLOOKUP(Imputar[[#This Row],[Categoría]],EIMI!C:T,10,0),0)</f>
        <v>77500</v>
      </c>
    </row>
    <row r="48" spans="1:14" hidden="1" x14ac:dyDescent="0.25">
      <c r="A48" s="210">
        <f>Indice!$I$11</f>
        <v>0</v>
      </c>
      <c r="B48" t="s">
        <v>457</v>
      </c>
      <c r="C48" s="39">
        <f>Indice!$I$12</f>
        <v>45992</v>
      </c>
      <c r="E48">
        <f>ROUND(SUMIFS(CATEGORIAS[[#All],[TOTAL PRODUCCION
ACTUAL]],CATEGORIAS[[#All],[CATEGORIA2]],Imputar[[#This Row],[Categoría]]),0)</f>
        <v>0</v>
      </c>
      <c r="F48">
        <v>0</v>
      </c>
      <c r="G48">
        <f>ROUND(SUMIFS(CATEGORIAS[[#All],[PROYECCION
DE INGRESO
DEL SALDO]],CATEGORIAS[[#All],[CATEGORIA2]],Imputar[[#This Row],[Categoría]]),0)</f>
        <v>0</v>
      </c>
      <c r="H48">
        <f>ROUND(SUMIFS(CATEGORIAS[[#All],[CAMBIO DE
CATEGORIA]],CATEGORIAS[[#All],[CATEGORIA2]],Imputar[[#This Row],[Categoría]]),0)</f>
        <v>0</v>
      </c>
      <c r="I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">
        <f>+ROUND(SUMIFS(CATEGORIAS[[#All],[PROYECCION
TOTAL DE COSTO]],CATEGORIAS[[#All],[CATEGORIA2]],Imputar[[#This Row],[Categoría]]),0)
-Imputar[[#This Row],[Inventario]]
-Imputar[[#This Row],[Pedidos no Rec]]</f>
        <v>0</v>
      </c>
      <c r="K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">
        <f>_xlfn.IFNA(VLOOKUP(Imputar[[#This Row],[Categoría]],EIMI!C:T,8,0),0)</f>
        <v>0</v>
      </c>
      <c r="M48">
        <f>_xlfn.IFNA(VLOOKUP(Imputar[[#This Row],[Categoría]],EIMI!C:T,9,0),0)</f>
        <v>0</v>
      </c>
      <c r="N48">
        <f>_xlfn.IFNA(VLOOKUP(Imputar[[#This Row],[Categoría]],EIMI!C:T,10,0),0)</f>
        <v>0</v>
      </c>
    </row>
    <row r="49" spans="1:14" x14ac:dyDescent="0.25">
      <c r="A49" s="210">
        <f>Indice!$I$11</f>
        <v>0</v>
      </c>
      <c r="B49" t="s">
        <v>459</v>
      </c>
      <c r="C49" s="39">
        <f>Indice!$I$12</f>
        <v>45992</v>
      </c>
      <c r="E49">
        <f>ROUND(SUMIFS(CATEGORIAS[[#All],[TOTAL PRODUCCION
ACTUAL]],CATEGORIAS[[#All],[CATEGORIA2]],Imputar[[#This Row],[Categoría]]),0)</f>
        <v>0</v>
      </c>
      <c r="F49">
        <v>0</v>
      </c>
      <c r="G49">
        <f>ROUND(SUMIFS(CATEGORIAS[[#All],[PROYECCION
DE INGRESO
DEL SALDO]],CATEGORIAS[[#All],[CATEGORIA2]],Imputar[[#This Row],[Categoría]]),0)</f>
        <v>0</v>
      </c>
      <c r="H49">
        <f>ROUND(SUMIFS(CATEGORIAS[[#All],[CAMBIO DE
CATEGORIA]],CATEGORIAS[[#All],[CATEGORIA2]],Imputar[[#This Row],[Categoría]]),0)</f>
        <v>0</v>
      </c>
      <c r="I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-352517</v>
      </c>
      <c r="J49">
        <f>+ROUND(SUMIFS(CATEGORIAS[[#All],[PROYECCION
TOTAL DE COSTO]],CATEGORIAS[[#All],[CATEGORIA2]],Imputar[[#This Row],[Categoría]]),0)
-Imputar[[#This Row],[Inventario]]
-Imputar[[#This Row],[Pedidos no Rec]]</f>
        <v>0</v>
      </c>
      <c r="K4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">
        <f>_xlfn.IFNA(VLOOKUP(Imputar[[#This Row],[Categoría]],EIMI!C:T,8,0),0)</f>
        <v>352517</v>
      </c>
      <c r="M49">
        <f>_xlfn.IFNA(VLOOKUP(Imputar[[#This Row],[Categoría]],EIMI!C:T,9,0),0)</f>
        <v>0</v>
      </c>
      <c r="N49">
        <f>_xlfn.IFNA(VLOOKUP(Imputar[[#This Row],[Categoría]],EIMI!C:T,10,0),0)</f>
        <v>0</v>
      </c>
    </row>
    <row r="50" spans="1:14" x14ac:dyDescent="0.25">
      <c r="A50" s="210">
        <f>Indice!$I$11</f>
        <v>0</v>
      </c>
      <c r="B50" t="s">
        <v>461</v>
      </c>
      <c r="C50" s="39">
        <f>Indice!$I$12</f>
        <v>45992</v>
      </c>
      <c r="E50">
        <f>ROUND(SUMIFS(CATEGORIAS[[#All],[TOTAL PRODUCCION
ACTUAL]],CATEGORIAS[[#All],[CATEGORIA2]],Imputar[[#This Row],[Categoría]]),0)</f>
        <v>0</v>
      </c>
      <c r="F50">
        <v>0</v>
      </c>
      <c r="G50">
        <f>ROUND(SUMIFS(CATEGORIAS[[#All],[PROYECCION
DE INGRESO
DEL SALDO]],CATEGORIAS[[#All],[CATEGORIA2]],Imputar[[#This Row],[Categoría]]),0)</f>
        <v>0</v>
      </c>
      <c r="H50">
        <f>ROUND(SUMIFS(CATEGORIAS[[#All],[CAMBIO DE
CATEGORIA]],CATEGORIAS[[#All],[CATEGORIA2]],Imputar[[#This Row],[Categoría]]),0)</f>
        <v>0</v>
      </c>
      <c r="I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-4423245</v>
      </c>
      <c r="J50">
        <f>+ROUND(SUMIFS(CATEGORIAS[[#All],[PROYECCION
TOTAL DE COSTO]],CATEGORIAS[[#All],[CATEGORIA2]],Imputar[[#This Row],[Categoría]]),0)
-Imputar[[#This Row],[Inventario]]
-Imputar[[#This Row],[Pedidos no Rec]]</f>
        <v>0</v>
      </c>
      <c r="K5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0">
        <f>_xlfn.IFNA(VLOOKUP(Imputar[[#This Row],[Categoría]],EIMI!C:T,8,0),0)</f>
        <v>4423245</v>
      </c>
      <c r="M50">
        <f>_xlfn.IFNA(VLOOKUP(Imputar[[#This Row],[Categoría]],EIMI!C:T,9,0),0)</f>
        <v>0</v>
      </c>
      <c r="N50">
        <f>_xlfn.IFNA(VLOOKUP(Imputar[[#This Row],[Categoría]],EIMI!C:T,10,0),0)</f>
        <v>0</v>
      </c>
    </row>
    <row r="51" spans="1:14" hidden="1" x14ac:dyDescent="0.25">
      <c r="A51" s="210">
        <f>Indice!$I$11</f>
        <v>0</v>
      </c>
      <c r="B51" t="s">
        <v>463</v>
      </c>
      <c r="C51" s="39">
        <f>Indice!$I$12</f>
        <v>45992</v>
      </c>
      <c r="E51">
        <f>ROUND(SUMIFS(CATEGORIAS[[#All],[TOTAL PRODUCCION
ACTUAL]],CATEGORIAS[[#All],[CATEGORIA2]],Imputar[[#This Row],[Categoría]]),0)</f>
        <v>0</v>
      </c>
      <c r="F51">
        <v>0</v>
      </c>
      <c r="G51">
        <f>ROUND(SUMIFS(CATEGORIAS[[#All],[PROYECCION
DE INGRESO
DEL SALDO]],CATEGORIAS[[#All],[CATEGORIA2]],Imputar[[#This Row],[Categoría]]),0)</f>
        <v>0</v>
      </c>
      <c r="H51">
        <f>ROUND(SUMIFS(CATEGORIAS[[#All],[CAMBIO DE
CATEGORIA]],CATEGORIAS[[#All],[CATEGORIA2]],Imputar[[#This Row],[Categoría]]),0)</f>
        <v>0</v>
      </c>
      <c r="I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">
        <f>+ROUND(SUMIFS(CATEGORIAS[[#All],[PROYECCION
TOTAL DE COSTO]],CATEGORIAS[[#All],[CATEGORIA2]],Imputar[[#This Row],[Categoría]]),0)
-Imputar[[#This Row],[Inventario]]
-Imputar[[#This Row],[Pedidos no Rec]]</f>
        <v>0</v>
      </c>
      <c r="K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">
        <f>_xlfn.IFNA(VLOOKUP(Imputar[[#This Row],[Categoría]],EIMI!C:T,8,0),0)</f>
        <v>0</v>
      </c>
      <c r="M51">
        <f>_xlfn.IFNA(VLOOKUP(Imputar[[#This Row],[Categoría]],EIMI!C:T,9,0),0)</f>
        <v>0</v>
      </c>
      <c r="N51">
        <f>_xlfn.IFNA(VLOOKUP(Imputar[[#This Row],[Categoría]],EIMI!C:T,10,0),0)</f>
        <v>0</v>
      </c>
    </row>
    <row r="52" spans="1:14" x14ac:dyDescent="0.25">
      <c r="A52" s="210">
        <f>Indice!$I$11</f>
        <v>0</v>
      </c>
      <c r="B52" t="s">
        <v>270</v>
      </c>
      <c r="C52" s="39">
        <f>Indice!$I$12</f>
        <v>45992</v>
      </c>
      <c r="E52">
        <f>ROUND(SUMIFS(CATEGORIAS[[#All],[TOTAL PRODUCCION
ACTUAL]],CATEGORIAS[[#All],[CATEGORIA2]],Imputar[[#This Row],[Categoría]]),0)</f>
        <v>0</v>
      </c>
      <c r="F52">
        <v>0</v>
      </c>
      <c r="G52">
        <f>ROUND(SUMIFS(CATEGORIAS[[#All],[PROYECCION
DE INGRESO
DEL SALDO]],CATEGORIAS[[#All],[CATEGORIA2]],Imputar[[#This Row],[Categoría]]),0)</f>
        <v>0</v>
      </c>
      <c r="H52">
        <f>ROUND(SUMIFS(CATEGORIAS[[#All],[CAMBIO DE
CATEGORIA]],CATEGORIAS[[#All],[CATEGORIA2]],Imputar[[#This Row],[Categoría]]),0)</f>
        <v>0</v>
      </c>
      <c r="I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">
        <f>+ROUND(SUMIFS(CATEGORIAS[[#All],[PROYECCION
TOTAL DE COSTO]],CATEGORIAS[[#All],[CATEGORIA2]],Imputar[[#This Row],[Categoría]]),0)
-Imputar[[#This Row],[Inventario]]
-Imputar[[#This Row],[Pedidos no Rec]]</f>
        <v>-1988923</v>
      </c>
      <c r="K5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2">
        <f>_xlfn.IFNA(VLOOKUP(Imputar[[#This Row],[Categoría]],EIMI!C:T,8,0),0)</f>
        <v>0</v>
      </c>
      <c r="M52">
        <f>_xlfn.IFNA(VLOOKUP(Imputar[[#This Row],[Categoría]],EIMI!C:T,9,0),0)</f>
        <v>1974003</v>
      </c>
      <c r="N52">
        <f>_xlfn.IFNA(VLOOKUP(Imputar[[#This Row],[Categoría]],EIMI!C:T,10,0),0)</f>
        <v>14920</v>
      </c>
    </row>
    <row r="53" spans="1:14" hidden="1" x14ac:dyDescent="0.25">
      <c r="A53" s="210">
        <f>Indice!$I$11</f>
        <v>0</v>
      </c>
      <c r="B53" t="s">
        <v>466</v>
      </c>
      <c r="C53" s="39">
        <f>Indice!$I$12</f>
        <v>45992</v>
      </c>
      <c r="E53">
        <f>ROUND(SUMIFS(CATEGORIAS[[#All],[TOTAL PRODUCCION
ACTUAL]],CATEGORIAS[[#All],[CATEGORIA2]],Imputar[[#This Row],[Categoría]]),0)</f>
        <v>0</v>
      </c>
      <c r="F53">
        <v>0</v>
      </c>
      <c r="G53">
        <f>ROUND(SUMIFS(CATEGORIAS[[#All],[PROYECCION
DE INGRESO
DEL SALDO]],CATEGORIAS[[#All],[CATEGORIA2]],Imputar[[#This Row],[Categoría]]),0)</f>
        <v>0</v>
      </c>
      <c r="H53">
        <f>ROUND(SUMIFS(CATEGORIAS[[#All],[CAMBIO DE
CATEGORIA]],CATEGORIAS[[#All],[CATEGORIA2]],Imputar[[#This Row],[Categoría]]),0)</f>
        <v>0</v>
      </c>
      <c r="I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">
        <f>+ROUND(SUMIFS(CATEGORIAS[[#All],[PROYECCION
TOTAL DE COSTO]],CATEGORIAS[[#All],[CATEGORIA2]],Imputar[[#This Row],[Categoría]]),0)
-Imputar[[#This Row],[Inventario]]
-Imputar[[#This Row],[Pedidos no Rec]]</f>
        <v>0</v>
      </c>
      <c r="K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">
        <f>_xlfn.IFNA(VLOOKUP(Imputar[[#This Row],[Categoría]],EIMI!C:T,8,0),0)</f>
        <v>0</v>
      </c>
      <c r="M53">
        <f>_xlfn.IFNA(VLOOKUP(Imputar[[#This Row],[Categoría]],EIMI!C:T,9,0),0)</f>
        <v>0</v>
      </c>
      <c r="N53">
        <f>_xlfn.IFNA(VLOOKUP(Imputar[[#This Row],[Categoría]],EIMI!C:T,10,0),0)</f>
        <v>0</v>
      </c>
    </row>
    <row r="54" spans="1:14" hidden="1" x14ac:dyDescent="0.25">
      <c r="A54" s="210">
        <f>Indice!$I$11</f>
        <v>0</v>
      </c>
      <c r="B54" t="s">
        <v>468</v>
      </c>
      <c r="C54" s="39">
        <f>Indice!$I$12</f>
        <v>45992</v>
      </c>
      <c r="E54">
        <f>ROUND(SUMIFS(CATEGORIAS[[#All],[TOTAL PRODUCCION
ACTUAL]],CATEGORIAS[[#All],[CATEGORIA2]],Imputar[[#This Row],[Categoría]]),0)</f>
        <v>0</v>
      </c>
      <c r="F54">
        <v>0</v>
      </c>
      <c r="G54">
        <f>ROUND(SUMIFS(CATEGORIAS[[#All],[PROYECCION
DE INGRESO
DEL SALDO]],CATEGORIAS[[#All],[CATEGORIA2]],Imputar[[#This Row],[Categoría]]),0)</f>
        <v>0</v>
      </c>
      <c r="H54">
        <f>ROUND(SUMIFS(CATEGORIAS[[#All],[CAMBIO DE
CATEGORIA]],CATEGORIAS[[#All],[CATEGORIA2]],Imputar[[#This Row],[Categoría]]),0)</f>
        <v>0</v>
      </c>
      <c r="I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">
        <f>+ROUND(SUMIFS(CATEGORIAS[[#All],[PROYECCION
TOTAL DE COSTO]],CATEGORIAS[[#All],[CATEGORIA2]],Imputar[[#This Row],[Categoría]]),0)
-Imputar[[#This Row],[Inventario]]
-Imputar[[#This Row],[Pedidos no Rec]]</f>
        <v>0</v>
      </c>
      <c r="K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">
        <f>_xlfn.IFNA(VLOOKUP(Imputar[[#This Row],[Categoría]],EIMI!C:T,8,0),0)</f>
        <v>0</v>
      </c>
      <c r="M54">
        <f>_xlfn.IFNA(VLOOKUP(Imputar[[#This Row],[Categoría]],EIMI!C:T,9,0),0)</f>
        <v>0</v>
      </c>
      <c r="N54">
        <f>_xlfn.IFNA(VLOOKUP(Imputar[[#This Row],[Categoría]],EIMI!C:T,10,0),0)</f>
        <v>0</v>
      </c>
    </row>
    <row r="55" spans="1:14" hidden="1" x14ac:dyDescent="0.25">
      <c r="A55" s="210">
        <f>Indice!$I$11</f>
        <v>0</v>
      </c>
      <c r="B55" t="s">
        <v>470</v>
      </c>
      <c r="C55" s="39">
        <f>Indice!$I$12</f>
        <v>45992</v>
      </c>
      <c r="E55">
        <f>ROUND(SUMIFS(CATEGORIAS[[#All],[TOTAL PRODUCCION
ACTUAL]],CATEGORIAS[[#All],[CATEGORIA2]],Imputar[[#This Row],[Categoría]]),0)</f>
        <v>0</v>
      </c>
      <c r="F55">
        <v>0</v>
      </c>
      <c r="G55">
        <f>ROUND(SUMIFS(CATEGORIAS[[#All],[PROYECCION
DE INGRESO
DEL SALDO]],CATEGORIAS[[#All],[CATEGORIA2]],Imputar[[#This Row],[Categoría]]),0)</f>
        <v>0</v>
      </c>
      <c r="H55">
        <f>ROUND(SUMIFS(CATEGORIAS[[#All],[CAMBIO DE
CATEGORIA]],CATEGORIAS[[#All],[CATEGORIA2]],Imputar[[#This Row],[Categoría]]),0)</f>
        <v>0</v>
      </c>
      <c r="I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">
        <f>+ROUND(SUMIFS(CATEGORIAS[[#All],[PROYECCION
TOTAL DE COSTO]],CATEGORIAS[[#All],[CATEGORIA2]],Imputar[[#This Row],[Categoría]]),0)
-Imputar[[#This Row],[Inventario]]
-Imputar[[#This Row],[Pedidos no Rec]]</f>
        <v>0</v>
      </c>
      <c r="K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">
        <f>_xlfn.IFNA(VLOOKUP(Imputar[[#This Row],[Categoría]],EIMI!C:T,8,0),0)</f>
        <v>0</v>
      </c>
      <c r="M55">
        <f>_xlfn.IFNA(VLOOKUP(Imputar[[#This Row],[Categoría]],EIMI!C:T,9,0),0)</f>
        <v>0</v>
      </c>
      <c r="N55">
        <f>_xlfn.IFNA(VLOOKUP(Imputar[[#This Row],[Categoría]],EIMI!C:T,10,0),0)</f>
        <v>0</v>
      </c>
    </row>
    <row r="56" spans="1:14" hidden="1" x14ac:dyDescent="0.25">
      <c r="A56" s="210">
        <f>Indice!$I$11</f>
        <v>0</v>
      </c>
      <c r="B56" t="s">
        <v>472</v>
      </c>
      <c r="C56" s="39">
        <f>Indice!$I$12</f>
        <v>45992</v>
      </c>
      <c r="E56">
        <f>ROUND(SUMIFS(CATEGORIAS[[#All],[TOTAL PRODUCCION
ACTUAL]],CATEGORIAS[[#All],[CATEGORIA2]],Imputar[[#This Row],[Categoría]]),0)</f>
        <v>0</v>
      </c>
      <c r="F56">
        <v>0</v>
      </c>
      <c r="G56">
        <f>ROUND(SUMIFS(CATEGORIAS[[#All],[PROYECCION
DE INGRESO
DEL SALDO]],CATEGORIAS[[#All],[CATEGORIA2]],Imputar[[#This Row],[Categoría]]),0)</f>
        <v>0</v>
      </c>
      <c r="H56">
        <f>ROUND(SUMIFS(CATEGORIAS[[#All],[CAMBIO DE
CATEGORIA]],CATEGORIAS[[#All],[CATEGORIA2]],Imputar[[#This Row],[Categoría]]),0)</f>
        <v>0</v>
      </c>
      <c r="I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">
        <f>+ROUND(SUMIFS(CATEGORIAS[[#All],[PROYECCION
TOTAL DE COSTO]],CATEGORIAS[[#All],[CATEGORIA2]],Imputar[[#This Row],[Categoría]]),0)
-Imputar[[#This Row],[Inventario]]
-Imputar[[#This Row],[Pedidos no Rec]]</f>
        <v>0</v>
      </c>
      <c r="K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">
        <f>_xlfn.IFNA(VLOOKUP(Imputar[[#This Row],[Categoría]],EIMI!C:T,8,0),0)</f>
        <v>0</v>
      </c>
      <c r="M56">
        <f>_xlfn.IFNA(VLOOKUP(Imputar[[#This Row],[Categoría]],EIMI!C:T,9,0),0)</f>
        <v>0</v>
      </c>
      <c r="N56">
        <f>_xlfn.IFNA(VLOOKUP(Imputar[[#This Row],[Categoría]],EIMI!C:T,10,0),0)</f>
        <v>0</v>
      </c>
    </row>
    <row r="57" spans="1:14" hidden="1" x14ac:dyDescent="0.25">
      <c r="A57" s="210">
        <f>Indice!$I$11</f>
        <v>0</v>
      </c>
      <c r="B57" t="s">
        <v>474</v>
      </c>
      <c r="C57" s="39">
        <f>Indice!$I$12</f>
        <v>45992</v>
      </c>
      <c r="E57">
        <f>ROUND(SUMIFS(CATEGORIAS[[#All],[TOTAL PRODUCCION
ACTUAL]],CATEGORIAS[[#All],[CATEGORIA2]],Imputar[[#This Row],[Categoría]]),0)</f>
        <v>0</v>
      </c>
      <c r="F57">
        <v>0</v>
      </c>
      <c r="G57">
        <f>ROUND(SUMIFS(CATEGORIAS[[#All],[PROYECCION
DE INGRESO
DEL SALDO]],CATEGORIAS[[#All],[CATEGORIA2]],Imputar[[#This Row],[Categoría]]),0)</f>
        <v>0</v>
      </c>
      <c r="H57">
        <f>ROUND(SUMIFS(CATEGORIAS[[#All],[CAMBIO DE
CATEGORIA]],CATEGORIAS[[#All],[CATEGORIA2]],Imputar[[#This Row],[Categoría]]),0)</f>
        <v>0</v>
      </c>
      <c r="I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7">
        <f>+ROUND(SUMIFS(CATEGORIAS[[#All],[PROYECCION
TOTAL DE COSTO]],CATEGORIAS[[#All],[CATEGORIA2]],Imputar[[#This Row],[Categoría]]),0)
-Imputar[[#This Row],[Inventario]]
-Imputar[[#This Row],[Pedidos no Rec]]</f>
        <v>0</v>
      </c>
      <c r="K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7">
        <f>_xlfn.IFNA(VLOOKUP(Imputar[[#This Row],[Categoría]],EIMI!C:T,8,0),0)</f>
        <v>0</v>
      </c>
      <c r="M57">
        <f>_xlfn.IFNA(VLOOKUP(Imputar[[#This Row],[Categoría]],EIMI!C:T,9,0),0)</f>
        <v>0</v>
      </c>
      <c r="N57">
        <f>_xlfn.IFNA(VLOOKUP(Imputar[[#This Row],[Categoría]],EIMI!C:T,10,0),0)</f>
        <v>0</v>
      </c>
    </row>
    <row r="58" spans="1:14" x14ac:dyDescent="0.25">
      <c r="A58" s="210">
        <f>Indice!$I$11</f>
        <v>0</v>
      </c>
      <c r="B58" t="s">
        <v>476</v>
      </c>
      <c r="C58" s="39">
        <f>Indice!$I$12</f>
        <v>45992</v>
      </c>
      <c r="E58">
        <f>ROUND(SUMIFS(CATEGORIAS[[#All],[TOTAL PRODUCCION
ACTUAL]],CATEGORIAS[[#All],[CATEGORIA2]],Imputar[[#This Row],[Categoría]]),0)</f>
        <v>0</v>
      </c>
      <c r="F58">
        <v>0</v>
      </c>
      <c r="G58">
        <f>ROUND(SUMIFS(CATEGORIAS[[#All],[PROYECCION
DE INGRESO
DEL SALDO]],CATEGORIAS[[#All],[CATEGORIA2]],Imputar[[#This Row],[Categoría]]),0)</f>
        <v>0</v>
      </c>
      <c r="H58">
        <f>ROUND(SUMIFS(CATEGORIAS[[#All],[CAMBIO DE
CATEGORIA]],CATEGORIAS[[#All],[CATEGORIA2]],Imputar[[#This Row],[Categoría]]),0)</f>
        <v>0</v>
      </c>
      <c r="I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8">
        <f>+ROUND(SUMIFS(CATEGORIAS[[#All],[PROYECCION
TOTAL DE COSTO]],CATEGORIAS[[#All],[CATEGORIA2]],Imputar[[#This Row],[Categoría]]),0)
-Imputar[[#This Row],[Inventario]]
-Imputar[[#This Row],[Pedidos no Rec]]</f>
        <v>-4070863</v>
      </c>
      <c r="K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8">
        <f>_xlfn.IFNA(VLOOKUP(Imputar[[#This Row],[Categoría]],EIMI!C:T,8,0),0)</f>
        <v>0</v>
      </c>
      <c r="M58">
        <f>_xlfn.IFNA(VLOOKUP(Imputar[[#This Row],[Categoría]],EIMI!C:T,9,0),0)</f>
        <v>4070863</v>
      </c>
      <c r="N58">
        <f>_xlfn.IFNA(VLOOKUP(Imputar[[#This Row],[Categoría]],EIMI!C:T,10,0),0)</f>
        <v>0</v>
      </c>
    </row>
    <row r="59" spans="1:14" hidden="1" x14ac:dyDescent="0.25">
      <c r="A59" s="210">
        <f>Indice!$I$11</f>
        <v>0</v>
      </c>
      <c r="B59" t="s">
        <v>478</v>
      </c>
      <c r="C59" s="39">
        <f>Indice!$I$12</f>
        <v>45992</v>
      </c>
      <c r="E59">
        <f>ROUND(SUMIFS(CATEGORIAS[[#All],[TOTAL PRODUCCION
ACTUAL]],CATEGORIAS[[#All],[CATEGORIA2]],Imputar[[#This Row],[Categoría]]),0)</f>
        <v>0</v>
      </c>
      <c r="F59">
        <v>0</v>
      </c>
      <c r="G59">
        <f>ROUND(SUMIFS(CATEGORIAS[[#All],[PROYECCION
DE INGRESO
DEL SALDO]],CATEGORIAS[[#All],[CATEGORIA2]],Imputar[[#This Row],[Categoría]]),0)</f>
        <v>0</v>
      </c>
      <c r="H59">
        <f>ROUND(SUMIFS(CATEGORIAS[[#All],[CAMBIO DE
CATEGORIA]],CATEGORIAS[[#All],[CATEGORIA2]],Imputar[[#This Row],[Categoría]]),0)</f>
        <v>0</v>
      </c>
      <c r="I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9">
        <f>+ROUND(SUMIFS(CATEGORIAS[[#All],[PROYECCION
TOTAL DE COSTO]],CATEGORIAS[[#All],[CATEGORIA2]],Imputar[[#This Row],[Categoría]]),0)
-Imputar[[#This Row],[Inventario]]
-Imputar[[#This Row],[Pedidos no Rec]]</f>
        <v>0</v>
      </c>
      <c r="K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9">
        <f>_xlfn.IFNA(VLOOKUP(Imputar[[#This Row],[Categoría]],EIMI!C:T,8,0),0)</f>
        <v>0</v>
      </c>
      <c r="M59">
        <f>_xlfn.IFNA(VLOOKUP(Imputar[[#This Row],[Categoría]],EIMI!C:T,9,0),0)</f>
        <v>0</v>
      </c>
      <c r="N59">
        <f>_xlfn.IFNA(VLOOKUP(Imputar[[#This Row],[Categoría]],EIMI!C:T,10,0),0)</f>
        <v>0</v>
      </c>
    </row>
    <row r="60" spans="1:14" x14ac:dyDescent="0.25">
      <c r="A60" s="210">
        <f>Indice!$I$11</f>
        <v>0</v>
      </c>
      <c r="B60" t="s">
        <v>277</v>
      </c>
      <c r="C60" s="39">
        <f>Indice!$I$12</f>
        <v>45992</v>
      </c>
      <c r="E60">
        <f>ROUND(SUMIFS(CATEGORIAS[[#All],[TOTAL PRODUCCION
ACTUAL]],CATEGORIAS[[#All],[CATEGORIA2]],Imputar[[#This Row],[Categoría]]),0)</f>
        <v>0</v>
      </c>
      <c r="F60">
        <v>0</v>
      </c>
      <c r="G60">
        <f>ROUND(SUMIFS(CATEGORIAS[[#All],[PROYECCION
DE INGRESO
DEL SALDO]],CATEGORIAS[[#All],[CATEGORIA2]],Imputar[[#This Row],[Categoría]]),0)</f>
        <v>0</v>
      </c>
      <c r="H60">
        <f>ROUND(SUMIFS(CATEGORIAS[[#All],[CAMBIO DE
CATEGORIA]],CATEGORIAS[[#All],[CATEGORIA2]],Imputar[[#This Row],[Categoría]]),0)</f>
        <v>0</v>
      </c>
      <c r="I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0">
        <f>+ROUND(SUMIFS(CATEGORIAS[[#All],[PROYECCION
TOTAL DE COSTO]],CATEGORIAS[[#All],[CATEGORIA2]],Imputar[[#This Row],[Categoría]]),0)
-Imputar[[#This Row],[Inventario]]
-Imputar[[#This Row],[Pedidos no Rec]]</f>
        <v>-11751710</v>
      </c>
      <c r="K6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60">
        <f>_xlfn.IFNA(VLOOKUP(Imputar[[#This Row],[Categoría]],EIMI!C:T,8,0),0)</f>
        <v>0</v>
      </c>
      <c r="M60">
        <f>_xlfn.IFNA(VLOOKUP(Imputar[[#This Row],[Categoría]],EIMI!C:T,9,0),0)</f>
        <v>11751710</v>
      </c>
      <c r="N60">
        <f>_xlfn.IFNA(VLOOKUP(Imputar[[#This Row],[Categoría]],EIMI!C:T,10,0),0)</f>
        <v>0</v>
      </c>
    </row>
    <row r="61" spans="1:14" hidden="1" x14ac:dyDescent="0.25">
      <c r="A61" s="210">
        <f>Indice!$I$11</f>
        <v>0</v>
      </c>
      <c r="B61" t="s">
        <v>480</v>
      </c>
      <c r="C61" s="39">
        <f>Indice!$I$12</f>
        <v>45992</v>
      </c>
      <c r="E61">
        <f>ROUND(SUMIFS(CATEGORIAS[[#All],[TOTAL PRODUCCION
ACTUAL]],CATEGORIAS[[#All],[CATEGORIA2]],Imputar[[#This Row],[Categoría]]),0)</f>
        <v>0</v>
      </c>
      <c r="F61">
        <v>0</v>
      </c>
      <c r="G61">
        <f>ROUND(SUMIFS(CATEGORIAS[[#All],[PROYECCION
DE INGRESO
DEL SALDO]],CATEGORIAS[[#All],[CATEGORIA2]],Imputar[[#This Row],[Categoría]]),0)</f>
        <v>0</v>
      </c>
      <c r="H61">
        <f>ROUND(SUMIFS(CATEGORIAS[[#All],[CAMBIO DE
CATEGORIA]],CATEGORIAS[[#All],[CATEGORIA2]],Imputar[[#This Row],[Categoría]]),0)</f>
        <v>0</v>
      </c>
      <c r="I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1">
        <f>+ROUND(SUMIFS(CATEGORIAS[[#All],[PROYECCION
TOTAL DE COSTO]],CATEGORIAS[[#All],[CATEGORIA2]],Imputar[[#This Row],[Categoría]]),0)
-Imputar[[#This Row],[Inventario]]
-Imputar[[#This Row],[Pedidos no Rec]]</f>
        <v>0</v>
      </c>
      <c r="K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1">
        <f>_xlfn.IFNA(VLOOKUP(Imputar[[#This Row],[Categoría]],EIMI!C:T,8,0),0)</f>
        <v>0</v>
      </c>
      <c r="M61">
        <f>_xlfn.IFNA(VLOOKUP(Imputar[[#This Row],[Categoría]],EIMI!C:T,9,0),0)</f>
        <v>0</v>
      </c>
      <c r="N61">
        <f>_xlfn.IFNA(VLOOKUP(Imputar[[#This Row],[Categoría]],EIMI!C:T,10,0),0)</f>
        <v>0</v>
      </c>
    </row>
    <row r="62" spans="1:14" x14ac:dyDescent="0.25">
      <c r="A62" s="210">
        <f>Indice!$I$11</f>
        <v>0</v>
      </c>
      <c r="B62" t="s">
        <v>482</v>
      </c>
      <c r="C62" s="39">
        <f>Indice!$I$12</f>
        <v>45992</v>
      </c>
      <c r="E62">
        <f>ROUND(SUMIFS(CATEGORIAS[[#All],[TOTAL PRODUCCION
ACTUAL]],CATEGORIAS[[#All],[CATEGORIA2]],Imputar[[#This Row],[Categoría]]),0)</f>
        <v>0</v>
      </c>
      <c r="F62">
        <v>0</v>
      </c>
      <c r="G62">
        <f>ROUND(SUMIFS(CATEGORIAS[[#All],[PROYECCION
DE INGRESO
DEL SALDO]],CATEGORIAS[[#All],[CATEGORIA2]],Imputar[[#This Row],[Categoría]]),0)</f>
        <v>0</v>
      </c>
      <c r="H62">
        <f>ROUND(SUMIFS(CATEGORIAS[[#All],[CAMBIO DE
CATEGORIA]],CATEGORIAS[[#All],[CATEGORIA2]],Imputar[[#This Row],[Categoría]]),0)</f>
        <v>0</v>
      </c>
      <c r="I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2">
        <f>+ROUND(SUMIFS(CATEGORIAS[[#All],[PROYECCION
TOTAL DE COSTO]],CATEGORIAS[[#All],[CATEGORIA2]],Imputar[[#This Row],[Categoría]]),0)
-Imputar[[#This Row],[Inventario]]
-Imputar[[#This Row],[Pedidos no Rec]]</f>
        <v>0</v>
      </c>
      <c r="K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2">
        <f>_xlfn.IFNA(VLOOKUP(Imputar[[#This Row],[Categoría]],EIMI!C:T,8,0),0)</f>
        <v>0</v>
      </c>
      <c r="M62">
        <f>_xlfn.IFNA(VLOOKUP(Imputar[[#This Row],[Categoría]],EIMI!C:T,9,0),0)</f>
        <v>0</v>
      </c>
      <c r="N62">
        <f>_xlfn.IFNA(VLOOKUP(Imputar[[#This Row],[Categoría]],EIMI!C:T,10,0),0)</f>
        <v>0</v>
      </c>
    </row>
    <row r="63" spans="1:14" hidden="1" x14ac:dyDescent="0.25">
      <c r="A63" s="210">
        <f>Indice!$I$11</f>
        <v>0</v>
      </c>
      <c r="B63" t="s">
        <v>484</v>
      </c>
      <c r="C63" s="39">
        <f>Indice!$I$12</f>
        <v>45992</v>
      </c>
      <c r="E63">
        <f>ROUND(SUMIFS(CATEGORIAS[[#All],[TOTAL PRODUCCION
ACTUAL]],CATEGORIAS[[#All],[CATEGORIA2]],Imputar[[#This Row],[Categoría]]),0)</f>
        <v>0</v>
      </c>
      <c r="F63">
        <v>0</v>
      </c>
      <c r="G63">
        <f>ROUND(SUMIFS(CATEGORIAS[[#All],[PROYECCION
DE INGRESO
DEL SALDO]],CATEGORIAS[[#All],[CATEGORIA2]],Imputar[[#This Row],[Categoría]]),0)</f>
        <v>0</v>
      </c>
      <c r="H63">
        <f>ROUND(SUMIFS(CATEGORIAS[[#All],[CAMBIO DE
CATEGORIA]],CATEGORIAS[[#All],[CATEGORIA2]],Imputar[[#This Row],[Categoría]]),0)</f>
        <v>0</v>
      </c>
      <c r="I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3">
        <f>+ROUND(SUMIFS(CATEGORIAS[[#All],[PROYECCION
TOTAL DE COSTO]],CATEGORIAS[[#All],[CATEGORIA2]],Imputar[[#This Row],[Categoría]]),0)
-Imputar[[#This Row],[Inventario]]
-Imputar[[#This Row],[Pedidos no Rec]]</f>
        <v>0</v>
      </c>
      <c r="K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3">
        <f>_xlfn.IFNA(VLOOKUP(Imputar[[#This Row],[Categoría]],EIMI!C:T,8,0),0)</f>
        <v>0</v>
      </c>
      <c r="M63">
        <f>_xlfn.IFNA(VLOOKUP(Imputar[[#This Row],[Categoría]],EIMI!C:T,9,0),0)</f>
        <v>0</v>
      </c>
      <c r="N63">
        <f>_xlfn.IFNA(VLOOKUP(Imputar[[#This Row],[Categoría]],EIMI!C:T,10,0),0)</f>
        <v>0</v>
      </c>
    </row>
    <row r="64" spans="1:14" hidden="1" x14ac:dyDescent="0.25">
      <c r="A64" s="210">
        <f>Indice!$I$11</f>
        <v>0</v>
      </c>
      <c r="B64" t="s">
        <v>486</v>
      </c>
      <c r="C64" s="39">
        <f>Indice!$I$12</f>
        <v>45992</v>
      </c>
      <c r="E64">
        <f>ROUND(SUMIFS(CATEGORIAS[[#All],[TOTAL PRODUCCION
ACTUAL]],CATEGORIAS[[#All],[CATEGORIA2]],Imputar[[#This Row],[Categoría]]),0)</f>
        <v>0</v>
      </c>
      <c r="F64">
        <v>0</v>
      </c>
      <c r="G64">
        <f>ROUND(SUMIFS(CATEGORIAS[[#All],[PROYECCION
DE INGRESO
DEL SALDO]],CATEGORIAS[[#All],[CATEGORIA2]],Imputar[[#This Row],[Categoría]]),0)</f>
        <v>0</v>
      </c>
      <c r="H64">
        <f>ROUND(SUMIFS(CATEGORIAS[[#All],[CAMBIO DE
CATEGORIA]],CATEGORIAS[[#All],[CATEGORIA2]],Imputar[[#This Row],[Categoría]]),0)</f>
        <v>0</v>
      </c>
      <c r="I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4">
        <f>+ROUND(SUMIFS(CATEGORIAS[[#All],[PROYECCION
TOTAL DE COSTO]],CATEGORIAS[[#All],[CATEGORIA2]],Imputar[[#This Row],[Categoría]]),0)
-Imputar[[#This Row],[Inventario]]
-Imputar[[#This Row],[Pedidos no Rec]]</f>
        <v>0</v>
      </c>
      <c r="K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4">
        <f>_xlfn.IFNA(VLOOKUP(Imputar[[#This Row],[Categoría]],EIMI!C:T,8,0),0)</f>
        <v>0</v>
      </c>
      <c r="M64">
        <f>_xlfn.IFNA(VLOOKUP(Imputar[[#This Row],[Categoría]],EIMI!C:T,9,0),0)</f>
        <v>0</v>
      </c>
      <c r="N64">
        <f>_xlfn.IFNA(VLOOKUP(Imputar[[#This Row],[Categoría]],EIMI!C:T,10,0),0)</f>
        <v>0</v>
      </c>
    </row>
    <row r="65" spans="1:14" hidden="1" x14ac:dyDescent="0.25">
      <c r="A65" s="210">
        <f>Indice!$I$11</f>
        <v>0</v>
      </c>
      <c r="B65" t="s">
        <v>488</v>
      </c>
      <c r="C65" s="39">
        <f>Indice!$I$12</f>
        <v>45992</v>
      </c>
      <c r="E65">
        <f>ROUND(SUMIFS(CATEGORIAS[[#All],[TOTAL PRODUCCION
ACTUAL]],CATEGORIAS[[#All],[CATEGORIA2]],Imputar[[#This Row],[Categoría]]),0)</f>
        <v>0</v>
      </c>
      <c r="F65">
        <v>0</v>
      </c>
      <c r="G65">
        <f>ROUND(SUMIFS(CATEGORIAS[[#All],[PROYECCION
DE INGRESO
DEL SALDO]],CATEGORIAS[[#All],[CATEGORIA2]],Imputar[[#This Row],[Categoría]]),0)</f>
        <v>0</v>
      </c>
      <c r="H65">
        <f>ROUND(SUMIFS(CATEGORIAS[[#All],[CAMBIO DE
CATEGORIA]],CATEGORIAS[[#All],[CATEGORIA2]],Imputar[[#This Row],[Categoría]]),0)</f>
        <v>0</v>
      </c>
      <c r="I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5">
        <f>+ROUND(SUMIFS(CATEGORIAS[[#All],[PROYECCION
TOTAL DE COSTO]],CATEGORIAS[[#All],[CATEGORIA2]],Imputar[[#This Row],[Categoría]]),0)
-Imputar[[#This Row],[Inventario]]
-Imputar[[#This Row],[Pedidos no Rec]]</f>
        <v>0</v>
      </c>
      <c r="K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5">
        <f>_xlfn.IFNA(VLOOKUP(Imputar[[#This Row],[Categoría]],EIMI!C:T,8,0),0)</f>
        <v>0</v>
      </c>
      <c r="M65">
        <f>_xlfn.IFNA(VLOOKUP(Imputar[[#This Row],[Categoría]],EIMI!C:T,9,0),0)</f>
        <v>0</v>
      </c>
      <c r="N65">
        <f>_xlfn.IFNA(VLOOKUP(Imputar[[#This Row],[Categoría]],EIMI!C:T,10,0),0)</f>
        <v>0</v>
      </c>
    </row>
    <row r="66" spans="1:14" x14ac:dyDescent="0.25">
      <c r="A66" s="210">
        <f>Indice!$I$11</f>
        <v>0</v>
      </c>
      <c r="B66" t="s">
        <v>490</v>
      </c>
      <c r="C66" s="39">
        <f>Indice!$I$12</f>
        <v>45992</v>
      </c>
      <c r="E66">
        <f>ROUND(SUMIFS(CATEGORIAS[[#All],[TOTAL PRODUCCION
ACTUAL]],CATEGORIAS[[#All],[CATEGORIA2]],Imputar[[#This Row],[Categoría]]),0)</f>
        <v>0</v>
      </c>
      <c r="F66">
        <v>0</v>
      </c>
      <c r="G66">
        <f>ROUND(SUMIFS(CATEGORIAS[[#All],[PROYECCION
DE INGRESO
DEL SALDO]],CATEGORIAS[[#All],[CATEGORIA2]],Imputar[[#This Row],[Categoría]]),0)</f>
        <v>0</v>
      </c>
      <c r="H66">
        <f>ROUND(SUMIFS(CATEGORIAS[[#All],[CAMBIO DE
CATEGORIA]],CATEGORIAS[[#All],[CATEGORIA2]],Imputar[[#This Row],[Categoría]]),0)</f>
        <v>0</v>
      </c>
      <c r="I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6">
        <f>+ROUND(SUMIFS(CATEGORIAS[[#All],[PROYECCION
TOTAL DE COSTO]],CATEGORIAS[[#All],[CATEGORIA2]],Imputar[[#This Row],[Categoría]]),0)
-Imputar[[#This Row],[Inventario]]
-Imputar[[#This Row],[Pedidos no Rec]]</f>
        <v>0</v>
      </c>
      <c r="K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6">
        <f>_xlfn.IFNA(VLOOKUP(Imputar[[#This Row],[Categoría]],EIMI!C:T,8,0),0)</f>
        <v>0</v>
      </c>
      <c r="M66">
        <f>_xlfn.IFNA(VLOOKUP(Imputar[[#This Row],[Categoría]],EIMI!C:T,9,0),0)</f>
        <v>0</v>
      </c>
      <c r="N66">
        <f>_xlfn.IFNA(VLOOKUP(Imputar[[#This Row],[Categoría]],EIMI!C:T,10,0),0)</f>
        <v>0</v>
      </c>
    </row>
    <row r="67" spans="1:14" hidden="1" x14ac:dyDescent="0.25">
      <c r="A67" s="210">
        <f>Indice!$I$11</f>
        <v>0</v>
      </c>
      <c r="B67" t="s">
        <v>492</v>
      </c>
      <c r="C67" s="39">
        <f>Indice!$I$12</f>
        <v>45992</v>
      </c>
      <c r="E67">
        <f>ROUND(SUMIFS(CATEGORIAS[[#All],[TOTAL PRODUCCION
ACTUAL]],CATEGORIAS[[#All],[CATEGORIA2]],Imputar[[#This Row],[Categoría]]),0)</f>
        <v>0</v>
      </c>
      <c r="F67">
        <v>0</v>
      </c>
      <c r="G67">
        <f>ROUND(SUMIFS(CATEGORIAS[[#All],[PROYECCION
DE INGRESO
DEL SALDO]],CATEGORIAS[[#All],[CATEGORIA2]],Imputar[[#This Row],[Categoría]]),0)</f>
        <v>0</v>
      </c>
      <c r="H67">
        <f>ROUND(SUMIFS(CATEGORIAS[[#All],[CAMBIO DE
CATEGORIA]],CATEGORIAS[[#All],[CATEGORIA2]],Imputar[[#This Row],[Categoría]]),0)</f>
        <v>0</v>
      </c>
      <c r="I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7">
        <f>+ROUND(SUMIFS(CATEGORIAS[[#All],[PROYECCION
TOTAL DE COSTO]],CATEGORIAS[[#All],[CATEGORIA2]],Imputar[[#This Row],[Categoría]]),0)
-Imputar[[#This Row],[Inventario]]
-Imputar[[#This Row],[Pedidos no Rec]]</f>
        <v>0</v>
      </c>
      <c r="K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7">
        <f>_xlfn.IFNA(VLOOKUP(Imputar[[#This Row],[Categoría]],EIMI!C:T,8,0),0)</f>
        <v>0</v>
      </c>
      <c r="M67">
        <f>_xlfn.IFNA(VLOOKUP(Imputar[[#This Row],[Categoría]],EIMI!C:T,9,0),0)</f>
        <v>0</v>
      </c>
      <c r="N67">
        <f>_xlfn.IFNA(VLOOKUP(Imputar[[#This Row],[Categoría]],EIMI!C:T,10,0),0)</f>
        <v>0</v>
      </c>
    </row>
    <row r="68" spans="1:14" x14ac:dyDescent="0.25">
      <c r="A68" s="210">
        <f>Indice!$I$11</f>
        <v>0</v>
      </c>
      <c r="B68" t="s">
        <v>279</v>
      </c>
      <c r="C68" s="39">
        <f>Indice!$I$12</f>
        <v>45992</v>
      </c>
      <c r="E68">
        <f>ROUND(SUMIFS(CATEGORIAS[[#All],[TOTAL PRODUCCION
ACTUAL]],CATEGORIAS[[#All],[CATEGORIA2]],Imputar[[#This Row],[Categoría]]),0)</f>
        <v>0</v>
      </c>
      <c r="F68">
        <v>0</v>
      </c>
      <c r="G68">
        <f>ROUND(SUMIFS(CATEGORIAS[[#All],[PROYECCION
DE INGRESO
DEL SALDO]],CATEGORIAS[[#All],[CATEGORIA2]],Imputar[[#This Row],[Categoría]]),0)</f>
        <v>0</v>
      </c>
      <c r="H68">
        <f>ROUND(SUMIFS(CATEGORIAS[[#All],[CAMBIO DE
CATEGORIA]],CATEGORIAS[[#All],[CATEGORIA2]],Imputar[[#This Row],[Categoría]]),0)</f>
        <v>0</v>
      </c>
      <c r="I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8">
        <f>+ROUND(SUMIFS(CATEGORIAS[[#All],[PROYECCION
TOTAL DE COSTO]],CATEGORIAS[[#All],[CATEGORIA2]],Imputar[[#This Row],[Categoría]]),0)
-Imputar[[#This Row],[Inventario]]
-Imputar[[#This Row],[Pedidos no Rec]]</f>
        <v>-7696651</v>
      </c>
      <c r="K6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68">
        <f>_xlfn.IFNA(VLOOKUP(Imputar[[#This Row],[Categoría]],EIMI!C:T,8,0),0)</f>
        <v>0</v>
      </c>
      <c r="M68">
        <f>_xlfn.IFNA(VLOOKUP(Imputar[[#This Row],[Categoría]],EIMI!C:T,9,0),0)</f>
        <v>6925270</v>
      </c>
      <c r="N68">
        <f>_xlfn.IFNA(VLOOKUP(Imputar[[#This Row],[Categoría]],EIMI!C:T,10,0),0)</f>
        <v>771381</v>
      </c>
    </row>
    <row r="69" spans="1:14" hidden="1" x14ac:dyDescent="0.25">
      <c r="A69" s="210">
        <f>Indice!$I$11</f>
        <v>0</v>
      </c>
      <c r="B69" t="s">
        <v>495</v>
      </c>
      <c r="C69" s="39">
        <f>Indice!$I$12</f>
        <v>45992</v>
      </c>
      <c r="E69">
        <f>ROUND(SUMIFS(CATEGORIAS[[#All],[TOTAL PRODUCCION
ACTUAL]],CATEGORIAS[[#All],[CATEGORIA2]],Imputar[[#This Row],[Categoría]]),0)</f>
        <v>0</v>
      </c>
      <c r="F69">
        <v>0</v>
      </c>
      <c r="G69">
        <f>ROUND(SUMIFS(CATEGORIAS[[#All],[PROYECCION
DE INGRESO
DEL SALDO]],CATEGORIAS[[#All],[CATEGORIA2]],Imputar[[#This Row],[Categoría]]),0)</f>
        <v>0</v>
      </c>
      <c r="H69">
        <f>ROUND(SUMIFS(CATEGORIAS[[#All],[CAMBIO DE
CATEGORIA]],CATEGORIAS[[#All],[CATEGORIA2]],Imputar[[#This Row],[Categoría]]),0)</f>
        <v>0</v>
      </c>
      <c r="I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9">
        <f>+ROUND(SUMIFS(CATEGORIAS[[#All],[PROYECCION
TOTAL DE COSTO]],CATEGORIAS[[#All],[CATEGORIA2]],Imputar[[#This Row],[Categoría]]),0)
-Imputar[[#This Row],[Inventario]]
-Imputar[[#This Row],[Pedidos no Rec]]</f>
        <v>0</v>
      </c>
      <c r="K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9">
        <f>_xlfn.IFNA(VLOOKUP(Imputar[[#This Row],[Categoría]],EIMI!C:T,8,0),0)</f>
        <v>0</v>
      </c>
      <c r="M69">
        <f>_xlfn.IFNA(VLOOKUP(Imputar[[#This Row],[Categoría]],EIMI!C:T,9,0),0)</f>
        <v>0</v>
      </c>
      <c r="N69">
        <f>_xlfn.IFNA(VLOOKUP(Imputar[[#This Row],[Categoría]],EIMI!C:T,10,0),0)</f>
        <v>0</v>
      </c>
    </row>
    <row r="70" spans="1:14" hidden="1" x14ac:dyDescent="0.25">
      <c r="A70" s="210">
        <f>Indice!$I$11</f>
        <v>0</v>
      </c>
      <c r="B70" t="s">
        <v>498</v>
      </c>
      <c r="C70" s="39">
        <f>Indice!$I$12</f>
        <v>45992</v>
      </c>
      <c r="E70">
        <f>ROUND(SUMIFS(CATEGORIAS[[#All],[TOTAL PRODUCCION
ACTUAL]],CATEGORIAS[[#All],[CATEGORIA2]],Imputar[[#This Row],[Categoría]]),0)</f>
        <v>0</v>
      </c>
      <c r="F70">
        <v>0</v>
      </c>
      <c r="G70">
        <f>ROUND(SUMIFS(CATEGORIAS[[#All],[PROYECCION
DE INGRESO
DEL SALDO]],CATEGORIAS[[#All],[CATEGORIA2]],Imputar[[#This Row],[Categoría]]),0)</f>
        <v>0</v>
      </c>
      <c r="H70">
        <f>ROUND(SUMIFS(CATEGORIAS[[#All],[CAMBIO DE
CATEGORIA]],CATEGORIAS[[#All],[CATEGORIA2]],Imputar[[#This Row],[Categoría]]),0)</f>
        <v>0</v>
      </c>
      <c r="I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0">
        <f>+ROUND(SUMIFS(CATEGORIAS[[#All],[PROYECCION
TOTAL DE COSTO]],CATEGORIAS[[#All],[CATEGORIA2]],Imputar[[#This Row],[Categoría]]),0)
-Imputar[[#This Row],[Inventario]]
-Imputar[[#This Row],[Pedidos no Rec]]</f>
        <v>0</v>
      </c>
      <c r="K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0">
        <f>_xlfn.IFNA(VLOOKUP(Imputar[[#This Row],[Categoría]],EIMI!C:T,8,0),0)</f>
        <v>0</v>
      </c>
      <c r="M70">
        <f>_xlfn.IFNA(VLOOKUP(Imputar[[#This Row],[Categoría]],EIMI!C:T,9,0),0)</f>
        <v>0</v>
      </c>
      <c r="N70">
        <f>_xlfn.IFNA(VLOOKUP(Imputar[[#This Row],[Categoría]],EIMI!C:T,10,0),0)</f>
        <v>0</v>
      </c>
    </row>
    <row r="71" spans="1:14" hidden="1" x14ac:dyDescent="0.25">
      <c r="A71" s="210">
        <f>Indice!$I$11</f>
        <v>0</v>
      </c>
      <c r="B71" t="s">
        <v>500</v>
      </c>
      <c r="C71" s="39">
        <f>Indice!$I$12</f>
        <v>45992</v>
      </c>
      <c r="E71">
        <f>ROUND(SUMIFS(CATEGORIAS[[#All],[TOTAL PRODUCCION
ACTUAL]],CATEGORIAS[[#All],[CATEGORIA2]],Imputar[[#This Row],[Categoría]]),0)</f>
        <v>0</v>
      </c>
      <c r="F71">
        <v>0</v>
      </c>
      <c r="G71">
        <f>ROUND(SUMIFS(CATEGORIAS[[#All],[PROYECCION
DE INGRESO
DEL SALDO]],CATEGORIAS[[#All],[CATEGORIA2]],Imputar[[#This Row],[Categoría]]),0)</f>
        <v>0</v>
      </c>
      <c r="H71">
        <f>ROUND(SUMIFS(CATEGORIAS[[#All],[CAMBIO DE
CATEGORIA]],CATEGORIAS[[#All],[CATEGORIA2]],Imputar[[#This Row],[Categoría]]),0)</f>
        <v>0</v>
      </c>
      <c r="I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1">
        <f>+ROUND(SUMIFS(CATEGORIAS[[#All],[PROYECCION
TOTAL DE COSTO]],CATEGORIAS[[#All],[CATEGORIA2]],Imputar[[#This Row],[Categoría]]),0)
-Imputar[[#This Row],[Inventario]]
-Imputar[[#This Row],[Pedidos no Rec]]</f>
        <v>0</v>
      </c>
      <c r="K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1">
        <f>_xlfn.IFNA(VLOOKUP(Imputar[[#This Row],[Categoría]],EIMI!C:T,8,0),0)</f>
        <v>0</v>
      </c>
      <c r="M71">
        <f>_xlfn.IFNA(VLOOKUP(Imputar[[#This Row],[Categoría]],EIMI!C:T,9,0),0)</f>
        <v>0</v>
      </c>
      <c r="N71">
        <f>_xlfn.IFNA(VLOOKUP(Imputar[[#This Row],[Categoría]],EIMI!C:T,10,0),0)</f>
        <v>0</v>
      </c>
    </row>
    <row r="72" spans="1:14" hidden="1" x14ac:dyDescent="0.25">
      <c r="A72" s="210">
        <f>Indice!$I$11</f>
        <v>0</v>
      </c>
      <c r="B72" t="s">
        <v>502</v>
      </c>
      <c r="C72" s="39">
        <f>Indice!$I$12</f>
        <v>45992</v>
      </c>
      <c r="E72">
        <f>ROUND(SUMIFS(CATEGORIAS[[#All],[TOTAL PRODUCCION
ACTUAL]],CATEGORIAS[[#All],[CATEGORIA2]],Imputar[[#This Row],[Categoría]]),0)</f>
        <v>0</v>
      </c>
      <c r="F72">
        <v>0</v>
      </c>
      <c r="G72">
        <f>ROUND(SUMIFS(CATEGORIAS[[#All],[PROYECCION
DE INGRESO
DEL SALDO]],CATEGORIAS[[#All],[CATEGORIA2]],Imputar[[#This Row],[Categoría]]),0)</f>
        <v>0</v>
      </c>
      <c r="H72">
        <f>ROUND(SUMIFS(CATEGORIAS[[#All],[CAMBIO DE
CATEGORIA]],CATEGORIAS[[#All],[CATEGORIA2]],Imputar[[#This Row],[Categoría]]),0)</f>
        <v>0</v>
      </c>
      <c r="I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2">
        <f>+ROUND(SUMIFS(CATEGORIAS[[#All],[PROYECCION
TOTAL DE COSTO]],CATEGORIAS[[#All],[CATEGORIA2]],Imputar[[#This Row],[Categoría]]),0)
-Imputar[[#This Row],[Inventario]]
-Imputar[[#This Row],[Pedidos no Rec]]</f>
        <v>0</v>
      </c>
      <c r="K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2">
        <f>_xlfn.IFNA(VLOOKUP(Imputar[[#This Row],[Categoría]],EIMI!C:T,8,0),0)</f>
        <v>0</v>
      </c>
      <c r="M72">
        <f>_xlfn.IFNA(VLOOKUP(Imputar[[#This Row],[Categoría]],EIMI!C:T,9,0),0)</f>
        <v>0</v>
      </c>
      <c r="N72">
        <f>_xlfn.IFNA(VLOOKUP(Imputar[[#This Row],[Categoría]],EIMI!C:T,10,0),0)</f>
        <v>0</v>
      </c>
    </row>
    <row r="73" spans="1:14" hidden="1" x14ac:dyDescent="0.25">
      <c r="A73" s="210">
        <f>Indice!$I$11</f>
        <v>0</v>
      </c>
      <c r="B73" t="s">
        <v>504</v>
      </c>
      <c r="C73" s="39">
        <f>Indice!$I$12</f>
        <v>45992</v>
      </c>
      <c r="E73">
        <f>ROUND(SUMIFS(CATEGORIAS[[#All],[TOTAL PRODUCCION
ACTUAL]],CATEGORIAS[[#All],[CATEGORIA2]],Imputar[[#This Row],[Categoría]]),0)</f>
        <v>0</v>
      </c>
      <c r="F73">
        <v>0</v>
      </c>
      <c r="G73">
        <f>ROUND(SUMIFS(CATEGORIAS[[#All],[PROYECCION
DE INGRESO
DEL SALDO]],CATEGORIAS[[#All],[CATEGORIA2]],Imputar[[#This Row],[Categoría]]),0)</f>
        <v>0</v>
      </c>
      <c r="H73">
        <f>ROUND(SUMIFS(CATEGORIAS[[#All],[CAMBIO DE
CATEGORIA]],CATEGORIAS[[#All],[CATEGORIA2]],Imputar[[#This Row],[Categoría]]),0)</f>
        <v>0</v>
      </c>
      <c r="I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3">
        <f>+ROUND(SUMIFS(CATEGORIAS[[#All],[PROYECCION
TOTAL DE COSTO]],CATEGORIAS[[#All],[CATEGORIA2]],Imputar[[#This Row],[Categoría]]),0)
-Imputar[[#This Row],[Inventario]]
-Imputar[[#This Row],[Pedidos no Rec]]</f>
        <v>0</v>
      </c>
      <c r="K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3">
        <f>_xlfn.IFNA(VLOOKUP(Imputar[[#This Row],[Categoría]],EIMI!C:T,8,0),0)</f>
        <v>0</v>
      </c>
      <c r="M73">
        <f>_xlfn.IFNA(VLOOKUP(Imputar[[#This Row],[Categoría]],EIMI!C:T,9,0),0)</f>
        <v>0</v>
      </c>
      <c r="N73">
        <f>_xlfn.IFNA(VLOOKUP(Imputar[[#This Row],[Categoría]],EIMI!C:T,10,0),0)</f>
        <v>0</v>
      </c>
    </row>
    <row r="74" spans="1:14" hidden="1" x14ac:dyDescent="0.25">
      <c r="A74" s="210">
        <f>Indice!$I$11</f>
        <v>0</v>
      </c>
      <c r="B74" t="s">
        <v>506</v>
      </c>
      <c r="C74" s="39">
        <f>Indice!$I$12</f>
        <v>45992</v>
      </c>
      <c r="E74">
        <f>ROUND(SUMIFS(CATEGORIAS[[#All],[TOTAL PRODUCCION
ACTUAL]],CATEGORIAS[[#All],[CATEGORIA2]],Imputar[[#This Row],[Categoría]]),0)</f>
        <v>0</v>
      </c>
      <c r="F74">
        <v>0</v>
      </c>
      <c r="G74">
        <f>ROUND(SUMIFS(CATEGORIAS[[#All],[PROYECCION
DE INGRESO
DEL SALDO]],CATEGORIAS[[#All],[CATEGORIA2]],Imputar[[#This Row],[Categoría]]),0)</f>
        <v>0</v>
      </c>
      <c r="H74">
        <f>ROUND(SUMIFS(CATEGORIAS[[#All],[CAMBIO DE
CATEGORIA]],CATEGORIAS[[#All],[CATEGORIA2]],Imputar[[#This Row],[Categoría]]),0)</f>
        <v>0</v>
      </c>
      <c r="I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4">
        <f>+ROUND(SUMIFS(CATEGORIAS[[#All],[PROYECCION
TOTAL DE COSTO]],CATEGORIAS[[#All],[CATEGORIA2]],Imputar[[#This Row],[Categoría]]),0)
-Imputar[[#This Row],[Inventario]]
-Imputar[[#This Row],[Pedidos no Rec]]</f>
        <v>0</v>
      </c>
      <c r="K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4">
        <f>_xlfn.IFNA(VLOOKUP(Imputar[[#This Row],[Categoría]],EIMI!C:T,8,0),0)</f>
        <v>0</v>
      </c>
      <c r="M74">
        <f>_xlfn.IFNA(VLOOKUP(Imputar[[#This Row],[Categoría]],EIMI!C:T,9,0),0)</f>
        <v>0</v>
      </c>
      <c r="N74">
        <f>_xlfn.IFNA(VLOOKUP(Imputar[[#This Row],[Categoría]],EIMI!C:T,10,0),0)</f>
        <v>0</v>
      </c>
    </row>
    <row r="75" spans="1:14" hidden="1" x14ac:dyDescent="0.25">
      <c r="A75" s="210">
        <f>Indice!$I$11</f>
        <v>0</v>
      </c>
      <c r="B75" t="s">
        <v>508</v>
      </c>
      <c r="C75" s="39">
        <f>Indice!$I$12</f>
        <v>45992</v>
      </c>
      <c r="E75">
        <f>ROUND(SUMIFS(CATEGORIAS[[#All],[TOTAL PRODUCCION
ACTUAL]],CATEGORIAS[[#All],[CATEGORIA2]],Imputar[[#This Row],[Categoría]]),0)</f>
        <v>0</v>
      </c>
      <c r="F75">
        <v>0</v>
      </c>
      <c r="G75">
        <f>ROUND(SUMIFS(CATEGORIAS[[#All],[PROYECCION
DE INGRESO
DEL SALDO]],CATEGORIAS[[#All],[CATEGORIA2]],Imputar[[#This Row],[Categoría]]),0)</f>
        <v>0</v>
      </c>
      <c r="H75">
        <f>ROUND(SUMIFS(CATEGORIAS[[#All],[CAMBIO DE
CATEGORIA]],CATEGORIAS[[#All],[CATEGORIA2]],Imputar[[#This Row],[Categoría]]),0)</f>
        <v>0</v>
      </c>
      <c r="I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5">
        <f>+ROUND(SUMIFS(CATEGORIAS[[#All],[PROYECCION
TOTAL DE COSTO]],CATEGORIAS[[#All],[CATEGORIA2]],Imputar[[#This Row],[Categoría]]),0)
-Imputar[[#This Row],[Inventario]]
-Imputar[[#This Row],[Pedidos no Rec]]</f>
        <v>0</v>
      </c>
      <c r="K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5">
        <f>_xlfn.IFNA(VLOOKUP(Imputar[[#This Row],[Categoría]],EIMI!C:T,8,0),0)</f>
        <v>0</v>
      </c>
      <c r="M75">
        <f>_xlfn.IFNA(VLOOKUP(Imputar[[#This Row],[Categoría]],EIMI!C:T,9,0),0)</f>
        <v>0</v>
      </c>
      <c r="N75">
        <f>_xlfn.IFNA(VLOOKUP(Imputar[[#This Row],[Categoría]],EIMI!C:T,10,0),0)</f>
        <v>0</v>
      </c>
    </row>
    <row r="76" spans="1:14" hidden="1" x14ac:dyDescent="0.25">
      <c r="A76" s="210">
        <f>Indice!$I$11</f>
        <v>0</v>
      </c>
      <c r="B76" t="s">
        <v>510</v>
      </c>
      <c r="C76" s="39">
        <f>Indice!$I$12</f>
        <v>45992</v>
      </c>
      <c r="E76">
        <f>ROUND(SUMIFS(CATEGORIAS[[#All],[TOTAL PRODUCCION
ACTUAL]],CATEGORIAS[[#All],[CATEGORIA2]],Imputar[[#This Row],[Categoría]]),0)</f>
        <v>0</v>
      </c>
      <c r="F76">
        <v>0</v>
      </c>
      <c r="G76">
        <f>ROUND(SUMIFS(CATEGORIAS[[#All],[PROYECCION
DE INGRESO
DEL SALDO]],CATEGORIAS[[#All],[CATEGORIA2]],Imputar[[#This Row],[Categoría]]),0)</f>
        <v>0</v>
      </c>
      <c r="H76">
        <f>ROUND(SUMIFS(CATEGORIAS[[#All],[CAMBIO DE
CATEGORIA]],CATEGORIAS[[#All],[CATEGORIA2]],Imputar[[#This Row],[Categoría]]),0)</f>
        <v>0</v>
      </c>
      <c r="I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6">
        <f>+ROUND(SUMIFS(CATEGORIAS[[#All],[PROYECCION
TOTAL DE COSTO]],CATEGORIAS[[#All],[CATEGORIA2]],Imputar[[#This Row],[Categoría]]),0)
-Imputar[[#This Row],[Inventario]]
-Imputar[[#This Row],[Pedidos no Rec]]</f>
        <v>0</v>
      </c>
      <c r="K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6">
        <f>_xlfn.IFNA(VLOOKUP(Imputar[[#This Row],[Categoría]],EIMI!C:T,8,0),0)</f>
        <v>0</v>
      </c>
      <c r="M76">
        <f>_xlfn.IFNA(VLOOKUP(Imputar[[#This Row],[Categoría]],EIMI!C:T,9,0),0)</f>
        <v>0</v>
      </c>
      <c r="N76">
        <f>_xlfn.IFNA(VLOOKUP(Imputar[[#This Row],[Categoría]],EIMI!C:T,10,0),0)</f>
        <v>0</v>
      </c>
    </row>
    <row r="77" spans="1:14" hidden="1" x14ac:dyDescent="0.25">
      <c r="A77" s="210">
        <f>Indice!$I$11</f>
        <v>0</v>
      </c>
      <c r="B77" t="s">
        <v>512</v>
      </c>
      <c r="C77" s="39">
        <f>Indice!$I$12</f>
        <v>45992</v>
      </c>
      <c r="E77">
        <f>ROUND(SUMIFS(CATEGORIAS[[#All],[TOTAL PRODUCCION
ACTUAL]],CATEGORIAS[[#All],[CATEGORIA2]],Imputar[[#This Row],[Categoría]]),0)</f>
        <v>0</v>
      </c>
      <c r="F77">
        <v>0</v>
      </c>
      <c r="G77">
        <f>ROUND(SUMIFS(CATEGORIAS[[#All],[PROYECCION
DE INGRESO
DEL SALDO]],CATEGORIAS[[#All],[CATEGORIA2]],Imputar[[#This Row],[Categoría]]),0)</f>
        <v>0</v>
      </c>
      <c r="H77">
        <f>ROUND(SUMIFS(CATEGORIAS[[#All],[CAMBIO DE
CATEGORIA]],CATEGORIAS[[#All],[CATEGORIA2]],Imputar[[#This Row],[Categoría]]),0)</f>
        <v>0</v>
      </c>
      <c r="I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7">
        <f>+ROUND(SUMIFS(CATEGORIAS[[#All],[PROYECCION
TOTAL DE COSTO]],CATEGORIAS[[#All],[CATEGORIA2]],Imputar[[#This Row],[Categoría]]),0)
-Imputar[[#This Row],[Inventario]]
-Imputar[[#This Row],[Pedidos no Rec]]</f>
        <v>0</v>
      </c>
      <c r="K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7">
        <f>_xlfn.IFNA(VLOOKUP(Imputar[[#This Row],[Categoría]],EIMI!C:T,8,0),0)</f>
        <v>0</v>
      </c>
      <c r="M77">
        <f>_xlfn.IFNA(VLOOKUP(Imputar[[#This Row],[Categoría]],EIMI!C:T,9,0),0)</f>
        <v>0</v>
      </c>
      <c r="N77">
        <f>_xlfn.IFNA(VLOOKUP(Imputar[[#This Row],[Categoría]],EIMI!C:T,10,0),0)</f>
        <v>0</v>
      </c>
    </row>
    <row r="78" spans="1:14" hidden="1" x14ac:dyDescent="0.25">
      <c r="A78" s="210">
        <f>Indice!$I$11</f>
        <v>0</v>
      </c>
      <c r="B78" t="s">
        <v>514</v>
      </c>
      <c r="C78" s="39">
        <f>Indice!$I$12</f>
        <v>45992</v>
      </c>
      <c r="E78">
        <f>ROUND(SUMIFS(CATEGORIAS[[#All],[TOTAL PRODUCCION
ACTUAL]],CATEGORIAS[[#All],[CATEGORIA2]],Imputar[[#This Row],[Categoría]]),0)</f>
        <v>0</v>
      </c>
      <c r="F78">
        <v>0</v>
      </c>
      <c r="G78">
        <f>ROUND(SUMIFS(CATEGORIAS[[#All],[PROYECCION
DE INGRESO
DEL SALDO]],CATEGORIAS[[#All],[CATEGORIA2]],Imputar[[#This Row],[Categoría]]),0)</f>
        <v>0</v>
      </c>
      <c r="H78">
        <f>ROUND(SUMIFS(CATEGORIAS[[#All],[CAMBIO DE
CATEGORIA]],CATEGORIAS[[#All],[CATEGORIA2]],Imputar[[#This Row],[Categoría]]),0)</f>
        <v>0</v>
      </c>
      <c r="I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8">
        <f>+ROUND(SUMIFS(CATEGORIAS[[#All],[PROYECCION
TOTAL DE COSTO]],CATEGORIAS[[#All],[CATEGORIA2]],Imputar[[#This Row],[Categoría]]),0)
-Imputar[[#This Row],[Inventario]]
-Imputar[[#This Row],[Pedidos no Rec]]</f>
        <v>0</v>
      </c>
      <c r="K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8">
        <f>_xlfn.IFNA(VLOOKUP(Imputar[[#This Row],[Categoría]],EIMI!C:T,8,0),0)</f>
        <v>0</v>
      </c>
      <c r="M78">
        <f>_xlfn.IFNA(VLOOKUP(Imputar[[#This Row],[Categoría]],EIMI!C:T,9,0),0)</f>
        <v>0</v>
      </c>
      <c r="N78">
        <f>_xlfn.IFNA(VLOOKUP(Imputar[[#This Row],[Categoría]],EIMI!C:T,10,0),0)</f>
        <v>0</v>
      </c>
    </row>
    <row r="79" spans="1:14" hidden="1" x14ac:dyDescent="0.25">
      <c r="A79" s="210">
        <f>Indice!$I$11</f>
        <v>0</v>
      </c>
      <c r="B79" t="s">
        <v>516</v>
      </c>
      <c r="C79" s="39">
        <f>Indice!$I$12</f>
        <v>45992</v>
      </c>
      <c r="E79">
        <f>ROUND(SUMIFS(CATEGORIAS[[#All],[TOTAL PRODUCCION
ACTUAL]],CATEGORIAS[[#All],[CATEGORIA2]],Imputar[[#This Row],[Categoría]]),0)</f>
        <v>0</v>
      </c>
      <c r="F79">
        <v>0</v>
      </c>
      <c r="G79">
        <f>ROUND(SUMIFS(CATEGORIAS[[#All],[PROYECCION
DE INGRESO
DEL SALDO]],CATEGORIAS[[#All],[CATEGORIA2]],Imputar[[#This Row],[Categoría]]),0)</f>
        <v>0</v>
      </c>
      <c r="H79">
        <f>ROUND(SUMIFS(CATEGORIAS[[#All],[CAMBIO DE
CATEGORIA]],CATEGORIAS[[#All],[CATEGORIA2]],Imputar[[#This Row],[Categoría]]),0)</f>
        <v>0</v>
      </c>
      <c r="I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9">
        <f>+ROUND(SUMIFS(CATEGORIAS[[#All],[PROYECCION
TOTAL DE COSTO]],CATEGORIAS[[#All],[CATEGORIA2]],Imputar[[#This Row],[Categoría]]),0)
-Imputar[[#This Row],[Inventario]]
-Imputar[[#This Row],[Pedidos no Rec]]</f>
        <v>0</v>
      </c>
      <c r="K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9">
        <f>_xlfn.IFNA(VLOOKUP(Imputar[[#This Row],[Categoría]],EIMI!C:T,8,0),0)</f>
        <v>0</v>
      </c>
      <c r="M79">
        <f>_xlfn.IFNA(VLOOKUP(Imputar[[#This Row],[Categoría]],EIMI!C:T,9,0),0)</f>
        <v>0</v>
      </c>
      <c r="N79">
        <f>_xlfn.IFNA(VLOOKUP(Imputar[[#This Row],[Categoría]],EIMI!C:T,10,0),0)</f>
        <v>0</v>
      </c>
    </row>
    <row r="80" spans="1:14" x14ac:dyDescent="0.25">
      <c r="A80" s="210">
        <f>Indice!$I$11</f>
        <v>0</v>
      </c>
      <c r="B80" t="s">
        <v>518</v>
      </c>
      <c r="C80" s="39">
        <f>Indice!$I$12</f>
        <v>45992</v>
      </c>
      <c r="E80">
        <f>ROUND(SUMIFS(CATEGORIAS[[#All],[TOTAL PRODUCCION
ACTUAL]],CATEGORIAS[[#All],[CATEGORIA2]],Imputar[[#This Row],[Categoría]]),0)</f>
        <v>0</v>
      </c>
      <c r="F80">
        <v>0</v>
      </c>
      <c r="G80">
        <f>ROUND(SUMIFS(CATEGORIAS[[#All],[PROYECCION
DE INGRESO
DEL SALDO]],CATEGORIAS[[#All],[CATEGORIA2]],Imputar[[#This Row],[Categoría]]),0)</f>
        <v>0</v>
      </c>
      <c r="H80">
        <f>ROUND(SUMIFS(CATEGORIAS[[#All],[CAMBIO DE
CATEGORIA]],CATEGORIAS[[#All],[CATEGORIA2]],Imputar[[#This Row],[Categoría]]),0)</f>
        <v>0</v>
      </c>
      <c r="I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0">
        <f>+ROUND(SUMIFS(CATEGORIAS[[#All],[PROYECCION
TOTAL DE COSTO]],CATEGORIAS[[#All],[CATEGORIA2]],Imputar[[#This Row],[Categoría]]),0)
-Imputar[[#This Row],[Inventario]]
-Imputar[[#This Row],[Pedidos no Rec]]</f>
        <v>0</v>
      </c>
      <c r="K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0">
        <f>_xlfn.IFNA(VLOOKUP(Imputar[[#This Row],[Categoría]],EIMI!C:T,8,0),0)</f>
        <v>0</v>
      </c>
      <c r="M80">
        <f>_xlfn.IFNA(VLOOKUP(Imputar[[#This Row],[Categoría]],EIMI!C:T,9,0),0)</f>
        <v>0</v>
      </c>
      <c r="N80">
        <f>_xlfn.IFNA(VLOOKUP(Imputar[[#This Row],[Categoría]],EIMI!C:T,10,0),0)</f>
        <v>0</v>
      </c>
    </row>
    <row r="81" spans="1:14" hidden="1" x14ac:dyDescent="0.25">
      <c r="A81" s="210">
        <f>Indice!$I$11</f>
        <v>0</v>
      </c>
      <c r="B81" t="s">
        <v>520</v>
      </c>
      <c r="C81" s="39">
        <f>Indice!$I$12</f>
        <v>45992</v>
      </c>
      <c r="E81">
        <f>ROUND(SUMIFS(CATEGORIAS[[#All],[TOTAL PRODUCCION
ACTUAL]],CATEGORIAS[[#All],[CATEGORIA2]],Imputar[[#This Row],[Categoría]]),0)</f>
        <v>0</v>
      </c>
      <c r="F81">
        <v>0</v>
      </c>
      <c r="G81">
        <f>ROUND(SUMIFS(CATEGORIAS[[#All],[PROYECCION
DE INGRESO
DEL SALDO]],CATEGORIAS[[#All],[CATEGORIA2]],Imputar[[#This Row],[Categoría]]),0)</f>
        <v>0</v>
      </c>
      <c r="H81">
        <f>ROUND(SUMIFS(CATEGORIAS[[#All],[CAMBIO DE
CATEGORIA]],CATEGORIAS[[#All],[CATEGORIA2]],Imputar[[#This Row],[Categoría]]),0)</f>
        <v>0</v>
      </c>
      <c r="I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1">
        <f>+ROUND(SUMIFS(CATEGORIAS[[#All],[PROYECCION
TOTAL DE COSTO]],CATEGORIAS[[#All],[CATEGORIA2]],Imputar[[#This Row],[Categoría]]),0)
-Imputar[[#This Row],[Inventario]]
-Imputar[[#This Row],[Pedidos no Rec]]</f>
        <v>0</v>
      </c>
      <c r="K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1">
        <f>_xlfn.IFNA(VLOOKUP(Imputar[[#This Row],[Categoría]],EIMI!C:T,8,0),0)</f>
        <v>0</v>
      </c>
      <c r="M81">
        <f>_xlfn.IFNA(VLOOKUP(Imputar[[#This Row],[Categoría]],EIMI!C:T,9,0),0)</f>
        <v>0</v>
      </c>
      <c r="N81">
        <f>_xlfn.IFNA(VLOOKUP(Imputar[[#This Row],[Categoría]],EIMI!C:T,10,0),0)</f>
        <v>0</v>
      </c>
    </row>
    <row r="82" spans="1:14" hidden="1" x14ac:dyDescent="0.25">
      <c r="A82" s="210">
        <f>Indice!$I$11</f>
        <v>0</v>
      </c>
      <c r="B82" t="s">
        <v>522</v>
      </c>
      <c r="C82" s="39">
        <f>Indice!$I$12</f>
        <v>45992</v>
      </c>
      <c r="E82">
        <f>ROUND(SUMIFS(CATEGORIAS[[#All],[TOTAL PRODUCCION
ACTUAL]],CATEGORIAS[[#All],[CATEGORIA2]],Imputar[[#This Row],[Categoría]]),0)</f>
        <v>0</v>
      </c>
      <c r="F82">
        <v>0</v>
      </c>
      <c r="G82">
        <f>ROUND(SUMIFS(CATEGORIAS[[#All],[PROYECCION
DE INGRESO
DEL SALDO]],CATEGORIAS[[#All],[CATEGORIA2]],Imputar[[#This Row],[Categoría]]),0)</f>
        <v>0</v>
      </c>
      <c r="H82">
        <f>ROUND(SUMIFS(CATEGORIAS[[#All],[CAMBIO DE
CATEGORIA]],CATEGORIAS[[#All],[CATEGORIA2]],Imputar[[#This Row],[Categoría]]),0)</f>
        <v>0</v>
      </c>
      <c r="I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2">
        <f>+ROUND(SUMIFS(CATEGORIAS[[#All],[PROYECCION
TOTAL DE COSTO]],CATEGORIAS[[#All],[CATEGORIA2]],Imputar[[#This Row],[Categoría]]),0)
-Imputar[[#This Row],[Inventario]]
-Imputar[[#This Row],[Pedidos no Rec]]</f>
        <v>0</v>
      </c>
      <c r="K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2">
        <f>_xlfn.IFNA(VLOOKUP(Imputar[[#This Row],[Categoría]],EIMI!C:T,8,0),0)</f>
        <v>0</v>
      </c>
      <c r="M82">
        <f>_xlfn.IFNA(VLOOKUP(Imputar[[#This Row],[Categoría]],EIMI!C:T,9,0),0)</f>
        <v>0</v>
      </c>
      <c r="N82">
        <f>_xlfn.IFNA(VLOOKUP(Imputar[[#This Row],[Categoría]],EIMI!C:T,10,0),0)</f>
        <v>0</v>
      </c>
    </row>
    <row r="83" spans="1:14" hidden="1" x14ac:dyDescent="0.25">
      <c r="A83" s="210">
        <f>Indice!$I$11</f>
        <v>0</v>
      </c>
      <c r="B83" t="s">
        <v>524</v>
      </c>
      <c r="C83" s="39">
        <f>Indice!$I$12</f>
        <v>45992</v>
      </c>
      <c r="E83">
        <f>ROUND(SUMIFS(CATEGORIAS[[#All],[TOTAL PRODUCCION
ACTUAL]],CATEGORIAS[[#All],[CATEGORIA2]],Imputar[[#This Row],[Categoría]]),0)</f>
        <v>0</v>
      </c>
      <c r="F83">
        <v>0</v>
      </c>
      <c r="G83">
        <f>ROUND(SUMIFS(CATEGORIAS[[#All],[PROYECCION
DE INGRESO
DEL SALDO]],CATEGORIAS[[#All],[CATEGORIA2]],Imputar[[#This Row],[Categoría]]),0)</f>
        <v>0</v>
      </c>
      <c r="H83">
        <f>ROUND(SUMIFS(CATEGORIAS[[#All],[CAMBIO DE
CATEGORIA]],CATEGORIAS[[#All],[CATEGORIA2]],Imputar[[#This Row],[Categoría]]),0)</f>
        <v>0</v>
      </c>
      <c r="I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3">
        <f>+ROUND(SUMIFS(CATEGORIAS[[#All],[PROYECCION
TOTAL DE COSTO]],CATEGORIAS[[#All],[CATEGORIA2]],Imputar[[#This Row],[Categoría]]),0)
-Imputar[[#This Row],[Inventario]]
-Imputar[[#This Row],[Pedidos no Rec]]</f>
        <v>0</v>
      </c>
      <c r="K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3">
        <f>_xlfn.IFNA(VLOOKUP(Imputar[[#This Row],[Categoría]],EIMI!C:T,8,0),0)</f>
        <v>0</v>
      </c>
      <c r="M83">
        <f>_xlfn.IFNA(VLOOKUP(Imputar[[#This Row],[Categoría]],EIMI!C:T,9,0),0)</f>
        <v>0</v>
      </c>
      <c r="N83">
        <f>_xlfn.IFNA(VLOOKUP(Imputar[[#This Row],[Categoría]],EIMI!C:T,10,0),0)</f>
        <v>0</v>
      </c>
    </row>
    <row r="84" spans="1:14" hidden="1" x14ac:dyDescent="0.25">
      <c r="A84" s="210">
        <f>Indice!$I$11</f>
        <v>0</v>
      </c>
      <c r="B84" t="s">
        <v>526</v>
      </c>
      <c r="C84" s="39">
        <f>Indice!$I$12</f>
        <v>45992</v>
      </c>
      <c r="E84">
        <f>ROUND(SUMIFS(CATEGORIAS[[#All],[TOTAL PRODUCCION
ACTUAL]],CATEGORIAS[[#All],[CATEGORIA2]],Imputar[[#This Row],[Categoría]]),0)</f>
        <v>0</v>
      </c>
      <c r="F84">
        <v>0</v>
      </c>
      <c r="G84">
        <f>ROUND(SUMIFS(CATEGORIAS[[#All],[PROYECCION
DE INGRESO
DEL SALDO]],CATEGORIAS[[#All],[CATEGORIA2]],Imputar[[#This Row],[Categoría]]),0)</f>
        <v>0</v>
      </c>
      <c r="H84">
        <f>ROUND(SUMIFS(CATEGORIAS[[#All],[CAMBIO DE
CATEGORIA]],CATEGORIAS[[#All],[CATEGORIA2]],Imputar[[#This Row],[Categoría]]),0)</f>
        <v>0</v>
      </c>
      <c r="I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4">
        <f>+ROUND(SUMIFS(CATEGORIAS[[#All],[PROYECCION
TOTAL DE COSTO]],CATEGORIAS[[#All],[CATEGORIA2]],Imputar[[#This Row],[Categoría]]),0)
-Imputar[[#This Row],[Inventario]]
-Imputar[[#This Row],[Pedidos no Rec]]</f>
        <v>0</v>
      </c>
      <c r="K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4">
        <f>_xlfn.IFNA(VLOOKUP(Imputar[[#This Row],[Categoría]],EIMI!C:T,8,0),0)</f>
        <v>0</v>
      </c>
      <c r="M84">
        <f>_xlfn.IFNA(VLOOKUP(Imputar[[#This Row],[Categoría]],EIMI!C:T,9,0),0)</f>
        <v>0</v>
      </c>
      <c r="N84">
        <f>_xlfn.IFNA(VLOOKUP(Imputar[[#This Row],[Categoría]],EIMI!C:T,10,0),0)</f>
        <v>0</v>
      </c>
    </row>
    <row r="85" spans="1:14" hidden="1" x14ac:dyDescent="0.25">
      <c r="A85" s="210">
        <f>Indice!$I$11</f>
        <v>0</v>
      </c>
      <c r="B85" t="s">
        <v>528</v>
      </c>
      <c r="C85" s="39">
        <f>Indice!$I$12</f>
        <v>45992</v>
      </c>
      <c r="E85">
        <f>ROUND(SUMIFS(CATEGORIAS[[#All],[TOTAL PRODUCCION
ACTUAL]],CATEGORIAS[[#All],[CATEGORIA2]],Imputar[[#This Row],[Categoría]]),0)</f>
        <v>0</v>
      </c>
      <c r="F85">
        <v>0</v>
      </c>
      <c r="G85">
        <f>ROUND(SUMIFS(CATEGORIAS[[#All],[PROYECCION
DE INGRESO
DEL SALDO]],CATEGORIAS[[#All],[CATEGORIA2]],Imputar[[#This Row],[Categoría]]),0)</f>
        <v>0</v>
      </c>
      <c r="H85">
        <f>ROUND(SUMIFS(CATEGORIAS[[#All],[CAMBIO DE
CATEGORIA]],CATEGORIAS[[#All],[CATEGORIA2]],Imputar[[#This Row],[Categoría]]),0)</f>
        <v>0</v>
      </c>
      <c r="I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5">
        <f>+ROUND(SUMIFS(CATEGORIAS[[#All],[PROYECCION
TOTAL DE COSTO]],CATEGORIAS[[#All],[CATEGORIA2]],Imputar[[#This Row],[Categoría]]),0)
-Imputar[[#This Row],[Inventario]]
-Imputar[[#This Row],[Pedidos no Rec]]</f>
        <v>0</v>
      </c>
      <c r="K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5">
        <f>_xlfn.IFNA(VLOOKUP(Imputar[[#This Row],[Categoría]],EIMI!C:T,8,0),0)</f>
        <v>0</v>
      </c>
      <c r="M85">
        <f>_xlfn.IFNA(VLOOKUP(Imputar[[#This Row],[Categoría]],EIMI!C:T,9,0),0)</f>
        <v>0</v>
      </c>
      <c r="N85">
        <f>_xlfn.IFNA(VLOOKUP(Imputar[[#This Row],[Categoría]],EIMI!C:T,10,0),0)</f>
        <v>0</v>
      </c>
    </row>
    <row r="86" spans="1:14" hidden="1" x14ac:dyDescent="0.25">
      <c r="A86" s="210">
        <f>Indice!$I$11</f>
        <v>0</v>
      </c>
      <c r="B86" t="s">
        <v>530</v>
      </c>
      <c r="C86" s="39">
        <f>Indice!$I$12</f>
        <v>45992</v>
      </c>
      <c r="E86">
        <f>ROUND(SUMIFS(CATEGORIAS[[#All],[TOTAL PRODUCCION
ACTUAL]],CATEGORIAS[[#All],[CATEGORIA2]],Imputar[[#This Row],[Categoría]]),0)</f>
        <v>0</v>
      </c>
      <c r="F86">
        <v>0</v>
      </c>
      <c r="G86">
        <f>ROUND(SUMIFS(CATEGORIAS[[#All],[PROYECCION
DE INGRESO
DEL SALDO]],CATEGORIAS[[#All],[CATEGORIA2]],Imputar[[#This Row],[Categoría]]),0)</f>
        <v>0</v>
      </c>
      <c r="H86">
        <f>ROUND(SUMIFS(CATEGORIAS[[#All],[CAMBIO DE
CATEGORIA]],CATEGORIAS[[#All],[CATEGORIA2]],Imputar[[#This Row],[Categoría]]),0)</f>
        <v>0</v>
      </c>
      <c r="I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6">
        <f>+ROUND(SUMIFS(CATEGORIAS[[#All],[PROYECCION
TOTAL DE COSTO]],CATEGORIAS[[#All],[CATEGORIA2]],Imputar[[#This Row],[Categoría]]),0)
-Imputar[[#This Row],[Inventario]]
-Imputar[[#This Row],[Pedidos no Rec]]</f>
        <v>0</v>
      </c>
      <c r="K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6">
        <f>_xlfn.IFNA(VLOOKUP(Imputar[[#This Row],[Categoría]],EIMI!C:T,8,0),0)</f>
        <v>0</v>
      </c>
      <c r="M86">
        <f>_xlfn.IFNA(VLOOKUP(Imputar[[#This Row],[Categoría]],EIMI!C:T,9,0),0)</f>
        <v>0</v>
      </c>
      <c r="N86">
        <f>_xlfn.IFNA(VLOOKUP(Imputar[[#This Row],[Categoría]],EIMI!C:T,10,0),0)</f>
        <v>0</v>
      </c>
    </row>
    <row r="87" spans="1:14" hidden="1" x14ac:dyDescent="0.25">
      <c r="A87" s="210">
        <f>Indice!$I$11</f>
        <v>0</v>
      </c>
      <c r="B87" t="s">
        <v>532</v>
      </c>
      <c r="C87" s="39">
        <f>Indice!$I$12</f>
        <v>45992</v>
      </c>
      <c r="E87">
        <f>ROUND(SUMIFS(CATEGORIAS[[#All],[TOTAL PRODUCCION
ACTUAL]],CATEGORIAS[[#All],[CATEGORIA2]],Imputar[[#This Row],[Categoría]]),0)</f>
        <v>0</v>
      </c>
      <c r="F87">
        <v>0</v>
      </c>
      <c r="G87">
        <f>ROUND(SUMIFS(CATEGORIAS[[#All],[PROYECCION
DE INGRESO
DEL SALDO]],CATEGORIAS[[#All],[CATEGORIA2]],Imputar[[#This Row],[Categoría]]),0)</f>
        <v>0</v>
      </c>
      <c r="H87">
        <f>ROUND(SUMIFS(CATEGORIAS[[#All],[CAMBIO DE
CATEGORIA]],CATEGORIAS[[#All],[CATEGORIA2]],Imputar[[#This Row],[Categoría]]),0)</f>
        <v>0</v>
      </c>
      <c r="I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7">
        <f>+ROUND(SUMIFS(CATEGORIAS[[#All],[PROYECCION
TOTAL DE COSTO]],CATEGORIAS[[#All],[CATEGORIA2]],Imputar[[#This Row],[Categoría]]),0)
-Imputar[[#This Row],[Inventario]]
-Imputar[[#This Row],[Pedidos no Rec]]</f>
        <v>0</v>
      </c>
      <c r="K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7">
        <f>_xlfn.IFNA(VLOOKUP(Imputar[[#This Row],[Categoría]],EIMI!C:T,8,0),0)</f>
        <v>0</v>
      </c>
      <c r="M87">
        <f>_xlfn.IFNA(VLOOKUP(Imputar[[#This Row],[Categoría]],EIMI!C:T,9,0),0)</f>
        <v>0</v>
      </c>
      <c r="N87">
        <f>_xlfn.IFNA(VLOOKUP(Imputar[[#This Row],[Categoría]],EIMI!C:T,10,0),0)</f>
        <v>0</v>
      </c>
    </row>
    <row r="88" spans="1:14" x14ac:dyDescent="0.25">
      <c r="A88" s="210">
        <f>Indice!$I$11</f>
        <v>0</v>
      </c>
      <c r="B88" t="s">
        <v>281</v>
      </c>
      <c r="C88" s="39">
        <f>Indice!$I$12</f>
        <v>45992</v>
      </c>
      <c r="E88">
        <f>ROUND(SUMIFS(CATEGORIAS[[#All],[TOTAL PRODUCCION
ACTUAL]],CATEGORIAS[[#All],[CATEGORIA2]],Imputar[[#This Row],[Categoría]]),0)</f>
        <v>0</v>
      </c>
      <c r="F88">
        <v>0</v>
      </c>
      <c r="G88">
        <f>ROUND(SUMIFS(CATEGORIAS[[#All],[PROYECCION
DE INGRESO
DEL SALDO]],CATEGORIAS[[#All],[CATEGORIA2]],Imputar[[#This Row],[Categoría]]),0)</f>
        <v>0</v>
      </c>
      <c r="H88">
        <f>ROUND(SUMIFS(CATEGORIAS[[#All],[CAMBIO DE
CATEGORIA]],CATEGORIAS[[#All],[CATEGORIA2]],Imputar[[#This Row],[Categoría]]),0)</f>
        <v>0</v>
      </c>
      <c r="I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8">
        <f>+ROUND(SUMIFS(CATEGORIAS[[#All],[PROYECCION
TOTAL DE COSTO]],CATEGORIAS[[#All],[CATEGORIA2]],Imputar[[#This Row],[Categoría]]),0)
-Imputar[[#This Row],[Inventario]]
-Imputar[[#This Row],[Pedidos no Rec]]</f>
        <v>-6912560</v>
      </c>
      <c r="K8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88">
        <f>_xlfn.IFNA(VLOOKUP(Imputar[[#This Row],[Categoría]],EIMI!C:T,8,0),0)</f>
        <v>0</v>
      </c>
      <c r="M88">
        <f>_xlfn.IFNA(VLOOKUP(Imputar[[#This Row],[Categoría]],EIMI!C:T,9,0),0)</f>
        <v>6912560</v>
      </c>
      <c r="N88">
        <f>_xlfn.IFNA(VLOOKUP(Imputar[[#This Row],[Categoría]],EIMI!C:T,10,0),0)</f>
        <v>0</v>
      </c>
    </row>
    <row r="89" spans="1:14" hidden="1" x14ac:dyDescent="0.25">
      <c r="A89" s="210">
        <f>Indice!$I$11</f>
        <v>0</v>
      </c>
      <c r="B89" t="s">
        <v>534</v>
      </c>
      <c r="C89" s="39">
        <f>Indice!$I$12</f>
        <v>45992</v>
      </c>
      <c r="E89">
        <f>ROUND(SUMIFS(CATEGORIAS[[#All],[TOTAL PRODUCCION
ACTUAL]],CATEGORIAS[[#All],[CATEGORIA2]],Imputar[[#This Row],[Categoría]]),0)</f>
        <v>0</v>
      </c>
      <c r="F89">
        <v>0</v>
      </c>
      <c r="G89">
        <f>ROUND(SUMIFS(CATEGORIAS[[#All],[PROYECCION
DE INGRESO
DEL SALDO]],CATEGORIAS[[#All],[CATEGORIA2]],Imputar[[#This Row],[Categoría]]),0)</f>
        <v>0</v>
      </c>
      <c r="H89">
        <f>ROUND(SUMIFS(CATEGORIAS[[#All],[CAMBIO DE
CATEGORIA]],CATEGORIAS[[#All],[CATEGORIA2]],Imputar[[#This Row],[Categoría]]),0)</f>
        <v>0</v>
      </c>
      <c r="I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9">
        <f>+ROUND(SUMIFS(CATEGORIAS[[#All],[PROYECCION
TOTAL DE COSTO]],CATEGORIAS[[#All],[CATEGORIA2]],Imputar[[#This Row],[Categoría]]),0)
-Imputar[[#This Row],[Inventario]]
-Imputar[[#This Row],[Pedidos no Rec]]</f>
        <v>0</v>
      </c>
      <c r="K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9">
        <f>_xlfn.IFNA(VLOOKUP(Imputar[[#This Row],[Categoría]],EIMI!C:T,8,0),0)</f>
        <v>0</v>
      </c>
      <c r="M89">
        <f>_xlfn.IFNA(VLOOKUP(Imputar[[#This Row],[Categoría]],EIMI!C:T,9,0),0)</f>
        <v>0</v>
      </c>
      <c r="N89">
        <f>_xlfn.IFNA(VLOOKUP(Imputar[[#This Row],[Categoría]],EIMI!C:T,10,0),0)</f>
        <v>0</v>
      </c>
    </row>
    <row r="90" spans="1:14" x14ac:dyDescent="0.25">
      <c r="A90" s="210">
        <f>Indice!$I$11</f>
        <v>0</v>
      </c>
      <c r="B90" t="s">
        <v>536</v>
      </c>
      <c r="C90" s="39">
        <f>Indice!$I$12</f>
        <v>45992</v>
      </c>
      <c r="E90">
        <f>ROUND(SUMIFS(CATEGORIAS[[#All],[TOTAL PRODUCCION
ACTUAL]],CATEGORIAS[[#All],[CATEGORIA2]],Imputar[[#This Row],[Categoría]]),0)</f>
        <v>0</v>
      </c>
      <c r="F90">
        <v>0</v>
      </c>
      <c r="G90">
        <f>ROUND(SUMIFS(CATEGORIAS[[#All],[PROYECCION
DE INGRESO
DEL SALDO]],CATEGORIAS[[#All],[CATEGORIA2]],Imputar[[#This Row],[Categoría]]),0)</f>
        <v>0</v>
      </c>
      <c r="H90">
        <f>ROUND(SUMIFS(CATEGORIAS[[#All],[CAMBIO DE
CATEGORIA]],CATEGORIAS[[#All],[CATEGORIA2]],Imputar[[#This Row],[Categoría]]),0)</f>
        <v>0</v>
      </c>
      <c r="I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0">
        <f>+ROUND(SUMIFS(CATEGORIAS[[#All],[PROYECCION
TOTAL DE COSTO]],CATEGORIAS[[#All],[CATEGORIA2]],Imputar[[#This Row],[Categoría]]),0)
-Imputar[[#This Row],[Inventario]]
-Imputar[[#This Row],[Pedidos no Rec]]</f>
        <v>0</v>
      </c>
      <c r="K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0">
        <f>_xlfn.IFNA(VLOOKUP(Imputar[[#This Row],[Categoría]],EIMI!C:T,8,0),0)</f>
        <v>0</v>
      </c>
      <c r="M90">
        <f>_xlfn.IFNA(VLOOKUP(Imputar[[#This Row],[Categoría]],EIMI!C:T,9,0),0)</f>
        <v>0</v>
      </c>
      <c r="N90">
        <f>_xlfn.IFNA(VLOOKUP(Imputar[[#This Row],[Categoría]],EIMI!C:T,10,0),0)</f>
        <v>0</v>
      </c>
    </row>
    <row r="91" spans="1:14" hidden="1" x14ac:dyDescent="0.25">
      <c r="A91" s="210">
        <f>Indice!$I$11</f>
        <v>0</v>
      </c>
      <c r="B91" t="s">
        <v>538</v>
      </c>
      <c r="C91" s="39">
        <f>Indice!$I$12</f>
        <v>45992</v>
      </c>
      <c r="E91">
        <f>ROUND(SUMIFS(CATEGORIAS[[#All],[TOTAL PRODUCCION
ACTUAL]],CATEGORIAS[[#All],[CATEGORIA2]],Imputar[[#This Row],[Categoría]]),0)</f>
        <v>0</v>
      </c>
      <c r="F91">
        <v>0</v>
      </c>
      <c r="G91">
        <f>ROUND(SUMIFS(CATEGORIAS[[#All],[PROYECCION
DE INGRESO
DEL SALDO]],CATEGORIAS[[#All],[CATEGORIA2]],Imputar[[#This Row],[Categoría]]),0)</f>
        <v>0</v>
      </c>
      <c r="H91">
        <f>ROUND(SUMIFS(CATEGORIAS[[#All],[CAMBIO DE
CATEGORIA]],CATEGORIAS[[#All],[CATEGORIA2]],Imputar[[#This Row],[Categoría]]),0)</f>
        <v>0</v>
      </c>
      <c r="I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1">
        <f>+ROUND(SUMIFS(CATEGORIAS[[#All],[PROYECCION
TOTAL DE COSTO]],CATEGORIAS[[#All],[CATEGORIA2]],Imputar[[#This Row],[Categoría]]),0)
-Imputar[[#This Row],[Inventario]]
-Imputar[[#This Row],[Pedidos no Rec]]</f>
        <v>0</v>
      </c>
      <c r="K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1">
        <f>_xlfn.IFNA(VLOOKUP(Imputar[[#This Row],[Categoría]],EIMI!C:T,8,0),0)</f>
        <v>0</v>
      </c>
      <c r="M91">
        <f>_xlfn.IFNA(VLOOKUP(Imputar[[#This Row],[Categoría]],EIMI!C:T,9,0),0)</f>
        <v>0</v>
      </c>
      <c r="N91">
        <f>_xlfn.IFNA(VLOOKUP(Imputar[[#This Row],[Categoría]],EIMI!C:T,10,0),0)</f>
        <v>0</v>
      </c>
    </row>
    <row r="92" spans="1:14" hidden="1" x14ac:dyDescent="0.25">
      <c r="A92" s="210">
        <f>Indice!$I$11</f>
        <v>0</v>
      </c>
      <c r="B92" t="s">
        <v>540</v>
      </c>
      <c r="C92" s="39">
        <f>Indice!$I$12</f>
        <v>45992</v>
      </c>
      <c r="E92">
        <f>ROUND(SUMIFS(CATEGORIAS[[#All],[TOTAL PRODUCCION
ACTUAL]],CATEGORIAS[[#All],[CATEGORIA2]],Imputar[[#This Row],[Categoría]]),0)</f>
        <v>0</v>
      </c>
      <c r="F92">
        <v>0</v>
      </c>
      <c r="G92">
        <f>ROUND(SUMIFS(CATEGORIAS[[#All],[PROYECCION
DE INGRESO
DEL SALDO]],CATEGORIAS[[#All],[CATEGORIA2]],Imputar[[#This Row],[Categoría]]),0)</f>
        <v>0</v>
      </c>
      <c r="H92">
        <f>ROUND(SUMIFS(CATEGORIAS[[#All],[CAMBIO DE
CATEGORIA]],CATEGORIAS[[#All],[CATEGORIA2]],Imputar[[#This Row],[Categoría]]),0)</f>
        <v>0</v>
      </c>
      <c r="I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2">
        <f>+ROUND(SUMIFS(CATEGORIAS[[#All],[PROYECCION
TOTAL DE COSTO]],CATEGORIAS[[#All],[CATEGORIA2]],Imputar[[#This Row],[Categoría]]),0)
-Imputar[[#This Row],[Inventario]]
-Imputar[[#This Row],[Pedidos no Rec]]</f>
        <v>0</v>
      </c>
      <c r="K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2">
        <f>_xlfn.IFNA(VLOOKUP(Imputar[[#This Row],[Categoría]],EIMI!C:T,8,0),0)</f>
        <v>0</v>
      </c>
      <c r="M92">
        <f>_xlfn.IFNA(VLOOKUP(Imputar[[#This Row],[Categoría]],EIMI!C:T,9,0),0)</f>
        <v>0</v>
      </c>
      <c r="N92">
        <f>_xlfn.IFNA(VLOOKUP(Imputar[[#This Row],[Categoría]],EIMI!C:T,10,0),0)</f>
        <v>0</v>
      </c>
    </row>
    <row r="93" spans="1:14" hidden="1" x14ac:dyDescent="0.25">
      <c r="A93" s="210">
        <f>Indice!$I$11</f>
        <v>0</v>
      </c>
      <c r="B93" t="s">
        <v>542</v>
      </c>
      <c r="C93" s="39">
        <f>Indice!$I$12</f>
        <v>45992</v>
      </c>
      <c r="E93">
        <f>ROUND(SUMIFS(CATEGORIAS[[#All],[TOTAL PRODUCCION
ACTUAL]],CATEGORIAS[[#All],[CATEGORIA2]],Imputar[[#This Row],[Categoría]]),0)</f>
        <v>0</v>
      </c>
      <c r="F93">
        <v>0</v>
      </c>
      <c r="G93">
        <f>ROUND(SUMIFS(CATEGORIAS[[#All],[PROYECCION
DE INGRESO
DEL SALDO]],CATEGORIAS[[#All],[CATEGORIA2]],Imputar[[#This Row],[Categoría]]),0)</f>
        <v>0</v>
      </c>
      <c r="H93">
        <f>ROUND(SUMIFS(CATEGORIAS[[#All],[CAMBIO DE
CATEGORIA]],CATEGORIAS[[#All],[CATEGORIA2]],Imputar[[#This Row],[Categoría]]),0)</f>
        <v>0</v>
      </c>
      <c r="I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3">
        <f>+ROUND(SUMIFS(CATEGORIAS[[#All],[PROYECCION
TOTAL DE COSTO]],CATEGORIAS[[#All],[CATEGORIA2]],Imputar[[#This Row],[Categoría]]),0)
-Imputar[[#This Row],[Inventario]]
-Imputar[[#This Row],[Pedidos no Rec]]</f>
        <v>0</v>
      </c>
      <c r="K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3">
        <f>_xlfn.IFNA(VLOOKUP(Imputar[[#This Row],[Categoría]],EIMI!C:T,8,0),0)</f>
        <v>0</v>
      </c>
      <c r="M93">
        <f>_xlfn.IFNA(VLOOKUP(Imputar[[#This Row],[Categoría]],EIMI!C:T,9,0),0)</f>
        <v>0</v>
      </c>
      <c r="N93">
        <f>_xlfn.IFNA(VLOOKUP(Imputar[[#This Row],[Categoría]],EIMI!C:T,10,0),0)</f>
        <v>0</v>
      </c>
    </row>
    <row r="94" spans="1:14" hidden="1" x14ac:dyDescent="0.25">
      <c r="A94" s="210">
        <f>Indice!$I$11</f>
        <v>0</v>
      </c>
      <c r="B94" t="s">
        <v>544</v>
      </c>
      <c r="C94" s="39">
        <f>Indice!$I$12</f>
        <v>45992</v>
      </c>
      <c r="E94">
        <f>ROUND(SUMIFS(CATEGORIAS[[#All],[TOTAL PRODUCCION
ACTUAL]],CATEGORIAS[[#All],[CATEGORIA2]],Imputar[[#This Row],[Categoría]]),0)</f>
        <v>0</v>
      </c>
      <c r="F94">
        <v>0</v>
      </c>
      <c r="G94">
        <f>ROUND(SUMIFS(CATEGORIAS[[#All],[PROYECCION
DE INGRESO
DEL SALDO]],CATEGORIAS[[#All],[CATEGORIA2]],Imputar[[#This Row],[Categoría]]),0)</f>
        <v>0</v>
      </c>
      <c r="H94">
        <f>ROUND(SUMIFS(CATEGORIAS[[#All],[CAMBIO DE
CATEGORIA]],CATEGORIAS[[#All],[CATEGORIA2]],Imputar[[#This Row],[Categoría]]),0)</f>
        <v>0</v>
      </c>
      <c r="I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4">
        <f>+ROUND(SUMIFS(CATEGORIAS[[#All],[PROYECCION
TOTAL DE COSTO]],CATEGORIAS[[#All],[CATEGORIA2]],Imputar[[#This Row],[Categoría]]),0)
-Imputar[[#This Row],[Inventario]]
-Imputar[[#This Row],[Pedidos no Rec]]</f>
        <v>0</v>
      </c>
      <c r="K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4">
        <f>_xlfn.IFNA(VLOOKUP(Imputar[[#This Row],[Categoría]],EIMI!C:T,8,0),0)</f>
        <v>0</v>
      </c>
      <c r="M94">
        <f>_xlfn.IFNA(VLOOKUP(Imputar[[#This Row],[Categoría]],EIMI!C:T,9,0),0)</f>
        <v>0</v>
      </c>
      <c r="N94">
        <f>_xlfn.IFNA(VLOOKUP(Imputar[[#This Row],[Categoría]],EIMI!C:T,10,0),0)</f>
        <v>0</v>
      </c>
    </row>
    <row r="95" spans="1:14" hidden="1" x14ac:dyDescent="0.25">
      <c r="A95" s="210">
        <f>Indice!$I$11</f>
        <v>0</v>
      </c>
      <c r="B95" t="s">
        <v>546</v>
      </c>
      <c r="C95" s="39">
        <f>Indice!$I$12</f>
        <v>45992</v>
      </c>
      <c r="E95">
        <f>ROUND(SUMIFS(CATEGORIAS[[#All],[TOTAL PRODUCCION
ACTUAL]],CATEGORIAS[[#All],[CATEGORIA2]],Imputar[[#This Row],[Categoría]]),0)</f>
        <v>0</v>
      </c>
      <c r="F95">
        <v>0</v>
      </c>
      <c r="G95">
        <f>ROUND(SUMIFS(CATEGORIAS[[#All],[PROYECCION
DE INGRESO
DEL SALDO]],CATEGORIAS[[#All],[CATEGORIA2]],Imputar[[#This Row],[Categoría]]),0)</f>
        <v>0</v>
      </c>
      <c r="H95">
        <f>ROUND(SUMIFS(CATEGORIAS[[#All],[CAMBIO DE
CATEGORIA]],CATEGORIAS[[#All],[CATEGORIA2]],Imputar[[#This Row],[Categoría]]),0)</f>
        <v>0</v>
      </c>
      <c r="I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5">
        <f>+ROUND(SUMIFS(CATEGORIAS[[#All],[PROYECCION
TOTAL DE COSTO]],CATEGORIAS[[#All],[CATEGORIA2]],Imputar[[#This Row],[Categoría]]),0)
-Imputar[[#This Row],[Inventario]]
-Imputar[[#This Row],[Pedidos no Rec]]</f>
        <v>0</v>
      </c>
      <c r="K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5">
        <f>_xlfn.IFNA(VLOOKUP(Imputar[[#This Row],[Categoría]],EIMI!C:T,8,0),0)</f>
        <v>0</v>
      </c>
      <c r="M95">
        <f>_xlfn.IFNA(VLOOKUP(Imputar[[#This Row],[Categoría]],EIMI!C:T,9,0),0)</f>
        <v>0</v>
      </c>
      <c r="N95">
        <f>_xlfn.IFNA(VLOOKUP(Imputar[[#This Row],[Categoría]],EIMI!C:T,10,0),0)</f>
        <v>0</v>
      </c>
    </row>
    <row r="96" spans="1:14" x14ac:dyDescent="0.25">
      <c r="A96" s="210">
        <f>Indice!$I$11</f>
        <v>0</v>
      </c>
      <c r="B96" t="s">
        <v>548</v>
      </c>
      <c r="C96" s="39">
        <f>Indice!$I$12</f>
        <v>45992</v>
      </c>
      <c r="E96">
        <f>ROUND(SUMIFS(CATEGORIAS[[#All],[TOTAL PRODUCCION
ACTUAL]],CATEGORIAS[[#All],[CATEGORIA2]],Imputar[[#This Row],[Categoría]]),0)</f>
        <v>0</v>
      </c>
      <c r="F96">
        <v>0</v>
      </c>
      <c r="G96">
        <f>ROUND(SUMIFS(CATEGORIAS[[#All],[PROYECCION
DE INGRESO
DEL SALDO]],CATEGORIAS[[#All],[CATEGORIA2]],Imputar[[#This Row],[Categoría]]),0)</f>
        <v>0</v>
      </c>
      <c r="H96">
        <f>ROUND(SUMIFS(CATEGORIAS[[#All],[CAMBIO DE
CATEGORIA]],CATEGORIAS[[#All],[CATEGORIA2]],Imputar[[#This Row],[Categoría]]),0)</f>
        <v>0</v>
      </c>
      <c r="I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6">
        <f>+ROUND(SUMIFS(CATEGORIAS[[#All],[PROYECCION
TOTAL DE COSTO]],CATEGORIAS[[#All],[CATEGORIA2]],Imputar[[#This Row],[Categoría]]),0)
-Imputar[[#This Row],[Inventario]]
-Imputar[[#This Row],[Pedidos no Rec]]</f>
        <v>0</v>
      </c>
      <c r="K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6">
        <f>_xlfn.IFNA(VLOOKUP(Imputar[[#This Row],[Categoría]],EIMI!C:T,8,0),0)</f>
        <v>0</v>
      </c>
      <c r="M96">
        <f>_xlfn.IFNA(VLOOKUP(Imputar[[#This Row],[Categoría]],EIMI!C:T,9,0),0)</f>
        <v>0</v>
      </c>
      <c r="N96">
        <f>_xlfn.IFNA(VLOOKUP(Imputar[[#This Row],[Categoría]],EIMI!C:T,10,0),0)</f>
        <v>0</v>
      </c>
    </row>
    <row r="97" spans="1:14" hidden="1" x14ac:dyDescent="0.25">
      <c r="A97" s="210">
        <f>Indice!$I$11</f>
        <v>0</v>
      </c>
      <c r="B97" t="s">
        <v>550</v>
      </c>
      <c r="C97" s="39">
        <f>Indice!$I$12</f>
        <v>45992</v>
      </c>
      <c r="E97">
        <f>ROUND(SUMIFS(CATEGORIAS[[#All],[TOTAL PRODUCCION
ACTUAL]],CATEGORIAS[[#All],[CATEGORIA2]],Imputar[[#This Row],[Categoría]]),0)</f>
        <v>0</v>
      </c>
      <c r="F97">
        <v>0</v>
      </c>
      <c r="G97">
        <f>ROUND(SUMIFS(CATEGORIAS[[#All],[PROYECCION
DE INGRESO
DEL SALDO]],CATEGORIAS[[#All],[CATEGORIA2]],Imputar[[#This Row],[Categoría]]),0)</f>
        <v>0</v>
      </c>
      <c r="H97">
        <f>ROUND(SUMIFS(CATEGORIAS[[#All],[CAMBIO DE
CATEGORIA]],CATEGORIAS[[#All],[CATEGORIA2]],Imputar[[#This Row],[Categoría]]),0)</f>
        <v>0</v>
      </c>
      <c r="I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7">
        <f>+ROUND(SUMIFS(CATEGORIAS[[#All],[PROYECCION
TOTAL DE COSTO]],CATEGORIAS[[#All],[CATEGORIA2]],Imputar[[#This Row],[Categoría]]),0)
-Imputar[[#This Row],[Inventario]]
-Imputar[[#This Row],[Pedidos no Rec]]</f>
        <v>0</v>
      </c>
      <c r="K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7">
        <f>_xlfn.IFNA(VLOOKUP(Imputar[[#This Row],[Categoría]],EIMI!C:T,8,0),0)</f>
        <v>0</v>
      </c>
      <c r="M97">
        <f>_xlfn.IFNA(VLOOKUP(Imputar[[#This Row],[Categoría]],EIMI!C:T,9,0),0)</f>
        <v>0</v>
      </c>
      <c r="N97">
        <f>_xlfn.IFNA(VLOOKUP(Imputar[[#This Row],[Categoría]],EIMI!C:T,10,0),0)</f>
        <v>0</v>
      </c>
    </row>
    <row r="98" spans="1:14" x14ac:dyDescent="0.25">
      <c r="A98" s="210">
        <f>Indice!$I$11</f>
        <v>0</v>
      </c>
      <c r="B98" t="s">
        <v>552</v>
      </c>
      <c r="C98" s="39">
        <f>Indice!$I$12</f>
        <v>45992</v>
      </c>
      <c r="E98">
        <f>ROUND(SUMIFS(CATEGORIAS[[#All],[TOTAL PRODUCCION
ACTUAL]],CATEGORIAS[[#All],[CATEGORIA2]],Imputar[[#This Row],[Categoría]]),0)</f>
        <v>0</v>
      </c>
      <c r="F98">
        <v>0</v>
      </c>
      <c r="G98">
        <f>ROUND(SUMIFS(CATEGORIAS[[#All],[PROYECCION
DE INGRESO
DEL SALDO]],CATEGORIAS[[#All],[CATEGORIA2]],Imputar[[#This Row],[Categoría]]),0)</f>
        <v>0</v>
      </c>
      <c r="H98">
        <f>ROUND(SUMIFS(CATEGORIAS[[#All],[CAMBIO DE
CATEGORIA]],CATEGORIAS[[#All],[CATEGORIA2]],Imputar[[#This Row],[Categoría]]),0)</f>
        <v>0</v>
      </c>
      <c r="I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8">
        <f>+ROUND(SUMIFS(CATEGORIAS[[#All],[PROYECCION
TOTAL DE COSTO]],CATEGORIAS[[#All],[CATEGORIA2]],Imputar[[#This Row],[Categoría]]),0)
-Imputar[[#This Row],[Inventario]]
-Imputar[[#This Row],[Pedidos no Rec]]</f>
        <v>0</v>
      </c>
      <c r="K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8">
        <f>_xlfn.IFNA(VLOOKUP(Imputar[[#This Row],[Categoría]],EIMI!C:T,8,0),0)</f>
        <v>0</v>
      </c>
      <c r="M98">
        <f>_xlfn.IFNA(VLOOKUP(Imputar[[#This Row],[Categoría]],EIMI!C:T,9,0),0)</f>
        <v>0</v>
      </c>
      <c r="N98">
        <f>_xlfn.IFNA(VLOOKUP(Imputar[[#This Row],[Categoría]],EIMI!C:T,10,0),0)</f>
        <v>0</v>
      </c>
    </row>
    <row r="99" spans="1:14" hidden="1" x14ac:dyDescent="0.25">
      <c r="A99" s="210">
        <f>Indice!$I$11</f>
        <v>0</v>
      </c>
      <c r="B99" t="s">
        <v>554</v>
      </c>
      <c r="C99" s="39">
        <f>Indice!$I$12</f>
        <v>45992</v>
      </c>
      <c r="E99">
        <f>ROUND(SUMIFS(CATEGORIAS[[#All],[TOTAL PRODUCCION
ACTUAL]],CATEGORIAS[[#All],[CATEGORIA2]],Imputar[[#This Row],[Categoría]]),0)</f>
        <v>0</v>
      </c>
      <c r="F99">
        <v>0</v>
      </c>
      <c r="G99">
        <f>ROUND(SUMIFS(CATEGORIAS[[#All],[PROYECCION
DE INGRESO
DEL SALDO]],CATEGORIAS[[#All],[CATEGORIA2]],Imputar[[#This Row],[Categoría]]),0)</f>
        <v>0</v>
      </c>
      <c r="H99">
        <f>ROUND(SUMIFS(CATEGORIAS[[#All],[CAMBIO DE
CATEGORIA]],CATEGORIAS[[#All],[CATEGORIA2]],Imputar[[#This Row],[Categoría]]),0)</f>
        <v>0</v>
      </c>
      <c r="I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9">
        <f>+ROUND(SUMIFS(CATEGORIAS[[#All],[PROYECCION
TOTAL DE COSTO]],CATEGORIAS[[#All],[CATEGORIA2]],Imputar[[#This Row],[Categoría]]),0)
-Imputar[[#This Row],[Inventario]]
-Imputar[[#This Row],[Pedidos no Rec]]</f>
        <v>0</v>
      </c>
      <c r="K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9">
        <f>_xlfn.IFNA(VLOOKUP(Imputar[[#This Row],[Categoría]],EIMI!C:T,8,0),0)</f>
        <v>0</v>
      </c>
      <c r="M99">
        <f>_xlfn.IFNA(VLOOKUP(Imputar[[#This Row],[Categoría]],EIMI!C:T,9,0),0)</f>
        <v>0</v>
      </c>
      <c r="N99">
        <f>_xlfn.IFNA(VLOOKUP(Imputar[[#This Row],[Categoría]],EIMI!C:T,10,0),0)</f>
        <v>0</v>
      </c>
    </row>
    <row r="100" spans="1:14" hidden="1" x14ac:dyDescent="0.25">
      <c r="A100" s="210">
        <f>Indice!$I$11</f>
        <v>0</v>
      </c>
      <c r="B100" t="s">
        <v>556</v>
      </c>
      <c r="C100" s="39">
        <f>Indice!$I$12</f>
        <v>45992</v>
      </c>
      <c r="E100">
        <f>ROUND(SUMIFS(CATEGORIAS[[#All],[TOTAL PRODUCCION
ACTUAL]],CATEGORIAS[[#All],[CATEGORIA2]],Imputar[[#This Row],[Categoría]]),0)</f>
        <v>0</v>
      </c>
      <c r="F100">
        <v>0</v>
      </c>
      <c r="G100">
        <f>ROUND(SUMIFS(CATEGORIAS[[#All],[PROYECCION
DE INGRESO
DEL SALDO]],CATEGORIAS[[#All],[CATEGORIA2]],Imputar[[#This Row],[Categoría]]),0)</f>
        <v>0</v>
      </c>
      <c r="H100">
        <f>ROUND(SUMIFS(CATEGORIAS[[#All],[CAMBIO DE
CATEGORIA]],CATEGORIAS[[#All],[CATEGORIA2]],Imputar[[#This Row],[Categoría]]),0)</f>
        <v>0</v>
      </c>
      <c r="I1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0">
        <f>+ROUND(SUMIFS(CATEGORIAS[[#All],[PROYECCION
TOTAL DE COSTO]],CATEGORIAS[[#All],[CATEGORIA2]],Imputar[[#This Row],[Categoría]]),0)
-Imputar[[#This Row],[Inventario]]
-Imputar[[#This Row],[Pedidos no Rec]]</f>
        <v>0</v>
      </c>
      <c r="K1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0">
        <f>_xlfn.IFNA(VLOOKUP(Imputar[[#This Row],[Categoría]],EIMI!C:T,8,0),0)</f>
        <v>0</v>
      </c>
      <c r="M100">
        <f>_xlfn.IFNA(VLOOKUP(Imputar[[#This Row],[Categoría]],EIMI!C:T,9,0),0)</f>
        <v>0</v>
      </c>
      <c r="N100">
        <f>_xlfn.IFNA(VLOOKUP(Imputar[[#This Row],[Categoría]],EIMI!C:T,10,0),0)</f>
        <v>0</v>
      </c>
    </row>
    <row r="101" spans="1:14" hidden="1" x14ac:dyDescent="0.25">
      <c r="A101" s="210">
        <f>Indice!$I$11</f>
        <v>0</v>
      </c>
      <c r="B101" t="s">
        <v>558</v>
      </c>
      <c r="C101" s="39">
        <f>Indice!$I$12</f>
        <v>45992</v>
      </c>
      <c r="E101">
        <f>ROUND(SUMIFS(CATEGORIAS[[#All],[TOTAL PRODUCCION
ACTUAL]],CATEGORIAS[[#All],[CATEGORIA2]],Imputar[[#This Row],[Categoría]]),0)</f>
        <v>0</v>
      </c>
      <c r="F101">
        <v>0</v>
      </c>
      <c r="G101">
        <f>ROUND(SUMIFS(CATEGORIAS[[#All],[PROYECCION
DE INGRESO
DEL SALDO]],CATEGORIAS[[#All],[CATEGORIA2]],Imputar[[#This Row],[Categoría]]),0)</f>
        <v>0</v>
      </c>
      <c r="H101">
        <f>ROUND(SUMIFS(CATEGORIAS[[#All],[CAMBIO DE
CATEGORIA]],CATEGORIAS[[#All],[CATEGORIA2]],Imputar[[#This Row],[Categoría]]),0)</f>
        <v>0</v>
      </c>
      <c r="I1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1">
        <f>+ROUND(SUMIFS(CATEGORIAS[[#All],[PROYECCION
TOTAL DE COSTO]],CATEGORIAS[[#All],[CATEGORIA2]],Imputar[[#This Row],[Categoría]]),0)
-Imputar[[#This Row],[Inventario]]
-Imputar[[#This Row],[Pedidos no Rec]]</f>
        <v>0</v>
      </c>
      <c r="K1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1">
        <f>_xlfn.IFNA(VLOOKUP(Imputar[[#This Row],[Categoría]],EIMI!C:T,8,0),0)</f>
        <v>0</v>
      </c>
      <c r="M101">
        <f>_xlfn.IFNA(VLOOKUP(Imputar[[#This Row],[Categoría]],EIMI!C:T,9,0),0)</f>
        <v>0</v>
      </c>
      <c r="N101">
        <f>_xlfn.IFNA(VLOOKUP(Imputar[[#This Row],[Categoría]],EIMI!C:T,10,0),0)</f>
        <v>0</v>
      </c>
    </row>
    <row r="102" spans="1:14" hidden="1" x14ac:dyDescent="0.25">
      <c r="A102" s="210">
        <f>Indice!$I$11</f>
        <v>0</v>
      </c>
      <c r="B102" t="s">
        <v>560</v>
      </c>
      <c r="C102" s="39">
        <f>Indice!$I$12</f>
        <v>45992</v>
      </c>
      <c r="E102">
        <f>ROUND(SUMIFS(CATEGORIAS[[#All],[TOTAL PRODUCCION
ACTUAL]],CATEGORIAS[[#All],[CATEGORIA2]],Imputar[[#This Row],[Categoría]]),0)</f>
        <v>0</v>
      </c>
      <c r="F102">
        <v>0</v>
      </c>
      <c r="G102">
        <f>ROUND(SUMIFS(CATEGORIAS[[#All],[PROYECCION
DE INGRESO
DEL SALDO]],CATEGORIAS[[#All],[CATEGORIA2]],Imputar[[#This Row],[Categoría]]),0)</f>
        <v>0</v>
      </c>
      <c r="H102">
        <f>ROUND(SUMIFS(CATEGORIAS[[#All],[CAMBIO DE
CATEGORIA]],CATEGORIAS[[#All],[CATEGORIA2]],Imputar[[#This Row],[Categoría]]),0)</f>
        <v>0</v>
      </c>
      <c r="I1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2">
        <f>+ROUND(SUMIFS(CATEGORIAS[[#All],[PROYECCION
TOTAL DE COSTO]],CATEGORIAS[[#All],[CATEGORIA2]],Imputar[[#This Row],[Categoría]]),0)
-Imputar[[#This Row],[Inventario]]
-Imputar[[#This Row],[Pedidos no Rec]]</f>
        <v>0</v>
      </c>
      <c r="K1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2">
        <f>_xlfn.IFNA(VLOOKUP(Imputar[[#This Row],[Categoría]],EIMI!C:T,8,0),0)</f>
        <v>0</v>
      </c>
      <c r="M102">
        <f>_xlfn.IFNA(VLOOKUP(Imputar[[#This Row],[Categoría]],EIMI!C:T,9,0),0)</f>
        <v>0</v>
      </c>
      <c r="N102">
        <f>_xlfn.IFNA(VLOOKUP(Imputar[[#This Row],[Categoría]],EIMI!C:T,10,0),0)</f>
        <v>0</v>
      </c>
    </row>
    <row r="103" spans="1:14" hidden="1" x14ac:dyDescent="0.25">
      <c r="A103" s="210">
        <f>Indice!$I$11</f>
        <v>0</v>
      </c>
      <c r="B103" t="s">
        <v>562</v>
      </c>
      <c r="C103" s="39">
        <f>Indice!$I$12</f>
        <v>45992</v>
      </c>
      <c r="E103">
        <f>ROUND(SUMIFS(CATEGORIAS[[#All],[TOTAL PRODUCCION
ACTUAL]],CATEGORIAS[[#All],[CATEGORIA2]],Imputar[[#This Row],[Categoría]]),0)</f>
        <v>0</v>
      </c>
      <c r="F103">
        <v>0</v>
      </c>
      <c r="G103">
        <f>ROUND(SUMIFS(CATEGORIAS[[#All],[PROYECCION
DE INGRESO
DEL SALDO]],CATEGORIAS[[#All],[CATEGORIA2]],Imputar[[#This Row],[Categoría]]),0)</f>
        <v>0</v>
      </c>
      <c r="H103">
        <f>ROUND(SUMIFS(CATEGORIAS[[#All],[CAMBIO DE
CATEGORIA]],CATEGORIAS[[#All],[CATEGORIA2]],Imputar[[#This Row],[Categoría]]),0)</f>
        <v>0</v>
      </c>
      <c r="I1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3">
        <f>+ROUND(SUMIFS(CATEGORIAS[[#All],[PROYECCION
TOTAL DE COSTO]],CATEGORIAS[[#All],[CATEGORIA2]],Imputar[[#This Row],[Categoría]]),0)
-Imputar[[#This Row],[Inventario]]
-Imputar[[#This Row],[Pedidos no Rec]]</f>
        <v>0</v>
      </c>
      <c r="K1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3">
        <f>_xlfn.IFNA(VLOOKUP(Imputar[[#This Row],[Categoría]],EIMI!C:T,8,0),0)</f>
        <v>0</v>
      </c>
      <c r="M103">
        <f>_xlfn.IFNA(VLOOKUP(Imputar[[#This Row],[Categoría]],EIMI!C:T,9,0),0)</f>
        <v>0</v>
      </c>
      <c r="N103">
        <f>_xlfn.IFNA(VLOOKUP(Imputar[[#This Row],[Categoría]],EIMI!C:T,10,0),0)</f>
        <v>0</v>
      </c>
    </row>
    <row r="104" spans="1:14" x14ac:dyDescent="0.25">
      <c r="A104" s="210">
        <f>Indice!$I$11</f>
        <v>0</v>
      </c>
      <c r="B104" t="s">
        <v>564</v>
      </c>
      <c r="C104" s="39">
        <f>Indice!$I$12</f>
        <v>45992</v>
      </c>
      <c r="E104">
        <f>ROUND(SUMIFS(CATEGORIAS[[#All],[TOTAL PRODUCCION
ACTUAL]],CATEGORIAS[[#All],[CATEGORIA2]],Imputar[[#This Row],[Categoría]]),0)</f>
        <v>0</v>
      </c>
      <c r="F104">
        <v>0</v>
      </c>
      <c r="G104">
        <f>ROUND(SUMIFS(CATEGORIAS[[#All],[PROYECCION
DE INGRESO
DEL SALDO]],CATEGORIAS[[#All],[CATEGORIA2]],Imputar[[#This Row],[Categoría]]),0)</f>
        <v>0</v>
      </c>
      <c r="H104">
        <f>ROUND(SUMIFS(CATEGORIAS[[#All],[CAMBIO DE
CATEGORIA]],CATEGORIAS[[#All],[CATEGORIA2]],Imputar[[#This Row],[Categoría]]),0)</f>
        <v>0</v>
      </c>
      <c r="I1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4">
        <f>+ROUND(SUMIFS(CATEGORIAS[[#All],[PROYECCION
TOTAL DE COSTO]],CATEGORIAS[[#All],[CATEGORIA2]],Imputar[[#This Row],[Categoría]]),0)
-Imputar[[#This Row],[Inventario]]
-Imputar[[#This Row],[Pedidos no Rec]]</f>
        <v>0</v>
      </c>
      <c r="K1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4">
        <f>_xlfn.IFNA(VLOOKUP(Imputar[[#This Row],[Categoría]],EIMI!C:T,8,0),0)</f>
        <v>0</v>
      </c>
      <c r="M104">
        <f>_xlfn.IFNA(VLOOKUP(Imputar[[#This Row],[Categoría]],EIMI!C:T,9,0),0)</f>
        <v>0</v>
      </c>
      <c r="N104">
        <f>_xlfn.IFNA(VLOOKUP(Imputar[[#This Row],[Categoría]],EIMI!C:T,10,0),0)</f>
        <v>0</v>
      </c>
    </row>
    <row r="105" spans="1:14" hidden="1" x14ac:dyDescent="0.25">
      <c r="A105" s="210">
        <f>Indice!$I$11</f>
        <v>0</v>
      </c>
      <c r="B105" t="s">
        <v>566</v>
      </c>
      <c r="C105" s="39">
        <f>Indice!$I$12</f>
        <v>45992</v>
      </c>
      <c r="E105">
        <f>ROUND(SUMIFS(CATEGORIAS[[#All],[TOTAL PRODUCCION
ACTUAL]],CATEGORIAS[[#All],[CATEGORIA2]],Imputar[[#This Row],[Categoría]]),0)</f>
        <v>0</v>
      </c>
      <c r="F105">
        <v>0</v>
      </c>
      <c r="G105">
        <f>ROUND(SUMIFS(CATEGORIAS[[#All],[PROYECCION
DE INGRESO
DEL SALDO]],CATEGORIAS[[#All],[CATEGORIA2]],Imputar[[#This Row],[Categoría]]),0)</f>
        <v>0</v>
      </c>
      <c r="H105">
        <f>ROUND(SUMIFS(CATEGORIAS[[#All],[CAMBIO DE
CATEGORIA]],CATEGORIAS[[#All],[CATEGORIA2]],Imputar[[#This Row],[Categoría]]),0)</f>
        <v>0</v>
      </c>
      <c r="I1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5">
        <f>+ROUND(SUMIFS(CATEGORIAS[[#All],[PROYECCION
TOTAL DE COSTO]],CATEGORIAS[[#All],[CATEGORIA2]],Imputar[[#This Row],[Categoría]]),0)
-Imputar[[#This Row],[Inventario]]
-Imputar[[#This Row],[Pedidos no Rec]]</f>
        <v>0</v>
      </c>
      <c r="K1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5">
        <f>_xlfn.IFNA(VLOOKUP(Imputar[[#This Row],[Categoría]],EIMI!C:T,8,0),0)</f>
        <v>0</v>
      </c>
      <c r="M105">
        <f>_xlfn.IFNA(VLOOKUP(Imputar[[#This Row],[Categoría]],EIMI!C:T,9,0),0)</f>
        <v>0</v>
      </c>
      <c r="N105">
        <f>_xlfn.IFNA(VLOOKUP(Imputar[[#This Row],[Categoría]],EIMI!C:T,10,0),0)</f>
        <v>0</v>
      </c>
    </row>
    <row r="106" spans="1:14" x14ac:dyDescent="0.25">
      <c r="A106" s="210">
        <f>Indice!$I$11</f>
        <v>0</v>
      </c>
      <c r="B106" t="s">
        <v>568</v>
      </c>
      <c r="C106" s="39">
        <f>Indice!$I$12</f>
        <v>45992</v>
      </c>
      <c r="E106">
        <f>ROUND(SUMIFS(CATEGORIAS[[#All],[TOTAL PRODUCCION
ACTUAL]],CATEGORIAS[[#All],[CATEGORIA2]],Imputar[[#This Row],[Categoría]]),0)</f>
        <v>0</v>
      </c>
      <c r="F106">
        <v>0</v>
      </c>
      <c r="G106">
        <f>ROUND(SUMIFS(CATEGORIAS[[#All],[PROYECCION
DE INGRESO
DEL SALDO]],CATEGORIAS[[#All],[CATEGORIA2]],Imputar[[#This Row],[Categoría]]),0)</f>
        <v>0</v>
      </c>
      <c r="H106">
        <f>ROUND(SUMIFS(CATEGORIAS[[#All],[CAMBIO DE
CATEGORIA]],CATEGORIAS[[#All],[CATEGORIA2]],Imputar[[#This Row],[Categoría]]),0)</f>
        <v>0</v>
      </c>
      <c r="I1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6">
        <f>+ROUND(SUMIFS(CATEGORIAS[[#All],[PROYECCION
TOTAL DE COSTO]],CATEGORIAS[[#All],[CATEGORIA2]],Imputar[[#This Row],[Categoría]]),0)
-Imputar[[#This Row],[Inventario]]
-Imputar[[#This Row],[Pedidos no Rec]]</f>
        <v>0</v>
      </c>
      <c r="K1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6">
        <f>_xlfn.IFNA(VLOOKUP(Imputar[[#This Row],[Categoría]],EIMI!C:T,8,0),0)</f>
        <v>0</v>
      </c>
      <c r="M106">
        <f>_xlfn.IFNA(VLOOKUP(Imputar[[#This Row],[Categoría]],EIMI!C:T,9,0),0)</f>
        <v>0</v>
      </c>
      <c r="N106">
        <f>_xlfn.IFNA(VLOOKUP(Imputar[[#This Row],[Categoría]],EIMI!C:T,10,0),0)</f>
        <v>0</v>
      </c>
    </row>
    <row r="107" spans="1:14" hidden="1" x14ac:dyDescent="0.25">
      <c r="A107" s="210">
        <f>Indice!$I$11</f>
        <v>0</v>
      </c>
      <c r="B107" t="s">
        <v>570</v>
      </c>
      <c r="C107" s="39">
        <f>Indice!$I$12</f>
        <v>45992</v>
      </c>
      <c r="E107">
        <f>ROUND(SUMIFS(CATEGORIAS[[#All],[TOTAL PRODUCCION
ACTUAL]],CATEGORIAS[[#All],[CATEGORIA2]],Imputar[[#This Row],[Categoría]]),0)</f>
        <v>0</v>
      </c>
      <c r="F107">
        <v>0</v>
      </c>
      <c r="G107">
        <f>ROUND(SUMIFS(CATEGORIAS[[#All],[PROYECCION
DE INGRESO
DEL SALDO]],CATEGORIAS[[#All],[CATEGORIA2]],Imputar[[#This Row],[Categoría]]),0)</f>
        <v>0</v>
      </c>
      <c r="H107">
        <f>ROUND(SUMIFS(CATEGORIAS[[#All],[CAMBIO DE
CATEGORIA]],CATEGORIAS[[#All],[CATEGORIA2]],Imputar[[#This Row],[Categoría]]),0)</f>
        <v>0</v>
      </c>
      <c r="I1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7">
        <f>+ROUND(SUMIFS(CATEGORIAS[[#All],[PROYECCION
TOTAL DE COSTO]],CATEGORIAS[[#All],[CATEGORIA2]],Imputar[[#This Row],[Categoría]]),0)
-Imputar[[#This Row],[Inventario]]
-Imputar[[#This Row],[Pedidos no Rec]]</f>
        <v>0</v>
      </c>
      <c r="K1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7">
        <f>_xlfn.IFNA(VLOOKUP(Imputar[[#This Row],[Categoría]],EIMI!C:T,8,0),0)</f>
        <v>0</v>
      </c>
      <c r="M107">
        <f>_xlfn.IFNA(VLOOKUP(Imputar[[#This Row],[Categoría]],EIMI!C:T,9,0),0)</f>
        <v>0</v>
      </c>
      <c r="N107">
        <f>_xlfn.IFNA(VLOOKUP(Imputar[[#This Row],[Categoría]],EIMI!C:T,10,0),0)</f>
        <v>0</v>
      </c>
    </row>
    <row r="108" spans="1:14" hidden="1" x14ac:dyDescent="0.25">
      <c r="A108" s="210">
        <f>Indice!$I$11</f>
        <v>0</v>
      </c>
      <c r="B108" t="s">
        <v>572</v>
      </c>
      <c r="C108" s="39">
        <f>Indice!$I$12</f>
        <v>45992</v>
      </c>
      <c r="E108">
        <f>ROUND(SUMIFS(CATEGORIAS[[#All],[TOTAL PRODUCCION
ACTUAL]],CATEGORIAS[[#All],[CATEGORIA2]],Imputar[[#This Row],[Categoría]]),0)</f>
        <v>0</v>
      </c>
      <c r="F108">
        <v>0</v>
      </c>
      <c r="G108">
        <f>ROUND(SUMIFS(CATEGORIAS[[#All],[PROYECCION
DE INGRESO
DEL SALDO]],CATEGORIAS[[#All],[CATEGORIA2]],Imputar[[#This Row],[Categoría]]),0)</f>
        <v>0</v>
      </c>
      <c r="H108">
        <f>ROUND(SUMIFS(CATEGORIAS[[#All],[CAMBIO DE
CATEGORIA]],CATEGORIAS[[#All],[CATEGORIA2]],Imputar[[#This Row],[Categoría]]),0)</f>
        <v>0</v>
      </c>
      <c r="I1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8">
        <f>+ROUND(SUMIFS(CATEGORIAS[[#All],[PROYECCION
TOTAL DE COSTO]],CATEGORIAS[[#All],[CATEGORIA2]],Imputar[[#This Row],[Categoría]]),0)
-Imputar[[#This Row],[Inventario]]
-Imputar[[#This Row],[Pedidos no Rec]]</f>
        <v>0</v>
      </c>
      <c r="K1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8">
        <f>_xlfn.IFNA(VLOOKUP(Imputar[[#This Row],[Categoría]],EIMI!C:T,8,0),0)</f>
        <v>0</v>
      </c>
      <c r="M108">
        <f>_xlfn.IFNA(VLOOKUP(Imputar[[#This Row],[Categoría]],EIMI!C:T,9,0),0)</f>
        <v>0</v>
      </c>
      <c r="N108">
        <f>_xlfn.IFNA(VLOOKUP(Imputar[[#This Row],[Categoría]],EIMI!C:T,10,0),0)</f>
        <v>0</v>
      </c>
    </row>
    <row r="109" spans="1:14" hidden="1" x14ac:dyDescent="0.25">
      <c r="A109" s="210">
        <f>Indice!$I$11</f>
        <v>0</v>
      </c>
      <c r="B109" t="s">
        <v>574</v>
      </c>
      <c r="C109" s="39">
        <f>Indice!$I$12</f>
        <v>45992</v>
      </c>
      <c r="E109">
        <f>ROUND(SUMIFS(CATEGORIAS[[#All],[TOTAL PRODUCCION
ACTUAL]],CATEGORIAS[[#All],[CATEGORIA2]],Imputar[[#This Row],[Categoría]]),0)</f>
        <v>0</v>
      </c>
      <c r="F109">
        <v>0</v>
      </c>
      <c r="G109">
        <f>ROUND(SUMIFS(CATEGORIAS[[#All],[PROYECCION
DE INGRESO
DEL SALDO]],CATEGORIAS[[#All],[CATEGORIA2]],Imputar[[#This Row],[Categoría]]),0)</f>
        <v>0</v>
      </c>
      <c r="H109">
        <f>ROUND(SUMIFS(CATEGORIAS[[#All],[CAMBIO DE
CATEGORIA]],CATEGORIAS[[#All],[CATEGORIA2]],Imputar[[#This Row],[Categoría]]),0)</f>
        <v>0</v>
      </c>
      <c r="I1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9">
        <f>+ROUND(SUMIFS(CATEGORIAS[[#All],[PROYECCION
TOTAL DE COSTO]],CATEGORIAS[[#All],[CATEGORIA2]],Imputar[[#This Row],[Categoría]]),0)
-Imputar[[#This Row],[Inventario]]
-Imputar[[#This Row],[Pedidos no Rec]]</f>
        <v>0</v>
      </c>
      <c r="K1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9">
        <f>_xlfn.IFNA(VLOOKUP(Imputar[[#This Row],[Categoría]],EIMI!C:T,8,0),0)</f>
        <v>0</v>
      </c>
      <c r="M109">
        <f>_xlfn.IFNA(VLOOKUP(Imputar[[#This Row],[Categoría]],EIMI!C:T,9,0),0)</f>
        <v>0</v>
      </c>
      <c r="N109">
        <f>_xlfn.IFNA(VLOOKUP(Imputar[[#This Row],[Categoría]],EIMI!C:T,10,0),0)</f>
        <v>0</v>
      </c>
    </row>
    <row r="110" spans="1:14" hidden="1" x14ac:dyDescent="0.25">
      <c r="A110" s="210">
        <f>Indice!$I$11</f>
        <v>0</v>
      </c>
      <c r="B110" t="s">
        <v>576</v>
      </c>
      <c r="C110" s="39">
        <f>Indice!$I$12</f>
        <v>45992</v>
      </c>
      <c r="E110">
        <f>ROUND(SUMIFS(CATEGORIAS[[#All],[TOTAL PRODUCCION
ACTUAL]],CATEGORIAS[[#All],[CATEGORIA2]],Imputar[[#This Row],[Categoría]]),0)</f>
        <v>0</v>
      </c>
      <c r="F110">
        <v>0</v>
      </c>
      <c r="G110">
        <f>ROUND(SUMIFS(CATEGORIAS[[#All],[PROYECCION
DE INGRESO
DEL SALDO]],CATEGORIAS[[#All],[CATEGORIA2]],Imputar[[#This Row],[Categoría]]),0)</f>
        <v>0</v>
      </c>
      <c r="H110">
        <f>ROUND(SUMIFS(CATEGORIAS[[#All],[CAMBIO DE
CATEGORIA]],CATEGORIAS[[#All],[CATEGORIA2]],Imputar[[#This Row],[Categoría]]),0)</f>
        <v>0</v>
      </c>
      <c r="I1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0">
        <f>+ROUND(SUMIFS(CATEGORIAS[[#All],[PROYECCION
TOTAL DE COSTO]],CATEGORIAS[[#All],[CATEGORIA2]],Imputar[[#This Row],[Categoría]]),0)
-Imputar[[#This Row],[Inventario]]
-Imputar[[#This Row],[Pedidos no Rec]]</f>
        <v>0</v>
      </c>
      <c r="K1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0">
        <f>_xlfn.IFNA(VLOOKUP(Imputar[[#This Row],[Categoría]],EIMI!C:T,8,0),0)</f>
        <v>0</v>
      </c>
      <c r="M110">
        <f>_xlfn.IFNA(VLOOKUP(Imputar[[#This Row],[Categoría]],EIMI!C:T,9,0),0)</f>
        <v>0</v>
      </c>
      <c r="N110">
        <f>_xlfn.IFNA(VLOOKUP(Imputar[[#This Row],[Categoría]],EIMI!C:T,10,0),0)</f>
        <v>0</v>
      </c>
    </row>
    <row r="111" spans="1:14" hidden="1" x14ac:dyDescent="0.25">
      <c r="A111" s="210">
        <f>Indice!$I$11</f>
        <v>0</v>
      </c>
      <c r="B111" t="s">
        <v>578</v>
      </c>
      <c r="C111" s="39">
        <f>Indice!$I$12</f>
        <v>45992</v>
      </c>
      <c r="E111">
        <f>ROUND(SUMIFS(CATEGORIAS[[#All],[TOTAL PRODUCCION
ACTUAL]],CATEGORIAS[[#All],[CATEGORIA2]],Imputar[[#This Row],[Categoría]]),0)</f>
        <v>0</v>
      </c>
      <c r="F111">
        <v>0</v>
      </c>
      <c r="G111">
        <f>ROUND(SUMIFS(CATEGORIAS[[#All],[PROYECCION
DE INGRESO
DEL SALDO]],CATEGORIAS[[#All],[CATEGORIA2]],Imputar[[#This Row],[Categoría]]),0)</f>
        <v>0</v>
      </c>
      <c r="H111">
        <f>ROUND(SUMIFS(CATEGORIAS[[#All],[CAMBIO DE
CATEGORIA]],CATEGORIAS[[#All],[CATEGORIA2]],Imputar[[#This Row],[Categoría]]),0)</f>
        <v>0</v>
      </c>
      <c r="I1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1">
        <f>+ROUND(SUMIFS(CATEGORIAS[[#All],[PROYECCION
TOTAL DE COSTO]],CATEGORIAS[[#All],[CATEGORIA2]],Imputar[[#This Row],[Categoría]]),0)
-Imputar[[#This Row],[Inventario]]
-Imputar[[#This Row],[Pedidos no Rec]]</f>
        <v>0</v>
      </c>
      <c r="K1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1">
        <f>_xlfn.IFNA(VLOOKUP(Imputar[[#This Row],[Categoría]],EIMI!C:T,8,0),0)</f>
        <v>0</v>
      </c>
      <c r="M111">
        <f>_xlfn.IFNA(VLOOKUP(Imputar[[#This Row],[Categoría]],EIMI!C:T,9,0),0)</f>
        <v>0</v>
      </c>
      <c r="N111">
        <f>_xlfn.IFNA(VLOOKUP(Imputar[[#This Row],[Categoría]],EIMI!C:T,10,0),0)</f>
        <v>0</v>
      </c>
    </row>
    <row r="112" spans="1:14" x14ac:dyDescent="0.25">
      <c r="A112" s="210">
        <f>Indice!$I$11</f>
        <v>0</v>
      </c>
      <c r="B112" t="s">
        <v>580</v>
      </c>
      <c r="C112" s="39">
        <f>Indice!$I$12</f>
        <v>45992</v>
      </c>
      <c r="E112">
        <f>ROUND(SUMIFS(CATEGORIAS[[#All],[TOTAL PRODUCCION
ACTUAL]],CATEGORIAS[[#All],[CATEGORIA2]],Imputar[[#This Row],[Categoría]]),0)</f>
        <v>0</v>
      </c>
      <c r="F112">
        <v>0</v>
      </c>
      <c r="G112">
        <f>ROUND(SUMIFS(CATEGORIAS[[#All],[PROYECCION
DE INGRESO
DEL SALDO]],CATEGORIAS[[#All],[CATEGORIA2]],Imputar[[#This Row],[Categoría]]),0)</f>
        <v>0</v>
      </c>
      <c r="H112">
        <f>ROUND(SUMIFS(CATEGORIAS[[#All],[CAMBIO DE
CATEGORIA]],CATEGORIAS[[#All],[CATEGORIA2]],Imputar[[#This Row],[Categoría]]),0)</f>
        <v>0</v>
      </c>
      <c r="I1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2">
        <f>+ROUND(SUMIFS(CATEGORIAS[[#All],[PROYECCION
TOTAL DE COSTO]],CATEGORIAS[[#All],[CATEGORIA2]],Imputar[[#This Row],[Categoría]]),0)
-Imputar[[#This Row],[Inventario]]
-Imputar[[#This Row],[Pedidos no Rec]]</f>
        <v>0</v>
      </c>
      <c r="K1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2">
        <f>_xlfn.IFNA(VLOOKUP(Imputar[[#This Row],[Categoría]],EIMI!C:T,8,0),0)</f>
        <v>0</v>
      </c>
      <c r="M112">
        <f>_xlfn.IFNA(VLOOKUP(Imputar[[#This Row],[Categoría]],EIMI!C:T,9,0),0)</f>
        <v>0</v>
      </c>
      <c r="N112">
        <f>_xlfn.IFNA(VLOOKUP(Imputar[[#This Row],[Categoría]],EIMI!C:T,10,0),0)</f>
        <v>0</v>
      </c>
    </row>
    <row r="113" spans="1:14" hidden="1" x14ac:dyDescent="0.25">
      <c r="A113" s="210">
        <f>Indice!$I$11</f>
        <v>0</v>
      </c>
      <c r="B113" t="s">
        <v>582</v>
      </c>
      <c r="C113" s="39">
        <f>Indice!$I$12</f>
        <v>45992</v>
      </c>
      <c r="E113">
        <f>ROUND(SUMIFS(CATEGORIAS[[#All],[TOTAL PRODUCCION
ACTUAL]],CATEGORIAS[[#All],[CATEGORIA2]],Imputar[[#This Row],[Categoría]]),0)</f>
        <v>0</v>
      </c>
      <c r="F113">
        <v>0</v>
      </c>
      <c r="G113">
        <f>ROUND(SUMIFS(CATEGORIAS[[#All],[PROYECCION
DE INGRESO
DEL SALDO]],CATEGORIAS[[#All],[CATEGORIA2]],Imputar[[#This Row],[Categoría]]),0)</f>
        <v>0</v>
      </c>
      <c r="H113">
        <f>ROUND(SUMIFS(CATEGORIAS[[#All],[CAMBIO DE
CATEGORIA]],CATEGORIAS[[#All],[CATEGORIA2]],Imputar[[#This Row],[Categoría]]),0)</f>
        <v>0</v>
      </c>
      <c r="I1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3">
        <f>+ROUND(SUMIFS(CATEGORIAS[[#All],[PROYECCION
TOTAL DE COSTO]],CATEGORIAS[[#All],[CATEGORIA2]],Imputar[[#This Row],[Categoría]]),0)
-Imputar[[#This Row],[Inventario]]
-Imputar[[#This Row],[Pedidos no Rec]]</f>
        <v>0</v>
      </c>
      <c r="K1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3">
        <f>_xlfn.IFNA(VLOOKUP(Imputar[[#This Row],[Categoría]],EIMI!C:T,8,0),0)</f>
        <v>0</v>
      </c>
      <c r="M113">
        <f>_xlfn.IFNA(VLOOKUP(Imputar[[#This Row],[Categoría]],EIMI!C:T,9,0),0)</f>
        <v>0</v>
      </c>
      <c r="N113">
        <f>_xlfn.IFNA(VLOOKUP(Imputar[[#This Row],[Categoría]],EIMI!C:T,10,0),0)</f>
        <v>0</v>
      </c>
    </row>
    <row r="114" spans="1:14" hidden="1" x14ac:dyDescent="0.25">
      <c r="A114" s="210">
        <f>Indice!$I$11</f>
        <v>0</v>
      </c>
      <c r="B114" t="s">
        <v>584</v>
      </c>
      <c r="C114" s="39">
        <f>Indice!$I$12</f>
        <v>45992</v>
      </c>
      <c r="E114">
        <f>ROUND(SUMIFS(CATEGORIAS[[#All],[TOTAL PRODUCCION
ACTUAL]],CATEGORIAS[[#All],[CATEGORIA2]],Imputar[[#This Row],[Categoría]]),0)</f>
        <v>0</v>
      </c>
      <c r="F114">
        <v>0</v>
      </c>
      <c r="G114">
        <f>ROUND(SUMIFS(CATEGORIAS[[#All],[PROYECCION
DE INGRESO
DEL SALDO]],CATEGORIAS[[#All],[CATEGORIA2]],Imputar[[#This Row],[Categoría]]),0)</f>
        <v>0</v>
      </c>
      <c r="H114">
        <f>ROUND(SUMIFS(CATEGORIAS[[#All],[CAMBIO DE
CATEGORIA]],CATEGORIAS[[#All],[CATEGORIA2]],Imputar[[#This Row],[Categoría]]),0)</f>
        <v>0</v>
      </c>
      <c r="I1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4">
        <f>+ROUND(SUMIFS(CATEGORIAS[[#All],[PROYECCION
TOTAL DE COSTO]],CATEGORIAS[[#All],[CATEGORIA2]],Imputar[[#This Row],[Categoría]]),0)
-Imputar[[#This Row],[Inventario]]
-Imputar[[#This Row],[Pedidos no Rec]]</f>
        <v>0</v>
      </c>
      <c r="K1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4">
        <f>_xlfn.IFNA(VLOOKUP(Imputar[[#This Row],[Categoría]],EIMI!C:T,8,0),0)</f>
        <v>0</v>
      </c>
      <c r="M114">
        <f>_xlfn.IFNA(VLOOKUP(Imputar[[#This Row],[Categoría]],EIMI!C:T,9,0),0)</f>
        <v>0</v>
      </c>
      <c r="N114">
        <f>_xlfn.IFNA(VLOOKUP(Imputar[[#This Row],[Categoría]],EIMI!C:T,10,0),0)</f>
        <v>0</v>
      </c>
    </row>
    <row r="115" spans="1:14" hidden="1" x14ac:dyDescent="0.25">
      <c r="A115" s="210">
        <f>Indice!$I$11</f>
        <v>0</v>
      </c>
      <c r="B115" t="s">
        <v>586</v>
      </c>
      <c r="C115" s="39">
        <f>Indice!$I$12</f>
        <v>45992</v>
      </c>
      <c r="E115">
        <f>ROUND(SUMIFS(CATEGORIAS[[#All],[TOTAL PRODUCCION
ACTUAL]],CATEGORIAS[[#All],[CATEGORIA2]],Imputar[[#This Row],[Categoría]]),0)</f>
        <v>0</v>
      </c>
      <c r="F115">
        <v>0</v>
      </c>
      <c r="G115">
        <f>ROUND(SUMIFS(CATEGORIAS[[#All],[PROYECCION
DE INGRESO
DEL SALDO]],CATEGORIAS[[#All],[CATEGORIA2]],Imputar[[#This Row],[Categoría]]),0)</f>
        <v>0</v>
      </c>
      <c r="H115">
        <f>ROUND(SUMIFS(CATEGORIAS[[#All],[CAMBIO DE
CATEGORIA]],CATEGORIAS[[#All],[CATEGORIA2]],Imputar[[#This Row],[Categoría]]),0)</f>
        <v>0</v>
      </c>
      <c r="I1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5">
        <f>+ROUND(SUMIFS(CATEGORIAS[[#All],[PROYECCION
TOTAL DE COSTO]],CATEGORIAS[[#All],[CATEGORIA2]],Imputar[[#This Row],[Categoría]]),0)
-Imputar[[#This Row],[Inventario]]
-Imputar[[#This Row],[Pedidos no Rec]]</f>
        <v>0</v>
      </c>
      <c r="K1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5">
        <f>_xlfn.IFNA(VLOOKUP(Imputar[[#This Row],[Categoría]],EIMI!C:T,8,0),0)</f>
        <v>0</v>
      </c>
      <c r="M115">
        <f>_xlfn.IFNA(VLOOKUP(Imputar[[#This Row],[Categoría]],EIMI!C:T,9,0),0)</f>
        <v>0</v>
      </c>
      <c r="N115">
        <f>_xlfn.IFNA(VLOOKUP(Imputar[[#This Row],[Categoría]],EIMI!C:T,10,0),0)</f>
        <v>0</v>
      </c>
    </row>
    <row r="116" spans="1:14" hidden="1" x14ac:dyDescent="0.25">
      <c r="A116" s="210">
        <f>Indice!$I$11</f>
        <v>0</v>
      </c>
      <c r="B116" t="s">
        <v>588</v>
      </c>
      <c r="C116" s="39">
        <f>Indice!$I$12</f>
        <v>45992</v>
      </c>
      <c r="E116">
        <f>ROUND(SUMIFS(CATEGORIAS[[#All],[TOTAL PRODUCCION
ACTUAL]],CATEGORIAS[[#All],[CATEGORIA2]],Imputar[[#This Row],[Categoría]]),0)</f>
        <v>0</v>
      </c>
      <c r="F116">
        <v>0</v>
      </c>
      <c r="G116">
        <f>ROUND(SUMIFS(CATEGORIAS[[#All],[PROYECCION
DE INGRESO
DEL SALDO]],CATEGORIAS[[#All],[CATEGORIA2]],Imputar[[#This Row],[Categoría]]),0)</f>
        <v>0</v>
      </c>
      <c r="H116">
        <f>ROUND(SUMIFS(CATEGORIAS[[#All],[CAMBIO DE
CATEGORIA]],CATEGORIAS[[#All],[CATEGORIA2]],Imputar[[#This Row],[Categoría]]),0)</f>
        <v>0</v>
      </c>
      <c r="I1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6">
        <f>+ROUND(SUMIFS(CATEGORIAS[[#All],[PROYECCION
TOTAL DE COSTO]],CATEGORIAS[[#All],[CATEGORIA2]],Imputar[[#This Row],[Categoría]]),0)
-Imputar[[#This Row],[Inventario]]
-Imputar[[#This Row],[Pedidos no Rec]]</f>
        <v>0</v>
      </c>
      <c r="K1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6">
        <f>_xlfn.IFNA(VLOOKUP(Imputar[[#This Row],[Categoría]],EIMI!C:T,8,0),0)</f>
        <v>0</v>
      </c>
      <c r="M116">
        <f>_xlfn.IFNA(VLOOKUP(Imputar[[#This Row],[Categoría]],EIMI!C:T,9,0),0)</f>
        <v>0</v>
      </c>
      <c r="N116">
        <f>_xlfn.IFNA(VLOOKUP(Imputar[[#This Row],[Categoría]],EIMI!C:T,10,0),0)</f>
        <v>0</v>
      </c>
    </row>
    <row r="117" spans="1:14" hidden="1" x14ac:dyDescent="0.25">
      <c r="A117" s="210">
        <f>Indice!$I$11</f>
        <v>0</v>
      </c>
      <c r="B117" t="s">
        <v>590</v>
      </c>
      <c r="C117" s="39">
        <f>Indice!$I$12</f>
        <v>45992</v>
      </c>
      <c r="E117">
        <f>ROUND(SUMIFS(CATEGORIAS[[#All],[TOTAL PRODUCCION
ACTUAL]],CATEGORIAS[[#All],[CATEGORIA2]],Imputar[[#This Row],[Categoría]]),0)</f>
        <v>0</v>
      </c>
      <c r="F117">
        <v>0</v>
      </c>
      <c r="G117">
        <f>ROUND(SUMIFS(CATEGORIAS[[#All],[PROYECCION
DE INGRESO
DEL SALDO]],CATEGORIAS[[#All],[CATEGORIA2]],Imputar[[#This Row],[Categoría]]),0)</f>
        <v>0</v>
      </c>
      <c r="H117">
        <f>ROUND(SUMIFS(CATEGORIAS[[#All],[CAMBIO DE
CATEGORIA]],CATEGORIAS[[#All],[CATEGORIA2]],Imputar[[#This Row],[Categoría]]),0)</f>
        <v>0</v>
      </c>
      <c r="I1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7">
        <f>+ROUND(SUMIFS(CATEGORIAS[[#All],[PROYECCION
TOTAL DE COSTO]],CATEGORIAS[[#All],[CATEGORIA2]],Imputar[[#This Row],[Categoría]]),0)
-Imputar[[#This Row],[Inventario]]
-Imputar[[#This Row],[Pedidos no Rec]]</f>
        <v>0</v>
      </c>
      <c r="K1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7">
        <f>_xlfn.IFNA(VLOOKUP(Imputar[[#This Row],[Categoría]],EIMI!C:T,8,0),0)</f>
        <v>0</v>
      </c>
      <c r="M117">
        <f>_xlfn.IFNA(VLOOKUP(Imputar[[#This Row],[Categoría]],EIMI!C:T,9,0),0)</f>
        <v>0</v>
      </c>
      <c r="N117">
        <f>_xlfn.IFNA(VLOOKUP(Imputar[[#This Row],[Categoría]],EIMI!C:T,10,0),0)</f>
        <v>0</v>
      </c>
    </row>
    <row r="118" spans="1:14" hidden="1" x14ac:dyDescent="0.25">
      <c r="A118" s="210">
        <f>Indice!$I$11</f>
        <v>0</v>
      </c>
      <c r="B118" t="s">
        <v>592</v>
      </c>
      <c r="C118" s="39">
        <f>Indice!$I$12</f>
        <v>45992</v>
      </c>
      <c r="E118">
        <f>ROUND(SUMIFS(CATEGORIAS[[#All],[TOTAL PRODUCCION
ACTUAL]],CATEGORIAS[[#All],[CATEGORIA2]],Imputar[[#This Row],[Categoría]]),0)</f>
        <v>0</v>
      </c>
      <c r="F118">
        <v>0</v>
      </c>
      <c r="G118">
        <f>ROUND(SUMIFS(CATEGORIAS[[#All],[PROYECCION
DE INGRESO
DEL SALDO]],CATEGORIAS[[#All],[CATEGORIA2]],Imputar[[#This Row],[Categoría]]),0)</f>
        <v>0</v>
      </c>
      <c r="H118">
        <f>ROUND(SUMIFS(CATEGORIAS[[#All],[CAMBIO DE
CATEGORIA]],CATEGORIAS[[#All],[CATEGORIA2]],Imputar[[#This Row],[Categoría]]),0)</f>
        <v>0</v>
      </c>
      <c r="I1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8">
        <f>+ROUND(SUMIFS(CATEGORIAS[[#All],[PROYECCION
TOTAL DE COSTO]],CATEGORIAS[[#All],[CATEGORIA2]],Imputar[[#This Row],[Categoría]]),0)
-Imputar[[#This Row],[Inventario]]
-Imputar[[#This Row],[Pedidos no Rec]]</f>
        <v>0</v>
      </c>
      <c r="K1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8">
        <f>_xlfn.IFNA(VLOOKUP(Imputar[[#This Row],[Categoría]],EIMI!C:T,8,0),0)</f>
        <v>0</v>
      </c>
      <c r="M118">
        <f>_xlfn.IFNA(VLOOKUP(Imputar[[#This Row],[Categoría]],EIMI!C:T,9,0),0)</f>
        <v>0</v>
      </c>
      <c r="N118">
        <f>_xlfn.IFNA(VLOOKUP(Imputar[[#This Row],[Categoría]],EIMI!C:T,10,0),0)</f>
        <v>0</v>
      </c>
    </row>
    <row r="119" spans="1:14" hidden="1" x14ac:dyDescent="0.25">
      <c r="A119" s="210">
        <f>Indice!$I$11</f>
        <v>0</v>
      </c>
      <c r="B119" t="s">
        <v>594</v>
      </c>
      <c r="C119" s="39">
        <f>Indice!$I$12</f>
        <v>45992</v>
      </c>
      <c r="E119">
        <f>ROUND(SUMIFS(CATEGORIAS[[#All],[TOTAL PRODUCCION
ACTUAL]],CATEGORIAS[[#All],[CATEGORIA2]],Imputar[[#This Row],[Categoría]]),0)</f>
        <v>0</v>
      </c>
      <c r="F119">
        <v>0</v>
      </c>
      <c r="G119">
        <f>ROUND(SUMIFS(CATEGORIAS[[#All],[PROYECCION
DE INGRESO
DEL SALDO]],CATEGORIAS[[#All],[CATEGORIA2]],Imputar[[#This Row],[Categoría]]),0)</f>
        <v>0</v>
      </c>
      <c r="H119">
        <f>ROUND(SUMIFS(CATEGORIAS[[#All],[CAMBIO DE
CATEGORIA]],CATEGORIAS[[#All],[CATEGORIA2]],Imputar[[#This Row],[Categoría]]),0)</f>
        <v>0</v>
      </c>
      <c r="I1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9">
        <f>+ROUND(SUMIFS(CATEGORIAS[[#All],[PROYECCION
TOTAL DE COSTO]],CATEGORIAS[[#All],[CATEGORIA2]],Imputar[[#This Row],[Categoría]]),0)
-Imputar[[#This Row],[Inventario]]
-Imputar[[#This Row],[Pedidos no Rec]]</f>
        <v>0</v>
      </c>
      <c r="K1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9">
        <f>_xlfn.IFNA(VLOOKUP(Imputar[[#This Row],[Categoría]],EIMI!C:T,8,0),0)</f>
        <v>0</v>
      </c>
      <c r="M119">
        <f>_xlfn.IFNA(VLOOKUP(Imputar[[#This Row],[Categoría]],EIMI!C:T,9,0),0)</f>
        <v>0</v>
      </c>
      <c r="N119">
        <f>_xlfn.IFNA(VLOOKUP(Imputar[[#This Row],[Categoría]],EIMI!C:T,10,0),0)</f>
        <v>0</v>
      </c>
    </row>
    <row r="120" spans="1:14" hidden="1" x14ac:dyDescent="0.25">
      <c r="A120" s="210">
        <f>Indice!$I$11</f>
        <v>0</v>
      </c>
      <c r="B120" t="s">
        <v>596</v>
      </c>
      <c r="C120" s="39">
        <f>Indice!$I$12</f>
        <v>45992</v>
      </c>
      <c r="E120">
        <f>ROUND(SUMIFS(CATEGORIAS[[#All],[TOTAL PRODUCCION
ACTUAL]],CATEGORIAS[[#All],[CATEGORIA2]],Imputar[[#This Row],[Categoría]]),0)</f>
        <v>0</v>
      </c>
      <c r="F120">
        <v>0</v>
      </c>
      <c r="G120">
        <f>ROUND(SUMIFS(CATEGORIAS[[#All],[PROYECCION
DE INGRESO
DEL SALDO]],CATEGORIAS[[#All],[CATEGORIA2]],Imputar[[#This Row],[Categoría]]),0)</f>
        <v>0</v>
      </c>
      <c r="H120">
        <f>ROUND(SUMIFS(CATEGORIAS[[#All],[CAMBIO DE
CATEGORIA]],CATEGORIAS[[#All],[CATEGORIA2]],Imputar[[#This Row],[Categoría]]),0)</f>
        <v>0</v>
      </c>
      <c r="I1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0">
        <f>+ROUND(SUMIFS(CATEGORIAS[[#All],[PROYECCION
TOTAL DE COSTO]],CATEGORIAS[[#All],[CATEGORIA2]],Imputar[[#This Row],[Categoría]]),0)
-Imputar[[#This Row],[Inventario]]
-Imputar[[#This Row],[Pedidos no Rec]]</f>
        <v>0</v>
      </c>
      <c r="K1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0">
        <f>_xlfn.IFNA(VLOOKUP(Imputar[[#This Row],[Categoría]],EIMI!C:T,8,0),0)</f>
        <v>0</v>
      </c>
      <c r="M120">
        <f>_xlfn.IFNA(VLOOKUP(Imputar[[#This Row],[Categoría]],EIMI!C:T,9,0),0)</f>
        <v>0</v>
      </c>
      <c r="N120">
        <f>_xlfn.IFNA(VLOOKUP(Imputar[[#This Row],[Categoría]],EIMI!C:T,10,0),0)</f>
        <v>0</v>
      </c>
    </row>
    <row r="121" spans="1:14" hidden="1" x14ac:dyDescent="0.25">
      <c r="A121" s="210">
        <f>Indice!$I$11</f>
        <v>0</v>
      </c>
      <c r="B121" t="s">
        <v>598</v>
      </c>
      <c r="C121" s="39">
        <f>Indice!$I$12</f>
        <v>45992</v>
      </c>
      <c r="E121">
        <f>ROUND(SUMIFS(CATEGORIAS[[#All],[TOTAL PRODUCCION
ACTUAL]],CATEGORIAS[[#All],[CATEGORIA2]],Imputar[[#This Row],[Categoría]]),0)</f>
        <v>0</v>
      </c>
      <c r="F121">
        <v>0</v>
      </c>
      <c r="G121">
        <f>ROUND(SUMIFS(CATEGORIAS[[#All],[PROYECCION
DE INGRESO
DEL SALDO]],CATEGORIAS[[#All],[CATEGORIA2]],Imputar[[#This Row],[Categoría]]),0)</f>
        <v>0</v>
      </c>
      <c r="H121">
        <f>ROUND(SUMIFS(CATEGORIAS[[#All],[CAMBIO DE
CATEGORIA]],CATEGORIAS[[#All],[CATEGORIA2]],Imputar[[#This Row],[Categoría]]),0)</f>
        <v>0</v>
      </c>
      <c r="I1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1">
        <f>+ROUND(SUMIFS(CATEGORIAS[[#All],[PROYECCION
TOTAL DE COSTO]],CATEGORIAS[[#All],[CATEGORIA2]],Imputar[[#This Row],[Categoría]]),0)
-Imputar[[#This Row],[Inventario]]
-Imputar[[#This Row],[Pedidos no Rec]]</f>
        <v>0</v>
      </c>
      <c r="K1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1">
        <f>_xlfn.IFNA(VLOOKUP(Imputar[[#This Row],[Categoría]],EIMI!C:T,8,0),0)</f>
        <v>0</v>
      </c>
      <c r="M121">
        <f>_xlfn.IFNA(VLOOKUP(Imputar[[#This Row],[Categoría]],EIMI!C:T,9,0),0)</f>
        <v>0</v>
      </c>
      <c r="N121">
        <f>_xlfn.IFNA(VLOOKUP(Imputar[[#This Row],[Categoría]],EIMI!C:T,10,0),0)</f>
        <v>0</v>
      </c>
    </row>
    <row r="122" spans="1:14" hidden="1" x14ac:dyDescent="0.25">
      <c r="A122" s="210">
        <f>Indice!$I$11</f>
        <v>0</v>
      </c>
      <c r="B122" t="s">
        <v>600</v>
      </c>
      <c r="C122" s="39">
        <f>Indice!$I$12</f>
        <v>45992</v>
      </c>
      <c r="E122">
        <f>ROUND(SUMIFS(CATEGORIAS[[#All],[TOTAL PRODUCCION
ACTUAL]],CATEGORIAS[[#All],[CATEGORIA2]],Imputar[[#This Row],[Categoría]]),0)</f>
        <v>0</v>
      </c>
      <c r="F122">
        <v>0</v>
      </c>
      <c r="G122">
        <f>ROUND(SUMIFS(CATEGORIAS[[#All],[PROYECCION
DE INGRESO
DEL SALDO]],CATEGORIAS[[#All],[CATEGORIA2]],Imputar[[#This Row],[Categoría]]),0)</f>
        <v>0</v>
      </c>
      <c r="H122">
        <f>ROUND(SUMIFS(CATEGORIAS[[#All],[CAMBIO DE
CATEGORIA]],CATEGORIAS[[#All],[CATEGORIA2]],Imputar[[#This Row],[Categoría]]),0)</f>
        <v>0</v>
      </c>
      <c r="I1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2">
        <f>+ROUND(SUMIFS(CATEGORIAS[[#All],[PROYECCION
TOTAL DE COSTO]],CATEGORIAS[[#All],[CATEGORIA2]],Imputar[[#This Row],[Categoría]]),0)
-Imputar[[#This Row],[Inventario]]
-Imputar[[#This Row],[Pedidos no Rec]]</f>
        <v>0</v>
      </c>
      <c r="K1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2">
        <f>_xlfn.IFNA(VLOOKUP(Imputar[[#This Row],[Categoría]],EIMI!C:T,8,0),0)</f>
        <v>0</v>
      </c>
      <c r="M122">
        <f>_xlfn.IFNA(VLOOKUP(Imputar[[#This Row],[Categoría]],EIMI!C:T,9,0),0)</f>
        <v>0</v>
      </c>
      <c r="N122">
        <f>_xlfn.IFNA(VLOOKUP(Imputar[[#This Row],[Categoría]],EIMI!C:T,10,0),0)</f>
        <v>0</v>
      </c>
    </row>
    <row r="123" spans="1:14" hidden="1" x14ac:dyDescent="0.25">
      <c r="A123" s="210">
        <f>Indice!$I$11</f>
        <v>0</v>
      </c>
      <c r="B123" t="s">
        <v>602</v>
      </c>
      <c r="C123" s="39">
        <f>Indice!$I$12</f>
        <v>45992</v>
      </c>
      <c r="E123">
        <f>ROUND(SUMIFS(CATEGORIAS[[#All],[TOTAL PRODUCCION
ACTUAL]],CATEGORIAS[[#All],[CATEGORIA2]],Imputar[[#This Row],[Categoría]]),0)</f>
        <v>0</v>
      </c>
      <c r="F123">
        <v>0</v>
      </c>
      <c r="G123">
        <f>ROUND(SUMIFS(CATEGORIAS[[#All],[PROYECCION
DE INGRESO
DEL SALDO]],CATEGORIAS[[#All],[CATEGORIA2]],Imputar[[#This Row],[Categoría]]),0)</f>
        <v>0</v>
      </c>
      <c r="H123">
        <f>ROUND(SUMIFS(CATEGORIAS[[#All],[CAMBIO DE
CATEGORIA]],CATEGORIAS[[#All],[CATEGORIA2]],Imputar[[#This Row],[Categoría]]),0)</f>
        <v>0</v>
      </c>
      <c r="I1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3">
        <f>+ROUND(SUMIFS(CATEGORIAS[[#All],[PROYECCION
TOTAL DE COSTO]],CATEGORIAS[[#All],[CATEGORIA2]],Imputar[[#This Row],[Categoría]]),0)
-Imputar[[#This Row],[Inventario]]
-Imputar[[#This Row],[Pedidos no Rec]]</f>
        <v>0</v>
      </c>
      <c r="K1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3">
        <f>_xlfn.IFNA(VLOOKUP(Imputar[[#This Row],[Categoría]],EIMI!C:T,8,0),0)</f>
        <v>0</v>
      </c>
      <c r="M123">
        <f>_xlfn.IFNA(VLOOKUP(Imputar[[#This Row],[Categoría]],EIMI!C:T,9,0),0)</f>
        <v>0</v>
      </c>
      <c r="N123">
        <f>_xlfn.IFNA(VLOOKUP(Imputar[[#This Row],[Categoría]],EIMI!C:T,10,0),0)</f>
        <v>0</v>
      </c>
    </row>
    <row r="124" spans="1:14" hidden="1" x14ac:dyDescent="0.25">
      <c r="A124" s="210">
        <f>Indice!$I$11</f>
        <v>0</v>
      </c>
      <c r="B124" t="s">
        <v>604</v>
      </c>
      <c r="C124" s="39">
        <f>Indice!$I$12</f>
        <v>45992</v>
      </c>
      <c r="E124">
        <f>ROUND(SUMIFS(CATEGORIAS[[#All],[TOTAL PRODUCCION
ACTUAL]],CATEGORIAS[[#All],[CATEGORIA2]],Imputar[[#This Row],[Categoría]]),0)</f>
        <v>0</v>
      </c>
      <c r="F124">
        <v>0</v>
      </c>
      <c r="G124">
        <f>ROUND(SUMIFS(CATEGORIAS[[#All],[PROYECCION
DE INGRESO
DEL SALDO]],CATEGORIAS[[#All],[CATEGORIA2]],Imputar[[#This Row],[Categoría]]),0)</f>
        <v>0</v>
      </c>
      <c r="H124">
        <f>ROUND(SUMIFS(CATEGORIAS[[#All],[CAMBIO DE
CATEGORIA]],CATEGORIAS[[#All],[CATEGORIA2]],Imputar[[#This Row],[Categoría]]),0)</f>
        <v>0</v>
      </c>
      <c r="I1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4">
        <f>+ROUND(SUMIFS(CATEGORIAS[[#All],[PROYECCION
TOTAL DE COSTO]],CATEGORIAS[[#All],[CATEGORIA2]],Imputar[[#This Row],[Categoría]]),0)
-Imputar[[#This Row],[Inventario]]
-Imputar[[#This Row],[Pedidos no Rec]]</f>
        <v>0</v>
      </c>
      <c r="K1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4">
        <f>_xlfn.IFNA(VLOOKUP(Imputar[[#This Row],[Categoría]],EIMI!C:T,8,0),0)</f>
        <v>0</v>
      </c>
      <c r="M124">
        <f>_xlfn.IFNA(VLOOKUP(Imputar[[#This Row],[Categoría]],EIMI!C:T,9,0),0)</f>
        <v>0</v>
      </c>
      <c r="N124">
        <f>_xlfn.IFNA(VLOOKUP(Imputar[[#This Row],[Categoría]],EIMI!C:T,10,0),0)</f>
        <v>0</v>
      </c>
    </row>
    <row r="125" spans="1:14" hidden="1" x14ac:dyDescent="0.25">
      <c r="A125" s="210">
        <f>Indice!$I$11</f>
        <v>0</v>
      </c>
      <c r="B125" t="s">
        <v>606</v>
      </c>
      <c r="C125" s="39">
        <f>Indice!$I$12</f>
        <v>45992</v>
      </c>
      <c r="E125">
        <f>ROUND(SUMIFS(CATEGORIAS[[#All],[TOTAL PRODUCCION
ACTUAL]],CATEGORIAS[[#All],[CATEGORIA2]],Imputar[[#This Row],[Categoría]]),0)</f>
        <v>0</v>
      </c>
      <c r="F125">
        <v>0</v>
      </c>
      <c r="G125">
        <f>ROUND(SUMIFS(CATEGORIAS[[#All],[PROYECCION
DE INGRESO
DEL SALDO]],CATEGORIAS[[#All],[CATEGORIA2]],Imputar[[#This Row],[Categoría]]),0)</f>
        <v>0</v>
      </c>
      <c r="H125">
        <f>ROUND(SUMIFS(CATEGORIAS[[#All],[CAMBIO DE
CATEGORIA]],CATEGORIAS[[#All],[CATEGORIA2]],Imputar[[#This Row],[Categoría]]),0)</f>
        <v>0</v>
      </c>
      <c r="I1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5">
        <f>+ROUND(SUMIFS(CATEGORIAS[[#All],[PROYECCION
TOTAL DE COSTO]],CATEGORIAS[[#All],[CATEGORIA2]],Imputar[[#This Row],[Categoría]]),0)
-Imputar[[#This Row],[Inventario]]
-Imputar[[#This Row],[Pedidos no Rec]]</f>
        <v>0</v>
      </c>
      <c r="K1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5">
        <f>_xlfn.IFNA(VLOOKUP(Imputar[[#This Row],[Categoría]],EIMI!C:T,8,0),0)</f>
        <v>0</v>
      </c>
      <c r="M125">
        <f>_xlfn.IFNA(VLOOKUP(Imputar[[#This Row],[Categoría]],EIMI!C:T,9,0),0)</f>
        <v>0</v>
      </c>
      <c r="N125">
        <f>_xlfn.IFNA(VLOOKUP(Imputar[[#This Row],[Categoría]],EIMI!C:T,10,0),0)</f>
        <v>0</v>
      </c>
    </row>
    <row r="126" spans="1:14" hidden="1" x14ac:dyDescent="0.25">
      <c r="A126" s="210">
        <f>Indice!$I$11</f>
        <v>0</v>
      </c>
      <c r="B126" t="s">
        <v>608</v>
      </c>
      <c r="C126" s="39">
        <f>Indice!$I$12</f>
        <v>45992</v>
      </c>
      <c r="E126">
        <f>ROUND(SUMIFS(CATEGORIAS[[#All],[TOTAL PRODUCCION
ACTUAL]],CATEGORIAS[[#All],[CATEGORIA2]],Imputar[[#This Row],[Categoría]]),0)</f>
        <v>0</v>
      </c>
      <c r="F126">
        <v>0</v>
      </c>
      <c r="G126">
        <f>ROUND(SUMIFS(CATEGORIAS[[#All],[PROYECCION
DE INGRESO
DEL SALDO]],CATEGORIAS[[#All],[CATEGORIA2]],Imputar[[#This Row],[Categoría]]),0)</f>
        <v>0</v>
      </c>
      <c r="H126">
        <f>ROUND(SUMIFS(CATEGORIAS[[#All],[CAMBIO DE
CATEGORIA]],CATEGORIAS[[#All],[CATEGORIA2]],Imputar[[#This Row],[Categoría]]),0)</f>
        <v>0</v>
      </c>
      <c r="I1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6">
        <f>+ROUND(SUMIFS(CATEGORIAS[[#All],[PROYECCION
TOTAL DE COSTO]],CATEGORIAS[[#All],[CATEGORIA2]],Imputar[[#This Row],[Categoría]]),0)
-Imputar[[#This Row],[Inventario]]
-Imputar[[#This Row],[Pedidos no Rec]]</f>
        <v>0</v>
      </c>
      <c r="K1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6">
        <f>_xlfn.IFNA(VLOOKUP(Imputar[[#This Row],[Categoría]],EIMI!C:T,8,0),0)</f>
        <v>0</v>
      </c>
      <c r="M126">
        <f>_xlfn.IFNA(VLOOKUP(Imputar[[#This Row],[Categoría]],EIMI!C:T,9,0),0)</f>
        <v>0</v>
      </c>
      <c r="N126">
        <f>_xlfn.IFNA(VLOOKUP(Imputar[[#This Row],[Categoría]],EIMI!C:T,10,0),0)</f>
        <v>0</v>
      </c>
    </row>
    <row r="127" spans="1:14" hidden="1" x14ac:dyDescent="0.25">
      <c r="A127" s="210">
        <f>Indice!$I$11</f>
        <v>0</v>
      </c>
      <c r="B127" t="s">
        <v>610</v>
      </c>
      <c r="C127" s="39">
        <f>Indice!$I$12</f>
        <v>45992</v>
      </c>
      <c r="E127">
        <f>ROUND(SUMIFS(CATEGORIAS[[#All],[TOTAL PRODUCCION
ACTUAL]],CATEGORIAS[[#All],[CATEGORIA2]],Imputar[[#This Row],[Categoría]]),0)</f>
        <v>0</v>
      </c>
      <c r="F127">
        <v>0</v>
      </c>
      <c r="G127">
        <f>ROUND(SUMIFS(CATEGORIAS[[#All],[PROYECCION
DE INGRESO
DEL SALDO]],CATEGORIAS[[#All],[CATEGORIA2]],Imputar[[#This Row],[Categoría]]),0)</f>
        <v>0</v>
      </c>
      <c r="H127">
        <f>ROUND(SUMIFS(CATEGORIAS[[#All],[CAMBIO DE
CATEGORIA]],CATEGORIAS[[#All],[CATEGORIA2]],Imputar[[#This Row],[Categoría]]),0)</f>
        <v>0</v>
      </c>
      <c r="I1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7">
        <f>+ROUND(SUMIFS(CATEGORIAS[[#All],[PROYECCION
TOTAL DE COSTO]],CATEGORIAS[[#All],[CATEGORIA2]],Imputar[[#This Row],[Categoría]]),0)
-Imputar[[#This Row],[Inventario]]
-Imputar[[#This Row],[Pedidos no Rec]]</f>
        <v>0</v>
      </c>
      <c r="K1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7">
        <f>_xlfn.IFNA(VLOOKUP(Imputar[[#This Row],[Categoría]],EIMI!C:T,8,0),0)</f>
        <v>0</v>
      </c>
      <c r="M127">
        <f>_xlfn.IFNA(VLOOKUP(Imputar[[#This Row],[Categoría]],EIMI!C:T,9,0),0)</f>
        <v>0</v>
      </c>
      <c r="N127">
        <f>_xlfn.IFNA(VLOOKUP(Imputar[[#This Row],[Categoría]],EIMI!C:T,10,0),0)</f>
        <v>0</v>
      </c>
    </row>
    <row r="128" spans="1:14" hidden="1" x14ac:dyDescent="0.25">
      <c r="A128" s="210">
        <f>Indice!$I$11</f>
        <v>0</v>
      </c>
      <c r="B128" t="s">
        <v>612</v>
      </c>
      <c r="C128" s="39">
        <f>Indice!$I$12</f>
        <v>45992</v>
      </c>
      <c r="E128">
        <f>ROUND(SUMIFS(CATEGORIAS[[#All],[TOTAL PRODUCCION
ACTUAL]],CATEGORIAS[[#All],[CATEGORIA2]],Imputar[[#This Row],[Categoría]]),0)</f>
        <v>0</v>
      </c>
      <c r="F128">
        <v>0</v>
      </c>
      <c r="G128">
        <f>ROUND(SUMIFS(CATEGORIAS[[#All],[PROYECCION
DE INGRESO
DEL SALDO]],CATEGORIAS[[#All],[CATEGORIA2]],Imputar[[#This Row],[Categoría]]),0)</f>
        <v>0</v>
      </c>
      <c r="H128">
        <f>ROUND(SUMIFS(CATEGORIAS[[#All],[CAMBIO DE
CATEGORIA]],CATEGORIAS[[#All],[CATEGORIA2]],Imputar[[#This Row],[Categoría]]),0)</f>
        <v>0</v>
      </c>
      <c r="I1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8">
        <f>+ROUND(SUMIFS(CATEGORIAS[[#All],[PROYECCION
TOTAL DE COSTO]],CATEGORIAS[[#All],[CATEGORIA2]],Imputar[[#This Row],[Categoría]]),0)
-Imputar[[#This Row],[Inventario]]
-Imputar[[#This Row],[Pedidos no Rec]]</f>
        <v>0</v>
      </c>
      <c r="K1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8">
        <f>_xlfn.IFNA(VLOOKUP(Imputar[[#This Row],[Categoría]],EIMI!C:T,8,0),0)</f>
        <v>0</v>
      </c>
      <c r="M128">
        <f>_xlfn.IFNA(VLOOKUP(Imputar[[#This Row],[Categoría]],EIMI!C:T,9,0),0)</f>
        <v>0</v>
      </c>
      <c r="N128">
        <f>_xlfn.IFNA(VLOOKUP(Imputar[[#This Row],[Categoría]],EIMI!C:T,10,0),0)</f>
        <v>0</v>
      </c>
    </row>
    <row r="129" spans="1:14" hidden="1" x14ac:dyDescent="0.25">
      <c r="A129" s="210">
        <f>Indice!$I$11</f>
        <v>0</v>
      </c>
      <c r="B129" t="s">
        <v>614</v>
      </c>
      <c r="C129" s="39">
        <f>Indice!$I$12</f>
        <v>45992</v>
      </c>
      <c r="E129">
        <f>ROUND(SUMIFS(CATEGORIAS[[#All],[TOTAL PRODUCCION
ACTUAL]],CATEGORIAS[[#All],[CATEGORIA2]],Imputar[[#This Row],[Categoría]]),0)</f>
        <v>0</v>
      </c>
      <c r="F129">
        <v>0</v>
      </c>
      <c r="G129">
        <f>ROUND(SUMIFS(CATEGORIAS[[#All],[PROYECCION
DE INGRESO
DEL SALDO]],CATEGORIAS[[#All],[CATEGORIA2]],Imputar[[#This Row],[Categoría]]),0)</f>
        <v>0</v>
      </c>
      <c r="H129">
        <f>ROUND(SUMIFS(CATEGORIAS[[#All],[CAMBIO DE
CATEGORIA]],CATEGORIAS[[#All],[CATEGORIA2]],Imputar[[#This Row],[Categoría]]),0)</f>
        <v>0</v>
      </c>
      <c r="I1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9">
        <f>+ROUND(SUMIFS(CATEGORIAS[[#All],[PROYECCION
TOTAL DE COSTO]],CATEGORIAS[[#All],[CATEGORIA2]],Imputar[[#This Row],[Categoría]]),0)
-Imputar[[#This Row],[Inventario]]
-Imputar[[#This Row],[Pedidos no Rec]]</f>
        <v>0</v>
      </c>
      <c r="K1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9">
        <f>_xlfn.IFNA(VLOOKUP(Imputar[[#This Row],[Categoría]],EIMI!C:T,8,0),0)</f>
        <v>0</v>
      </c>
      <c r="M129">
        <f>_xlfn.IFNA(VLOOKUP(Imputar[[#This Row],[Categoría]],EIMI!C:T,9,0),0)</f>
        <v>0</v>
      </c>
      <c r="N129">
        <f>_xlfn.IFNA(VLOOKUP(Imputar[[#This Row],[Categoría]],EIMI!C:T,10,0),0)</f>
        <v>0</v>
      </c>
    </row>
    <row r="130" spans="1:14" hidden="1" x14ac:dyDescent="0.25">
      <c r="A130" s="210">
        <f>Indice!$I$11</f>
        <v>0</v>
      </c>
      <c r="B130" t="s">
        <v>616</v>
      </c>
      <c r="C130" s="39">
        <f>Indice!$I$12</f>
        <v>45992</v>
      </c>
      <c r="E130">
        <f>ROUND(SUMIFS(CATEGORIAS[[#All],[TOTAL PRODUCCION
ACTUAL]],CATEGORIAS[[#All],[CATEGORIA2]],Imputar[[#This Row],[Categoría]]),0)</f>
        <v>0</v>
      </c>
      <c r="F130">
        <v>0</v>
      </c>
      <c r="G130">
        <f>ROUND(SUMIFS(CATEGORIAS[[#All],[PROYECCION
DE INGRESO
DEL SALDO]],CATEGORIAS[[#All],[CATEGORIA2]],Imputar[[#This Row],[Categoría]]),0)</f>
        <v>0</v>
      </c>
      <c r="H130">
        <f>ROUND(SUMIFS(CATEGORIAS[[#All],[CAMBIO DE
CATEGORIA]],CATEGORIAS[[#All],[CATEGORIA2]],Imputar[[#This Row],[Categoría]]),0)</f>
        <v>0</v>
      </c>
      <c r="I1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0">
        <f>+ROUND(SUMIFS(CATEGORIAS[[#All],[PROYECCION
TOTAL DE COSTO]],CATEGORIAS[[#All],[CATEGORIA2]],Imputar[[#This Row],[Categoría]]),0)
-Imputar[[#This Row],[Inventario]]
-Imputar[[#This Row],[Pedidos no Rec]]</f>
        <v>0</v>
      </c>
      <c r="K1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0">
        <f>_xlfn.IFNA(VLOOKUP(Imputar[[#This Row],[Categoría]],EIMI!C:T,8,0),0)</f>
        <v>0</v>
      </c>
      <c r="M130">
        <f>_xlfn.IFNA(VLOOKUP(Imputar[[#This Row],[Categoría]],EIMI!C:T,9,0),0)</f>
        <v>0</v>
      </c>
      <c r="N130">
        <f>_xlfn.IFNA(VLOOKUP(Imputar[[#This Row],[Categoría]],EIMI!C:T,10,0),0)</f>
        <v>0</v>
      </c>
    </row>
    <row r="131" spans="1:14" hidden="1" x14ac:dyDescent="0.25">
      <c r="A131" s="210">
        <f>Indice!$I$11</f>
        <v>0</v>
      </c>
      <c r="B131" t="s">
        <v>618</v>
      </c>
      <c r="C131" s="39">
        <f>Indice!$I$12</f>
        <v>45992</v>
      </c>
      <c r="E131">
        <f>ROUND(SUMIFS(CATEGORIAS[[#All],[TOTAL PRODUCCION
ACTUAL]],CATEGORIAS[[#All],[CATEGORIA2]],Imputar[[#This Row],[Categoría]]),0)</f>
        <v>0</v>
      </c>
      <c r="F131">
        <v>0</v>
      </c>
      <c r="G131">
        <f>ROUND(SUMIFS(CATEGORIAS[[#All],[PROYECCION
DE INGRESO
DEL SALDO]],CATEGORIAS[[#All],[CATEGORIA2]],Imputar[[#This Row],[Categoría]]),0)</f>
        <v>0</v>
      </c>
      <c r="H131">
        <f>ROUND(SUMIFS(CATEGORIAS[[#All],[CAMBIO DE
CATEGORIA]],CATEGORIAS[[#All],[CATEGORIA2]],Imputar[[#This Row],[Categoría]]),0)</f>
        <v>0</v>
      </c>
      <c r="I1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1">
        <f>+ROUND(SUMIFS(CATEGORIAS[[#All],[PROYECCION
TOTAL DE COSTO]],CATEGORIAS[[#All],[CATEGORIA2]],Imputar[[#This Row],[Categoría]]),0)
-Imputar[[#This Row],[Inventario]]
-Imputar[[#This Row],[Pedidos no Rec]]</f>
        <v>0</v>
      </c>
      <c r="K1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1">
        <f>_xlfn.IFNA(VLOOKUP(Imputar[[#This Row],[Categoría]],EIMI!C:T,8,0),0)</f>
        <v>0</v>
      </c>
      <c r="M131">
        <f>_xlfn.IFNA(VLOOKUP(Imputar[[#This Row],[Categoría]],EIMI!C:T,9,0),0)</f>
        <v>0</v>
      </c>
      <c r="N131">
        <f>_xlfn.IFNA(VLOOKUP(Imputar[[#This Row],[Categoría]],EIMI!C:T,10,0),0)</f>
        <v>0</v>
      </c>
    </row>
    <row r="132" spans="1:14" hidden="1" x14ac:dyDescent="0.25">
      <c r="A132" s="210">
        <f>Indice!$I$11</f>
        <v>0</v>
      </c>
      <c r="B132" t="s">
        <v>620</v>
      </c>
      <c r="C132" s="39">
        <f>Indice!$I$12</f>
        <v>45992</v>
      </c>
      <c r="E132">
        <f>ROUND(SUMIFS(CATEGORIAS[[#All],[TOTAL PRODUCCION
ACTUAL]],CATEGORIAS[[#All],[CATEGORIA2]],Imputar[[#This Row],[Categoría]]),0)</f>
        <v>0</v>
      </c>
      <c r="F132">
        <v>0</v>
      </c>
      <c r="G132">
        <f>ROUND(SUMIFS(CATEGORIAS[[#All],[PROYECCION
DE INGRESO
DEL SALDO]],CATEGORIAS[[#All],[CATEGORIA2]],Imputar[[#This Row],[Categoría]]),0)</f>
        <v>0</v>
      </c>
      <c r="H132">
        <f>ROUND(SUMIFS(CATEGORIAS[[#All],[CAMBIO DE
CATEGORIA]],CATEGORIAS[[#All],[CATEGORIA2]],Imputar[[#This Row],[Categoría]]),0)</f>
        <v>0</v>
      </c>
      <c r="I1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2">
        <f>+ROUND(SUMIFS(CATEGORIAS[[#All],[PROYECCION
TOTAL DE COSTO]],CATEGORIAS[[#All],[CATEGORIA2]],Imputar[[#This Row],[Categoría]]),0)
-Imputar[[#This Row],[Inventario]]
-Imputar[[#This Row],[Pedidos no Rec]]</f>
        <v>0</v>
      </c>
      <c r="K1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2">
        <f>_xlfn.IFNA(VLOOKUP(Imputar[[#This Row],[Categoría]],EIMI!C:T,8,0),0)</f>
        <v>0</v>
      </c>
      <c r="M132">
        <f>_xlfn.IFNA(VLOOKUP(Imputar[[#This Row],[Categoría]],EIMI!C:T,9,0),0)</f>
        <v>0</v>
      </c>
      <c r="N132">
        <f>_xlfn.IFNA(VLOOKUP(Imputar[[#This Row],[Categoría]],EIMI!C:T,10,0),0)</f>
        <v>0</v>
      </c>
    </row>
    <row r="133" spans="1:14" hidden="1" x14ac:dyDescent="0.25">
      <c r="A133" s="210">
        <f>Indice!$I$11</f>
        <v>0</v>
      </c>
      <c r="B133" t="s">
        <v>622</v>
      </c>
      <c r="C133" s="39">
        <f>Indice!$I$12</f>
        <v>45992</v>
      </c>
      <c r="E133">
        <f>ROUND(SUMIFS(CATEGORIAS[[#All],[TOTAL PRODUCCION
ACTUAL]],CATEGORIAS[[#All],[CATEGORIA2]],Imputar[[#This Row],[Categoría]]),0)</f>
        <v>0</v>
      </c>
      <c r="F133">
        <v>0</v>
      </c>
      <c r="G133">
        <f>ROUND(SUMIFS(CATEGORIAS[[#All],[PROYECCION
DE INGRESO
DEL SALDO]],CATEGORIAS[[#All],[CATEGORIA2]],Imputar[[#This Row],[Categoría]]),0)</f>
        <v>0</v>
      </c>
      <c r="H133">
        <f>ROUND(SUMIFS(CATEGORIAS[[#All],[CAMBIO DE
CATEGORIA]],CATEGORIAS[[#All],[CATEGORIA2]],Imputar[[#This Row],[Categoría]]),0)</f>
        <v>0</v>
      </c>
      <c r="I1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3">
        <f>+ROUND(SUMIFS(CATEGORIAS[[#All],[PROYECCION
TOTAL DE COSTO]],CATEGORIAS[[#All],[CATEGORIA2]],Imputar[[#This Row],[Categoría]]),0)
-Imputar[[#This Row],[Inventario]]
-Imputar[[#This Row],[Pedidos no Rec]]</f>
        <v>0</v>
      </c>
      <c r="K1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3">
        <f>_xlfn.IFNA(VLOOKUP(Imputar[[#This Row],[Categoría]],EIMI!C:T,8,0),0)</f>
        <v>0</v>
      </c>
      <c r="M133">
        <f>_xlfn.IFNA(VLOOKUP(Imputar[[#This Row],[Categoría]],EIMI!C:T,9,0),0)</f>
        <v>0</v>
      </c>
      <c r="N133">
        <f>_xlfn.IFNA(VLOOKUP(Imputar[[#This Row],[Categoría]],EIMI!C:T,10,0),0)</f>
        <v>0</v>
      </c>
    </row>
    <row r="134" spans="1:14" hidden="1" x14ac:dyDescent="0.25">
      <c r="A134" s="210">
        <f>Indice!$I$11</f>
        <v>0</v>
      </c>
      <c r="B134" t="s">
        <v>624</v>
      </c>
      <c r="C134" s="39">
        <f>Indice!$I$12</f>
        <v>45992</v>
      </c>
      <c r="E134">
        <f>ROUND(SUMIFS(CATEGORIAS[[#All],[TOTAL PRODUCCION
ACTUAL]],CATEGORIAS[[#All],[CATEGORIA2]],Imputar[[#This Row],[Categoría]]),0)</f>
        <v>0</v>
      </c>
      <c r="F134">
        <v>0</v>
      </c>
      <c r="G134">
        <f>ROUND(SUMIFS(CATEGORIAS[[#All],[PROYECCION
DE INGRESO
DEL SALDO]],CATEGORIAS[[#All],[CATEGORIA2]],Imputar[[#This Row],[Categoría]]),0)</f>
        <v>0</v>
      </c>
      <c r="H134">
        <f>ROUND(SUMIFS(CATEGORIAS[[#All],[CAMBIO DE
CATEGORIA]],CATEGORIAS[[#All],[CATEGORIA2]],Imputar[[#This Row],[Categoría]]),0)</f>
        <v>0</v>
      </c>
      <c r="I1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4">
        <f>+ROUND(SUMIFS(CATEGORIAS[[#All],[PROYECCION
TOTAL DE COSTO]],CATEGORIAS[[#All],[CATEGORIA2]],Imputar[[#This Row],[Categoría]]),0)
-Imputar[[#This Row],[Inventario]]
-Imputar[[#This Row],[Pedidos no Rec]]</f>
        <v>0</v>
      </c>
      <c r="K1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4">
        <f>_xlfn.IFNA(VLOOKUP(Imputar[[#This Row],[Categoría]],EIMI!C:T,8,0),0)</f>
        <v>0</v>
      </c>
      <c r="M134">
        <f>_xlfn.IFNA(VLOOKUP(Imputar[[#This Row],[Categoría]],EIMI!C:T,9,0),0)</f>
        <v>0</v>
      </c>
      <c r="N134">
        <f>_xlfn.IFNA(VLOOKUP(Imputar[[#This Row],[Categoría]],EIMI!C:T,10,0),0)</f>
        <v>0</v>
      </c>
    </row>
    <row r="135" spans="1:14" hidden="1" x14ac:dyDescent="0.25">
      <c r="A135" s="210">
        <f>Indice!$I$11</f>
        <v>0</v>
      </c>
      <c r="B135" t="s">
        <v>626</v>
      </c>
      <c r="C135" s="39">
        <f>Indice!$I$12</f>
        <v>45992</v>
      </c>
      <c r="E135">
        <f>ROUND(SUMIFS(CATEGORIAS[[#All],[TOTAL PRODUCCION
ACTUAL]],CATEGORIAS[[#All],[CATEGORIA2]],Imputar[[#This Row],[Categoría]]),0)</f>
        <v>0</v>
      </c>
      <c r="F135">
        <v>0</v>
      </c>
      <c r="G135">
        <f>ROUND(SUMIFS(CATEGORIAS[[#All],[PROYECCION
DE INGRESO
DEL SALDO]],CATEGORIAS[[#All],[CATEGORIA2]],Imputar[[#This Row],[Categoría]]),0)</f>
        <v>0</v>
      </c>
      <c r="H135">
        <f>ROUND(SUMIFS(CATEGORIAS[[#All],[CAMBIO DE
CATEGORIA]],CATEGORIAS[[#All],[CATEGORIA2]],Imputar[[#This Row],[Categoría]]),0)</f>
        <v>0</v>
      </c>
      <c r="I1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5">
        <f>+ROUND(SUMIFS(CATEGORIAS[[#All],[PROYECCION
TOTAL DE COSTO]],CATEGORIAS[[#All],[CATEGORIA2]],Imputar[[#This Row],[Categoría]]),0)
-Imputar[[#This Row],[Inventario]]
-Imputar[[#This Row],[Pedidos no Rec]]</f>
        <v>0</v>
      </c>
      <c r="K1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5">
        <f>_xlfn.IFNA(VLOOKUP(Imputar[[#This Row],[Categoría]],EIMI!C:T,8,0),0)</f>
        <v>0</v>
      </c>
      <c r="M135">
        <f>_xlfn.IFNA(VLOOKUP(Imputar[[#This Row],[Categoría]],EIMI!C:T,9,0),0)</f>
        <v>0</v>
      </c>
      <c r="N135">
        <f>_xlfn.IFNA(VLOOKUP(Imputar[[#This Row],[Categoría]],EIMI!C:T,10,0),0)</f>
        <v>0</v>
      </c>
    </row>
    <row r="136" spans="1:14" hidden="1" x14ac:dyDescent="0.25">
      <c r="A136" s="210">
        <f>Indice!$I$11</f>
        <v>0</v>
      </c>
      <c r="B136" t="s">
        <v>628</v>
      </c>
      <c r="C136" s="39">
        <f>Indice!$I$12</f>
        <v>45992</v>
      </c>
      <c r="E136">
        <f>ROUND(SUMIFS(CATEGORIAS[[#All],[TOTAL PRODUCCION
ACTUAL]],CATEGORIAS[[#All],[CATEGORIA2]],Imputar[[#This Row],[Categoría]]),0)</f>
        <v>0</v>
      </c>
      <c r="F136">
        <v>0</v>
      </c>
      <c r="G136">
        <f>ROUND(SUMIFS(CATEGORIAS[[#All],[PROYECCION
DE INGRESO
DEL SALDO]],CATEGORIAS[[#All],[CATEGORIA2]],Imputar[[#This Row],[Categoría]]),0)</f>
        <v>0</v>
      </c>
      <c r="H136">
        <f>ROUND(SUMIFS(CATEGORIAS[[#All],[CAMBIO DE
CATEGORIA]],CATEGORIAS[[#All],[CATEGORIA2]],Imputar[[#This Row],[Categoría]]),0)</f>
        <v>0</v>
      </c>
      <c r="I1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6">
        <f>+ROUND(SUMIFS(CATEGORIAS[[#All],[PROYECCION
TOTAL DE COSTO]],CATEGORIAS[[#All],[CATEGORIA2]],Imputar[[#This Row],[Categoría]]),0)
-Imputar[[#This Row],[Inventario]]
-Imputar[[#This Row],[Pedidos no Rec]]</f>
        <v>0</v>
      </c>
      <c r="K1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6">
        <f>_xlfn.IFNA(VLOOKUP(Imputar[[#This Row],[Categoría]],EIMI!C:T,8,0),0)</f>
        <v>0</v>
      </c>
      <c r="M136">
        <f>_xlfn.IFNA(VLOOKUP(Imputar[[#This Row],[Categoría]],EIMI!C:T,9,0),0)</f>
        <v>0</v>
      </c>
      <c r="N136">
        <f>_xlfn.IFNA(VLOOKUP(Imputar[[#This Row],[Categoría]],EIMI!C:T,10,0),0)</f>
        <v>0</v>
      </c>
    </row>
    <row r="137" spans="1:14" hidden="1" x14ac:dyDescent="0.25">
      <c r="A137" s="210">
        <f>Indice!$I$11</f>
        <v>0</v>
      </c>
      <c r="B137" t="s">
        <v>630</v>
      </c>
      <c r="C137" s="39">
        <f>Indice!$I$12</f>
        <v>45992</v>
      </c>
      <c r="E137">
        <f>ROUND(SUMIFS(CATEGORIAS[[#All],[TOTAL PRODUCCION
ACTUAL]],CATEGORIAS[[#All],[CATEGORIA2]],Imputar[[#This Row],[Categoría]]),0)</f>
        <v>0</v>
      </c>
      <c r="F137">
        <v>0</v>
      </c>
      <c r="G137">
        <f>ROUND(SUMIFS(CATEGORIAS[[#All],[PROYECCION
DE INGRESO
DEL SALDO]],CATEGORIAS[[#All],[CATEGORIA2]],Imputar[[#This Row],[Categoría]]),0)</f>
        <v>0</v>
      </c>
      <c r="H137">
        <f>ROUND(SUMIFS(CATEGORIAS[[#All],[CAMBIO DE
CATEGORIA]],CATEGORIAS[[#All],[CATEGORIA2]],Imputar[[#This Row],[Categoría]]),0)</f>
        <v>0</v>
      </c>
      <c r="I1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7">
        <f>+ROUND(SUMIFS(CATEGORIAS[[#All],[PROYECCION
TOTAL DE COSTO]],CATEGORIAS[[#All],[CATEGORIA2]],Imputar[[#This Row],[Categoría]]),0)
-Imputar[[#This Row],[Inventario]]
-Imputar[[#This Row],[Pedidos no Rec]]</f>
        <v>0</v>
      </c>
      <c r="K1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7">
        <f>_xlfn.IFNA(VLOOKUP(Imputar[[#This Row],[Categoría]],EIMI!C:T,8,0),0)</f>
        <v>0</v>
      </c>
      <c r="M137">
        <f>_xlfn.IFNA(VLOOKUP(Imputar[[#This Row],[Categoría]],EIMI!C:T,9,0),0)</f>
        <v>0</v>
      </c>
      <c r="N137">
        <f>_xlfn.IFNA(VLOOKUP(Imputar[[#This Row],[Categoría]],EIMI!C:T,10,0),0)</f>
        <v>0</v>
      </c>
    </row>
    <row r="138" spans="1:14" hidden="1" x14ac:dyDescent="0.25">
      <c r="A138" s="210">
        <f>Indice!$I$11</f>
        <v>0</v>
      </c>
      <c r="B138" t="s">
        <v>632</v>
      </c>
      <c r="C138" s="39">
        <f>Indice!$I$12</f>
        <v>45992</v>
      </c>
      <c r="E138">
        <f>ROUND(SUMIFS(CATEGORIAS[[#All],[TOTAL PRODUCCION
ACTUAL]],CATEGORIAS[[#All],[CATEGORIA2]],Imputar[[#This Row],[Categoría]]),0)</f>
        <v>0</v>
      </c>
      <c r="F138">
        <v>0</v>
      </c>
      <c r="G138">
        <f>ROUND(SUMIFS(CATEGORIAS[[#All],[PROYECCION
DE INGRESO
DEL SALDO]],CATEGORIAS[[#All],[CATEGORIA2]],Imputar[[#This Row],[Categoría]]),0)</f>
        <v>0</v>
      </c>
      <c r="H138">
        <f>ROUND(SUMIFS(CATEGORIAS[[#All],[CAMBIO DE
CATEGORIA]],CATEGORIAS[[#All],[CATEGORIA2]],Imputar[[#This Row],[Categoría]]),0)</f>
        <v>0</v>
      </c>
      <c r="I1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8">
        <f>+ROUND(SUMIFS(CATEGORIAS[[#All],[PROYECCION
TOTAL DE COSTO]],CATEGORIAS[[#All],[CATEGORIA2]],Imputar[[#This Row],[Categoría]]),0)
-Imputar[[#This Row],[Inventario]]
-Imputar[[#This Row],[Pedidos no Rec]]</f>
        <v>0</v>
      </c>
      <c r="K1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8">
        <f>_xlfn.IFNA(VLOOKUP(Imputar[[#This Row],[Categoría]],EIMI!C:T,8,0),0)</f>
        <v>0</v>
      </c>
      <c r="M138">
        <f>_xlfn.IFNA(VLOOKUP(Imputar[[#This Row],[Categoría]],EIMI!C:T,9,0),0)</f>
        <v>0</v>
      </c>
      <c r="N138">
        <f>_xlfn.IFNA(VLOOKUP(Imputar[[#This Row],[Categoría]],EIMI!C:T,10,0),0)</f>
        <v>0</v>
      </c>
    </row>
    <row r="139" spans="1:14" hidden="1" x14ac:dyDescent="0.25">
      <c r="A139" s="210">
        <f>Indice!$I$11</f>
        <v>0</v>
      </c>
      <c r="B139" t="s">
        <v>634</v>
      </c>
      <c r="C139" s="39">
        <f>Indice!$I$12</f>
        <v>45992</v>
      </c>
      <c r="E139">
        <f>ROUND(SUMIFS(CATEGORIAS[[#All],[TOTAL PRODUCCION
ACTUAL]],CATEGORIAS[[#All],[CATEGORIA2]],Imputar[[#This Row],[Categoría]]),0)</f>
        <v>0</v>
      </c>
      <c r="F139">
        <v>0</v>
      </c>
      <c r="G139">
        <f>ROUND(SUMIFS(CATEGORIAS[[#All],[PROYECCION
DE INGRESO
DEL SALDO]],CATEGORIAS[[#All],[CATEGORIA2]],Imputar[[#This Row],[Categoría]]),0)</f>
        <v>0</v>
      </c>
      <c r="H139">
        <f>ROUND(SUMIFS(CATEGORIAS[[#All],[CAMBIO DE
CATEGORIA]],CATEGORIAS[[#All],[CATEGORIA2]],Imputar[[#This Row],[Categoría]]),0)</f>
        <v>0</v>
      </c>
      <c r="I1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9">
        <f>+ROUND(SUMIFS(CATEGORIAS[[#All],[PROYECCION
TOTAL DE COSTO]],CATEGORIAS[[#All],[CATEGORIA2]],Imputar[[#This Row],[Categoría]]),0)
-Imputar[[#This Row],[Inventario]]
-Imputar[[#This Row],[Pedidos no Rec]]</f>
        <v>0</v>
      </c>
      <c r="K1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9">
        <f>_xlfn.IFNA(VLOOKUP(Imputar[[#This Row],[Categoría]],EIMI!C:T,8,0),0)</f>
        <v>0</v>
      </c>
      <c r="M139">
        <f>_xlfn.IFNA(VLOOKUP(Imputar[[#This Row],[Categoría]],EIMI!C:T,9,0),0)</f>
        <v>0</v>
      </c>
      <c r="N139">
        <f>_xlfn.IFNA(VLOOKUP(Imputar[[#This Row],[Categoría]],EIMI!C:T,10,0),0)</f>
        <v>0</v>
      </c>
    </row>
    <row r="140" spans="1:14" hidden="1" x14ac:dyDescent="0.25">
      <c r="A140" s="210">
        <f>Indice!$I$11</f>
        <v>0</v>
      </c>
      <c r="B140" t="s">
        <v>636</v>
      </c>
      <c r="C140" s="39">
        <f>Indice!$I$12</f>
        <v>45992</v>
      </c>
      <c r="E140">
        <f>ROUND(SUMIFS(CATEGORIAS[[#All],[TOTAL PRODUCCION
ACTUAL]],CATEGORIAS[[#All],[CATEGORIA2]],Imputar[[#This Row],[Categoría]]),0)</f>
        <v>0</v>
      </c>
      <c r="F140">
        <v>0</v>
      </c>
      <c r="G140">
        <f>ROUND(SUMIFS(CATEGORIAS[[#All],[PROYECCION
DE INGRESO
DEL SALDO]],CATEGORIAS[[#All],[CATEGORIA2]],Imputar[[#This Row],[Categoría]]),0)</f>
        <v>0</v>
      </c>
      <c r="H140">
        <f>ROUND(SUMIFS(CATEGORIAS[[#All],[CAMBIO DE
CATEGORIA]],CATEGORIAS[[#All],[CATEGORIA2]],Imputar[[#This Row],[Categoría]]),0)</f>
        <v>0</v>
      </c>
      <c r="I1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0">
        <f>+ROUND(SUMIFS(CATEGORIAS[[#All],[PROYECCION
TOTAL DE COSTO]],CATEGORIAS[[#All],[CATEGORIA2]],Imputar[[#This Row],[Categoría]]),0)
-Imputar[[#This Row],[Inventario]]
-Imputar[[#This Row],[Pedidos no Rec]]</f>
        <v>0</v>
      </c>
      <c r="K1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0">
        <f>_xlfn.IFNA(VLOOKUP(Imputar[[#This Row],[Categoría]],EIMI!C:T,8,0),0)</f>
        <v>0</v>
      </c>
      <c r="M140">
        <f>_xlfn.IFNA(VLOOKUP(Imputar[[#This Row],[Categoría]],EIMI!C:T,9,0),0)</f>
        <v>0</v>
      </c>
      <c r="N140">
        <f>_xlfn.IFNA(VLOOKUP(Imputar[[#This Row],[Categoría]],EIMI!C:T,10,0),0)</f>
        <v>0</v>
      </c>
    </row>
    <row r="141" spans="1:14" hidden="1" x14ac:dyDescent="0.25">
      <c r="A141" s="210">
        <f>Indice!$I$11</f>
        <v>0</v>
      </c>
      <c r="B141" t="s">
        <v>638</v>
      </c>
      <c r="C141" s="39">
        <f>Indice!$I$12</f>
        <v>45992</v>
      </c>
      <c r="E141">
        <f>ROUND(SUMIFS(CATEGORIAS[[#All],[TOTAL PRODUCCION
ACTUAL]],CATEGORIAS[[#All],[CATEGORIA2]],Imputar[[#This Row],[Categoría]]),0)</f>
        <v>0</v>
      </c>
      <c r="F141">
        <v>0</v>
      </c>
      <c r="G141">
        <f>ROUND(SUMIFS(CATEGORIAS[[#All],[PROYECCION
DE INGRESO
DEL SALDO]],CATEGORIAS[[#All],[CATEGORIA2]],Imputar[[#This Row],[Categoría]]),0)</f>
        <v>0</v>
      </c>
      <c r="H141">
        <f>ROUND(SUMIFS(CATEGORIAS[[#All],[CAMBIO DE
CATEGORIA]],CATEGORIAS[[#All],[CATEGORIA2]],Imputar[[#This Row],[Categoría]]),0)</f>
        <v>0</v>
      </c>
      <c r="I1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1">
        <f>+ROUND(SUMIFS(CATEGORIAS[[#All],[PROYECCION
TOTAL DE COSTO]],CATEGORIAS[[#All],[CATEGORIA2]],Imputar[[#This Row],[Categoría]]),0)
-Imputar[[#This Row],[Inventario]]
-Imputar[[#This Row],[Pedidos no Rec]]</f>
        <v>0</v>
      </c>
      <c r="K1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1">
        <f>_xlfn.IFNA(VLOOKUP(Imputar[[#This Row],[Categoría]],EIMI!C:T,8,0),0)</f>
        <v>0</v>
      </c>
      <c r="M141">
        <f>_xlfn.IFNA(VLOOKUP(Imputar[[#This Row],[Categoría]],EIMI!C:T,9,0),0)</f>
        <v>0</v>
      </c>
      <c r="N141">
        <f>_xlfn.IFNA(VLOOKUP(Imputar[[#This Row],[Categoría]],EIMI!C:T,10,0),0)</f>
        <v>0</v>
      </c>
    </row>
    <row r="142" spans="1:14" hidden="1" x14ac:dyDescent="0.25">
      <c r="A142" s="210">
        <f>Indice!$I$11</f>
        <v>0</v>
      </c>
      <c r="B142" t="s">
        <v>640</v>
      </c>
      <c r="C142" s="39">
        <f>Indice!$I$12</f>
        <v>45992</v>
      </c>
      <c r="E142">
        <f>ROUND(SUMIFS(CATEGORIAS[[#All],[TOTAL PRODUCCION
ACTUAL]],CATEGORIAS[[#All],[CATEGORIA2]],Imputar[[#This Row],[Categoría]]),0)</f>
        <v>0</v>
      </c>
      <c r="F142">
        <v>0</v>
      </c>
      <c r="G142">
        <f>ROUND(SUMIFS(CATEGORIAS[[#All],[PROYECCION
DE INGRESO
DEL SALDO]],CATEGORIAS[[#All],[CATEGORIA2]],Imputar[[#This Row],[Categoría]]),0)</f>
        <v>0</v>
      </c>
      <c r="H142">
        <f>ROUND(SUMIFS(CATEGORIAS[[#All],[CAMBIO DE
CATEGORIA]],CATEGORIAS[[#All],[CATEGORIA2]],Imputar[[#This Row],[Categoría]]),0)</f>
        <v>0</v>
      </c>
      <c r="I1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2">
        <f>+ROUND(SUMIFS(CATEGORIAS[[#All],[PROYECCION
TOTAL DE COSTO]],CATEGORIAS[[#All],[CATEGORIA2]],Imputar[[#This Row],[Categoría]]),0)
-Imputar[[#This Row],[Inventario]]
-Imputar[[#This Row],[Pedidos no Rec]]</f>
        <v>0</v>
      </c>
      <c r="K1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2">
        <f>_xlfn.IFNA(VLOOKUP(Imputar[[#This Row],[Categoría]],EIMI!C:T,8,0),0)</f>
        <v>0</v>
      </c>
      <c r="M142">
        <f>_xlfn.IFNA(VLOOKUP(Imputar[[#This Row],[Categoría]],EIMI!C:T,9,0),0)</f>
        <v>0</v>
      </c>
      <c r="N142">
        <f>_xlfn.IFNA(VLOOKUP(Imputar[[#This Row],[Categoría]],EIMI!C:T,10,0),0)</f>
        <v>0</v>
      </c>
    </row>
    <row r="143" spans="1:14" hidden="1" x14ac:dyDescent="0.25">
      <c r="A143" s="210">
        <f>Indice!$I$11</f>
        <v>0</v>
      </c>
      <c r="B143" t="s">
        <v>642</v>
      </c>
      <c r="C143" s="39">
        <f>Indice!$I$12</f>
        <v>45992</v>
      </c>
      <c r="E143">
        <f>ROUND(SUMIFS(CATEGORIAS[[#All],[TOTAL PRODUCCION
ACTUAL]],CATEGORIAS[[#All],[CATEGORIA2]],Imputar[[#This Row],[Categoría]]),0)</f>
        <v>0</v>
      </c>
      <c r="F143">
        <v>0</v>
      </c>
      <c r="G143">
        <f>ROUND(SUMIFS(CATEGORIAS[[#All],[PROYECCION
DE INGRESO
DEL SALDO]],CATEGORIAS[[#All],[CATEGORIA2]],Imputar[[#This Row],[Categoría]]),0)</f>
        <v>0</v>
      </c>
      <c r="H143">
        <f>ROUND(SUMIFS(CATEGORIAS[[#All],[CAMBIO DE
CATEGORIA]],CATEGORIAS[[#All],[CATEGORIA2]],Imputar[[#This Row],[Categoría]]),0)</f>
        <v>0</v>
      </c>
      <c r="I1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3">
        <f>+ROUND(SUMIFS(CATEGORIAS[[#All],[PROYECCION
TOTAL DE COSTO]],CATEGORIAS[[#All],[CATEGORIA2]],Imputar[[#This Row],[Categoría]]),0)
-Imputar[[#This Row],[Inventario]]
-Imputar[[#This Row],[Pedidos no Rec]]</f>
        <v>0</v>
      </c>
      <c r="K1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3">
        <f>_xlfn.IFNA(VLOOKUP(Imputar[[#This Row],[Categoría]],EIMI!C:T,8,0),0)</f>
        <v>0</v>
      </c>
      <c r="M143">
        <f>_xlfn.IFNA(VLOOKUP(Imputar[[#This Row],[Categoría]],EIMI!C:T,9,0),0)</f>
        <v>0</v>
      </c>
      <c r="N143">
        <f>_xlfn.IFNA(VLOOKUP(Imputar[[#This Row],[Categoría]],EIMI!C:T,10,0),0)</f>
        <v>0</v>
      </c>
    </row>
    <row r="144" spans="1:14" hidden="1" x14ac:dyDescent="0.25">
      <c r="A144" s="210">
        <f>Indice!$I$11</f>
        <v>0</v>
      </c>
      <c r="B144" t="s">
        <v>644</v>
      </c>
      <c r="C144" s="39">
        <f>Indice!$I$12</f>
        <v>45992</v>
      </c>
      <c r="E144">
        <f>ROUND(SUMIFS(CATEGORIAS[[#All],[TOTAL PRODUCCION
ACTUAL]],CATEGORIAS[[#All],[CATEGORIA2]],Imputar[[#This Row],[Categoría]]),0)</f>
        <v>0</v>
      </c>
      <c r="F144">
        <v>0</v>
      </c>
      <c r="G144">
        <f>ROUND(SUMIFS(CATEGORIAS[[#All],[PROYECCION
DE INGRESO
DEL SALDO]],CATEGORIAS[[#All],[CATEGORIA2]],Imputar[[#This Row],[Categoría]]),0)</f>
        <v>0</v>
      </c>
      <c r="H144">
        <f>ROUND(SUMIFS(CATEGORIAS[[#All],[CAMBIO DE
CATEGORIA]],CATEGORIAS[[#All],[CATEGORIA2]],Imputar[[#This Row],[Categoría]]),0)</f>
        <v>0</v>
      </c>
      <c r="I1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4">
        <f>+ROUND(SUMIFS(CATEGORIAS[[#All],[PROYECCION
TOTAL DE COSTO]],CATEGORIAS[[#All],[CATEGORIA2]],Imputar[[#This Row],[Categoría]]),0)
-Imputar[[#This Row],[Inventario]]
-Imputar[[#This Row],[Pedidos no Rec]]</f>
        <v>0</v>
      </c>
      <c r="K1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4">
        <f>_xlfn.IFNA(VLOOKUP(Imputar[[#This Row],[Categoría]],EIMI!C:T,8,0),0)</f>
        <v>0</v>
      </c>
      <c r="M144">
        <f>_xlfn.IFNA(VLOOKUP(Imputar[[#This Row],[Categoría]],EIMI!C:T,9,0),0)</f>
        <v>0</v>
      </c>
      <c r="N144">
        <f>_xlfn.IFNA(VLOOKUP(Imputar[[#This Row],[Categoría]],EIMI!C:T,10,0),0)</f>
        <v>0</v>
      </c>
    </row>
    <row r="145" spans="1:14" hidden="1" x14ac:dyDescent="0.25">
      <c r="A145" s="210">
        <f>Indice!$I$11</f>
        <v>0</v>
      </c>
      <c r="B145" t="s">
        <v>646</v>
      </c>
      <c r="C145" s="39">
        <f>Indice!$I$12</f>
        <v>45992</v>
      </c>
      <c r="E145">
        <f>ROUND(SUMIFS(CATEGORIAS[[#All],[TOTAL PRODUCCION
ACTUAL]],CATEGORIAS[[#All],[CATEGORIA2]],Imputar[[#This Row],[Categoría]]),0)</f>
        <v>0</v>
      </c>
      <c r="F145">
        <v>0</v>
      </c>
      <c r="G145">
        <f>ROUND(SUMIFS(CATEGORIAS[[#All],[PROYECCION
DE INGRESO
DEL SALDO]],CATEGORIAS[[#All],[CATEGORIA2]],Imputar[[#This Row],[Categoría]]),0)</f>
        <v>0</v>
      </c>
      <c r="H145">
        <f>ROUND(SUMIFS(CATEGORIAS[[#All],[CAMBIO DE
CATEGORIA]],CATEGORIAS[[#All],[CATEGORIA2]],Imputar[[#This Row],[Categoría]]),0)</f>
        <v>0</v>
      </c>
      <c r="I1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5">
        <f>+ROUND(SUMIFS(CATEGORIAS[[#All],[PROYECCION
TOTAL DE COSTO]],CATEGORIAS[[#All],[CATEGORIA2]],Imputar[[#This Row],[Categoría]]),0)
-Imputar[[#This Row],[Inventario]]
-Imputar[[#This Row],[Pedidos no Rec]]</f>
        <v>0</v>
      </c>
      <c r="K1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5">
        <f>_xlfn.IFNA(VLOOKUP(Imputar[[#This Row],[Categoría]],EIMI!C:T,8,0),0)</f>
        <v>0</v>
      </c>
      <c r="M145">
        <f>_xlfn.IFNA(VLOOKUP(Imputar[[#This Row],[Categoría]],EIMI!C:T,9,0),0)</f>
        <v>0</v>
      </c>
      <c r="N145">
        <f>_xlfn.IFNA(VLOOKUP(Imputar[[#This Row],[Categoría]],EIMI!C:T,10,0),0)</f>
        <v>0</v>
      </c>
    </row>
    <row r="146" spans="1:14" hidden="1" x14ac:dyDescent="0.25">
      <c r="A146" s="210">
        <f>Indice!$I$11</f>
        <v>0</v>
      </c>
      <c r="B146" t="s">
        <v>648</v>
      </c>
      <c r="C146" s="39">
        <f>Indice!$I$12</f>
        <v>45992</v>
      </c>
      <c r="E146">
        <f>ROUND(SUMIFS(CATEGORIAS[[#All],[TOTAL PRODUCCION
ACTUAL]],CATEGORIAS[[#All],[CATEGORIA2]],Imputar[[#This Row],[Categoría]]),0)</f>
        <v>0</v>
      </c>
      <c r="F146">
        <v>0</v>
      </c>
      <c r="G146">
        <f>ROUND(SUMIFS(CATEGORIAS[[#All],[PROYECCION
DE INGRESO
DEL SALDO]],CATEGORIAS[[#All],[CATEGORIA2]],Imputar[[#This Row],[Categoría]]),0)</f>
        <v>0</v>
      </c>
      <c r="H146">
        <f>ROUND(SUMIFS(CATEGORIAS[[#All],[CAMBIO DE
CATEGORIA]],CATEGORIAS[[#All],[CATEGORIA2]],Imputar[[#This Row],[Categoría]]),0)</f>
        <v>0</v>
      </c>
      <c r="I1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6">
        <f>+ROUND(SUMIFS(CATEGORIAS[[#All],[PROYECCION
TOTAL DE COSTO]],CATEGORIAS[[#All],[CATEGORIA2]],Imputar[[#This Row],[Categoría]]),0)
-Imputar[[#This Row],[Inventario]]
-Imputar[[#This Row],[Pedidos no Rec]]</f>
        <v>0</v>
      </c>
      <c r="K1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6">
        <f>_xlfn.IFNA(VLOOKUP(Imputar[[#This Row],[Categoría]],EIMI!C:T,8,0),0)</f>
        <v>0</v>
      </c>
      <c r="M146">
        <f>_xlfn.IFNA(VLOOKUP(Imputar[[#This Row],[Categoría]],EIMI!C:T,9,0),0)</f>
        <v>0</v>
      </c>
      <c r="N146">
        <f>_xlfn.IFNA(VLOOKUP(Imputar[[#This Row],[Categoría]],EIMI!C:T,10,0),0)</f>
        <v>0</v>
      </c>
    </row>
    <row r="147" spans="1:14" hidden="1" x14ac:dyDescent="0.25">
      <c r="A147" s="210">
        <f>Indice!$I$11</f>
        <v>0</v>
      </c>
      <c r="B147" t="s">
        <v>650</v>
      </c>
      <c r="C147" s="39">
        <f>Indice!$I$12</f>
        <v>45992</v>
      </c>
      <c r="E147">
        <f>ROUND(SUMIFS(CATEGORIAS[[#All],[TOTAL PRODUCCION
ACTUAL]],CATEGORIAS[[#All],[CATEGORIA2]],Imputar[[#This Row],[Categoría]]),0)</f>
        <v>0</v>
      </c>
      <c r="F147">
        <v>0</v>
      </c>
      <c r="G147">
        <f>ROUND(SUMIFS(CATEGORIAS[[#All],[PROYECCION
DE INGRESO
DEL SALDO]],CATEGORIAS[[#All],[CATEGORIA2]],Imputar[[#This Row],[Categoría]]),0)</f>
        <v>0</v>
      </c>
      <c r="H147">
        <f>ROUND(SUMIFS(CATEGORIAS[[#All],[CAMBIO DE
CATEGORIA]],CATEGORIAS[[#All],[CATEGORIA2]],Imputar[[#This Row],[Categoría]]),0)</f>
        <v>0</v>
      </c>
      <c r="I1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7">
        <f>+ROUND(SUMIFS(CATEGORIAS[[#All],[PROYECCION
TOTAL DE COSTO]],CATEGORIAS[[#All],[CATEGORIA2]],Imputar[[#This Row],[Categoría]]),0)
-Imputar[[#This Row],[Inventario]]
-Imputar[[#This Row],[Pedidos no Rec]]</f>
        <v>0</v>
      </c>
      <c r="K1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7">
        <f>_xlfn.IFNA(VLOOKUP(Imputar[[#This Row],[Categoría]],EIMI!C:T,8,0),0)</f>
        <v>0</v>
      </c>
      <c r="M147">
        <f>_xlfn.IFNA(VLOOKUP(Imputar[[#This Row],[Categoría]],EIMI!C:T,9,0),0)</f>
        <v>0</v>
      </c>
      <c r="N147">
        <f>_xlfn.IFNA(VLOOKUP(Imputar[[#This Row],[Categoría]],EIMI!C:T,10,0),0)</f>
        <v>0</v>
      </c>
    </row>
    <row r="148" spans="1:14" hidden="1" x14ac:dyDescent="0.25">
      <c r="A148" s="210">
        <f>Indice!$I$11</f>
        <v>0</v>
      </c>
      <c r="B148" t="s">
        <v>652</v>
      </c>
      <c r="C148" s="39">
        <f>Indice!$I$12</f>
        <v>45992</v>
      </c>
      <c r="E148">
        <f>ROUND(SUMIFS(CATEGORIAS[[#All],[TOTAL PRODUCCION
ACTUAL]],CATEGORIAS[[#All],[CATEGORIA2]],Imputar[[#This Row],[Categoría]]),0)</f>
        <v>0</v>
      </c>
      <c r="F148">
        <v>0</v>
      </c>
      <c r="G148">
        <f>ROUND(SUMIFS(CATEGORIAS[[#All],[PROYECCION
DE INGRESO
DEL SALDO]],CATEGORIAS[[#All],[CATEGORIA2]],Imputar[[#This Row],[Categoría]]),0)</f>
        <v>0</v>
      </c>
      <c r="H148">
        <f>ROUND(SUMIFS(CATEGORIAS[[#All],[CAMBIO DE
CATEGORIA]],CATEGORIAS[[#All],[CATEGORIA2]],Imputar[[#This Row],[Categoría]]),0)</f>
        <v>0</v>
      </c>
      <c r="I1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8">
        <f>+ROUND(SUMIFS(CATEGORIAS[[#All],[PROYECCION
TOTAL DE COSTO]],CATEGORIAS[[#All],[CATEGORIA2]],Imputar[[#This Row],[Categoría]]),0)
-Imputar[[#This Row],[Inventario]]
-Imputar[[#This Row],[Pedidos no Rec]]</f>
        <v>0</v>
      </c>
      <c r="K1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8">
        <f>_xlfn.IFNA(VLOOKUP(Imputar[[#This Row],[Categoría]],EIMI!C:T,8,0),0)</f>
        <v>0</v>
      </c>
      <c r="M148">
        <f>_xlfn.IFNA(VLOOKUP(Imputar[[#This Row],[Categoría]],EIMI!C:T,9,0),0)</f>
        <v>0</v>
      </c>
      <c r="N148">
        <f>_xlfn.IFNA(VLOOKUP(Imputar[[#This Row],[Categoría]],EIMI!C:T,10,0),0)</f>
        <v>0</v>
      </c>
    </row>
    <row r="149" spans="1:14" hidden="1" x14ac:dyDescent="0.25">
      <c r="A149" s="210">
        <f>Indice!$I$11</f>
        <v>0</v>
      </c>
      <c r="B149" t="s">
        <v>654</v>
      </c>
      <c r="C149" s="39">
        <f>Indice!$I$12</f>
        <v>45992</v>
      </c>
      <c r="E149">
        <f>ROUND(SUMIFS(CATEGORIAS[[#All],[TOTAL PRODUCCION
ACTUAL]],CATEGORIAS[[#All],[CATEGORIA2]],Imputar[[#This Row],[Categoría]]),0)</f>
        <v>0</v>
      </c>
      <c r="F149">
        <v>0</v>
      </c>
      <c r="G149">
        <f>ROUND(SUMIFS(CATEGORIAS[[#All],[PROYECCION
DE INGRESO
DEL SALDO]],CATEGORIAS[[#All],[CATEGORIA2]],Imputar[[#This Row],[Categoría]]),0)</f>
        <v>0</v>
      </c>
      <c r="H149">
        <f>ROUND(SUMIFS(CATEGORIAS[[#All],[CAMBIO DE
CATEGORIA]],CATEGORIAS[[#All],[CATEGORIA2]],Imputar[[#This Row],[Categoría]]),0)</f>
        <v>0</v>
      </c>
      <c r="I1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9">
        <f>+ROUND(SUMIFS(CATEGORIAS[[#All],[PROYECCION
TOTAL DE COSTO]],CATEGORIAS[[#All],[CATEGORIA2]],Imputar[[#This Row],[Categoría]]),0)
-Imputar[[#This Row],[Inventario]]
-Imputar[[#This Row],[Pedidos no Rec]]</f>
        <v>0</v>
      </c>
      <c r="K1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9">
        <f>_xlfn.IFNA(VLOOKUP(Imputar[[#This Row],[Categoría]],EIMI!C:T,8,0),0)</f>
        <v>0</v>
      </c>
      <c r="M149">
        <f>_xlfn.IFNA(VLOOKUP(Imputar[[#This Row],[Categoría]],EIMI!C:T,9,0),0)</f>
        <v>0</v>
      </c>
      <c r="N149">
        <f>_xlfn.IFNA(VLOOKUP(Imputar[[#This Row],[Categoría]],EIMI!C:T,10,0),0)</f>
        <v>0</v>
      </c>
    </row>
    <row r="150" spans="1:14" hidden="1" x14ac:dyDescent="0.25">
      <c r="A150" s="210">
        <f>Indice!$I$11</f>
        <v>0</v>
      </c>
      <c r="B150" t="s">
        <v>656</v>
      </c>
      <c r="C150" s="39">
        <f>Indice!$I$12</f>
        <v>45992</v>
      </c>
      <c r="E150">
        <f>ROUND(SUMIFS(CATEGORIAS[[#All],[TOTAL PRODUCCION
ACTUAL]],CATEGORIAS[[#All],[CATEGORIA2]],Imputar[[#This Row],[Categoría]]),0)</f>
        <v>0</v>
      </c>
      <c r="F150">
        <v>0</v>
      </c>
      <c r="G150">
        <f>ROUND(SUMIFS(CATEGORIAS[[#All],[PROYECCION
DE INGRESO
DEL SALDO]],CATEGORIAS[[#All],[CATEGORIA2]],Imputar[[#This Row],[Categoría]]),0)</f>
        <v>0</v>
      </c>
      <c r="H150">
        <f>ROUND(SUMIFS(CATEGORIAS[[#All],[CAMBIO DE
CATEGORIA]],CATEGORIAS[[#All],[CATEGORIA2]],Imputar[[#This Row],[Categoría]]),0)</f>
        <v>0</v>
      </c>
      <c r="I1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0">
        <f>+ROUND(SUMIFS(CATEGORIAS[[#All],[PROYECCION
TOTAL DE COSTO]],CATEGORIAS[[#All],[CATEGORIA2]],Imputar[[#This Row],[Categoría]]),0)
-Imputar[[#This Row],[Inventario]]
-Imputar[[#This Row],[Pedidos no Rec]]</f>
        <v>0</v>
      </c>
      <c r="K1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0">
        <f>_xlfn.IFNA(VLOOKUP(Imputar[[#This Row],[Categoría]],EIMI!C:T,8,0),0)</f>
        <v>0</v>
      </c>
      <c r="M150">
        <f>_xlfn.IFNA(VLOOKUP(Imputar[[#This Row],[Categoría]],EIMI!C:T,9,0),0)</f>
        <v>0</v>
      </c>
      <c r="N150">
        <f>_xlfn.IFNA(VLOOKUP(Imputar[[#This Row],[Categoría]],EIMI!C:T,10,0),0)</f>
        <v>0</v>
      </c>
    </row>
    <row r="151" spans="1:14" hidden="1" x14ac:dyDescent="0.25">
      <c r="A151" s="210">
        <f>Indice!$I$11</f>
        <v>0</v>
      </c>
      <c r="B151" t="s">
        <v>658</v>
      </c>
      <c r="C151" s="39">
        <f>Indice!$I$12</f>
        <v>45992</v>
      </c>
      <c r="E151">
        <f>ROUND(SUMIFS(CATEGORIAS[[#All],[TOTAL PRODUCCION
ACTUAL]],CATEGORIAS[[#All],[CATEGORIA2]],Imputar[[#This Row],[Categoría]]),0)</f>
        <v>0</v>
      </c>
      <c r="F151">
        <v>0</v>
      </c>
      <c r="G151">
        <f>ROUND(SUMIFS(CATEGORIAS[[#All],[PROYECCION
DE INGRESO
DEL SALDO]],CATEGORIAS[[#All],[CATEGORIA2]],Imputar[[#This Row],[Categoría]]),0)</f>
        <v>0</v>
      </c>
      <c r="H151">
        <f>ROUND(SUMIFS(CATEGORIAS[[#All],[CAMBIO DE
CATEGORIA]],CATEGORIAS[[#All],[CATEGORIA2]],Imputar[[#This Row],[Categoría]]),0)</f>
        <v>0</v>
      </c>
      <c r="I1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1">
        <f>+ROUND(SUMIFS(CATEGORIAS[[#All],[PROYECCION
TOTAL DE COSTO]],CATEGORIAS[[#All],[CATEGORIA2]],Imputar[[#This Row],[Categoría]]),0)
-Imputar[[#This Row],[Inventario]]
-Imputar[[#This Row],[Pedidos no Rec]]</f>
        <v>0</v>
      </c>
      <c r="K1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1">
        <f>_xlfn.IFNA(VLOOKUP(Imputar[[#This Row],[Categoría]],EIMI!C:T,8,0),0)</f>
        <v>0</v>
      </c>
      <c r="M151">
        <f>_xlfn.IFNA(VLOOKUP(Imputar[[#This Row],[Categoría]],EIMI!C:T,9,0),0)</f>
        <v>0</v>
      </c>
      <c r="N151">
        <f>_xlfn.IFNA(VLOOKUP(Imputar[[#This Row],[Categoría]],EIMI!C:T,10,0),0)</f>
        <v>0</v>
      </c>
    </row>
    <row r="152" spans="1:14" hidden="1" x14ac:dyDescent="0.25">
      <c r="A152" s="210">
        <f>Indice!$I$11</f>
        <v>0</v>
      </c>
      <c r="B152" t="s">
        <v>660</v>
      </c>
      <c r="C152" s="39">
        <f>Indice!$I$12</f>
        <v>45992</v>
      </c>
      <c r="E152">
        <f>ROUND(SUMIFS(CATEGORIAS[[#All],[TOTAL PRODUCCION
ACTUAL]],CATEGORIAS[[#All],[CATEGORIA2]],Imputar[[#This Row],[Categoría]]),0)</f>
        <v>0</v>
      </c>
      <c r="F152">
        <v>0</v>
      </c>
      <c r="G152">
        <f>ROUND(SUMIFS(CATEGORIAS[[#All],[PROYECCION
DE INGRESO
DEL SALDO]],CATEGORIAS[[#All],[CATEGORIA2]],Imputar[[#This Row],[Categoría]]),0)</f>
        <v>0</v>
      </c>
      <c r="H152">
        <f>ROUND(SUMIFS(CATEGORIAS[[#All],[CAMBIO DE
CATEGORIA]],CATEGORIAS[[#All],[CATEGORIA2]],Imputar[[#This Row],[Categoría]]),0)</f>
        <v>0</v>
      </c>
      <c r="I1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2">
        <f>+ROUND(SUMIFS(CATEGORIAS[[#All],[PROYECCION
TOTAL DE COSTO]],CATEGORIAS[[#All],[CATEGORIA2]],Imputar[[#This Row],[Categoría]]),0)
-Imputar[[#This Row],[Inventario]]
-Imputar[[#This Row],[Pedidos no Rec]]</f>
        <v>0</v>
      </c>
      <c r="K1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2">
        <f>_xlfn.IFNA(VLOOKUP(Imputar[[#This Row],[Categoría]],EIMI!C:T,8,0),0)</f>
        <v>0</v>
      </c>
      <c r="M152">
        <f>_xlfn.IFNA(VLOOKUP(Imputar[[#This Row],[Categoría]],EIMI!C:T,9,0),0)</f>
        <v>0</v>
      </c>
      <c r="N152">
        <f>_xlfn.IFNA(VLOOKUP(Imputar[[#This Row],[Categoría]],EIMI!C:T,10,0),0)</f>
        <v>0</v>
      </c>
    </row>
    <row r="153" spans="1:14" hidden="1" x14ac:dyDescent="0.25">
      <c r="A153" s="210">
        <f>Indice!$I$11</f>
        <v>0</v>
      </c>
      <c r="B153" t="s">
        <v>662</v>
      </c>
      <c r="C153" s="39">
        <f>Indice!$I$12</f>
        <v>45992</v>
      </c>
      <c r="E153">
        <f>ROUND(SUMIFS(CATEGORIAS[[#All],[TOTAL PRODUCCION
ACTUAL]],CATEGORIAS[[#All],[CATEGORIA2]],Imputar[[#This Row],[Categoría]]),0)</f>
        <v>0</v>
      </c>
      <c r="F153">
        <v>0</v>
      </c>
      <c r="G153">
        <f>ROUND(SUMIFS(CATEGORIAS[[#All],[PROYECCION
DE INGRESO
DEL SALDO]],CATEGORIAS[[#All],[CATEGORIA2]],Imputar[[#This Row],[Categoría]]),0)</f>
        <v>0</v>
      </c>
      <c r="H153">
        <f>ROUND(SUMIFS(CATEGORIAS[[#All],[CAMBIO DE
CATEGORIA]],CATEGORIAS[[#All],[CATEGORIA2]],Imputar[[#This Row],[Categoría]]),0)</f>
        <v>0</v>
      </c>
      <c r="I1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3">
        <f>+ROUND(SUMIFS(CATEGORIAS[[#All],[PROYECCION
TOTAL DE COSTO]],CATEGORIAS[[#All],[CATEGORIA2]],Imputar[[#This Row],[Categoría]]),0)
-Imputar[[#This Row],[Inventario]]
-Imputar[[#This Row],[Pedidos no Rec]]</f>
        <v>0</v>
      </c>
      <c r="K1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3">
        <f>_xlfn.IFNA(VLOOKUP(Imputar[[#This Row],[Categoría]],EIMI!C:T,8,0),0)</f>
        <v>0</v>
      </c>
      <c r="M153">
        <f>_xlfn.IFNA(VLOOKUP(Imputar[[#This Row],[Categoría]],EIMI!C:T,9,0),0)</f>
        <v>0</v>
      </c>
      <c r="N153">
        <f>_xlfn.IFNA(VLOOKUP(Imputar[[#This Row],[Categoría]],EIMI!C:T,10,0),0)</f>
        <v>0</v>
      </c>
    </row>
    <row r="154" spans="1:14" hidden="1" x14ac:dyDescent="0.25">
      <c r="A154" s="210">
        <f>Indice!$I$11</f>
        <v>0</v>
      </c>
      <c r="B154" t="s">
        <v>664</v>
      </c>
      <c r="C154" s="39">
        <f>Indice!$I$12</f>
        <v>45992</v>
      </c>
      <c r="E154">
        <f>ROUND(SUMIFS(CATEGORIAS[[#All],[TOTAL PRODUCCION
ACTUAL]],CATEGORIAS[[#All],[CATEGORIA2]],Imputar[[#This Row],[Categoría]]),0)</f>
        <v>0</v>
      </c>
      <c r="F154">
        <v>0</v>
      </c>
      <c r="G154">
        <f>ROUND(SUMIFS(CATEGORIAS[[#All],[PROYECCION
DE INGRESO
DEL SALDO]],CATEGORIAS[[#All],[CATEGORIA2]],Imputar[[#This Row],[Categoría]]),0)</f>
        <v>0</v>
      </c>
      <c r="H154">
        <f>ROUND(SUMIFS(CATEGORIAS[[#All],[CAMBIO DE
CATEGORIA]],CATEGORIAS[[#All],[CATEGORIA2]],Imputar[[#This Row],[Categoría]]),0)</f>
        <v>0</v>
      </c>
      <c r="I1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4">
        <f>+ROUND(SUMIFS(CATEGORIAS[[#All],[PROYECCION
TOTAL DE COSTO]],CATEGORIAS[[#All],[CATEGORIA2]],Imputar[[#This Row],[Categoría]]),0)
-Imputar[[#This Row],[Inventario]]
-Imputar[[#This Row],[Pedidos no Rec]]</f>
        <v>0</v>
      </c>
      <c r="K1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4">
        <f>_xlfn.IFNA(VLOOKUP(Imputar[[#This Row],[Categoría]],EIMI!C:T,8,0),0)</f>
        <v>0</v>
      </c>
      <c r="M154">
        <f>_xlfn.IFNA(VLOOKUP(Imputar[[#This Row],[Categoría]],EIMI!C:T,9,0),0)</f>
        <v>0</v>
      </c>
      <c r="N154">
        <f>_xlfn.IFNA(VLOOKUP(Imputar[[#This Row],[Categoría]],EIMI!C:T,10,0),0)</f>
        <v>0</v>
      </c>
    </row>
    <row r="155" spans="1:14" hidden="1" x14ac:dyDescent="0.25">
      <c r="A155" s="210">
        <f>Indice!$I$11</f>
        <v>0</v>
      </c>
      <c r="B155" t="s">
        <v>666</v>
      </c>
      <c r="C155" s="39">
        <f>Indice!$I$12</f>
        <v>45992</v>
      </c>
      <c r="E155">
        <f>ROUND(SUMIFS(CATEGORIAS[[#All],[TOTAL PRODUCCION
ACTUAL]],CATEGORIAS[[#All],[CATEGORIA2]],Imputar[[#This Row],[Categoría]]),0)</f>
        <v>0</v>
      </c>
      <c r="F155">
        <v>0</v>
      </c>
      <c r="G155">
        <f>ROUND(SUMIFS(CATEGORIAS[[#All],[PROYECCION
DE INGRESO
DEL SALDO]],CATEGORIAS[[#All],[CATEGORIA2]],Imputar[[#This Row],[Categoría]]),0)</f>
        <v>0</v>
      </c>
      <c r="H155">
        <f>ROUND(SUMIFS(CATEGORIAS[[#All],[CAMBIO DE
CATEGORIA]],CATEGORIAS[[#All],[CATEGORIA2]],Imputar[[#This Row],[Categoría]]),0)</f>
        <v>0</v>
      </c>
      <c r="I1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5">
        <f>+ROUND(SUMIFS(CATEGORIAS[[#All],[PROYECCION
TOTAL DE COSTO]],CATEGORIAS[[#All],[CATEGORIA2]],Imputar[[#This Row],[Categoría]]),0)
-Imputar[[#This Row],[Inventario]]
-Imputar[[#This Row],[Pedidos no Rec]]</f>
        <v>0</v>
      </c>
      <c r="K1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5">
        <f>_xlfn.IFNA(VLOOKUP(Imputar[[#This Row],[Categoría]],EIMI!C:T,8,0),0)</f>
        <v>0</v>
      </c>
      <c r="M155">
        <f>_xlfn.IFNA(VLOOKUP(Imputar[[#This Row],[Categoría]],EIMI!C:T,9,0),0)</f>
        <v>0</v>
      </c>
      <c r="N155">
        <f>_xlfn.IFNA(VLOOKUP(Imputar[[#This Row],[Categoría]],EIMI!C:T,10,0),0)</f>
        <v>0</v>
      </c>
    </row>
    <row r="156" spans="1:14" hidden="1" x14ac:dyDescent="0.25">
      <c r="A156" s="210">
        <f>Indice!$I$11</f>
        <v>0</v>
      </c>
      <c r="B156" t="s">
        <v>668</v>
      </c>
      <c r="C156" s="39">
        <f>Indice!$I$12</f>
        <v>45992</v>
      </c>
      <c r="E156">
        <f>ROUND(SUMIFS(CATEGORIAS[[#All],[TOTAL PRODUCCION
ACTUAL]],CATEGORIAS[[#All],[CATEGORIA2]],Imputar[[#This Row],[Categoría]]),0)</f>
        <v>0</v>
      </c>
      <c r="F156">
        <v>0</v>
      </c>
      <c r="G156">
        <f>ROUND(SUMIFS(CATEGORIAS[[#All],[PROYECCION
DE INGRESO
DEL SALDO]],CATEGORIAS[[#All],[CATEGORIA2]],Imputar[[#This Row],[Categoría]]),0)</f>
        <v>0</v>
      </c>
      <c r="H156">
        <f>ROUND(SUMIFS(CATEGORIAS[[#All],[CAMBIO DE
CATEGORIA]],CATEGORIAS[[#All],[CATEGORIA2]],Imputar[[#This Row],[Categoría]]),0)</f>
        <v>0</v>
      </c>
      <c r="I1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6">
        <f>+ROUND(SUMIFS(CATEGORIAS[[#All],[PROYECCION
TOTAL DE COSTO]],CATEGORIAS[[#All],[CATEGORIA2]],Imputar[[#This Row],[Categoría]]),0)
-Imputar[[#This Row],[Inventario]]
-Imputar[[#This Row],[Pedidos no Rec]]</f>
        <v>0</v>
      </c>
      <c r="K1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6">
        <f>_xlfn.IFNA(VLOOKUP(Imputar[[#This Row],[Categoría]],EIMI!C:T,8,0),0)</f>
        <v>0</v>
      </c>
      <c r="M156">
        <f>_xlfn.IFNA(VLOOKUP(Imputar[[#This Row],[Categoría]],EIMI!C:T,9,0),0)</f>
        <v>0</v>
      </c>
      <c r="N156">
        <f>_xlfn.IFNA(VLOOKUP(Imputar[[#This Row],[Categoría]],EIMI!C:T,10,0),0)</f>
        <v>0</v>
      </c>
    </row>
    <row r="157" spans="1:14" hidden="1" x14ac:dyDescent="0.25">
      <c r="A157" s="210">
        <f>Indice!$I$11</f>
        <v>0</v>
      </c>
      <c r="B157" t="s">
        <v>670</v>
      </c>
      <c r="C157" s="39">
        <f>Indice!$I$12</f>
        <v>45992</v>
      </c>
      <c r="E157">
        <f>ROUND(SUMIFS(CATEGORIAS[[#All],[TOTAL PRODUCCION
ACTUAL]],CATEGORIAS[[#All],[CATEGORIA2]],Imputar[[#This Row],[Categoría]]),0)</f>
        <v>0</v>
      </c>
      <c r="F157">
        <v>0</v>
      </c>
      <c r="G157">
        <f>ROUND(SUMIFS(CATEGORIAS[[#All],[PROYECCION
DE INGRESO
DEL SALDO]],CATEGORIAS[[#All],[CATEGORIA2]],Imputar[[#This Row],[Categoría]]),0)</f>
        <v>0</v>
      </c>
      <c r="H157">
        <f>ROUND(SUMIFS(CATEGORIAS[[#All],[CAMBIO DE
CATEGORIA]],CATEGORIAS[[#All],[CATEGORIA2]],Imputar[[#This Row],[Categoría]]),0)</f>
        <v>0</v>
      </c>
      <c r="I1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7">
        <f>+ROUND(SUMIFS(CATEGORIAS[[#All],[PROYECCION
TOTAL DE COSTO]],CATEGORIAS[[#All],[CATEGORIA2]],Imputar[[#This Row],[Categoría]]),0)
-Imputar[[#This Row],[Inventario]]
-Imputar[[#This Row],[Pedidos no Rec]]</f>
        <v>0</v>
      </c>
      <c r="K1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7">
        <f>_xlfn.IFNA(VLOOKUP(Imputar[[#This Row],[Categoría]],EIMI!C:T,8,0),0)</f>
        <v>0</v>
      </c>
      <c r="M157">
        <f>_xlfn.IFNA(VLOOKUP(Imputar[[#This Row],[Categoría]],EIMI!C:T,9,0),0)</f>
        <v>0</v>
      </c>
      <c r="N157">
        <f>_xlfn.IFNA(VLOOKUP(Imputar[[#This Row],[Categoría]],EIMI!C:T,10,0),0)</f>
        <v>0</v>
      </c>
    </row>
    <row r="158" spans="1:14" hidden="1" x14ac:dyDescent="0.25">
      <c r="A158" s="210">
        <f>Indice!$I$11</f>
        <v>0</v>
      </c>
      <c r="B158" t="s">
        <v>672</v>
      </c>
      <c r="C158" s="39">
        <f>Indice!$I$12</f>
        <v>45992</v>
      </c>
      <c r="E158">
        <f>ROUND(SUMIFS(CATEGORIAS[[#All],[TOTAL PRODUCCION
ACTUAL]],CATEGORIAS[[#All],[CATEGORIA2]],Imputar[[#This Row],[Categoría]]),0)</f>
        <v>0</v>
      </c>
      <c r="F158">
        <v>0</v>
      </c>
      <c r="G158">
        <f>ROUND(SUMIFS(CATEGORIAS[[#All],[PROYECCION
DE INGRESO
DEL SALDO]],CATEGORIAS[[#All],[CATEGORIA2]],Imputar[[#This Row],[Categoría]]),0)</f>
        <v>0</v>
      </c>
      <c r="H158">
        <f>ROUND(SUMIFS(CATEGORIAS[[#All],[CAMBIO DE
CATEGORIA]],CATEGORIAS[[#All],[CATEGORIA2]],Imputar[[#This Row],[Categoría]]),0)</f>
        <v>0</v>
      </c>
      <c r="I1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8">
        <f>+ROUND(SUMIFS(CATEGORIAS[[#All],[PROYECCION
TOTAL DE COSTO]],CATEGORIAS[[#All],[CATEGORIA2]],Imputar[[#This Row],[Categoría]]),0)
-Imputar[[#This Row],[Inventario]]
-Imputar[[#This Row],[Pedidos no Rec]]</f>
        <v>0</v>
      </c>
      <c r="K1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8">
        <f>_xlfn.IFNA(VLOOKUP(Imputar[[#This Row],[Categoría]],EIMI!C:T,8,0),0)</f>
        <v>0</v>
      </c>
      <c r="M158">
        <f>_xlfn.IFNA(VLOOKUP(Imputar[[#This Row],[Categoría]],EIMI!C:T,9,0),0)</f>
        <v>0</v>
      </c>
      <c r="N158">
        <f>_xlfn.IFNA(VLOOKUP(Imputar[[#This Row],[Categoría]],EIMI!C:T,10,0),0)</f>
        <v>0</v>
      </c>
    </row>
    <row r="159" spans="1:14" hidden="1" x14ac:dyDescent="0.25">
      <c r="A159" s="210">
        <f>Indice!$I$11</f>
        <v>0</v>
      </c>
      <c r="B159" t="s">
        <v>674</v>
      </c>
      <c r="C159" s="39">
        <f>Indice!$I$12</f>
        <v>45992</v>
      </c>
      <c r="E159">
        <f>ROUND(SUMIFS(CATEGORIAS[[#All],[TOTAL PRODUCCION
ACTUAL]],CATEGORIAS[[#All],[CATEGORIA2]],Imputar[[#This Row],[Categoría]]),0)</f>
        <v>0</v>
      </c>
      <c r="F159">
        <v>0</v>
      </c>
      <c r="G159">
        <f>ROUND(SUMIFS(CATEGORIAS[[#All],[PROYECCION
DE INGRESO
DEL SALDO]],CATEGORIAS[[#All],[CATEGORIA2]],Imputar[[#This Row],[Categoría]]),0)</f>
        <v>0</v>
      </c>
      <c r="H159">
        <f>ROUND(SUMIFS(CATEGORIAS[[#All],[CAMBIO DE
CATEGORIA]],CATEGORIAS[[#All],[CATEGORIA2]],Imputar[[#This Row],[Categoría]]),0)</f>
        <v>0</v>
      </c>
      <c r="I1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9">
        <f>+ROUND(SUMIFS(CATEGORIAS[[#All],[PROYECCION
TOTAL DE COSTO]],CATEGORIAS[[#All],[CATEGORIA2]],Imputar[[#This Row],[Categoría]]),0)
-Imputar[[#This Row],[Inventario]]
-Imputar[[#This Row],[Pedidos no Rec]]</f>
        <v>0</v>
      </c>
      <c r="K1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9">
        <f>_xlfn.IFNA(VLOOKUP(Imputar[[#This Row],[Categoría]],EIMI!C:T,8,0),0)</f>
        <v>0</v>
      </c>
      <c r="M159">
        <f>_xlfn.IFNA(VLOOKUP(Imputar[[#This Row],[Categoría]],EIMI!C:T,9,0),0)</f>
        <v>0</v>
      </c>
      <c r="N159">
        <f>_xlfn.IFNA(VLOOKUP(Imputar[[#This Row],[Categoría]],EIMI!C:T,10,0),0)</f>
        <v>0</v>
      </c>
    </row>
    <row r="160" spans="1:14" hidden="1" x14ac:dyDescent="0.25">
      <c r="A160" s="210">
        <f>Indice!$I$11</f>
        <v>0</v>
      </c>
      <c r="B160" t="s">
        <v>676</v>
      </c>
      <c r="C160" s="39">
        <f>Indice!$I$12</f>
        <v>45992</v>
      </c>
      <c r="E160">
        <f>ROUND(SUMIFS(CATEGORIAS[[#All],[TOTAL PRODUCCION
ACTUAL]],CATEGORIAS[[#All],[CATEGORIA2]],Imputar[[#This Row],[Categoría]]),0)</f>
        <v>0</v>
      </c>
      <c r="F160">
        <v>0</v>
      </c>
      <c r="G160">
        <f>ROUND(SUMIFS(CATEGORIAS[[#All],[PROYECCION
DE INGRESO
DEL SALDO]],CATEGORIAS[[#All],[CATEGORIA2]],Imputar[[#This Row],[Categoría]]),0)</f>
        <v>0</v>
      </c>
      <c r="H160">
        <f>ROUND(SUMIFS(CATEGORIAS[[#All],[CAMBIO DE
CATEGORIA]],CATEGORIAS[[#All],[CATEGORIA2]],Imputar[[#This Row],[Categoría]]),0)</f>
        <v>0</v>
      </c>
      <c r="I1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0">
        <f>+ROUND(SUMIFS(CATEGORIAS[[#All],[PROYECCION
TOTAL DE COSTO]],CATEGORIAS[[#All],[CATEGORIA2]],Imputar[[#This Row],[Categoría]]),0)
-Imputar[[#This Row],[Inventario]]
-Imputar[[#This Row],[Pedidos no Rec]]</f>
        <v>0</v>
      </c>
      <c r="K1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0">
        <f>_xlfn.IFNA(VLOOKUP(Imputar[[#This Row],[Categoría]],EIMI!C:T,8,0),0)</f>
        <v>0</v>
      </c>
      <c r="M160">
        <f>_xlfn.IFNA(VLOOKUP(Imputar[[#This Row],[Categoría]],EIMI!C:T,9,0),0)</f>
        <v>0</v>
      </c>
      <c r="N160">
        <f>_xlfn.IFNA(VLOOKUP(Imputar[[#This Row],[Categoría]],EIMI!C:T,10,0),0)</f>
        <v>0</v>
      </c>
    </row>
    <row r="161" spans="1:14" hidden="1" x14ac:dyDescent="0.25">
      <c r="A161" s="210">
        <f>Indice!$I$11</f>
        <v>0</v>
      </c>
      <c r="B161" t="s">
        <v>678</v>
      </c>
      <c r="C161" s="39">
        <f>Indice!$I$12</f>
        <v>45992</v>
      </c>
      <c r="E161">
        <f>ROUND(SUMIFS(CATEGORIAS[[#All],[TOTAL PRODUCCION
ACTUAL]],CATEGORIAS[[#All],[CATEGORIA2]],Imputar[[#This Row],[Categoría]]),0)</f>
        <v>0</v>
      </c>
      <c r="F161">
        <v>0</v>
      </c>
      <c r="G161">
        <f>ROUND(SUMIFS(CATEGORIAS[[#All],[PROYECCION
DE INGRESO
DEL SALDO]],CATEGORIAS[[#All],[CATEGORIA2]],Imputar[[#This Row],[Categoría]]),0)</f>
        <v>0</v>
      </c>
      <c r="H161">
        <f>ROUND(SUMIFS(CATEGORIAS[[#All],[CAMBIO DE
CATEGORIA]],CATEGORIAS[[#All],[CATEGORIA2]],Imputar[[#This Row],[Categoría]]),0)</f>
        <v>0</v>
      </c>
      <c r="I1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1">
        <f>+ROUND(SUMIFS(CATEGORIAS[[#All],[PROYECCION
TOTAL DE COSTO]],CATEGORIAS[[#All],[CATEGORIA2]],Imputar[[#This Row],[Categoría]]),0)
-Imputar[[#This Row],[Inventario]]
-Imputar[[#This Row],[Pedidos no Rec]]</f>
        <v>0</v>
      </c>
      <c r="K1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1">
        <f>_xlfn.IFNA(VLOOKUP(Imputar[[#This Row],[Categoría]],EIMI!C:T,8,0),0)</f>
        <v>0</v>
      </c>
      <c r="M161">
        <f>_xlfn.IFNA(VLOOKUP(Imputar[[#This Row],[Categoría]],EIMI!C:T,9,0),0)</f>
        <v>0</v>
      </c>
      <c r="N161">
        <f>_xlfn.IFNA(VLOOKUP(Imputar[[#This Row],[Categoría]],EIMI!C:T,10,0),0)</f>
        <v>0</v>
      </c>
    </row>
    <row r="162" spans="1:14" hidden="1" x14ac:dyDescent="0.25">
      <c r="A162" s="210">
        <f>Indice!$I$11</f>
        <v>0</v>
      </c>
      <c r="B162" t="s">
        <v>680</v>
      </c>
      <c r="C162" s="39">
        <f>Indice!$I$12</f>
        <v>45992</v>
      </c>
      <c r="E162">
        <f>ROUND(SUMIFS(CATEGORIAS[[#All],[TOTAL PRODUCCION
ACTUAL]],CATEGORIAS[[#All],[CATEGORIA2]],Imputar[[#This Row],[Categoría]]),0)</f>
        <v>0</v>
      </c>
      <c r="F162">
        <v>0</v>
      </c>
      <c r="G162">
        <f>ROUND(SUMIFS(CATEGORIAS[[#All],[PROYECCION
DE INGRESO
DEL SALDO]],CATEGORIAS[[#All],[CATEGORIA2]],Imputar[[#This Row],[Categoría]]),0)</f>
        <v>0</v>
      </c>
      <c r="H162">
        <f>ROUND(SUMIFS(CATEGORIAS[[#All],[CAMBIO DE
CATEGORIA]],CATEGORIAS[[#All],[CATEGORIA2]],Imputar[[#This Row],[Categoría]]),0)</f>
        <v>0</v>
      </c>
      <c r="I1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2">
        <f>+ROUND(SUMIFS(CATEGORIAS[[#All],[PROYECCION
TOTAL DE COSTO]],CATEGORIAS[[#All],[CATEGORIA2]],Imputar[[#This Row],[Categoría]]),0)
-Imputar[[#This Row],[Inventario]]
-Imputar[[#This Row],[Pedidos no Rec]]</f>
        <v>0</v>
      </c>
      <c r="K1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2">
        <f>_xlfn.IFNA(VLOOKUP(Imputar[[#This Row],[Categoría]],EIMI!C:T,8,0),0)</f>
        <v>0</v>
      </c>
      <c r="M162">
        <f>_xlfn.IFNA(VLOOKUP(Imputar[[#This Row],[Categoría]],EIMI!C:T,9,0),0)</f>
        <v>0</v>
      </c>
      <c r="N162">
        <f>_xlfn.IFNA(VLOOKUP(Imputar[[#This Row],[Categoría]],EIMI!C:T,10,0),0)</f>
        <v>0</v>
      </c>
    </row>
    <row r="163" spans="1:14" hidden="1" x14ac:dyDescent="0.25">
      <c r="A163" s="210">
        <f>Indice!$I$11</f>
        <v>0</v>
      </c>
      <c r="B163" t="s">
        <v>682</v>
      </c>
      <c r="C163" s="39">
        <f>Indice!$I$12</f>
        <v>45992</v>
      </c>
      <c r="E163">
        <f>ROUND(SUMIFS(CATEGORIAS[[#All],[TOTAL PRODUCCION
ACTUAL]],CATEGORIAS[[#All],[CATEGORIA2]],Imputar[[#This Row],[Categoría]]),0)</f>
        <v>0</v>
      </c>
      <c r="F163">
        <v>0</v>
      </c>
      <c r="G163">
        <f>ROUND(SUMIFS(CATEGORIAS[[#All],[PROYECCION
DE INGRESO
DEL SALDO]],CATEGORIAS[[#All],[CATEGORIA2]],Imputar[[#This Row],[Categoría]]),0)</f>
        <v>0</v>
      </c>
      <c r="H163">
        <f>ROUND(SUMIFS(CATEGORIAS[[#All],[CAMBIO DE
CATEGORIA]],CATEGORIAS[[#All],[CATEGORIA2]],Imputar[[#This Row],[Categoría]]),0)</f>
        <v>0</v>
      </c>
      <c r="I1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3">
        <f>+ROUND(SUMIFS(CATEGORIAS[[#All],[PROYECCION
TOTAL DE COSTO]],CATEGORIAS[[#All],[CATEGORIA2]],Imputar[[#This Row],[Categoría]]),0)
-Imputar[[#This Row],[Inventario]]
-Imputar[[#This Row],[Pedidos no Rec]]</f>
        <v>0</v>
      </c>
      <c r="K1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3">
        <f>_xlfn.IFNA(VLOOKUP(Imputar[[#This Row],[Categoría]],EIMI!C:T,8,0),0)</f>
        <v>0</v>
      </c>
      <c r="M163">
        <f>_xlfn.IFNA(VLOOKUP(Imputar[[#This Row],[Categoría]],EIMI!C:T,9,0),0)</f>
        <v>0</v>
      </c>
      <c r="N163">
        <f>_xlfn.IFNA(VLOOKUP(Imputar[[#This Row],[Categoría]],EIMI!C:T,10,0),0)</f>
        <v>0</v>
      </c>
    </row>
    <row r="164" spans="1:14" hidden="1" x14ac:dyDescent="0.25">
      <c r="A164" s="210">
        <f>Indice!$I$11</f>
        <v>0</v>
      </c>
      <c r="B164" t="s">
        <v>687</v>
      </c>
      <c r="C164" s="39">
        <f>Indice!$I$12</f>
        <v>45992</v>
      </c>
      <c r="E164">
        <f>ROUND(SUMIFS(CATEGORIAS[[#All],[TOTAL PRODUCCION
ACTUAL]],CATEGORIAS[[#All],[CATEGORIA2]],Imputar[[#This Row],[Categoría]]),0)</f>
        <v>0</v>
      </c>
      <c r="F164">
        <v>0</v>
      </c>
      <c r="G164">
        <f>ROUND(SUMIFS(CATEGORIAS[[#All],[PROYECCION
DE INGRESO
DEL SALDO]],CATEGORIAS[[#All],[CATEGORIA2]],Imputar[[#This Row],[Categoría]]),0)</f>
        <v>0</v>
      </c>
      <c r="H164">
        <f>ROUND(SUMIFS(CATEGORIAS[[#All],[CAMBIO DE
CATEGORIA]],CATEGORIAS[[#All],[CATEGORIA2]],Imputar[[#This Row],[Categoría]]),0)</f>
        <v>0</v>
      </c>
      <c r="I1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4">
        <f>+ROUND(SUMIFS(CATEGORIAS[[#All],[PROYECCION
TOTAL DE COSTO]],CATEGORIAS[[#All],[CATEGORIA2]],Imputar[[#This Row],[Categoría]]),0)
-Imputar[[#This Row],[Inventario]]
-Imputar[[#This Row],[Pedidos no Rec]]</f>
        <v>0</v>
      </c>
      <c r="K1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4">
        <f>_xlfn.IFNA(VLOOKUP(Imputar[[#This Row],[Categoría]],EIMI!C:T,8,0),0)</f>
        <v>0</v>
      </c>
      <c r="M164">
        <f>_xlfn.IFNA(VLOOKUP(Imputar[[#This Row],[Categoría]],EIMI!C:T,9,0),0)</f>
        <v>0</v>
      </c>
      <c r="N164">
        <f>_xlfn.IFNA(VLOOKUP(Imputar[[#This Row],[Categoría]],EIMI!C:T,10,0),0)</f>
        <v>0</v>
      </c>
    </row>
    <row r="165" spans="1:14" hidden="1" x14ac:dyDescent="0.25">
      <c r="A165" s="210">
        <f>Indice!$I$11</f>
        <v>0</v>
      </c>
      <c r="B165" t="s">
        <v>689</v>
      </c>
      <c r="C165" s="39">
        <f>Indice!$I$12</f>
        <v>45992</v>
      </c>
      <c r="E165">
        <f>ROUND(SUMIFS(CATEGORIAS[[#All],[TOTAL PRODUCCION
ACTUAL]],CATEGORIAS[[#All],[CATEGORIA2]],Imputar[[#This Row],[Categoría]]),0)</f>
        <v>0</v>
      </c>
      <c r="F165">
        <v>0</v>
      </c>
      <c r="G165">
        <f>ROUND(SUMIFS(CATEGORIAS[[#All],[PROYECCION
DE INGRESO
DEL SALDO]],CATEGORIAS[[#All],[CATEGORIA2]],Imputar[[#This Row],[Categoría]]),0)</f>
        <v>0</v>
      </c>
      <c r="H165">
        <f>ROUND(SUMIFS(CATEGORIAS[[#All],[CAMBIO DE
CATEGORIA]],CATEGORIAS[[#All],[CATEGORIA2]],Imputar[[#This Row],[Categoría]]),0)</f>
        <v>0</v>
      </c>
      <c r="I1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5">
        <f>+ROUND(SUMIFS(CATEGORIAS[[#All],[PROYECCION
TOTAL DE COSTO]],CATEGORIAS[[#All],[CATEGORIA2]],Imputar[[#This Row],[Categoría]]),0)
-Imputar[[#This Row],[Inventario]]
-Imputar[[#This Row],[Pedidos no Rec]]</f>
        <v>0</v>
      </c>
      <c r="K1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5">
        <f>_xlfn.IFNA(VLOOKUP(Imputar[[#This Row],[Categoría]],EIMI!C:T,8,0),0)</f>
        <v>0</v>
      </c>
      <c r="M165">
        <f>_xlfn.IFNA(VLOOKUP(Imputar[[#This Row],[Categoría]],EIMI!C:T,9,0),0)</f>
        <v>0</v>
      </c>
      <c r="N165">
        <f>_xlfn.IFNA(VLOOKUP(Imputar[[#This Row],[Categoría]],EIMI!C:T,10,0),0)</f>
        <v>0</v>
      </c>
    </row>
    <row r="166" spans="1:14" hidden="1" x14ac:dyDescent="0.25">
      <c r="A166" s="210">
        <f>Indice!$I$11</f>
        <v>0</v>
      </c>
      <c r="B166" t="s">
        <v>691</v>
      </c>
      <c r="C166" s="39">
        <f>Indice!$I$12</f>
        <v>45992</v>
      </c>
      <c r="E166">
        <f>ROUND(SUMIFS(CATEGORIAS[[#All],[TOTAL PRODUCCION
ACTUAL]],CATEGORIAS[[#All],[CATEGORIA2]],Imputar[[#This Row],[Categoría]]),0)</f>
        <v>0</v>
      </c>
      <c r="F166">
        <v>0</v>
      </c>
      <c r="G166">
        <f>ROUND(SUMIFS(CATEGORIAS[[#All],[PROYECCION
DE INGRESO
DEL SALDO]],CATEGORIAS[[#All],[CATEGORIA2]],Imputar[[#This Row],[Categoría]]),0)</f>
        <v>0</v>
      </c>
      <c r="H166">
        <f>ROUND(SUMIFS(CATEGORIAS[[#All],[CAMBIO DE
CATEGORIA]],CATEGORIAS[[#All],[CATEGORIA2]],Imputar[[#This Row],[Categoría]]),0)</f>
        <v>0</v>
      </c>
      <c r="I1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6">
        <f>+ROUND(SUMIFS(CATEGORIAS[[#All],[PROYECCION
TOTAL DE COSTO]],CATEGORIAS[[#All],[CATEGORIA2]],Imputar[[#This Row],[Categoría]]),0)
-Imputar[[#This Row],[Inventario]]
-Imputar[[#This Row],[Pedidos no Rec]]</f>
        <v>0</v>
      </c>
      <c r="K1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6">
        <f>_xlfn.IFNA(VLOOKUP(Imputar[[#This Row],[Categoría]],EIMI!C:T,8,0),0)</f>
        <v>0</v>
      </c>
      <c r="M166">
        <f>_xlfn.IFNA(VLOOKUP(Imputar[[#This Row],[Categoría]],EIMI!C:T,9,0),0)</f>
        <v>0</v>
      </c>
      <c r="N166">
        <f>_xlfn.IFNA(VLOOKUP(Imputar[[#This Row],[Categoría]],EIMI!C:T,10,0),0)</f>
        <v>0</v>
      </c>
    </row>
    <row r="167" spans="1:14" hidden="1" x14ac:dyDescent="0.25">
      <c r="A167" s="210">
        <f>Indice!$I$11</f>
        <v>0</v>
      </c>
      <c r="B167" t="s">
        <v>693</v>
      </c>
      <c r="C167" s="39">
        <f>Indice!$I$12</f>
        <v>45992</v>
      </c>
      <c r="E167">
        <f>ROUND(SUMIFS(CATEGORIAS[[#All],[TOTAL PRODUCCION
ACTUAL]],CATEGORIAS[[#All],[CATEGORIA2]],Imputar[[#This Row],[Categoría]]),0)</f>
        <v>0</v>
      </c>
      <c r="F167">
        <v>0</v>
      </c>
      <c r="G167">
        <f>ROUND(SUMIFS(CATEGORIAS[[#All],[PROYECCION
DE INGRESO
DEL SALDO]],CATEGORIAS[[#All],[CATEGORIA2]],Imputar[[#This Row],[Categoría]]),0)</f>
        <v>0</v>
      </c>
      <c r="H167">
        <f>ROUND(SUMIFS(CATEGORIAS[[#All],[CAMBIO DE
CATEGORIA]],CATEGORIAS[[#All],[CATEGORIA2]],Imputar[[#This Row],[Categoría]]),0)</f>
        <v>0</v>
      </c>
      <c r="I1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7">
        <f>+ROUND(SUMIFS(CATEGORIAS[[#All],[PROYECCION
TOTAL DE COSTO]],CATEGORIAS[[#All],[CATEGORIA2]],Imputar[[#This Row],[Categoría]]),0)
-Imputar[[#This Row],[Inventario]]
-Imputar[[#This Row],[Pedidos no Rec]]</f>
        <v>0</v>
      </c>
      <c r="K1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7">
        <f>_xlfn.IFNA(VLOOKUP(Imputar[[#This Row],[Categoría]],EIMI!C:T,8,0),0)</f>
        <v>0</v>
      </c>
      <c r="M167">
        <f>_xlfn.IFNA(VLOOKUP(Imputar[[#This Row],[Categoría]],EIMI!C:T,9,0),0)</f>
        <v>0</v>
      </c>
      <c r="N167">
        <f>_xlfn.IFNA(VLOOKUP(Imputar[[#This Row],[Categoría]],EIMI!C:T,10,0),0)</f>
        <v>0</v>
      </c>
    </row>
    <row r="168" spans="1:14" hidden="1" x14ac:dyDescent="0.25">
      <c r="A168" s="210">
        <f>Indice!$I$11</f>
        <v>0</v>
      </c>
      <c r="B168" t="s">
        <v>695</v>
      </c>
      <c r="C168" s="39">
        <f>Indice!$I$12</f>
        <v>45992</v>
      </c>
      <c r="E168">
        <f>ROUND(SUMIFS(CATEGORIAS[[#All],[TOTAL PRODUCCION
ACTUAL]],CATEGORIAS[[#All],[CATEGORIA2]],Imputar[[#This Row],[Categoría]]),0)</f>
        <v>0</v>
      </c>
      <c r="F168">
        <v>0</v>
      </c>
      <c r="G168">
        <f>ROUND(SUMIFS(CATEGORIAS[[#All],[PROYECCION
DE INGRESO
DEL SALDO]],CATEGORIAS[[#All],[CATEGORIA2]],Imputar[[#This Row],[Categoría]]),0)</f>
        <v>0</v>
      </c>
      <c r="H168">
        <f>ROUND(SUMIFS(CATEGORIAS[[#All],[CAMBIO DE
CATEGORIA]],CATEGORIAS[[#All],[CATEGORIA2]],Imputar[[#This Row],[Categoría]]),0)</f>
        <v>0</v>
      </c>
      <c r="I1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8">
        <f>+ROUND(SUMIFS(CATEGORIAS[[#All],[PROYECCION
TOTAL DE COSTO]],CATEGORIAS[[#All],[CATEGORIA2]],Imputar[[#This Row],[Categoría]]),0)
-Imputar[[#This Row],[Inventario]]
-Imputar[[#This Row],[Pedidos no Rec]]</f>
        <v>0</v>
      </c>
      <c r="K1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8">
        <f>_xlfn.IFNA(VLOOKUP(Imputar[[#This Row],[Categoría]],EIMI!C:T,8,0),0)</f>
        <v>0</v>
      </c>
      <c r="M168">
        <f>_xlfn.IFNA(VLOOKUP(Imputar[[#This Row],[Categoría]],EIMI!C:T,9,0),0)</f>
        <v>0</v>
      </c>
      <c r="N168">
        <f>_xlfn.IFNA(VLOOKUP(Imputar[[#This Row],[Categoría]],EIMI!C:T,10,0),0)</f>
        <v>0</v>
      </c>
    </row>
    <row r="169" spans="1:14" hidden="1" x14ac:dyDescent="0.25">
      <c r="A169" s="210">
        <f>Indice!$I$11</f>
        <v>0</v>
      </c>
      <c r="B169" t="s">
        <v>697</v>
      </c>
      <c r="C169" s="39">
        <f>Indice!$I$12</f>
        <v>45992</v>
      </c>
      <c r="E169">
        <f>ROUND(SUMIFS(CATEGORIAS[[#All],[TOTAL PRODUCCION
ACTUAL]],CATEGORIAS[[#All],[CATEGORIA2]],Imputar[[#This Row],[Categoría]]),0)</f>
        <v>0</v>
      </c>
      <c r="F169">
        <v>0</v>
      </c>
      <c r="G169">
        <f>ROUND(SUMIFS(CATEGORIAS[[#All],[PROYECCION
DE INGRESO
DEL SALDO]],CATEGORIAS[[#All],[CATEGORIA2]],Imputar[[#This Row],[Categoría]]),0)</f>
        <v>0</v>
      </c>
      <c r="H169">
        <f>ROUND(SUMIFS(CATEGORIAS[[#All],[CAMBIO DE
CATEGORIA]],CATEGORIAS[[#All],[CATEGORIA2]],Imputar[[#This Row],[Categoría]]),0)</f>
        <v>0</v>
      </c>
      <c r="I1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9">
        <f>+ROUND(SUMIFS(CATEGORIAS[[#All],[PROYECCION
TOTAL DE COSTO]],CATEGORIAS[[#All],[CATEGORIA2]],Imputar[[#This Row],[Categoría]]),0)
-Imputar[[#This Row],[Inventario]]
-Imputar[[#This Row],[Pedidos no Rec]]</f>
        <v>0</v>
      </c>
      <c r="K1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9">
        <f>_xlfn.IFNA(VLOOKUP(Imputar[[#This Row],[Categoría]],EIMI!C:T,8,0),0)</f>
        <v>0</v>
      </c>
      <c r="M169">
        <f>_xlfn.IFNA(VLOOKUP(Imputar[[#This Row],[Categoría]],EIMI!C:T,9,0),0)</f>
        <v>0</v>
      </c>
      <c r="N169">
        <f>_xlfn.IFNA(VLOOKUP(Imputar[[#This Row],[Categoría]],EIMI!C:T,10,0),0)</f>
        <v>0</v>
      </c>
    </row>
    <row r="170" spans="1:14" hidden="1" x14ac:dyDescent="0.25">
      <c r="A170" s="210">
        <f>Indice!$I$11</f>
        <v>0</v>
      </c>
      <c r="B170" t="s">
        <v>699</v>
      </c>
      <c r="C170" s="39">
        <f>Indice!$I$12</f>
        <v>45992</v>
      </c>
      <c r="E170">
        <f>ROUND(SUMIFS(CATEGORIAS[[#All],[TOTAL PRODUCCION
ACTUAL]],CATEGORIAS[[#All],[CATEGORIA2]],Imputar[[#This Row],[Categoría]]),0)</f>
        <v>0</v>
      </c>
      <c r="F170">
        <v>0</v>
      </c>
      <c r="G170">
        <f>ROUND(SUMIFS(CATEGORIAS[[#All],[PROYECCION
DE INGRESO
DEL SALDO]],CATEGORIAS[[#All],[CATEGORIA2]],Imputar[[#This Row],[Categoría]]),0)</f>
        <v>0</v>
      </c>
      <c r="H170">
        <f>ROUND(SUMIFS(CATEGORIAS[[#All],[CAMBIO DE
CATEGORIA]],CATEGORIAS[[#All],[CATEGORIA2]],Imputar[[#This Row],[Categoría]]),0)</f>
        <v>0</v>
      </c>
      <c r="I1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0">
        <f>+ROUND(SUMIFS(CATEGORIAS[[#All],[PROYECCION
TOTAL DE COSTO]],CATEGORIAS[[#All],[CATEGORIA2]],Imputar[[#This Row],[Categoría]]),0)
-Imputar[[#This Row],[Inventario]]
-Imputar[[#This Row],[Pedidos no Rec]]</f>
        <v>0</v>
      </c>
      <c r="K1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0">
        <f>_xlfn.IFNA(VLOOKUP(Imputar[[#This Row],[Categoría]],EIMI!C:T,8,0),0)</f>
        <v>0</v>
      </c>
      <c r="M170">
        <f>_xlfn.IFNA(VLOOKUP(Imputar[[#This Row],[Categoría]],EIMI!C:T,9,0),0)</f>
        <v>0</v>
      </c>
      <c r="N170">
        <f>_xlfn.IFNA(VLOOKUP(Imputar[[#This Row],[Categoría]],EIMI!C:T,10,0),0)</f>
        <v>0</v>
      </c>
    </row>
    <row r="171" spans="1:14" hidden="1" x14ac:dyDescent="0.25">
      <c r="A171" s="210">
        <f>Indice!$I$11</f>
        <v>0</v>
      </c>
      <c r="B171" t="s">
        <v>701</v>
      </c>
      <c r="C171" s="39">
        <f>Indice!$I$12</f>
        <v>45992</v>
      </c>
      <c r="E171">
        <f>ROUND(SUMIFS(CATEGORIAS[[#All],[TOTAL PRODUCCION
ACTUAL]],CATEGORIAS[[#All],[CATEGORIA2]],Imputar[[#This Row],[Categoría]]),0)</f>
        <v>0</v>
      </c>
      <c r="F171">
        <v>0</v>
      </c>
      <c r="G171">
        <f>ROUND(SUMIFS(CATEGORIAS[[#All],[PROYECCION
DE INGRESO
DEL SALDO]],CATEGORIAS[[#All],[CATEGORIA2]],Imputar[[#This Row],[Categoría]]),0)</f>
        <v>0</v>
      </c>
      <c r="H171">
        <f>ROUND(SUMIFS(CATEGORIAS[[#All],[CAMBIO DE
CATEGORIA]],CATEGORIAS[[#All],[CATEGORIA2]],Imputar[[#This Row],[Categoría]]),0)</f>
        <v>0</v>
      </c>
      <c r="I1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1">
        <f>+ROUND(SUMIFS(CATEGORIAS[[#All],[PROYECCION
TOTAL DE COSTO]],CATEGORIAS[[#All],[CATEGORIA2]],Imputar[[#This Row],[Categoría]]),0)
-Imputar[[#This Row],[Inventario]]
-Imputar[[#This Row],[Pedidos no Rec]]</f>
        <v>0</v>
      </c>
      <c r="K1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1">
        <f>_xlfn.IFNA(VLOOKUP(Imputar[[#This Row],[Categoría]],EIMI!C:T,8,0),0)</f>
        <v>0</v>
      </c>
      <c r="M171">
        <f>_xlfn.IFNA(VLOOKUP(Imputar[[#This Row],[Categoría]],EIMI!C:T,9,0),0)</f>
        <v>0</v>
      </c>
      <c r="N171">
        <f>_xlfn.IFNA(VLOOKUP(Imputar[[#This Row],[Categoría]],EIMI!C:T,10,0),0)</f>
        <v>0</v>
      </c>
    </row>
    <row r="172" spans="1:14" hidden="1" x14ac:dyDescent="0.25">
      <c r="A172" s="210">
        <f>Indice!$I$11</f>
        <v>0</v>
      </c>
      <c r="B172" t="s">
        <v>703</v>
      </c>
      <c r="C172" s="39">
        <f>Indice!$I$12</f>
        <v>45992</v>
      </c>
      <c r="E172">
        <f>ROUND(SUMIFS(CATEGORIAS[[#All],[TOTAL PRODUCCION
ACTUAL]],CATEGORIAS[[#All],[CATEGORIA2]],Imputar[[#This Row],[Categoría]]),0)</f>
        <v>0</v>
      </c>
      <c r="F172">
        <v>0</v>
      </c>
      <c r="G172">
        <f>ROUND(SUMIFS(CATEGORIAS[[#All],[PROYECCION
DE INGRESO
DEL SALDO]],CATEGORIAS[[#All],[CATEGORIA2]],Imputar[[#This Row],[Categoría]]),0)</f>
        <v>0</v>
      </c>
      <c r="H172">
        <f>ROUND(SUMIFS(CATEGORIAS[[#All],[CAMBIO DE
CATEGORIA]],CATEGORIAS[[#All],[CATEGORIA2]],Imputar[[#This Row],[Categoría]]),0)</f>
        <v>0</v>
      </c>
      <c r="I1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2">
        <f>+ROUND(SUMIFS(CATEGORIAS[[#All],[PROYECCION
TOTAL DE COSTO]],CATEGORIAS[[#All],[CATEGORIA2]],Imputar[[#This Row],[Categoría]]),0)
-Imputar[[#This Row],[Inventario]]
-Imputar[[#This Row],[Pedidos no Rec]]</f>
        <v>0</v>
      </c>
      <c r="K1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2">
        <f>_xlfn.IFNA(VLOOKUP(Imputar[[#This Row],[Categoría]],EIMI!C:T,8,0),0)</f>
        <v>0</v>
      </c>
      <c r="M172">
        <f>_xlfn.IFNA(VLOOKUP(Imputar[[#This Row],[Categoría]],EIMI!C:T,9,0),0)</f>
        <v>0</v>
      </c>
      <c r="N172">
        <f>_xlfn.IFNA(VLOOKUP(Imputar[[#This Row],[Categoría]],EIMI!C:T,10,0),0)</f>
        <v>0</v>
      </c>
    </row>
    <row r="173" spans="1:14" hidden="1" x14ac:dyDescent="0.25">
      <c r="A173" s="210">
        <f>Indice!$I$11</f>
        <v>0</v>
      </c>
      <c r="B173" t="s">
        <v>705</v>
      </c>
      <c r="C173" s="39">
        <f>Indice!$I$12</f>
        <v>45992</v>
      </c>
      <c r="E173">
        <f>ROUND(SUMIFS(CATEGORIAS[[#All],[TOTAL PRODUCCION
ACTUAL]],CATEGORIAS[[#All],[CATEGORIA2]],Imputar[[#This Row],[Categoría]]),0)</f>
        <v>0</v>
      </c>
      <c r="F173">
        <v>0</v>
      </c>
      <c r="G173">
        <f>ROUND(SUMIFS(CATEGORIAS[[#All],[PROYECCION
DE INGRESO
DEL SALDO]],CATEGORIAS[[#All],[CATEGORIA2]],Imputar[[#This Row],[Categoría]]),0)</f>
        <v>0</v>
      </c>
      <c r="H173">
        <f>ROUND(SUMIFS(CATEGORIAS[[#All],[CAMBIO DE
CATEGORIA]],CATEGORIAS[[#All],[CATEGORIA2]],Imputar[[#This Row],[Categoría]]),0)</f>
        <v>0</v>
      </c>
      <c r="I1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3">
        <f>+ROUND(SUMIFS(CATEGORIAS[[#All],[PROYECCION
TOTAL DE COSTO]],CATEGORIAS[[#All],[CATEGORIA2]],Imputar[[#This Row],[Categoría]]),0)
-Imputar[[#This Row],[Inventario]]
-Imputar[[#This Row],[Pedidos no Rec]]</f>
        <v>0</v>
      </c>
      <c r="K1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3">
        <f>_xlfn.IFNA(VLOOKUP(Imputar[[#This Row],[Categoría]],EIMI!C:T,8,0),0)</f>
        <v>0</v>
      </c>
      <c r="M173">
        <f>_xlfn.IFNA(VLOOKUP(Imputar[[#This Row],[Categoría]],EIMI!C:T,9,0),0)</f>
        <v>0</v>
      </c>
      <c r="N173">
        <f>_xlfn.IFNA(VLOOKUP(Imputar[[#This Row],[Categoría]],EIMI!C:T,10,0),0)</f>
        <v>0</v>
      </c>
    </row>
    <row r="174" spans="1:14" hidden="1" x14ac:dyDescent="0.25">
      <c r="A174" s="210">
        <f>Indice!$I$11</f>
        <v>0</v>
      </c>
      <c r="B174" t="s">
        <v>707</v>
      </c>
      <c r="C174" s="39">
        <f>Indice!$I$12</f>
        <v>45992</v>
      </c>
      <c r="E174">
        <f>ROUND(SUMIFS(CATEGORIAS[[#All],[TOTAL PRODUCCION
ACTUAL]],CATEGORIAS[[#All],[CATEGORIA2]],Imputar[[#This Row],[Categoría]]),0)</f>
        <v>0</v>
      </c>
      <c r="F174">
        <v>0</v>
      </c>
      <c r="G174">
        <f>ROUND(SUMIFS(CATEGORIAS[[#All],[PROYECCION
DE INGRESO
DEL SALDO]],CATEGORIAS[[#All],[CATEGORIA2]],Imputar[[#This Row],[Categoría]]),0)</f>
        <v>0</v>
      </c>
      <c r="H174">
        <f>ROUND(SUMIFS(CATEGORIAS[[#All],[CAMBIO DE
CATEGORIA]],CATEGORIAS[[#All],[CATEGORIA2]],Imputar[[#This Row],[Categoría]]),0)</f>
        <v>0</v>
      </c>
      <c r="I1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4">
        <f>+ROUND(SUMIFS(CATEGORIAS[[#All],[PROYECCION
TOTAL DE COSTO]],CATEGORIAS[[#All],[CATEGORIA2]],Imputar[[#This Row],[Categoría]]),0)
-Imputar[[#This Row],[Inventario]]
-Imputar[[#This Row],[Pedidos no Rec]]</f>
        <v>0</v>
      </c>
      <c r="K1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4">
        <f>_xlfn.IFNA(VLOOKUP(Imputar[[#This Row],[Categoría]],EIMI!C:T,8,0),0)</f>
        <v>0</v>
      </c>
      <c r="M174">
        <f>_xlfn.IFNA(VLOOKUP(Imputar[[#This Row],[Categoría]],EIMI!C:T,9,0),0)</f>
        <v>0</v>
      </c>
      <c r="N174">
        <f>_xlfn.IFNA(VLOOKUP(Imputar[[#This Row],[Categoría]],EIMI!C:T,10,0),0)</f>
        <v>0</v>
      </c>
    </row>
    <row r="175" spans="1:14" hidden="1" x14ac:dyDescent="0.25">
      <c r="A175" s="210">
        <f>Indice!$I$11</f>
        <v>0</v>
      </c>
      <c r="B175" t="s">
        <v>709</v>
      </c>
      <c r="C175" s="39">
        <f>Indice!$I$12</f>
        <v>45992</v>
      </c>
      <c r="E175">
        <f>ROUND(SUMIFS(CATEGORIAS[[#All],[TOTAL PRODUCCION
ACTUAL]],CATEGORIAS[[#All],[CATEGORIA2]],Imputar[[#This Row],[Categoría]]),0)</f>
        <v>0</v>
      </c>
      <c r="F175">
        <v>0</v>
      </c>
      <c r="G175">
        <f>ROUND(SUMIFS(CATEGORIAS[[#All],[PROYECCION
DE INGRESO
DEL SALDO]],CATEGORIAS[[#All],[CATEGORIA2]],Imputar[[#This Row],[Categoría]]),0)</f>
        <v>0</v>
      </c>
      <c r="H175">
        <f>ROUND(SUMIFS(CATEGORIAS[[#All],[CAMBIO DE
CATEGORIA]],CATEGORIAS[[#All],[CATEGORIA2]],Imputar[[#This Row],[Categoría]]),0)</f>
        <v>0</v>
      </c>
      <c r="I1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5">
        <f>+ROUND(SUMIFS(CATEGORIAS[[#All],[PROYECCION
TOTAL DE COSTO]],CATEGORIAS[[#All],[CATEGORIA2]],Imputar[[#This Row],[Categoría]]),0)
-Imputar[[#This Row],[Inventario]]
-Imputar[[#This Row],[Pedidos no Rec]]</f>
        <v>0</v>
      </c>
      <c r="K1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5">
        <f>_xlfn.IFNA(VLOOKUP(Imputar[[#This Row],[Categoría]],EIMI!C:T,8,0),0)</f>
        <v>0</v>
      </c>
      <c r="M175">
        <f>_xlfn.IFNA(VLOOKUP(Imputar[[#This Row],[Categoría]],EIMI!C:T,9,0),0)</f>
        <v>0</v>
      </c>
      <c r="N175">
        <f>_xlfn.IFNA(VLOOKUP(Imputar[[#This Row],[Categoría]],EIMI!C:T,10,0),0)</f>
        <v>0</v>
      </c>
    </row>
    <row r="176" spans="1:14" x14ac:dyDescent="0.25">
      <c r="A176" s="210">
        <f>Indice!$I$11</f>
        <v>0</v>
      </c>
      <c r="B176" t="s">
        <v>282</v>
      </c>
      <c r="C176" s="39">
        <f>Indice!$I$12</f>
        <v>45992</v>
      </c>
      <c r="E176">
        <f>ROUND(SUMIFS(CATEGORIAS[[#All],[TOTAL PRODUCCION
ACTUAL]],CATEGORIAS[[#All],[CATEGORIA2]],Imputar[[#This Row],[Categoría]]),0)</f>
        <v>0</v>
      </c>
      <c r="F176">
        <v>0</v>
      </c>
      <c r="G176">
        <f>ROUND(SUMIFS(CATEGORIAS[[#All],[PROYECCION
DE INGRESO
DEL SALDO]],CATEGORIAS[[#All],[CATEGORIA2]],Imputar[[#This Row],[Categoría]]),0)</f>
        <v>0</v>
      </c>
      <c r="H176">
        <f>ROUND(SUMIFS(CATEGORIAS[[#All],[CAMBIO DE
CATEGORIA]],CATEGORIAS[[#All],[CATEGORIA2]],Imputar[[#This Row],[Categoría]]),0)</f>
        <v>0</v>
      </c>
      <c r="I1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6">
        <f>+ROUND(SUMIFS(CATEGORIAS[[#All],[PROYECCION
TOTAL DE COSTO]],CATEGORIAS[[#All],[CATEGORIA2]],Imputar[[#This Row],[Categoría]]),0)
-Imputar[[#This Row],[Inventario]]
-Imputar[[#This Row],[Pedidos no Rec]]</f>
        <v>0</v>
      </c>
      <c r="K1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6">
        <f>_xlfn.IFNA(VLOOKUP(Imputar[[#This Row],[Categoría]],EIMI!C:T,8,0),0)</f>
        <v>0</v>
      </c>
      <c r="M176">
        <f>_xlfn.IFNA(VLOOKUP(Imputar[[#This Row],[Categoría]],EIMI!C:T,9,0),0)</f>
        <v>0</v>
      </c>
      <c r="N176">
        <f>_xlfn.IFNA(VLOOKUP(Imputar[[#This Row],[Categoría]],EIMI!C:T,10,0),0)</f>
        <v>0</v>
      </c>
    </row>
    <row r="177" spans="1:14" hidden="1" x14ac:dyDescent="0.25">
      <c r="A177" s="210">
        <f>Indice!$I$11</f>
        <v>0</v>
      </c>
      <c r="B177" t="s">
        <v>712</v>
      </c>
      <c r="C177" s="39">
        <f>Indice!$I$12</f>
        <v>45992</v>
      </c>
      <c r="E177">
        <f>ROUND(SUMIFS(CATEGORIAS[[#All],[TOTAL PRODUCCION
ACTUAL]],CATEGORIAS[[#All],[CATEGORIA2]],Imputar[[#This Row],[Categoría]]),0)</f>
        <v>0</v>
      </c>
      <c r="F177">
        <v>0</v>
      </c>
      <c r="G177">
        <f>ROUND(SUMIFS(CATEGORIAS[[#All],[PROYECCION
DE INGRESO
DEL SALDO]],CATEGORIAS[[#All],[CATEGORIA2]],Imputar[[#This Row],[Categoría]]),0)</f>
        <v>0</v>
      </c>
      <c r="H177">
        <f>ROUND(SUMIFS(CATEGORIAS[[#All],[CAMBIO DE
CATEGORIA]],CATEGORIAS[[#All],[CATEGORIA2]],Imputar[[#This Row],[Categoría]]),0)</f>
        <v>0</v>
      </c>
      <c r="I1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7">
        <f>+ROUND(SUMIFS(CATEGORIAS[[#All],[PROYECCION
TOTAL DE COSTO]],CATEGORIAS[[#All],[CATEGORIA2]],Imputar[[#This Row],[Categoría]]),0)
-Imputar[[#This Row],[Inventario]]
-Imputar[[#This Row],[Pedidos no Rec]]</f>
        <v>0</v>
      </c>
      <c r="K1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7">
        <f>_xlfn.IFNA(VLOOKUP(Imputar[[#This Row],[Categoría]],EIMI!C:T,8,0),0)</f>
        <v>0</v>
      </c>
      <c r="M177">
        <f>_xlfn.IFNA(VLOOKUP(Imputar[[#This Row],[Categoría]],EIMI!C:T,9,0),0)</f>
        <v>0</v>
      </c>
      <c r="N177">
        <f>_xlfn.IFNA(VLOOKUP(Imputar[[#This Row],[Categoría]],EIMI!C:T,10,0),0)</f>
        <v>0</v>
      </c>
    </row>
    <row r="178" spans="1:14" hidden="1" x14ac:dyDescent="0.25">
      <c r="A178" s="210">
        <f>Indice!$I$11</f>
        <v>0</v>
      </c>
      <c r="B178" t="s">
        <v>714</v>
      </c>
      <c r="C178" s="39">
        <f>Indice!$I$12</f>
        <v>45992</v>
      </c>
      <c r="E178">
        <f>ROUND(SUMIFS(CATEGORIAS[[#All],[TOTAL PRODUCCION
ACTUAL]],CATEGORIAS[[#All],[CATEGORIA2]],Imputar[[#This Row],[Categoría]]),0)</f>
        <v>0</v>
      </c>
      <c r="F178">
        <v>0</v>
      </c>
      <c r="G178">
        <f>ROUND(SUMIFS(CATEGORIAS[[#All],[PROYECCION
DE INGRESO
DEL SALDO]],CATEGORIAS[[#All],[CATEGORIA2]],Imputar[[#This Row],[Categoría]]),0)</f>
        <v>0</v>
      </c>
      <c r="H178">
        <f>ROUND(SUMIFS(CATEGORIAS[[#All],[CAMBIO DE
CATEGORIA]],CATEGORIAS[[#All],[CATEGORIA2]],Imputar[[#This Row],[Categoría]]),0)</f>
        <v>0</v>
      </c>
      <c r="I1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8">
        <f>+ROUND(SUMIFS(CATEGORIAS[[#All],[PROYECCION
TOTAL DE COSTO]],CATEGORIAS[[#All],[CATEGORIA2]],Imputar[[#This Row],[Categoría]]),0)
-Imputar[[#This Row],[Inventario]]
-Imputar[[#This Row],[Pedidos no Rec]]</f>
        <v>0</v>
      </c>
      <c r="K1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8">
        <f>_xlfn.IFNA(VLOOKUP(Imputar[[#This Row],[Categoría]],EIMI!C:T,8,0),0)</f>
        <v>0</v>
      </c>
      <c r="M178">
        <f>_xlfn.IFNA(VLOOKUP(Imputar[[#This Row],[Categoría]],EIMI!C:T,9,0),0)</f>
        <v>0</v>
      </c>
      <c r="N178">
        <f>_xlfn.IFNA(VLOOKUP(Imputar[[#This Row],[Categoría]],EIMI!C:T,10,0),0)</f>
        <v>0</v>
      </c>
    </row>
    <row r="179" spans="1:14" hidden="1" x14ac:dyDescent="0.25">
      <c r="A179" s="210">
        <f>Indice!$I$11</f>
        <v>0</v>
      </c>
      <c r="B179" t="s">
        <v>716</v>
      </c>
      <c r="C179" s="39">
        <f>Indice!$I$12</f>
        <v>45992</v>
      </c>
      <c r="E179">
        <f>ROUND(SUMIFS(CATEGORIAS[[#All],[TOTAL PRODUCCION
ACTUAL]],CATEGORIAS[[#All],[CATEGORIA2]],Imputar[[#This Row],[Categoría]]),0)</f>
        <v>0</v>
      </c>
      <c r="F179">
        <v>0</v>
      </c>
      <c r="G179">
        <f>ROUND(SUMIFS(CATEGORIAS[[#All],[PROYECCION
DE INGRESO
DEL SALDO]],CATEGORIAS[[#All],[CATEGORIA2]],Imputar[[#This Row],[Categoría]]),0)</f>
        <v>0</v>
      </c>
      <c r="H179">
        <f>ROUND(SUMIFS(CATEGORIAS[[#All],[CAMBIO DE
CATEGORIA]],CATEGORIAS[[#All],[CATEGORIA2]],Imputar[[#This Row],[Categoría]]),0)</f>
        <v>0</v>
      </c>
      <c r="I1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9">
        <f>+ROUND(SUMIFS(CATEGORIAS[[#All],[PROYECCION
TOTAL DE COSTO]],CATEGORIAS[[#All],[CATEGORIA2]],Imputar[[#This Row],[Categoría]]),0)
-Imputar[[#This Row],[Inventario]]
-Imputar[[#This Row],[Pedidos no Rec]]</f>
        <v>0</v>
      </c>
      <c r="K1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9">
        <f>_xlfn.IFNA(VLOOKUP(Imputar[[#This Row],[Categoría]],EIMI!C:T,8,0),0)</f>
        <v>0</v>
      </c>
      <c r="M179">
        <f>_xlfn.IFNA(VLOOKUP(Imputar[[#This Row],[Categoría]],EIMI!C:T,9,0),0)</f>
        <v>0</v>
      </c>
      <c r="N179">
        <f>_xlfn.IFNA(VLOOKUP(Imputar[[#This Row],[Categoría]],EIMI!C:T,10,0),0)</f>
        <v>0</v>
      </c>
    </row>
    <row r="180" spans="1:14" hidden="1" x14ac:dyDescent="0.25">
      <c r="A180" s="210">
        <f>Indice!$I$11</f>
        <v>0</v>
      </c>
      <c r="B180" t="s">
        <v>718</v>
      </c>
      <c r="C180" s="39">
        <f>Indice!$I$12</f>
        <v>45992</v>
      </c>
      <c r="E180">
        <f>ROUND(SUMIFS(CATEGORIAS[[#All],[TOTAL PRODUCCION
ACTUAL]],CATEGORIAS[[#All],[CATEGORIA2]],Imputar[[#This Row],[Categoría]]),0)</f>
        <v>0</v>
      </c>
      <c r="F180">
        <v>0</v>
      </c>
      <c r="G180">
        <f>ROUND(SUMIFS(CATEGORIAS[[#All],[PROYECCION
DE INGRESO
DEL SALDO]],CATEGORIAS[[#All],[CATEGORIA2]],Imputar[[#This Row],[Categoría]]),0)</f>
        <v>0</v>
      </c>
      <c r="H180">
        <f>ROUND(SUMIFS(CATEGORIAS[[#All],[CAMBIO DE
CATEGORIA]],CATEGORIAS[[#All],[CATEGORIA2]],Imputar[[#This Row],[Categoría]]),0)</f>
        <v>0</v>
      </c>
      <c r="I1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0">
        <f>+ROUND(SUMIFS(CATEGORIAS[[#All],[PROYECCION
TOTAL DE COSTO]],CATEGORIAS[[#All],[CATEGORIA2]],Imputar[[#This Row],[Categoría]]),0)
-Imputar[[#This Row],[Inventario]]
-Imputar[[#This Row],[Pedidos no Rec]]</f>
        <v>0</v>
      </c>
      <c r="K1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0">
        <f>_xlfn.IFNA(VLOOKUP(Imputar[[#This Row],[Categoría]],EIMI!C:T,8,0),0)</f>
        <v>0</v>
      </c>
      <c r="M180">
        <f>_xlfn.IFNA(VLOOKUP(Imputar[[#This Row],[Categoría]],EIMI!C:T,9,0),0)</f>
        <v>0</v>
      </c>
      <c r="N180">
        <f>_xlfn.IFNA(VLOOKUP(Imputar[[#This Row],[Categoría]],EIMI!C:T,10,0),0)</f>
        <v>0</v>
      </c>
    </row>
    <row r="181" spans="1:14" hidden="1" x14ac:dyDescent="0.25">
      <c r="A181" s="210">
        <f>Indice!$I$11</f>
        <v>0</v>
      </c>
      <c r="B181" t="s">
        <v>720</v>
      </c>
      <c r="C181" s="39">
        <f>Indice!$I$12</f>
        <v>45992</v>
      </c>
      <c r="E181">
        <f>ROUND(SUMIFS(CATEGORIAS[[#All],[TOTAL PRODUCCION
ACTUAL]],CATEGORIAS[[#All],[CATEGORIA2]],Imputar[[#This Row],[Categoría]]),0)</f>
        <v>0</v>
      </c>
      <c r="F181">
        <v>0</v>
      </c>
      <c r="G181">
        <f>ROUND(SUMIFS(CATEGORIAS[[#All],[PROYECCION
DE INGRESO
DEL SALDO]],CATEGORIAS[[#All],[CATEGORIA2]],Imputar[[#This Row],[Categoría]]),0)</f>
        <v>0</v>
      </c>
      <c r="H181">
        <f>ROUND(SUMIFS(CATEGORIAS[[#All],[CAMBIO DE
CATEGORIA]],CATEGORIAS[[#All],[CATEGORIA2]],Imputar[[#This Row],[Categoría]]),0)</f>
        <v>0</v>
      </c>
      <c r="I1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1">
        <f>+ROUND(SUMIFS(CATEGORIAS[[#All],[PROYECCION
TOTAL DE COSTO]],CATEGORIAS[[#All],[CATEGORIA2]],Imputar[[#This Row],[Categoría]]),0)
-Imputar[[#This Row],[Inventario]]
-Imputar[[#This Row],[Pedidos no Rec]]</f>
        <v>0</v>
      </c>
      <c r="K1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1">
        <f>_xlfn.IFNA(VLOOKUP(Imputar[[#This Row],[Categoría]],EIMI!C:T,8,0),0)</f>
        <v>0</v>
      </c>
      <c r="M181">
        <f>_xlfn.IFNA(VLOOKUP(Imputar[[#This Row],[Categoría]],EIMI!C:T,9,0),0)</f>
        <v>0</v>
      </c>
      <c r="N181">
        <f>_xlfn.IFNA(VLOOKUP(Imputar[[#This Row],[Categoría]],EIMI!C:T,10,0),0)</f>
        <v>0</v>
      </c>
    </row>
    <row r="182" spans="1:14" hidden="1" x14ac:dyDescent="0.25">
      <c r="A182" s="210">
        <f>Indice!$I$11</f>
        <v>0</v>
      </c>
      <c r="B182" t="s">
        <v>722</v>
      </c>
      <c r="C182" s="39">
        <f>Indice!$I$12</f>
        <v>45992</v>
      </c>
      <c r="E182">
        <f>ROUND(SUMIFS(CATEGORIAS[[#All],[TOTAL PRODUCCION
ACTUAL]],CATEGORIAS[[#All],[CATEGORIA2]],Imputar[[#This Row],[Categoría]]),0)</f>
        <v>0</v>
      </c>
      <c r="F182">
        <v>0</v>
      </c>
      <c r="G182">
        <f>ROUND(SUMIFS(CATEGORIAS[[#All],[PROYECCION
DE INGRESO
DEL SALDO]],CATEGORIAS[[#All],[CATEGORIA2]],Imputar[[#This Row],[Categoría]]),0)</f>
        <v>0</v>
      </c>
      <c r="H182">
        <f>ROUND(SUMIFS(CATEGORIAS[[#All],[CAMBIO DE
CATEGORIA]],CATEGORIAS[[#All],[CATEGORIA2]],Imputar[[#This Row],[Categoría]]),0)</f>
        <v>0</v>
      </c>
      <c r="I1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2">
        <f>+ROUND(SUMIFS(CATEGORIAS[[#All],[PROYECCION
TOTAL DE COSTO]],CATEGORIAS[[#All],[CATEGORIA2]],Imputar[[#This Row],[Categoría]]),0)
-Imputar[[#This Row],[Inventario]]
-Imputar[[#This Row],[Pedidos no Rec]]</f>
        <v>0</v>
      </c>
      <c r="K1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2">
        <f>_xlfn.IFNA(VLOOKUP(Imputar[[#This Row],[Categoría]],EIMI!C:T,8,0),0)</f>
        <v>0</v>
      </c>
      <c r="M182">
        <f>_xlfn.IFNA(VLOOKUP(Imputar[[#This Row],[Categoría]],EIMI!C:T,9,0),0)</f>
        <v>0</v>
      </c>
      <c r="N182">
        <f>_xlfn.IFNA(VLOOKUP(Imputar[[#This Row],[Categoría]],EIMI!C:T,10,0),0)</f>
        <v>0</v>
      </c>
    </row>
    <row r="183" spans="1:14" hidden="1" x14ac:dyDescent="0.25">
      <c r="A183" s="210">
        <f>Indice!$I$11</f>
        <v>0</v>
      </c>
      <c r="B183" t="s">
        <v>724</v>
      </c>
      <c r="C183" s="39">
        <f>Indice!$I$12</f>
        <v>45992</v>
      </c>
      <c r="E183">
        <f>ROUND(SUMIFS(CATEGORIAS[[#All],[TOTAL PRODUCCION
ACTUAL]],CATEGORIAS[[#All],[CATEGORIA2]],Imputar[[#This Row],[Categoría]]),0)</f>
        <v>0</v>
      </c>
      <c r="F183">
        <v>0</v>
      </c>
      <c r="G183">
        <f>ROUND(SUMIFS(CATEGORIAS[[#All],[PROYECCION
DE INGRESO
DEL SALDO]],CATEGORIAS[[#All],[CATEGORIA2]],Imputar[[#This Row],[Categoría]]),0)</f>
        <v>0</v>
      </c>
      <c r="H183">
        <f>ROUND(SUMIFS(CATEGORIAS[[#All],[CAMBIO DE
CATEGORIA]],CATEGORIAS[[#All],[CATEGORIA2]],Imputar[[#This Row],[Categoría]]),0)</f>
        <v>0</v>
      </c>
      <c r="I1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3">
        <f>+ROUND(SUMIFS(CATEGORIAS[[#All],[PROYECCION
TOTAL DE COSTO]],CATEGORIAS[[#All],[CATEGORIA2]],Imputar[[#This Row],[Categoría]]),0)
-Imputar[[#This Row],[Inventario]]
-Imputar[[#This Row],[Pedidos no Rec]]</f>
        <v>0</v>
      </c>
      <c r="K1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3">
        <f>_xlfn.IFNA(VLOOKUP(Imputar[[#This Row],[Categoría]],EIMI!C:T,8,0),0)</f>
        <v>0</v>
      </c>
      <c r="M183">
        <f>_xlfn.IFNA(VLOOKUP(Imputar[[#This Row],[Categoría]],EIMI!C:T,9,0),0)</f>
        <v>0</v>
      </c>
      <c r="N183">
        <f>_xlfn.IFNA(VLOOKUP(Imputar[[#This Row],[Categoría]],EIMI!C:T,10,0),0)</f>
        <v>0</v>
      </c>
    </row>
    <row r="184" spans="1:14" hidden="1" x14ac:dyDescent="0.25">
      <c r="A184" s="210">
        <f>Indice!$I$11</f>
        <v>0</v>
      </c>
      <c r="B184" t="s">
        <v>726</v>
      </c>
      <c r="C184" s="39">
        <f>Indice!$I$12</f>
        <v>45992</v>
      </c>
      <c r="E184">
        <f>ROUND(SUMIFS(CATEGORIAS[[#All],[TOTAL PRODUCCION
ACTUAL]],CATEGORIAS[[#All],[CATEGORIA2]],Imputar[[#This Row],[Categoría]]),0)</f>
        <v>0</v>
      </c>
      <c r="F184">
        <v>0</v>
      </c>
      <c r="G184">
        <f>ROUND(SUMIFS(CATEGORIAS[[#All],[PROYECCION
DE INGRESO
DEL SALDO]],CATEGORIAS[[#All],[CATEGORIA2]],Imputar[[#This Row],[Categoría]]),0)</f>
        <v>0</v>
      </c>
      <c r="H184">
        <f>ROUND(SUMIFS(CATEGORIAS[[#All],[CAMBIO DE
CATEGORIA]],CATEGORIAS[[#All],[CATEGORIA2]],Imputar[[#This Row],[Categoría]]),0)</f>
        <v>0</v>
      </c>
      <c r="I1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4">
        <f>+ROUND(SUMIFS(CATEGORIAS[[#All],[PROYECCION
TOTAL DE COSTO]],CATEGORIAS[[#All],[CATEGORIA2]],Imputar[[#This Row],[Categoría]]),0)
-Imputar[[#This Row],[Inventario]]
-Imputar[[#This Row],[Pedidos no Rec]]</f>
        <v>0</v>
      </c>
      <c r="K1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4">
        <f>_xlfn.IFNA(VLOOKUP(Imputar[[#This Row],[Categoría]],EIMI!C:T,8,0),0)</f>
        <v>0</v>
      </c>
      <c r="M184">
        <f>_xlfn.IFNA(VLOOKUP(Imputar[[#This Row],[Categoría]],EIMI!C:T,9,0),0)</f>
        <v>0</v>
      </c>
      <c r="N184">
        <f>_xlfn.IFNA(VLOOKUP(Imputar[[#This Row],[Categoría]],EIMI!C:T,10,0),0)</f>
        <v>0</v>
      </c>
    </row>
    <row r="185" spans="1:14" hidden="1" x14ac:dyDescent="0.25">
      <c r="A185" s="210">
        <f>Indice!$I$11</f>
        <v>0</v>
      </c>
      <c r="B185" t="s">
        <v>728</v>
      </c>
      <c r="C185" s="39">
        <f>Indice!$I$12</f>
        <v>45992</v>
      </c>
      <c r="E185">
        <f>ROUND(SUMIFS(CATEGORIAS[[#All],[TOTAL PRODUCCION
ACTUAL]],CATEGORIAS[[#All],[CATEGORIA2]],Imputar[[#This Row],[Categoría]]),0)</f>
        <v>0</v>
      </c>
      <c r="F185">
        <v>0</v>
      </c>
      <c r="G185">
        <f>ROUND(SUMIFS(CATEGORIAS[[#All],[PROYECCION
DE INGRESO
DEL SALDO]],CATEGORIAS[[#All],[CATEGORIA2]],Imputar[[#This Row],[Categoría]]),0)</f>
        <v>0</v>
      </c>
      <c r="H185">
        <f>ROUND(SUMIFS(CATEGORIAS[[#All],[CAMBIO DE
CATEGORIA]],CATEGORIAS[[#All],[CATEGORIA2]],Imputar[[#This Row],[Categoría]]),0)</f>
        <v>0</v>
      </c>
      <c r="I1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5">
        <f>+ROUND(SUMIFS(CATEGORIAS[[#All],[PROYECCION
TOTAL DE COSTO]],CATEGORIAS[[#All],[CATEGORIA2]],Imputar[[#This Row],[Categoría]]),0)
-Imputar[[#This Row],[Inventario]]
-Imputar[[#This Row],[Pedidos no Rec]]</f>
        <v>0</v>
      </c>
      <c r="K1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5">
        <f>_xlfn.IFNA(VLOOKUP(Imputar[[#This Row],[Categoría]],EIMI!C:T,8,0),0)</f>
        <v>0</v>
      </c>
      <c r="M185">
        <f>_xlfn.IFNA(VLOOKUP(Imputar[[#This Row],[Categoría]],EIMI!C:T,9,0),0)</f>
        <v>0</v>
      </c>
      <c r="N185">
        <f>_xlfn.IFNA(VLOOKUP(Imputar[[#This Row],[Categoría]],EIMI!C:T,10,0),0)</f>
        <v>0</v>
      </c>
    </row>
    <row r="186" spans="1:14" hidden="1" x14ac:dyDescent="0.25">
      <c r="A186" s="210">
        <f>Indice!$I$11</f>
        <v>0</v>
      </c>
      <c r="B186" t="s">
        <v>730</v>
      </c>
      <c r="C186" s="39">
        <f>Indice!$I$12</f>
        <v>45992</v>
      </c>
      <c r="E186">
        <f>ROUND(SUMIFS(CATEGORIAS[[#All],[TOTAL PRODUCCION
ACTUAL]],CATEGORIAS[[#All],[CATEGORIA2]],Imputar[[#This Row],[Categoría]]),0)</f>
        <v>0</v>
      </c>
      <c r="F186">
        <v>0</v>
      </c>
      <c r="G186">
        <f>ROUND(SUMIFS(CATEGORIAS[[#All],[PROYECCION
DE INGRESO
DEL SALDO]],CATEGORIAS[[#All],[CATEGORIA2]],Imputar[[#This Row],[Categoría]]),0)</f>
        <v>0</v>
      </c>
      <c r="H186">
        <f>ROUND(SUMIFS(CATEGORIAS[[#All],[CAMBIO DE
CATEGORIA]],CATEGORIAS[[#All],[CATEGORIA2]],Imputar[[#This Row],[Categoría]]),0)</f>
        <v>0</v>
      </c>
      <c r="I1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6">
        <f>+ROUND(SUMIFS(CATEGORIAS[[#All],[PROYECCION
TOTAL DE COSTO]],CATEGORIAS[[#All],[CATEGORIA2]],Imputar[[#This Row],[Categoría]]),0)
-Imputar[[#This Row],[Inventario]]
-Imputar[[#This Row],[Pedidos no Rec]]</f>
        <v>0</v>
      </c>
      <c r="K1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6">
        <f>_xlfn.IFNA(VLOOKUP(Imputar[[#This Row],[Categoría]],EIMI!C:T,8,0),0)</f>
        <v>0</v>
      </c>
      <c r="M186">
        <f>_xlfn.IFNA(VLOOKUP(Imputar[[#This Row],[Categoría]],EIMI!C:T,9,0),0)</f>
        <v>0</v>
      </c>
      <c r="N186">
        <f>_xlfn.IFNA(VLOOKUP(Imputar[[#This Row],[Categoría]],EIMI!C:T,10,0),0)</f>
        <v>0</v>
      </c>
    </row>
    <row r="187" spans="1:14" hidden="1" x14ac:dyDescent="0.25">
      <c r="A187" s="210">
        <f>Indice!$I$11</f>
        <v>0</v>
      </c>
      <c r="B187" t="s">
        <v>732</v>
      </c>
      <c r="C187" s="39">
        <f>Indice!$I$12</f>
        <v>45992</v>
      </c>
      <c r="E187">
        <f>ROUND(SUMIFS(CATEGORIAS[[#All],[TOTAL PRODUCCION
ACTUAL]],CATEGORIAS[[#All],[CATEGORIA2]],Imputar[[#This Row],[Categoría]]),0)</f>
        <v>0</v>
      </c>
      <c r="F187">
        <v>0</v>
      </c>
      <c r="G187">
        <f>ROUND(SUMIFS(CATEGORIAS[[#All],[PROYECCION
DE INGRESO
DEL SALDO]],CATEGORIAS[[#All],[CATEGORIA2]],Imputar[[#This Row],[Categoría]]),0)</f>
        <v>0</v>
      </c>
      <c r="H187">
        <f>ROUND(SUMIFS(CATEGORIAS[[#All],[CAMBIO DE
CATEGORIA]],CATEGORIAS[[#All],[CATEGORIA2]],Imputar[[#This Row],[Categoría]]),0)</f>
        <v>0</v>
      </c>
      <c r="I1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7">
        <f>+ROUND(SUMIFS(CATEGORIAS[[#All],[PROYECCION
TOTAL DE COSTO]],CATEGORIAS[[#All],[CATEGORIA2]],Imputar[[#This Row],[Categoría]]),0)
-Imputar[[#This Row],[Inventario]]
-Imputar[[#This Row],[Pedidos no Rec]]</f>
        <v>0</v>
      </c>
      <c r="K1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7">
        <f>_xlfn.IFNA(VLOOKUP(Imputar[[#This Row],[Categoría]],EIMI!C:T,8,0),0)</f>
        <v>0</v>
      </c>
      <c r="M187">
        <f>_xlfn.IFNA(VLOOKUP(Imputar[[#This Row],[Categoría]],EIMI!C:T,9,0),0)</f>
        <v>0</v>
      </c>
      <c r="N187">
        <f>_xlfn.IFNA(VLOOKUP(Imputar[[#This Row],[Categoría]],EIMI!C:T,10,0),0)</f>
        <v>0</v>
      </c>
    </row>
    <row r="188" spans="1:14" hidden="1" x14ac:dyDescent="0.25">
      <c r="A188" s="210">
        <f>Indice!$I$11</f>
        <v>0</v>
      </c>
      <c r="B188" t="s">
        <v>734</v>
      </c>
      <c r="C188" s="39">
        <f>Indice!$I$12</f>
        <v>45992</v>
      </c>
      <c r="E188">
        <f>ROUND(SUMIFS(CATEGORIAS[[#All],[TOTAL PRODUCCION
ACTUAL]],CATEGORIAS[[#All],[CATEGORIA2]],Imputar[[#This Row],[Categoría]]),0)</f>
        <v>0</v>
      </c>
      <c r="F188">
        <v>0</v>
      </c>
      <c r="G188">
        <f>ROUND(SUMIFS(CATEGORIAS[[#All],[PROYECCION
DE INGRESO
DEL SALDO]],CATEGORIAS[[#All],[CATEGORIA2]],Imputar[[#This Row],[Categoría]]),0)</f>
        <v>0</v>
      </c>
      <c r="H188">
        <f>ROUND(SUMIFS(CATEGORIAS[[#All],[CAMBIO DE
CATEGORIA]],CATEGORIAS[[#All],[CATEGORIA2]],Imputar[[#This Row],[Categoría]]),0)</f>
        <v>0</v>
      </c>
      <c r="I1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8">
        <f>+ROUND(SUMIFS(CATEGORIAS[[#All],[PROYECCION
TOTAL DE COSTO]],CATEGORIAS[[#All],[CATEGORIA2]],Imputar[[#This Row],[Categoría]]),0)
-Imputar[[#This Row],[Inventario]]
-Imputar[[#This Row],[Pedidos no Rec]]</f>
        <v>0</v>
      </c>
      <c r="K1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8">
        <f>_xlfn.IFNA(VLOOKUP(Imputar[[#This Row],[Categoría]],EIMI!C:T,8,0),0)</f>
        <v>0</v>
      </c>
      <c r="M188">
        <f>_xlfn.IFNA(VLOOKUP(Imputar[[#This Row],[Categoría]],EIMI!C:T,9,0),0)</f>
        <v>0</v>
      </c>
      <c r="N188">
        <f>_xlfn.IFNA(VLOOKUP(Imputar[[#This Row],[Categoría]],EIMI!C:T,10,0),0)</f>
        <v>0</v>
      </c>
    </row>
    <row r="189" spans="1:14" hidden="1" x14ac:dyDescent="0.25">
      <c r="A189" s="210">
        <f>Indice!$I$11</f>
        <v>0</v>
      </c>
      <c r="B189" t="s">
        <v>736</v>
      </c>
      <c r="C189" s="39">
        <f>Indice!$I$12</f>
        <v>45992</v>
      </c>
      <c r="E189">
        <f>ROUND(SUMIFS(CATEGORIAS[[#All],[TOTAL PRODUCCION
ACTUAL]],CATEGORIAS[[#All],[CATEGORIA2]],Imputar[[#This Row],[Categoría]]),0)</f>
        <v>0</v>
      </c>
      <c r="F189">
        <v>0</v>
      </c>
      <c r="G189">
        <f>ROUND(SUMIFS(CATEGORIAS[[#All],[PROYECCION
DE INGRESO
DEL SALDO]],CATEGORIAS[[#All],[CATEGORIA2]],Imputar[[#This Row],[Categoría]]),0)</f>
        <v>0</v>
      </c>
      <c r="H189">
        <f>ROUND(SUMIFS(CATEGORIAS[[#All],[CAMBIO DE
CATEGORIA]],CATEGORIAS[[#All],[CATEGORIA2]],Imputar[[#This Row],[Categoría]]),0)</f>
        <v>0</v>
      </c>
      <c r="I1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9">
        <f>+ROUND(SUMIFS(CATEGORIAS[[#All],[PROYECCION
TOTAL DE COSTO]],CATEGORIAS[[#All],[CATEGORIA2]],Imputar[[#This Row],[Categoría]]),0)
-Imputar[[#This Row],[Inventario]]
-Imputar[[#This Row],[Pedidos no Rec]]</f>
        <v>0</v>
      </c>
      <c r="K1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9">
        <f>_xlfn.IFNA(VLOOKUP(Imputar[[#This Row],[Categoría]],EIMI!C:T,8,0),0)</f>
        <v>0</v>
      </c>
      <c r="M189">
        <f>_xlfn.IFNA(VLOOKUP(Imputar[[#This Row],[Categoría]],EIMI!C:T,9,0),0)</f>
        <v>0</v>
      </c>
      <c r="N189">
        <f>_xlfn.IFNA(VLOOKUP(Imputar[[#This Row],[Categoría]],EIMI!C:T,10,0),0)</f>
        <v>0</v>
      </c>
    </row>
    <row r="190" spans="1:14" hidden="1" x14ac:dyDescent="0.25">
      <c r="A190" s="210">
        <f>Indice!$I$11</f>
        <v>0</v>
      </c>
      <c r="B190" t="s">
        <v>738</v>
      </c>
      <c r="C190" s="39">
        <f>Indice!$I$12</f>
        <v>45992</v>
      </c>
      <c r="E190">
        <f>ROUND(SUMIFS(CATEGORIAS[[#All],[TOTAL PRODUCCION
ACTUAL]],CATEGORIAS[[#All],[CATEGORIA2]],Imputar[[#This Row],[Categoría]]),0)</f>
        <v>0</v>
      </c>
      <c r="F190">
        <v>0</v>
      </c>
      <c r="G190">
        <f>ROUND(SUMIFS(CATEGORIAS[[#All],[PROYECCION
DE INGRESO
DEL SALDO]],CATEGORIAS[[#All],[CATEGORIA2]],Imputar[[#This Row],[Categoría]]),0)</f>
        <v>0</v>
      </c>
      <c r="H190">
        <f>ROUND(SUMIFS(CATEGORIAS[[#All],[CAMBIO DE
CATEGORIA]],CATEGORIAS[[#All],[CATEGORIA2]],Imputar[[#This Row],[Categoría]]),0)</f>
        <v>0</v>
      </c>
      <c r="I1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0">
        <f>+ROUND(SUMIFS(CATEGORIAS[[#All],[PROYECCION
TOTAL DE COSTO]],CATEGORIAS[[#All],[CATEGORIA2]],Imputar[[#This Row],[Categoría]]),0)
-Imputar[[#This Row],[Inventario]]
-Imputar[[#This Row],[Pedidos no Rec]]</f>
        <v>0</v>
      </c>
      <c r="K1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0">
        <f>_xlfn.IFNA(VLOOKUP(Imputar[[#This Row],[Categoría]],EIMI!C:T,8,0),0)</f>
        <v>0</v>
      </c>
      <c r="M190">
        <f>_xlfn.IFNA(VLOOKUP(Imputar[[#This Row],[Categoría]],EIMI!C:T,9,0),0)</f>
        <v>0</v>
      </c>
      <c r="N190">
        <f>_xlfn.IFNA(VLOOKUP(Imputar[[#This Row],[Categoría]],EIMI!C:T,10,0),0)</f>
        <v>0</v>
      </c>
    </row>
    <row r="191" spans="1:14" hidden="1" x14ac:dyDescent="0.25">
      <c r="A191" s="210">
        <f>Indice!$I$11</f>
        <v>0</v>
      </c>
      <c r="B191" t="s">
        <v>740</v>
      </c>
      <c r="C191" s="39">
        <f>Indice!$I$12</f>
        <v>45992</v>
      </c>
      <c r="E191">
        <f>ROUND(SUMIFS(CATEGORIAS[[#All],[TOTAL PRODUCCION
ACTUAL]],CATEGORIAS[[#All],[CATEGORIA2]],Imputar[[#This Row],[Categoría]]),0)</f>
        <v>0</v>
      </c>
      <c r="F191">
        <v>0</v>
      </c>
      <c r="G191">
        <f>ROUND(SUMIFS(CATEGORIAS[[#All],[PROYECCION
DE INGRESO
DEL SALDO]],CATEGORIAS[[#All],[CATEGORIA2]],Imputar[[#This Row],[Categoría]]),0)</f>
        <v>0</v>
      </c>
      <c r="H191">
        <f>ROUND(SUMIFS(CATEGORIAS[[#All],[CAMBIO DE
CATEGORIA]],CATEGORIAS[[#All],[CATEGORIA2]],Imputar[[#This Row],[Categoría]]),0)</f>
        <v>0</v>
      </c>
      <c r="I1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1">
        <f>+ROUND(SUMIFS(CATEGORIAS[[#All],[PROYECCION
TOTAL DE COSTO]],CATEGORIAS[[#All],[CATEGORIA2]],Imputar[[#This Row],[Categoría]]),0)
-Imputar[[#This Row],[Inventario]]
-Imputar[[#This Row],[Pedidos no Rec]]</f>
        <v>0</v>
      </c>
      <c r="K1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1">
        <f>_xlfn.IFNA(VLOOKUP(Imputar[[#This Row],[Categoría]],EIMI!C:T,8,0),0)</f>
        <v>0</v>
      </c>
      <c r="M191">
        <f>_xlfn.IFNA(VLOOKUP(Imputar[[#This Row],[Categoría]],EIMI!C:T,9,0),0)</f>
        <v>0</v>
      </c>
      <c r="N191">
        <f>_xlfn.IFNA(VLOOKUP(Imputar[[#This Row],[Categoría]],EIMI!C:T,10,0),0)</f>
        <v>0</v>
      </c>
    </row>
    <row r="192" spans="1:14" hidden="1" x14ac:dyDescent="0.25">
      <c r="A192" s="210">
        <f>Indice!$I$11</f>
        <v>0</v>
      </c>
      <c r="B192" t="s">
        <v>742</v>
      </c>
      <c r="C192" s="39">
        <f>Indice!$I$12</f>
        <v>45992</v>
      </c>
      <c r="E192">
        <f>ROUND(SUMIFS(CATEGORIAS[[#All],[TOTAL PRODUCCION
ACTUAL]],CATEGORIAS[[#All],[CATEGORIA2]],Imputar[[#This Row],[Categoría]]),0)</f>
        <v>0</v>
      </c>
      <c r="F192">
        <v>0</v>
      </c>
      <c r="G192">
        <f>ROUND(SUMIFS(CATEGORIAS[[#All],[PROYECCION
DE INGRESO
DEL SALDO]],CATEGORIAS[[#All],[CATEGORIA2]],Imputar[[#This Row],[Categoría]]),0)</f>
        <v>0</v>
      </c>
      <c r="H192">
        <f>ROUND(SUMIFS(CATEGORIAS[[#All],[CAMBIO DE
CATEGORIA]],CATEGORIAS[[#All],[CATEGORIA2]],Imputar[[#This Row],[Categoría]]),0)</f>
        <v>0</v>
      </c>
      <c r="I1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2">
        <f>+ROUND(SUMIFS(CATEGORIAS[[#All],[PROYECCION
TOTAL DE COSTO]],CATEGORIAS[[#All],[CATEGORIA2]],Imputar[[#This Row],[Categoría]]),0)
-Imputar[[#This Row],[Inventario]]
-Imputar[[#This Row],[Pedidos no Rec]]</f>
        <v>0</v>
      </c>
      <c r="K1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2">
        <f>_xlfn.IFNA(VLOOKUP(Imputar[[#This Row],[Categoría]],EIMI!C:T,8,0),0)</f>
        <v>0</v>
      </c>
      <c r="M192">
        <f>_xlfn.IFNA(VLOOKUP(Imputar[[#This Row],[Categoría]],EIMI!C:T,9,0),0)</f>
        <v>0</v>
      </c>
      <c r="N192">
        <f>_xlfn.IFNA(VLOOKUP(Imputar[[#This Row],[Categoría]],EIMI!C:T,10,0),0)</f>
        <v>0</v>
      </c>
    </row>
    <row r="193" spans="1:14" hidden="1" x14ac:dyDescent="0.25">
      <c r="A193" s="210">
        <f>Indice!$I$11</f>
        <v>0</v>
      </c>
      <c r="B193" t="s">
        <v>744</v>
      </c>
      <c r="C193" s="39">
        <f>Indice!$I$12</f>
        <v>45992</v>
      </c>
      <c r="E193">
        <f>ROUND(SUMIFS(CATEGORIAS[[#All],[TOTAL PRODUCCION
ACTUAL]],CATEGORIAS[[#All],[CATEGORIA2]],Imputar[[#This Row],[Categoría]]),0)</f>
        <v>0</v>
      </c>
      <c r="F193">
        <v>0</v>
      </c>
      <c r="G193">
        <f>ROUND(SUMIFS(CATEGORIAS[[#All],[PROYECCION
DE INGRESO
DEL SALDO]],CATEGORIAS[[#All],[CATEGORIA2]],Imputar[[#This Row],[Categoría]]),0)</f>
        <v>0</v>
      </c>
      <c r="H193">
        <f>ROUND(SUMIFS(CATEGORIAS[[#All],[CAMBIO DE
CATEGORIA]],CATEGORIAS[[#All],[CATEGORIA2]],Imputar[[#This Row],[Categoría]]),0)</f>
        <v>0</v>
      </c>
      <c r="I1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3">
        <f>+ROUND(SUMIFS(CATEGORIAS[[#All],[PROYECCION
TOTAL DE COSTO]],CATEGORIAS[[#All],[CATEGORIA2]],Imputar[[#This Row],[Categoría]]),0)
-Imputar[[#This Row],[Inventario]]
-Imputar[[#This Row],[Pedidos no Rec]]</f>
        <v>0</v>
      </c>
      <c r="K1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3">
        <f>_xlfn.IFNA(VLOOKUP(Imputar[[#This Row],[Categoría]],EIMI!C:T,8,0),0)</f>
        <v>0</v>
      </c>
      <c r="M193">
        <f>_xlfn.IFNA(VLOOKUP(Imputar[[#This Row],[Categoría]],EIMI!C:T,9,0),0)</f>
        <v>0</v>
      </c>
      <c r="N193">
        <f>_xlfn.IFNA(VLOOKUP(Imputar[[#This Row],[Categoría]],EIMI!C:T,10,0),0)</f>
        <v>0</v>
      </c>
    </row>
    <row r="194" spans="1:14" hidden="1" x14ac:dyDescent="0.25">
      <c r="A194" s="210">
        <f>Indice!$I$11</f>
        <v>0</v>
      </c>
      <c r="B194" t="s">
        <v>746</v>
      </c>
      <c r="C194" s="39">
        <f>Indice!$I$12</f>
        <v>45992</v>
      </c>
      <c r="E194">
        <f>ROUND(SUMIFS(CATEGORIAS[[#All],[TOTAL PRODUCCION
ACTUAL]],CATEGORIAS[[#All],[CATEGORIA2]],Imputar[[#This Row],[Categoría]]),0)</f>
        <v>0</v>
      </c>
      <c r="F194">
        <v>0</v>
      </c>
      <c r="G194">
        <f>ROUND(SUMIFS(CATEGORIAS[[#All],[PROYECCION
DE INGRESO
DEL SALDO]],CATEGORIAS[[#All],[CATEGORIA2]],Imputar[[#This Row],[Categoría]]),0)</f>
        <v>0</v>
      </c>
      <c r="H194">
        <f>ROUND(SUMIFS(CATEGORIAS[[#All],[CAMBIO DE
CATEGORIA]],CATEGORIAS[[#All],[CATEGORIA2]],Imputar[[#This Row],[Categoría]]),0)</f>
        <v>0</v>
      </c>
      <c r="I1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4">
        <f>+ROUND(SUMIFS(CATEGORIAS[[#All],[PROYECCION
TOTAL DE COSTO]],CATEGORIAS[[#All],[CATEGORIA2]],Imputar[[#This Row],[Categoría]]),0)
-Imputar[[#This Row],[Inventario]]
-Imputar[[#This Row],[Pedidos no Rec]]</f>
        <v>0</v>
      </c>
      <c r="K1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4">
        <f>_xlfn.IFNA(VLOOKUP(Imputar[[#This Row],[Categoría]],EIMI!C:T,8,0),0)</f>
        <v>0</v>
      </c>
      <c r="M194">
        <f>_xlfn.IFNA(VLOOKUP(Imputar[[#This Row],[Categoría]],EIMI!C:T,9,0),0)</f>
        <v>0</v>
      </c>
      <c r="N194">
        <f>_xlfn.IFNA(VLOOKUP(Imputar[[#This Row],[Categoría]],EIMI!C:T,10,0),0)</f>
        <v>0</v>
      </c>
    </row>
    <row r="195" spans="1:14" hidden="1" x14ac:dyDescent="0.25">
      <c r="A195" s="210">
        <f>Indice!$I$11</f>
        <v>0</v>
      </c>
      <c r="B195" t="s">
        <v>748</v>
      </c>
      <c r="C195" s="39">
        <f>Indice!$I$12</f>
        <v>45992</v>
      </c>
      <c r="E195">
        <f>ROUND(SUMIFS(CATEGORIAS[[#All],[TOTAL PRODUCCION
ACTUAL]],CATEGORIAS[[#All],[CATEGORIA2]],Imputar[[#This Row],[Categoría]]),0)</f>
        <v>0</v>
      </c>
      <c r="F195">
        <v>0</v>
      </c>
      <c r="G195">
        <f>ROUND(SUMIFS(CATEGORIAS[[#All],[PROYECCION
DE INGRESO
DEL SALDO]],CATEGORIAS[[#All],[CATEGORIA2]],Imputar[[#This Row],[Categoría]]),0)</f>
        <v>0</v>
      </c>
      <c r="H195">
        <f>ROUND(SUMIFS(CATEGORIAS[[#All],[CAMBIO DE
CATEGORIA]],CATEGORIAS[[#All],[CATEGORIA2]],Imputar[[#This Row],[Categoría]]),0)</f>
        <v>0</v>
      </c>
      <c r="I1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5">
        <f>+ROUND(SUMIFS(CATEGORIAS[[#All],[PROYECCION
TOTAL DE COSTO]],CATEGORIAS[[#All],[CATEGORIA2]],Imputar[[#This Row],[Categoría]]),0)
-Imputar[[#This Row],[Inventario]]
-Imputar[[#This Row],[Pedidos no Rec]]</f>
        <v>0</v>
      </c>
      <c r="K1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5">
        <f>_xlfn.IFNA(VLOOKUP(Imputar[[#This Row],[Categoría]],EIMI!C:T,8,0),0)</f>
        <v>0</v>
      </c>
      <c r="M195">
        <f>_xlfn.IFNA(VLOOKUP(Imputar[[#This Row],[Categoría]],EIMI!C:T,9,0),0)</f>
        <v>0</v>
      </c>
      <c r="N195">
        <f>_xlfn.IFNA(VLOOKUP(Imputar[[#This Row],[Categoría]],EIMI!C:T,10,0),0)</f>
        <v>0</v>
      </c>
    </row>
    <row r="196" spans="1:14" x14ac:dyDescent="0.25">
      <c r="A196" s="210">
        <f>Indice!$I$11</f>
        <v>0</v>
      </c>
      <c r="B196" t="s">
        <v>750</v>
      </c>
      <c r="C196" s="39">
        <f>Indice!$I$12</f>
        <v>45992</v>
      </c>
      <c r="E196">
        <f>ROUND(SUMIFS(CATEGORIAS[[#All],[TOTAL PRODUCCION
ACTUAL]],CATEGORIAS[[#All],[CATEGORIA2]],Imputar[[#This Row],[Categoría]]),0)</f>
        <v>0</v>
      </c>
      <c r="F196">
        <v>0</v>
      </c>
      <c r="G196">
        <f>ROUND(SUMIFS(CATEGORIAS[[#All],[PROYECCION
DE INGRESO
DEL SALDO]],CATEGORIAS[[#All],[CATEGORIA2]],Imputar[[#This Row],[Categoría]]),0)</f>
        <v>0</v>
      </c>
      <c r="H196">
        <f>ROUND(SUMIFS(CATEGORIAS[[#All],[CAMBIO DE
CATEGORIA]],CATEGORIAS[[#All],[CATEGORIA2]],Imputar[[#This Row],[Categoría]]),0)</f>
        <v>0</v>
      </c>
      <c r="I1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6">
        <f>+ROUND(SUMIFS(CATEGORIAS[[#All],[PROYECCION
TOTAL DE COSTO]],CATEGORIAS[[#All],[CATEGORIA2]],Imputar[[#This Row],[Categoría]]),0)
-Imputar[[#This Row],[Inventario]]
-Imputar[[#This Row],[Pedidos no Rec]]</f>
        <v>0</v>
      </c>
      <c r="K1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6">
        <f>_xlfn.IFNA(VLOOKUP(Imputar[[#This Row],[Categoría]],EIMI!C:T,8,0),0)</f>
        <v>0</v>
      </c>
      <c r="M196">
        <f>_xlfn.IFNA(VLOOKUP(Imputar[[#This Row],[Categoría]],EIMI!C:T,9,0),0)</f>
        <v>0</v>
      </c>
      <c r="N196">
        <f>_xlfn.IFNA(VLOOKUP(Imputar[[#This Row],[Categoría]],EIMI!C:T,10,0),0)</f>
        <v>0</v>
      </c>
    </row>
    <row r="197" spans="1:14" hidden="1" x14ac:dyDescent="0.25">
      <c r="A197" s="210">
        <f>Indice!$I$11</f>
        <v>0</v>
      </c>
      <c r="B197" t="s">
        <v>752</v>
      </c>
      <c r="C197" s="39">
        <f>Indice!$I$12</f>
        <v>45992</v>
      </c>
      <c r="E197">
        <f>ROUND(SUMIFS(CATEGORIAS[[#All],[TOTAL PRODUCCION
ACTUAL]],CATEGORIAS[[#All],[CATEGORIA2]],Imputar[[#This Row],[Categoría]]),0)</f>
        <v>0</v>
      </c>
      <c r="F197">
        <v>0</v>
      </c>
      <c r="G197">
        <f>ROUND(SUMIFS(CATEGORIAS[[#All],[PROYECCION
DE INGRESO
DEL SALDO]],CATEGORIAS[[#All],[CATEGORIA2]],Imputar[[#This Row],[Categoría]]),0)</f>
        <v>0</v>
      </c>
      <c r="H197">
        <f>ROUND(SUMIFS(CATEGORIAS[[#All],[CAMBIO DE
CATEGORIA]],CATEGORIAS[[#All],[CATEGORIA2]],Imputar[[#This Row],[Categoría]]),0)</f>
        <v>0</v>
      </c>
      <c r="I1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7">
        <f>+ROUND(SUMIFS(CATEGORIAS[[#All],[PROYECCION
TOTAL DE COSTO]],CATEGORIAS[[#All],[CATEGORIA2]],Imputar[[#This Row],[Categoría]]),0)
-Imputar[[#This Row],[Inventario]]
-Imputar[[#This Row],[Pedidos no Rec]]</f>
        <v>0</v>
      </c>
      <c r="K1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7">
        <f>_xlfn.IFNA(VLOOKUP(Imputar[[#This Row],[Categoría]],EIMI!C:T,8,0),0)</f>
        <v>0</v>
      </c>
      <c r="M197">
        <f>_xlfn.IFNA(VLOOKUP(Imputar[[#This Row],[Categoría]],EIMI!C:T,9,0),0)</f>
        <v>0</v>
      </c>
      <c r="N197">
        <f>_xlfn.IFNA(VLOOKUP(Imputar[[#This Row],[Categoría]],EIMI!C:T,10,0),0)</f>
        <v>0</v>
      </c>
    </row>
    <row r="198" spans="1:14" x14ac:dyDescent="0.25">
      <c r="A198" s="210">
        <f>Indice!$I$11</f>
        <v>0</v>
      </c>
      <c r="B198" t="s">
        <v>754</v>
      </c>
      <c r="C198" s="39">
        <f>Indice!$I$12</f>
        <v>45992</v>
      </c>
      <c r="E198">
        <f>ROUND(SUMIFS(CATEGORIAS[[#All],[TOTAL PRODUCCION
ACTUAL]],CATEGORIAS[[#All],[CATEGORIA2]],Imputar[[#This Row],[Categoría]]),0)</f>
        <v>0</v>
      </c>
      <c r="F198">
        <v>0</v>
      </c>
      <c r="G198">
        <f>ROUND(SUMIFS(CATEGORIAS[[#All],[PROYECCION
DE INGRESO
DEL SALDO]],CATEGORIAS[[#All],[CATEGORIA2]],Imputar[[#This Row],[Categoría]]),0)</f>
        <v>0</v>
      </c>
      <c r="H198">
        <f>ROUND(SUMIFS(CATEGORIAS[[#All],[CAMBIO DE
CATEGORIA]],CATEGORIAS[[#All],[CATEGORIA2]],Imputar[[#This Row],[Categoría]]),0)</f>
        <v>0</v>
      </c>
      <c r="I1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8">
        <f>+ROUND(SUMIFS(CATEGORIAS[[#All],[PROYECCION
TOTAL DE COSTO]],CATEGORIAS[[#All],[CATEGORIA2]],Imputar[[#This Row],[Categoría]]),0)
-Imputar[[#This Row],[Inventario]]
-Imputar[[#This Row],[Pedidos no Rec]]</f>
        <v>0</v>
      </c>
      <c r="K1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8">
        <f>_xlfn.IFNA(VLOOKUP(Imputar[[#This Row],[Categoría]],EIMI!C:T,8,0),0)</f>
        <v>0</v>
      </c>
      <c r="M198">
        <f>_xlfn.IFNA(VLOOKUP(Imputar[[#This Row],[Categoría]],EIMI!C:T,9,0),0)</f>
        <v>0</v>
      </c>
      <c r="N198">
        <f>_xlfn.IFNA(VLOOKUP(Imputar[[#This Row],[Categoría]],EIMI!C:T,10,0),0)</f>
        <v>0</v>
      </c>
    </row>
    <row r="199" spans="1:14" hidden="1" x14ac:dyDescent="0.25">
      <c r="A199" s="210">
        <f>Indice!$I$11</f>
        <v>0</v>
      </c>
      <c r="B199" t="s">
        <v>756</v>
      </c>
      <c r="C199" s="39">
        <f>Indice!$I$12</f>
        <v>45992</v>
      </c>
      <c r="E199">
        <f>ROUND(SUMIFS(CATEGORIAS[[#All],[TOTAL PRODUCCION
ACTUAL]],CATEGORIAS[[#All],[CATEGORIA2]],Imputar[[#This Row],[Categoría]]),0)</f>
        <v>0</v>
      </c>
      <c r="F199">
        <v>0</v>
      </c>
      <c r="G199">
        <f>ROUND(SUMIFS(CATEGORIAS[[#All],[PROYECCION
DE INGRESO
DEL SALDO]],CATEGORIAS[[#All],[CATEGORIA2]],Imputar[[#This Row],[Categoría]]),0)</f>
        <v>0</v>
      </c>
      <c r="H199">
        <f>ROUND(SUMIFS(CATEGORIAS[[#All],[CAMBIO DE
CATEGORIA]],CATEGORIAS[[#All],[CATEGORIA2]],Imputar[[#This Row],[Categoría]]),0)</f>
        <v>0</v>
      </c>
      <c r="I1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9">
        <f>+ROUND(SUMIFS(CATEGORIAS[[#All],[PROYECCION
TOTAL DE COSTO]],CATEGORIAS[[#All],[CATEGORIA2]],Imputar[[#This Row],[Categoría]]),0)
-Imputar[[#This Row],[Inventario]]
-Imputar[[#This Row],[Pedidos no Rec]]</f>
        <v>0</v>
      </c>
      <c r="K1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9">
        <f>_xlfn.IFNA(VLOOKUP(Imputar[[#This Row],[Categoría]],EIMI!C:T,8,0),0)</f>
        <v>0</v>
      </c>
      <c r="M199">
        <f>_xlfn.IFNA(VLOOKUP(Imputar[[#This Row],[Categoría]],EIMI!C:T,9,0),0)</f>
        <v>0</v>
      </c>
      <c r="N199">
        <f>_xlfn.IFNA(VLOOKUP(Imputar[[#This Row],[Categoría]],EIMI!C:T,10,0),0)</f>
        <v>0</v>
      </c>
    </row>
    <row r="200" spans="1:14" hidden="1" x14ac:dyDescent="0.25">
      <c r="A200" s="210">
        <f>Indice!$I$11</f>
        <v>0</v>
      </c>
      <c r="B200" t="s">
        <v>758</v>
      </c>
      <c r="C200" s="39">
        <f>Indice!$I$12</f>
        <v>45992</v>
      </c>
      <c r="E200">
        <f>ROUND(SUMIFS(CATEGORIAS[[#All],[TOTAL PRODUCCION
ACTUAL]],CATEGORIAS[[#All],[CATEGORIA2]],Imputar[[#This Row],[Categoría]]),0)</f>
        <v>0</v>
      </c>
      <c r="F200">
        <v>0</v>
      </c>
      <c r="G200">
        <f>ROUND(SUMIFS(CATEGORIAS[[#All],[PROYECCION
DE INGRESO
DEL SALDO]],CATEGORIAS[[#All],[CATEGORIA2]],Imputar[[#This Row],[Categoría]]),0)</f>
        <v>0</v>
      </c>
      <c r="H200">
        <f>ROUND(SUMIFS(CATEGORIAS[[#All],[CAMBIO DE
CATEGORIA]],CATEGORIAS[[#All],[CATEGORIA2]],Imputar[[#This Row],[Categoría]]),0)</f>
        <v>0</v>
      </c>
      <c r="I2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0">
        <f>+ROUND(SUMIFS(CATEGORIAS[[#All],[PROYECCION
TOTAL DE COSTO]],CATEGORIAS[[#All],[CATEGORIA2]],Imputar[[#This Row],[Categoría]]),0)
-Imputar[[#This Row],[Inventario]]
-Imputar[[#This Row],[Pedidos no Rec]]</f>
        <v>0</v>
      </c>
      <c r="K2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0">
        <f>_xlfn.IFNA(VLOOKUP(Imputar[[#This Row],[Categoría]],EIMI!C:T,8,0),0)</f>
        <v>0</v>
      </c>
      <c r="M200">
        <f>_xlfn.IFNA(VLOOKUP(Imputar[[#This Row],[Categoría]],EIMI!C:T,9,0),0)</f>
        <v>0</v>
      </c>
      <c r="N200">
        <f>_xlfn.IFNA(VLOOKUP(Imputar[[#This Row],[Categoría]],EIMI!C:T,10,0),0)</f>
        <v>0</v>
      </c>
    </row>
    <row r="201" spans="1:14" hidden="1" x14ac:dyDescent="0.25">
      <c r="A201" s="210">
        <f>Indice!$I$11</f>
        <v>0</v>
      </c>
      <c r="B201" t="s">
        <v>760</v>
      </c>
      <c r="C201" s="39">
        <f>Indice!$I$12</f>
        <v>45992</v>
      </c>
      <c r="E201">
        <f>ROUND(SUMIFS(CATEGORIAS[[#All],[TOTAL PRODUCCION
ACTUAL]],CATEGORIAS[[#All],[CATEGORIA2]],Imputar[[#This Row],[Categoría]]),0)</f>
        <v>0</v>
      </c>
      <c r="F201">
        <v>0</v>
      </c>
      <c r="G201">
        <f>ROUND(SUMIFS(CATEGORIAS[[#All],[PROYECCION
DE INGRESO
DEL SALDO]],CATEGORIAS[[#All],[CATEGORIA2]],Imputar[[#This Row],[Categoría]]),0)</f>
        <v>0</v>
      </c>
      <c r="H201">
        <f>ROUND(SUMIFS(CATEGORIAS[[#All],[CAMBIO DE
CATEGORIA]],CATEGORIAS[[#All],[CATEGORIA2]],Imputar[[#This Row],[Categoría]]),0)</f>
        <v>0</v>
      </c>
      <c r="I2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1">
        <f>+ROUND(SUMIFS(CATEGORIAS[[#All],[PROYECCION
TOTAL DE COSTO]],CATEGORIAS[[#All],[CATEGORIA2]],Imputar[[#This Row],[Categoría]]),0)
-Imputar[[#This Row],[Inventario]]
-Imputar[[#This Row],[Pedidos no Rec]]</f>
        <v>0</v>
      </c>
      <c r="K2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1">
        <f>_xlfn.IFNA(VLOOKUP(Imputar[[#This Row],[Categoría]],EIMI!C:T,8,0),0)</f>
        <v>0</v>
      </c>
      <c r="M201">
        <f>_xlfn.IFNA(VLOOKUP(Imputar[[#This Row],[Categoría]],EIMI!C:T,9,0),0)</f>
        <v>0</v>
      </c>
      <c r="N201">
        <f>_xlfn.IFNA(VLOOKUP(Imputar[[#This Row],[Categoría]],EIMI!C:T,10,0),0)</f>
        <v>0</v>
      </c>
    </row>
    <row r="202" spans="1:14" hidden="1" x14ac:dyDescent="0.25">
      <c r="A202" s="210">
        <f>Indice!$I$11</f>
        <v>0</v>
      </c>
      <c r="B202" t="s">
        <v>762</v>
      </c>
      <c r="C202" s="39">
        <f>Indice!$I$12</f>
        <v>45992</v>
      </c>
      <c r="E202">
        <f>ROUND(SUMIFS(CATEGORIAS[[#All],[TOTAL PRODUCCION
ACTUAL]],CATEGORIAS[[#All],[CATEGORIA2]],Imputar[[#This Row],[Categoría]]),0)</f>
        <v>0</v>
      </c>
      <c r="F202">
        <v>0</v>
      </c>
      <c r="G202">
        <f>ROUND(SUMIFS(CATEGORIAS[[#All],[PROYECCION
DE INGRESO
DEL SALDO]],CATEGORIAS[[#All],[CATEGORIA2]],Imputar[[#This Row],[Categoría]]),0)</f>
        <v>0</v>
      </c>
      <c r="H202">
        <f>ROUND(SUMIFS(CATEGORIAS[[#All],[CAMBIO DE
CATEGORIA]],CATEGORIAS[[#All],[CATEGORIA2]],Imputar[[#This Row],[Categoría]]),0)</f>
        <v>0</v>
      </c>
      <c r="I2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2">
        <f>+ROUND(SUMIFS(CATEGORIAS[[#All],[PROYECCION
TOTAL DE COSTO]],CATEGORIAS[[#All],[CATEGORIA2]],Imputar[[#This Row],[Categoría]]),0)
-Imputar[[#This Row],[Inventario]]
-Imputar[[#This Row],[Pedidos no Rec]]</f>
        <v>0</v>
      </c>
      <c r="K2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2">
        <f>_xlfn.IFNA(VLOOKUP(Imputar[[#This Row],[Categoría]],EIMI!C:T,8,0),0)</f>
        <v>0</v>
      </c>
      <c r="M202">
        <f>_xlfn.IFNA(VLOOKUP(Imputar[[#This Row],[Categoría]],EIMI!C:T,9,0),0)</f>
        <v>0</v>
      </c>
      <c r="N202">
        <f>_xlfn.IFNA(VLOOKUP(Imputar[[#This Row],[Categoría]],EIMI!C:T,10,0),0)</f>
        <v>0</v>
      </c>
    </row>
    <row r="203" spans="1:14" hidden="1" x14ac:dyDescent="0.25">
      <c r="A203" s="210">
        <f>Indice!$I$11</f>
        <v>0</v>
      </c>
      <c r="B203" t="s">
        <v>764</v>
      </c>
      <c r="C203" s="39">
        <f>Indice!$I$12</f>
        <v>45992</v>
      </c>
      <c r="E203">
        <f>ROUND(SUMIFS(CATEGORIAS[[#All],[TOTAL PRODUCCION
ACTUAL]],CATEGORIAS[[#All],[CATEGORIA2]],Imputar[[#This Row],[Categoría]]),0)</f>
        <v>0</v>
      </c>
      <c r="F203">
        <v>0</v>
      </c>
      <c r="G203">
        <f>ROUND(SUMIFS(CATEGORIAS[[#All],[PROYECCION
DE INGRESO
DEL SALDO]],CATEGORIAS[[#All],[CATEGORIA2]],Imputar[[#This Row],[Categoría]]),0)</f>
        <v>0</v>
      </c>
      <c r="H203">
        <f>ROUND(SUMIFS(CATEGORIAS[[#All],[CAMBIO DE
CATEGORIA]],CATEGORIAS[[#All],[CATEGORIA2]],Imputar[[#This Row],[Categoría]]),0)</f>
        <v>0</v>
      </c>
      <c r="I2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3">
        <f>+ROUND(SUMIFS(CATEGORIAS[[#All],[PROYECCION
TOTAL DE COSTO]],CATEGORIAS[[#All],[CATEGORIA2]],Imputar[[#This Row],[Categoría]]),0)
-Imputar[[#This Row],[Inventario]]
-Imputar[[#This Row],[Pedidos no Rec]]</f>
        <v>0</v>
      </c>
      <c r="K2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3">
        <f>_xlfn.IFNA(VLOOKUP(Imputar[[#This Row],[Categoría]],EIMI!C:T,8,0),0)</f>
        <v>0</v>
      </c>
      <c r="M203">
        <f>_xlfn.IFNA(VLOOKUP(Imputar[[#This Row],[Categoría]],EIMI!C:T,9,0),0)</f>
        <v>0</v>
      </c>
      <c r="N203">
        <f>_xlfn.IFNA(VLOOKUP(Imputar[[#This Row],[Categoría]],EIMI!C:T,10,0),0)</f>
        <v>0</v>
      </c>
    </row>
    <row r="204" spans="1:14" x14ac:dyDescent="0.25">
      <c r="A204" s="210">
        <f>Indice!$I$11</f>
        <v>0</v>
      </c>
      <c r="B204" t="s">
        <v>766</v>
      </c>
      <c r="C204" s="39">
        <f>Indice!$I$12</f>
        <v>45992</v>
      </c>
      <c r="E204">
        <f>ROUND(SUMIFS(CATEGORIAS[[#All],[TOTAL PRODUCCION
ACTUAL]],CATEGORIAS[[#All],[CATEGORIA2]],Imputar[[#This Row],[Categoría]]),0)</f>
        <v>0</v>
      </c>
      <c r="F204">
        <v>0</v>
      </c>
      <c r="G204">
        <f>ROUND(SUMIFS(CATEGORIAS[[#All],[PROYECCION
DE INGRESO
DEL SALDO]],CATEGORIAS[[#All],[CATEGORIA2]],Imputar[[#This Row],[Categoría]]),0)</f>
        <v>0</v>
      </c>
      <c r="H204">
        <f>ROUND(SUMIFS(CATEGORIAS[[#All],[CAMBIO DE
CATEGORIA]],CATEGORIAS[[#All],[CATEGORIA2]],Imputar[[#This Row],[Categoría]]),0)</f>
        <v>0</v>
      </c>
      <c r="I2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4">
        <f>+ROUND(SUMIFS(CATEGORIAS[[#All],[PROYECCION
TOTAL DE COSTO]],CATEGORIAS[[#All],[CATEGORIA2]],Imputar[[#This Row],[Categoría]]),0)
-Imputar[[#This Row],[Inventario]]
-Imputar[[#This Row],[Pedidos no Rec]]</f>
        <v>0</v>
      </c>
      <c r="K2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4">
        <f>_xlfn.IFNA(VLOOKUP(Imputar[[#This Row],[Categoría]],EIMI!C:T,8,0),0)</f>
        <v>0</v>
      </c>
      <c r="M204">
        <f>_xlfn.IFNA(VLOOKUP(Imputar[[#This Row],[Categoría]],EIMI!C:T,9,0),0)</f>
        <v>0</v>
      </c>
      <c r="N204">
        <f>_xlfn.IFNA(VLOOKUP(Imputar[[#This Row],[Categoría]],EIMI!C:T,10,0),0)</f>
        <v>0</v>
      </c>
    </row>
    <row r="205" spans="1:14" hidden="1" x14ac:dyDescent="0.25">
      <c r="A205" s="210">
        <f>Indice!$I$11</f>
        <v>0</v>
      </c>
      <c r="B205" t="s">
        <v>768</v>
      </c>
      <c r="C205" s="39">
        <f>Indice!$I$12</f>
        <v>45992</v>
      </c>
      <c r="E205">
        <f>ROUND(SUMIFS(CATEGORIAS[[#All],[TOTAL PRODUCCION
ACTUAL]],CATEGORIAS[[#All],[CATEGORIA2]],Imputar[[#This Row],[Categoría]]),0)</f>
        <v>0</v>
      </c>
      <c r="F205">
        <v>0</v>
      </c>
      <c r="G205">
        <f>ROUND(SUMIFS(CATEGORIAS[[#All],[PROYECCION
DE INGRESO
DEL SALDO]],CATEGORIAS[[#All],[CATEGORIA2]],Imputar[[#This Row],[Categoría]]),0)</f>
        <v>0</v>
      </c>
      <c r="H205">
        <f>ROUND(SUMIFS(CATEGORIAS[[#All],[CAMBIO DE
CATEGORIA]],CATEGORIAS[[#All],[CATEGORIA2]],Imputar[[#This Row],[Categoría]]),0)</f>
        <v>0</v>
      </c>
      <c r="I2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5">
        <f>+ROUND(SUMIFS(CATEGORIAS[[#All],[PROYECCION
TOTAL DE COSTO]],CATEGORIAS[[#All],[CATEGORIA2]],Imputar[[#This Row],[Categoría]]),0)
-Imputar[[#This Row],[Inventario]]
-Imputar[[#This Row],[Pedidos no Rec]]</f>
        <v>0</v>
      </c>
      <c r="K2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5">
        <f>_xlfn.IFNA(VLOOKUP(Imputar[[#This Row],[Categoría]],EIMI!C:T,8,0),0)</f>
        <v>0</v>
      </c>
      <c r="M205">
        <f>_xlfn.IFNA(VLOOKUP(Imputar[[#This Row],[Categoría]],EIMI!C:T,9,0),0)</f>
        <v>0</v>
      </c>
      <c r="N205">
        <f>_xlfn.IFNA(VLOOKUP(Imputar[[#This Row],[Categoría]],EIMI!C:T,10,0),0)</f>
        <v>0</v>
      </c>
    </row>
    <row r="206" spans="1:14" x14ac:dyDescent="0.25">
      <c r="A206" s="210">
        <f>Indice!$I$11</f>
        <v>0</v>
      </c>
      <c r="B206" t="s">
        <v>770</v>
      </c>
      <c r="C206" s="39">
        <f>Indice!$I$12</f>
        <v>45992</v>
      </c>
      <c r="E206">
        <f>ROUND(SUMIFS(CATEGORIAS[[#All],[TOTAL PRODUCCION
ACTUAL]],CATEGORIAS[[#All],[CATEGORIA2]],Imputar[[#This Row],[Categoría]]),0)</f>
        <v>0</v>
      </c>
      <c r="F206">
        <v>0</v>
      </c>
      <c r="G206">
        <f>ROUND(SUMIFS(CATEGORIAS[[#All],[PROYECCION
DE INGRESO
DEL SALDO]],CATEGORIAS[[#All],[CATEGORIA2]],Imputar[[#This Row],[Categoría]]),0)</f>
        <v>0</v>
      </c>
      <c r="H206">
        <f>ROUND(SUMIFS(CATEGORIAS[[#All],[CAMBIO DE
CATEGORIA]],CATEGORIAS[[#All],[CATEGORIA2]],Imputar[[#This Row],[Categoría]]),0)</f>
        <v>0</v>
      </c>
      <c r="I2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6">
        <f>+ROUND(SUMIFS(CATEGORIAS[[#All],[PROYECCION
TOTAL DE COSTO]],CATEGORIAS[[#All],[CATEGORIA2]],Imputar[[#This Row],[Categoría]]),0)
-Imputar[[#This Row],[Inventario]]
-Imputar[[#This Row],[Pedidos no Rec]]</f>
        <v>0</v>
      </c>
      <c r="K2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6">
        <f>_xlfn.IFNA(VLOOKUP(Imputar[[#This Row],[Categoría]],EIMI!C:T,8,0),0)</f>
        <v>0</v>
      </c>
      <c r="M206">
        <f>_xlfn.IFNA(VLOOKUP(Imputar[[#This Row],[Categoría]],EIMI!C:T,9,0),0)</f>
        <v>0</v>
      </c>
      <c r="N206">
        <f>_xlfn.IFNA(VLOOKUP(Imputar[[#This Row],[Categoría]],EIMI!C:T,10,0),0)</f>
        <v>0</v>
      </c>
    </row>
    <row r="207" spans="1:14" hidden="1" x14ac:dyDescent="0.25">
      <c r="A207" s="210">
        <f>Indice!$I$11</f>
        <v>0</v>
      </c>
      <c r="B207" t="s">
        <v>772</v>
      </c>
      <c r="C207" s="39">
        <f>Indice!$I$12</f>
        <v>45992</v>
      </c>
      <c r="E207">
        <f>ROUND(SUMIFS(CATEGORIAS[[#All],[TOTAL PRODUCCION
ACTUAL]],CATEGORIAS[[#All],[CATEGORIA2]],Imputar[[#This Row],[Categoría]]),0)</f>
        <v>0</v>
      </c>
      <c r="F207">
        <v>0</v>
      </c>
      <c r="G207">
        <f>ROUND(SUMIFS(CATEGORIAS[[#All],[PROYECCION
DE INGRESO
DEL SALDO]],CATEGORIAS[[#All],[CATEGORIA2]],Imputar[[#This Row],[Categoría]]),0)</f>
        <v>0</v>
      </c>
      <c r="H207">
        <f>ROUND(SUMIFS(CATEGORIAS[[#All],[CAMBIO DE
CATEGORIA]],CATEGORIAS[[#All],[CATEGORIA2]],Imputar[[#This Row],[Categoría]]),0)</f>
        <v>0</v>
      </c>
      <c r="I2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7">
        <f>+ROUND(SUMIFS(CATEGORIAS[[#All],[PROYECCION
TOTAL DE COSTO]],CATEGORIAS[[#All],[CATEGORIA2]],Imputar[[#This Row],[Categoría]]),0)
-Imputar[[#This Row],[Inventario]]
-Imputar[[#This Row],[Pedidos no Rec]]</f>
        <v>0</v>
      </c>
      <c r="K2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7">
        <f>_xlfn.IFNA(VLOOKUP(Imputar[[#This Row],[Categoría]],EIMI!C:T,8,0),0)</f>
        <v>0</v>
      </c>
      <c r="M207">
        <f>_xlfn.IFNA(VLOOKUP(Imputar[[#This Row],[Categoría]],EIMI!C:T,9,0),0)</f>
        <v>0</v>
      </c>
      <c r="N207">
        <f>_xlfn.IFNA(VLOOKUP(Imputar[[#This Row],[Categoría]],EIMI!C:T,10,0),0)</f>
        <v>0</v>
      </c>
    </row>
    <row r="208" spans="1:14" hidden="1" x14ac:dyDescent="0.25">
      <c r="A208" s="210">
        <f>Indice!$I$11</f>
        <v>0</v>
      </c>
      <c r="B208" t="s">
        <v>774</v>
      </c>
      <c r="C208" s="39">
        <f>Indice!$I$12</f>
        <v>45992</v>
      </c>
      <c r="E208">
        <f>ROUND(SUMIFS(CATEGORIAS[[#All],[TOTAL PRODUCCION
ACTUAL]],CATEGORIAS[[#All],[CATEGORIA2]],Imputar[[#This Row],[Categoría]]),0)</f>
        <v>0</v>
      </c>
      <c r="F208">
        <v>0</v>
      </c>
      <c r="G208">
        <f>ROUND(SUMIFS(CATEGORIAS[[#All],[PROYECCION
DE INGRESO
DEL SALDO]],CATEGORIAS[[#All],[CATEGORIA2]],Imputar[[#This Row],[Categoría]]),0)</f>
        <v>0</v>
      </c>
      <c r="H208">
        <f>ROUND(SUMIFS(CATEGORIAS[[#All],[CAMBIO DE
CATEGORIA]],CATEGORIAS[[#All],[CATEGORIA2]],Imputar[[#This Row],[Categoría]]),0)</f>
        <v>0</v>
      </c>
      <c r="I2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8">
        <f>+ROUND(SUMIFS(CATEGORIAS[[#All],[PROYECCION
TOTAL DE COSTO]],CATEGORIAS[[#All],[CATEGORIA2]],Imputar[[#This Row],[Categoría]]),0)
-Imputar[[#This Row],[Inventario]]
-Imputar[[#This Row],[Pedidos no Rec]]</f>
        <v>0</v>
      </c>
      <c r="K2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8">
        <f>_xlfn.IFNA(VLOOKUP(Imputar[[#This Row],[Categoría]],EIMI!C:T,8,0),0)</f>
        <v>0</v>
      </c>
      <c r="M208">
        <f>_xlfn.IFNA(VLOOKUP(Imputar[[#This Row],[Categoría]],EIMI!C:T,9,0),0)</f>
        <v>0</v>
      </c>
      <c r="N208">
        <f>_xlfn.IFNA(VLOOKUP(Imputar[[#This Row],[Categoría]],EIMI!C:T,10,0),0)</f>
        <v>0</v>
      </c>
    </row>
    <row r="209" spans="1:14" hidden="1" x14ac:dyDescent="0.25">
      <c r="A209" s="210">
        <f>Indice!$I$11</f>
        <v>0</v>
      </c>
      <c r="B209" t="s">
        <v>776</v>
      </c>
      <c r="C209" s="39">
        <f>Indice!$I$12</f>
        <v>45992</v>
      </c>
      <c r="E209">
        <f>ROUND(SUMIFS(CATEGORIAS[[#All],[TOTAL PRODUCCION
ACTUAL]],CATEGORIAS[[#All],[CATEGORIA2]],Imputar[[#This Row],[Categoría]]),0)</f>
        <v>0</v>
      </c>
      <c r="F209">
        <v>0</v>
      </c>
      <c r="G209">
        <f>ROUND(SUMIFS(CATEGORIAS[[#All],[PROYECCION
DE INGRESO
DEL SALDO]],CATEGORIAS[[#All],[CATEGORIA2]],Imputar[[#This Row],[Categoría]]),0)</f>
        <v>0</v>
      </c>
      <c r="H209">
        <f>ROUND(SUMIFS(CATEGORIAS[[#All],[CAMBIO DE
CATEGORIA]],CATEGORIAS[[#All],[CATEGORIA2]],Imputar[[#This Row],[Categoría]]),0)</f>
        <v>0</v>
      </c>
      <c r="I2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9">
        <f>+ROUND(SUMIFS(CATEGORIAS[[#All],[PROYECCION
TOTAL DE COSTO]],CATEGORIAS[[#All],[CATEGORIA2]],Imputar[[#This Row],[Categoría]]),0)
-Imputar[[#This Row],[Inventario]]
-Imputar[[#This Row],[Pedidos no Rec]]</f>
        <v>0</v>
      </c>
      <c r="K2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9">
        <f>_xlfn.IFNA(VLOOKUP(Imputar[[#This Row],[Categoría]],EIMI!C:T,8,0),0)</f>
        <v>0</v>
      </c>
      <c r="M209">
        <f>_xlfn.IFNA(VLOOKUP(Imputar[[#This Row],[Categoría]],EIMI!C:T,9,0),0)</f>
        <v>0</v>
      </c>
      <c r="N209">
        <f>_xlfn.IFNA(VLOOKUP(Imputar[[#This Row],[Categoría]],EIMI!C:T,10,0),0)</f>
        <v>0</v>
      </c>
    </row>
    <row r="210" spans="1:14" hidden="1" x14ac:dyDescent="0.25">
      <c r="A210" s="210">
        <f>Indice!$I$11</f>
        <v>0</v>
      </c>
      <c r="B210" t="s">
        <v>778</v>
      </c>
      <c r="C210" s="39">
        <f>Indice!$I$12</f>
        <v>45992</v>
      </c>
      <c r="E210">
        <f>ROUND(SUMIFS(CATEGORIAS[[#All],[TOTAL PRODUCCION
ACTUAL]],CATEGORIAS[[#All],[CATEGORIA2]],Imputar[[#This Row],[Categoría]]),0)</f>
        <v>0</v>
      </c>
      <c r="F210">
        <v>0</v>
      </c>
      <c r="G210">
        <f>ROUND(SUMIFS(CATEGORIAS[[#All],[PROYECCION
DE INGRESO
DEL SALDO]],CATEGORIAS[[#All],[CATEGORIA2]],Imputar[[#This Row],[Categoría]]),0)</f>
        <v>0</v>
      </c>
      <c r="H210">
        <f>ROUND(SUMIFS(CATEGORIAS[[#All],[CAMBIO DE
CATEGORIA]],CATEGORIAS[[#All],[CATEGORIA2]],Imputar[[#This Row],[Categoría]]),0)</f>
        <v>0</v>
      </c>
      <c r="I2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0">
        <f>+ROUND(SUMIFS(CATEGORIAS[[#All],[PROYECCION
TOTAL DE COSTO]],CATEGORIAS[[#All],[CATEGORIA2]],Imputar[[#This Row],[Categoría]]),0)
-Imputar[[#This Row],[Inventario]]
-Imputar[[#This Row],[Pedidos no Rec]]</f>
        <v>0</v>
      </c>
      <c r="K2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0">
        <f>_xlfn.IFNA(VLOOKUP(Imputar[[#This Row],[Categoría]],EIMI!C:T,8,0),0)</f>
        <v>0</v>
      </c>
      <c r="M210">
        <f>_xlfn.IFNA(VLOOKUP(Imputar[[#This Row],[Categoría]],EIMI!C:T,9,0),0)</f>
        <v>0</v>
      </c>
      <c r="N210">
        <f>_xlfn.IFNA(VLOOKUP(Imputar[[#This Row],[Categoría]],EIMI!C:T,10,0),0)</f>
        <v>0</v>
      </c>
    </row>
    <row r="211" spans="1:14" hidden="1" x14ac:dyDescent="0.25">
      <c r="A211" s="210">
        <f>Indice!$I$11</f>
        <v>0</v>
      </c>
      <c r="B211" t="s">
        <v>780</v>
      </c>
      <c r="C211" s="39">
        <f>Indice!$I$12</f>
        <v>45992</v>
      </c>
      <c r="E211">
        <f>ROUND(SUMIFS(CATEGORIAS[[#All],[TOTAL PRODUCCION
ACTUAL]],CATEGORIAS[[#All],[CATEGORIA2]],Imputar[[#This Row],[Categoría]]),0)</f>
        <v>0</v>
      </c>
      <c r="F211">
        <v>0</v>
      </c>
      <c r="G211">
        <f>ROUND(SUMIFS(CATEGORIAS[[#All],[PROYECCION
DE INGRESO
DEL SALDO]],CATEGORIAS[[#All],[CATEGORIA2]],Imputar[[#This Row],[Categoría]]),0)</f>
        <v>0</v>
      </c>
      <c r="H211">
        <f>ROUND(SUMIFS(CATEGORIAS[[#All],[CAMBIO DE
CATEGORIA]],CATEGORIAS[[#All],[CATEGORIA2]],Imputar[[#This Row],[Categoría]]),0)</f>
        <v>0</v>
      </c>
      <c r="I2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1">
        <f>+ROUND(SUMIFS(CATEGORIAS[[#All],[PROYECCION
TOTAL DE COSTO]],CATEGORIAS[[#All],[CATEGORIA2]],Imputar[[#This Row],[Categoría]]),0)
-Imputar[[#This Row],[Inventario]]
-Imputar[[#This Row],[Pedidos no Rec]]</f>
        <v>0</v>
      </c>
      <c r="K2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1">
        <f>_xlfn.IFNA(VLOOKUP(Imputar[[#This Row],[Categoría]],EIMI!C:T,8,0),0)</f>
        <v>0</v>
      </c>
      <c r="M211">
        <f>_xlfn.IFNA(VLOOKUP(Imputar[[#This Row],[Categoría]],EIMI!C:T,9,0),0)</f>
        <v>0</v>
      </c>
      <c r="N211">
        <f>_xlfn.IFNA(VLOOKUP(Imputar[[#This Row],[Categoría]],EIMI!C:T,10,0),0)</f>
        <v>0</v>
      </c>
    </row>
    <row r="212" spans="1:14" hidden="1" x14ac:dyDescent="0.25">
      <c r="A212" s="210">
        <f>Indice!$I$11</f>
        <v>0</v>
      </c>
      <c r="B212" t="s">
        <v>782</v>
      </c>
      <c r="C212" s="39">
        <f>Indice!$I$12</f>
        <v>45992</v>
      </c>
      <c r="E212">
        <f>ROUND(SUMIFS(CATEGORIAS[[#All],[TOTAL PRODUCCION
ACTUAL]],CATEGORIAS[[#All],[CATEGORIA2]],Imputar[[#This Row],[Categoría]]),0)</f>
        <v>0</v>
      </c>
      <c r="F212">
        <v>0</v>
      </c>
      <c r="G212">
        <f>ROUND(SUMIFS(CATEGORIAS[[#All],[PROYECCION
DE INGRESO
DEL SALDO]],CATEGORIAS[[#All],[CATEGORIA2]],Imputar[[#This Row],[Categoría]]),0)</f>
        <v>0</v>
      </c>
      <c r="H212">
        <f>ROUND(SUMIFS(CATEGORIAS[[#All],[CAMBIO DE
CATEGORIA]],CATEGORIAS[[#All],[CATEGORIA2]],Imputar[[#This Row],[Categoría]]),0)</f>
        <v>0</v>
      </c>
      <c r="I2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2">
        <f>+ROUND(SUMIFS(CATEGORIAS[[#All],[PROYECCION
TOTAL DE COSTO]],CATEGORIAS[[#All],[CATEGORIA2]],Imputar[[#This Row],[Categoría]]),0)
-Imputar[[#This Row],[Inventario]]
-Imputar[[#This Row],[Pedidos no Rec]]</f>
        <v>0</v>
      </c>
      <c r="K2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2">
        <f>_xlfn.IFNA(VLOOKUP(Imputar[[#This Row],[Categoría]],EIMI!C:T,8,0),0)</f>
        <v>0</v>
      </c>
      <c r="M212">
        <f>_xlfn.IFNA(VLOOKUP(Imputar[[#This Row],[Categoría]],EIMI!C:T,9,0),0)</f>
        <v>0</v>
      </c>
      <c r="N212">
        <f>_xlfn.IFNA(VLOOKUP(Imputar[[#This Row],[Categoría]],EIMI!C:T,10,0),0)</f>
        <v>0</v>
      </c>
    </row>
    <row r="213" spans="1:14" hidden="1" x14ac:dyDescent="0.25">
      <c r="A213" s="210">
        <f>Indice!$I$11</f>
        <v>0</v>
      </c>
      <c r="B213" t="s">
        <v>784</v>
      </c>
      <c r="C213" s="39">
        <f>Indice!$I$12</f>
        <v>45992</v>
      </c>
      <c r="E213">
        <f>ROUND(SUMIFS(CATEGORIAS[[#All],[TOTAL PRODUCCION
ACTUAL]],CATEGORIAS[[#All],[CATEGORIA2]],Imputar[[#This Row],[Categoría]]),0)</f>
        <v>0</v>
      </c>
      <c r="F213">
        <v>0</v>
      </c>
      <c r="G213">
        <f>ROUND(SUMIFS(CATEGORIAS[[#All],[PROYECCION
DE INGRESO
DEL SALDO]],CATEGORIAS[[#All],[CATEGORIA2]],Imputar[[#This Row],[Categoría]]),0)</f>
        <v>0</v>
      </c>
      <c r="H213">
        <f>ROUND(SUMIFS(CATEGORIAS[[#All],[CAMBIO DE
CATEGORIA]],CATEGORIAS[[#All],[CATEGORIA2]],Imputar[[#This Row],[Categoría]]),0)</f>
        <v>0</v>
      </c>
      <c r="I2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3">
        <f>+ROUND(SUMIFS(CATEGORIAS[[#All],[PROYECCION
TOTAL DE COSTO]],CATEGORIAS[[#All],[CATEGORIA2]],Imputar[[#This Row],[Categoría]]),0)
-Imputar[[#This Row],[Inventario]]
-Imputar[[#This Row],[Pedidos no Rec]]</f>
        <v>0</v>
      </c>
      <c r="K2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3">
        <f>_xlfn.IFNA(VLOOKUP(Imputar[[#This Row],[Categoría]],EIMI!C:T,8,0),0)</f>
        <v>0</v>
      </c>
      <c r="M213">
        <f>_xlfn.IFNA(VLOOKUP(Imputar[[#This Row],[Categoría]],EIMI!C:T,9,0),0)</f>
        <v>0</v>
      </c>
      <c r="N213">
        <f>_xlfn.IFNA(VLOOKUP(Imputar[[#This Row],[Categoría]],EIMI!C:T,10,0),0)</f>
        <v>0</v>
      </c>
    </row>
    <row r="214" spans="1:14" hidden="1" x14ac:dyDescent="0.25">
      <c r="A214" s="210">
        <f>Indice!$I$11</f>
        <v>0</v>
      </c>
      <c r="B214" t="s">
        <v>786</v>
      </c>
      <c r="C214" s="39">
        <f>Indice!$I$12</f>
        <v>45992</v>
      </c>
      <c r="E214">
        <f>ROUND(SUMIFS(CATEGORIAS[[#All],[TOTAL PRODUCCION
ACTUAL]],CATEGORIAS[[#All],[CATEGORIA2]],Imputar[[#This Row],[Categoría]]),0)</f>
        <v>0</v>
      </c>
      <c r="F214">
        <v>0</v>
      </c>
      <c r="G214">
        <f>ROUND(SUMIFS(CATEGORIAS[[#All],[PROYECCION
DE INGRESO
DEL SALDO]],CATEGORIAS[[#All],[CATEGORIA2]],Imputar[[#This Row],[Categoría]]),0)</f>
        <v>0</v>
      </c>
      <c r="H214">
        <f>ROUND(SUMIFS(CATEGORIAS[[#All],[CAMBIO DE
CATEGORIA]],CATEGORIAS[[#All],[CATEGORIA2]],Imputar[[#This Row],[Categoría]]),0)</f>
        <v>0</v>
      </c>
      <c r="I2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4">
        <f>+ROUND(SUMIFS(CATEGORIAS[[#All],[PROYECCION
TOTAL DE COSTO]],CATEGORIAS[[#All],[CATEGORIA2]],Imputar[[#This Row],[Categoría]]),0)
-Imputar[[#This Row],[Inventario]]
-Imputar[[#This Row],[Pedidos no Rec]]</f>
        <v>0</v>
      </c>
      <c r="K2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4">
        <f>_xlfn.IFNA(VLOOKUP(Imputar[[#This Row],[Categoría]],EIMI!C:T,8,0),0)</f>
        <v>0</v>
      </c>
      <c r="M214">
        <f>_xlfn.IFNA(VLOOKUP(Imputar[[#This Row],[Categoría]],EIMI!C:T,9,0),0)</f>
        <v>0</v>
      </c>
      <c r="N214">
        <f>_xlfn.IFNA(VLOOKUP(Imputar[[#This Row],[Categoría]],EIMI!C:T,10,0),0)</f>
        <v>0</v>
      </c>
    </row>
    <row r="215" spans="1:14" hidden="1" x14ac:dyDescent="0.25">
      <c r="A215" s="210">
        <f>Indice!$I$11</f>
        <v>0</v>
      </c>
      <c r="B215" t="s">
        <v>788</v>
      </c>
      <c r="C215" s="39">
        <f>Indice!$I$12</f>
        <v>45992</v>
      </c>
      <c r="E215">
        <f>ROUND(SUMIFS(CATEGORIAS[[#All],[TOTAL PRODUCCION
ACTUAL]],CATEGORIAS[[#All],[CATEGORIA2]],Imputar[[#This Row],[Categoría]]),0)</f>
        <v>0</v>
      </c>
      <c r="F215">
        <v>0</v>
      </c>
      <c r="G215">
        <f>ROUND(SUMIFS(CATEGORIAS[[#All],[PROYECCION
DE INGRESO
DEL SALDO]],CATEGORIAS[[#All],[CATEGORIA2]],Imputar[[#This Row],[Categoría]]),0)</f>
        <v>0</v>
      </c>
      <c r="H215">
        <f>ROUND(SUMIFS(CATEGORIAS[[#All],[CAMBIO DE
CATEGORIA]],CATEGORIAS[[#All],[CATEGORIA2]],Imputar[[#This Row],[Categoría]]),0)</f>
        <v>0</v>
      </c>
      <c r="I2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5">
        <f>+ROUND(SUMIFS(CATEGORIAS[[#All],[PROYECCION
TOTAL DE COSTO]],CATEGORIAS[[#All],[CATEGORIA2]],Imputar[[#This Row],[Categoría]]),0)
-Imputar[[#This Row],[Inventario]]
-Imputar[[#This Row],[Pedidos no Rec]]</f>
        <v>0</v>
      </c>
      <c r="K2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5">
        <f>_xlfn.IFNA(VLOOKUP(Imputar[[#This Row],[Categoría]],EIMI!C:T,8,0),0)</f>
        <v>0</v>
      </c>
      <c r="M215">
        <f>_xlfn.IFNA(VLOOKUP(Imputar[[#This Row],[Categoría]],EIMI!C:T,9,0),0)</f>
        <v>0</v>
      </c>
      <c r="N215">
        <f>_xlfn.IFNA(VLOOKUP(Imputar[[#This Row],[Categoría]],EIMI!C:T,10,0),0)</f>
        <v>0</v>
      </c>
    </row>
    <row r="216" spans="1:14" x14ac:dyDescent="0.25">
      <c r="A216" s="210">
        <f>Indice!$I$11</f>
        <v>0</v>
      </c>
      <c r="B216" t="s">
        <v>790</v>
      </c>
      <c r="C216" s="39">
        <f>Indice!$I$12</f>
        <v>45992</v>
      </c>
      <c r="E216">
        <f>ROUND(SUMIFS(CATEGORIAS[[#All],[TOTAL PRODUCCION
ACTUAL]],CATEGORIAS[[#All],[CATEGORIA2]],Imputar[[#This Row],[Categoría]]),0)</f>
        <v>0</v>
      </c>
      <c r="F216">
        <v>0</v>
      </c>
      <c r="G216">
        <f>ROUND(SUMIFS(CATEGORIAS[[#All],[PROYECCION
DE INGRESO
DEL SALDO]],CATEGORIAS[[#All],[CATEGORIA2]],Imputar[[#This Row],[Categoría]]),0)</f>
        <v>0</v>
      </c>
      <c r="H216">
        <f>ROUND(SUMIFS(CATEGORIAS[[#All],[CAMBIO DE
CATEGORIA]],CATEGORIAS[[#All],[CATEGORIA2]],Imputar[[#This Row],[Categoría]]),0)</f>
        <v>0</v>
      </c>
      <c r="I2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6">
        <f>+ROUND(SUMIFS(CATEGORIAS[[#All],[PROYECCION
TOTAL DE COSTO]],CATEGORIAS[[#All],[CATEGORIA2]],Imputar[[#This Row],[Categoría]]),0)
-Imputar[[#This Row],[Inventario]]
-Imputar[[#This Row],[Pedidos no Rec]]</f>
        <v>0</v>
      </c>
      <c r="K2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6">
        <f>_xlfn.IFNA(VLOOKUP(Imputar[[#This Row],[Categoría]],EIMI!C:T,8,0),0)</f>
        <v>0</v>
      </c>
      <c r="M216">
        <f>_xlfn.IFNA(VLOOKUP(Imputar[[#This Row],[Categoría]],EIMI!C:T,9,0),0)</f>
        <v>0</v>
      </c>
      <c r="N216">
        <f>_xlfn.IFNA(VLOOKUP(Imputar[[#This Row],[Categoría]],EIMI!C:T,10,0),0)</f>
        <v>0</v>
      </c>
    </row>
    <row r="217" spans="1:14" hidden="1" x14ac:dyDescent="0.25">
      <c r="A217" s="210">
        <f>Indice!$I$11</f>
        <v>0</v>
      </c>
      <c r="B217" t="s">
        <v>792</v>
      </c>
      <c r="C217" s="39">
        <f>Indice!$I$12</f>
        <v>45992</v>
      </c>
      <c r="E217">
        <f>ROUND(SUMIFS(CATEGORIAS[[#All],[TOTAL PRODUCCION
ACTUAL]],CATEGORIAS[[#All],[CATEGORIA2]],Imputar[[#This Row],[Categoría]]),0)</f>
        <v>0</v>
      </c>
      <c r="F217">
        <v>0</v>
      </c>
      <c r="G217">
        <f>ROUND(SUMIFS(CATEGORIAS[[#All],[PROYECCION
DE INGRESO
DEL SALDO]],CATEGORIAS[[#All],[CATEGORIA2]],Imputar[[#This Row],[Categoría]]),0)</f>
        <v>0</v>
      </c>
      <c r="H217">
        <f>ROUND(SUMIFS(CATEGORIAS[[#All],[CAMBIO DE
CATEGORIA]],CATEGORIAS[[#All],[CATEGORIA2]],Imputar[[#This Row],[Categoría]]),0)</f>
        <v>0</v>
      </c>
      <c r="I2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7">
        <f>+ROUND(SUMIFS(CATEGORIAS[[#All],[PROYECCION
TOTAL DE COSTO]],CATEGORIAS[[#All],[CATEGORIA2]],Imputar[[#This Row],[Categoría]]),0)
-Imputar[[#This Row],[Inventario]]
-Imputar[[#This Row],[Pedidos no Rec]]</f>
        <v>0</v>
      </c>
      <c r="K2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7">
        <f>_xlfn.IFNA(VLOOKUP(Imputar[[#This Row],[Categoría]],EIMI!C:T,8,0),0)</f>
        <v>0</v>
      </c>
      <c r="M217">
        <f>_xlfn.IFNA(VLOOKUP(Imputar[[#This Row],[Categoría]],EIMI!C:T,9,0),0)</f>
        <v>0</v>
      </c>
      <c r="N217">
        <f>_xlfn.IFNA(VLOOKUP(Imputar[[#This Row],[Categoría]],EIMI!C:T,10,0),0)</f>
        <v>0</v>
      </c>
    </row>
    <row r="218" spans="1:14" hidden="1" x14ac:dyDescent="0.25">
      <c r="A218" s="210">
        <f>Indice!$I$11</f>
        <v>0</v>
      </c>
      <c r="B218" t="s">
        <v>794</v>
      </c>
      <c r="C218" s="39">
        <f>Indice!$I$12</f>
        <v>45992</v>
      </c>
      <c r="E218">
        <f>ROUND(SUMIFS(CATEGORIAS[[#All],[TOTAL PRODUCCION
ACTUAL]],CATEGORIAS[[#All],[CATEGORIA2]],Imputar[[#This Row],[Categoría]]),0)</f>
        <v>0</v>
      </c>
      <c r="F218">
        <v>0</v>
      </c>
      <c r="G218">
        <f>ROUND(SUMIFS(CATEGORIAS[[#All],[PROYECCION
DE INGRESO
DEL SALDO]],CATEGORIAS[[#All],[CATEGORIA2]],Imputar[[#This Row],[Categoría]]),0)</f>
        <v>0</v>
      </c>
      <c r="H218">
        <f>ROUND(SUMIFS(CATEGORIAS[[#All],[CAMBIO DE
CATEGORIA]],CATEGORIAS[[#All],[CATEGORIA2]],Imputar[[#This Row],[Categoría]]),0)</f>
        <v>0</v>
      </c>
      <c r="I2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8">
        <f>+ROUND(SUMIFS(CATEGORIAS[[#All],[PROYECCION
TOTAL DE COSTO]],CATEGORIAS[[#All],[CATEGORIA2]],Imputar[[#This Row],[Categoría]]),0)
-Imputar[[#This Row],[Inventario]]
-Imputar[[#This Row],[Pedidos no Rec]]</f>
        <v>0</v>
      </c>
      <c r="K2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8">
        <f>_xlfn.IFNA(VLOOKUP(Imputar[[#This Row],[Categoría]],EIMI!C:T,8,0),0)</f>
        <v>0</v>
      </c>
      <c r="M218">
        <f>_xlfn.IFNA(VLOOKUP(Imputar[[#This Row],[Categoría]],EIMI!C:T,9,0),0)</f>
        <v>0</v>
      </c>
      <c r="N218">
        <f>_xlfn.IFNA(VLOOKUP(Imputar[[#This Row],[Categoría]],EIMI!C:T,10,0),0)</f>
        <v>0</v>
      </c>
    </row>
    <row r="219" spans="1:14" hidden="1" x14ac:dyDescent="0.25">
      <c r="A219" s="210">
        <f>Indice!$I$11</f>
        <v>0</v>
      </c>
      <c r="B219" t="s">
        <v>796</v>
      </c>
      <c r="C219" s="39">
        <f>Indice!$I$12</f>
        <v>45992</v>
      </c>
      <c r="E219">
        <f>ROUND(SUMIFS(CATEGORIAS[[#All],[TOTAL PRODUCCION
ACTUAL]],CATEGORIAS[[#All],[CATEGORIA2]],Imputar[[#This Row],[Categoría]]),0)</f>
        <v>0</v>
      </c>
      <c r="F219">
        <v>0</v>
      </c>
      <c r="G219">
        <f>ROUND(SUMIFS(CATEGORIAS[[#All],[PROYECCION
DE INGRESO
DEL SALDO]],CATEGORIAS[[#All],[CATEGORIA2]],Imputar[[#This Row],[Categoría]]),0)</f>
        <v>0</v>
      </c>
      <c r="H219">
        <f>ROUND(SUMIFS(CATEGORIAS[[#All],[CAMBIO DE
CATEGORIA]],CATEGORIAS[[#All],[CATEGORIA2]],Imputar[[#This Row],[Categoría]]),0)</f>
        <v>0</v>
      </c>
      <c r="I2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9">
        <f>+ROUND(SUMIFS(CATEGORIAS[[#All],[PROYECCION
TOTAL DE COSTO]],CATEGORIAS[[#All],[CATEGORIA2]],Imputar[[#This Row],[Categoría]]),0)
-Imputar[[#This Row],[Inventario]]
-Imputar[[#This Row],[Pedidos no Rec]]</f>
        <v>0</v>
      </c>
      <c r="K2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9">
        <f>_xlfn.IFNA(VLOOKUP(Imputar[[#This Row],[Categoría]],EIMI!C:T,8,0),0)</f>
        <v>0</v>
      </c>
      <c r="M219">
        <f>_xlfn.IFNA(VLOOKUP(Imputar[[#This Row],[Categoría]],EIMI!C:T,9,0),0)</f>
        <v>0</v>
      </c>
      <c r="N219">
        <f>_xlfn.IFNA(VLOOKUP(Imputar[[#This Row],[Categoría]],EIMI!C:T,10,0),0)</f>
        <v>0</v>
      </c>
    </row>
    <row r="220" spans="1:14" hidden="1" x14ac:dyDescent="0.25">
      <c r="A220" s="210">
        <f>Indice!$I$11</f>
        <v>0</v>
      </c>
      <c r="B220" t="s">
        <v>798</v>
      </c>
      <c r="C220" s="39">
        <f>Indice!$I$12</f>
        <v>45992</v>
      </c>
      <c r="E220">
        <f>ROUND(SUMIFS(CATEGORIAS[[#All],[TOTAL PRODUCCION
ACTUAL]],CATEGORIAS[[#All],[CATEGORIA2]],Imputar[[#This Row],[Categoría]]),0)</f>
        <v>0</v>
      </c>
      <c r="F220">
        <v>0</v>
      </c>
      <c r="G220">
        <f>ROUND(SUMIFS(CATEGORIAS[[#All],[PROYECCION
DE INGRESO
DEL SALDO]],CATEGORIAS[[#All],[CATEGORIA2]],Imputar[[#This Row],[Categoría]]),0)</f>
        <v>0</v>
      </c>
      <c r="H220">
        <f>ROUND(SUMIFS(CATEGORIAS[[#All],[CAMBIO DE
CATEGORIA]],CATEGORIAS[[#All],[CATEGORIA2]],Imputar[[#This Row],[Categoría]]),0)</f>
        <v>0</v>
      </c>
      <c r="I2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0">
        <f>+ROUND(SUMIFS(CATEGORIAS[[#All],[PROYECCION
TOTAL DE COSTO]],CATEGORIAS[[#All],[CATEGORIA2]],Imputar[[#This Row],[Categoría]]),0)
-Imputar[[#This Row],[Inventario]]
-Imputar[[#This Row],[Pedidos no Rec]]</f>
        <v>0</v>
      </c>
      <c r="K2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0">
        <f>_xlfn.IFNA(VLOOKUP(Imputar[[#This Row],[Categoría]],EIMI!C:T,8,0),0)</f>
        <v>0</v>
      </c>
      <c r="M220">
        <f>_xlfn.IFNA(VLOOKUP(Imputar[[#This Row],[Categoría]],EIMI!C:T,9,0),0)</f>
        <v>0</v>
      </c>
      <c r="N220">
        <f>_xlfn.IFNA(VLOOKUP(Imputar[[#This Row],[Categoría]],EIMI!C:T,10,0),0)</f>
        <v>0</v>
      </c>
    </row>
    <row r="221" spans="1:14" hidden="1" x14ac:dyDescent="0.25">
      <c r="A221" s="210">
        <f>Indice!$I$11</f>
        <v>0</v>
      </c>
      <c r="B221" t="s">
        <v>800</v>
      </c>
      <c r="C221" s="39">
        <f>Indice!$I$12</f>
        <v>45992</v>
      </c>
      <c r="E221">
        <f>ROUND(SUMIFS(CATEGORIAS[[#All],[TOTAL PRODUCCION
ACTUAL]],CATEGORIAS[[#All],[CATEGORIA2]],Imputar[[#This Row],[Categoría]]),0)</f>
        <v>0</v>
      </c>
      <c r="F221">
        <v>0</v>
      </c>
      <c r="G221">
        <f>ROUND(SUMIFS(CATEGORIAS[[#All],[PROYECCION
DE INGRESO
DEL SALDO]],CATEGORIAS[[#All],[CATEGORIA2]],Imputar[[#This Row],[Categoría]]),0)</f>
        <v>0</v>
      </c>
      <c r="H221">
        <f>ROUND(SUMIFS(CATEGORIAS[[#All],[CAMBIO DE
CATEGORIA]],CATEGORIAS[[#All],[CATEGORIA2]],Imputar[[#This Row],[Categoría]]),0)</f>
        <v>0</v>
      </c>
      <c r="I2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1">
        <f>+ROUND(SUMIFS(CATEGORIAS[[#All],[PROYECCION
TOTAL DE COSTO]],CATEGORIAS[[#All],[CATEGORIA2]],Imputar[[#This Row],[Categoría]]),0)
-Imputar[[#This Row],[Inventario]]
-Imputar[[#This Row],[Pedidos no Rec]]</f>
        <v>0</v>
      </c>
      <c r="K2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1">
        <f>_xlfn.IFNA(VLOOKUP(Imputar[[#This Row],[Categoría]],EIMI!C:T,8,0),0)</f>
        <v>0</v>
      </c>
      <c r="M221">
        <f>_xlfn.IFNA(VLOOKUP(Imputar[[#This Row],[Categoría]],EIMI!C:T,9,0),0)</f>
        <v>0</v>
      </c>
      <c r="N221">
        <f>_xlfn.IFNA(VLOOKUP(Imputar[[#This Row],[Categoría]],EIMI!C:T,10,0),0)</f>
        <v>0</v>
      </c>
    </row>
    <row r="222" spans="1:14" hidden="1" x14ac:dyDescent="0.25">
      <c r="A222" s="210">
        <f>Indice!$I$11</f>
        <v>0</v>
      </c>
      <c r="B222" t="s">
        <v>802</v>
      </c>
      <c r="C222" s="39">
        <f>Indice!$I$12</f>
        <v>45992</v>
      </c>
      <c r="E222">
        <f>ROUND(SUMIFS(CATEGORIAS[[#All],[TOTAL PRODUCCION
ACTUAL]],CATEGORIAS[[#All],[CATEGORIA2]],Imputar[[#This Row],[Categoría]]),0)</f>
        <v>0</v>
      </c>
      <c r="F222">
        <v>0</v>
      </c>
      <c r="G222">
        <f>ROUND(SUMIFS(CATEGORIAS[[#All],[PROYECCION
DE INGRESO
DEL SALDO]],CATEGORIAS[[#All],[CATEGORIA2]],Imputar[[#This Row],[Categoría]]),0)</f>
        <v>0</v>
      </c>
      <c r="H222">
        <f>ROUND(SUMIFS(CATEGORIAS[[#All],[CAMBIO DE
CATEGORIA]],CATEGORIAS[[#All],[CATEGORIA2]],Imputar[[#This Row],[Categoría]]),0)</f>
        <v>0</v>
      </c>
      <c r="I2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2">
        <f>+ROUND(SUMIFS(CATEGORIAS[[#All],[PROYECCION
TOTAL DE COSTO]],CATEGORIAS[[#All],[CATEGORIA2]],Imputar[[#This Row],[Categoría]]),0)
-Imputar[[#This Row],[Inventario]]
-Imputar[[#This Row],[Pedidos no Rec]]</f>
        <v>0</v>
      </c>
      <c r="K2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2">
        <f>_xlfn.IFNA(VLOOKUP(Imputar[[#This Row],[Categoría]],EIMI!C:T,8,0),0)</f>
        <v>0</v>
      </c>
      <c r="M222">
        <f>_xlfn.IFNA(VLOOKUP(Imputar[[#This Row],[Categoría]],EIMI!C:T,9,0),0)</f>
        <v>0</v>
      </c>
      <c r="N222">
        <f>_xlfn.IFNA(VLOOKUP(Imputar[[#This Row],[Categoría]],EIMI!C:T,10,0),0)</f>
        <v>0</v>
      </c>
    </row>
    <row r="223" spans="1:14" hidden="1" x14ac:dyDescent="0.25">
      <c r="A223" s="210">
        <f>Indice!$I$11</f>
        <v>0</v>
      </c>
      <c r="B223" t="s">
        <v>804</v>
      </c>
      <c r="C223" s="39">
        <f>Indice!$I$12</f>
        <v>45992</v>
      </c>
      <c r="E223">
        <f>ROUND(SUMIFS(CATEGORIAS[[#All],[TOTAL PRODUCCION
ACTUAL]],CATEGORIAS[[#All],[CATEGORIA2]],Imputar[[#This Row],[Categoría]]),0)</f>
        <v>0</v>
      </c>
      <c r="F223">
        <v>0</v>
      </c>
      <c r="G223">
        <f>ROUND(SUMIFS(CATEGORIAS[[#All],[PROYECCION
DE INGRESO
DEL SALDO]],CATEGORIAS[[#All],[CATEGORIA2]],Imputar[[#This Row],[Categoría]]),0)</f>
        <v>0</v>
      </c>
      <c r="H223">
        <f>ROUND(SUMIFS(CATEGORIAS[[#All],[CAMBIO DE
CATEGORIA]],CATEGORIAS[[#All],[CATEGORIA2]],Imputar[[#This Row],[Categoría]]),0)</f>
        <v>0</v>
      </c>
      <c r="I2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3">
        <f>+ROUND(SUMIFS(CATEGORIAS[[#All],[PROYECCION
TOTAL DE COSTO]],CATEGORIAS[[#All],[CATEGORIA2]],Imputar[[#This Row],[Categoría]]),0)
-Imputar[[#This Row],[Inventario]]
-Imputar[[#This Row],[Pedidos no Rec]]</f>
        <v>0</v>
      </c>
      <c r="K2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3">
        <f>_xlfn.IFNA(VLOOKUP(Imputar[[#This Row],[Categoría]],EIMI!C:T,8,0),0)</f>
        <v>0</v>
      </c>
      <c r="M223">
        <f>_xlfn.IFNA(VLOOKUP(Imputar[[#This Row],[Categoría]],EIMI!C:T,9,0),0)</f>
        <v>0</v>
      </c>
      <c r="N223">
        <f>_xlfn.IFNA(VLOOKUP(Imputar[[#This Row],[Categoría]],EIMI!C:T,10,0),0)</f>
        <v>0</v>
      </c>
    </row>
    <row r="224" spans="1:14" hidden="1" x14ac:dyDescent="0.25">
      <c r="A224" s="210">
        <f>Indice!$I$11</f>
        <v>0</v>
      </c>
      <c r="B224" t="s">
        <v>806</v>
      </c>
      <c r="C224" s="39">
        <f>Indice!$I$12</f>
        <v>45992</v>
      </c>
      <c r="E224">
        <f>ROUND(SUMIFS(CATEGORIAS[[#All],[TOTAL PRODUCCION
ACTUAL]],CATEGORIAS[[#All],[CATEGORIA2]],Imputar[[#This Row],[Categoría]]),0)</f>
        <v>0</v>
      </c>
      <c r="F224">
        <v>0</v>
      </c>
      <c r="G224">
        <f>ROUND(SUMIFS(CATEGORIAS[[#All],[PROYECCION
DE INGRESO
DEL SALDO]],CATEGORIAS[[#All],[CATEGORIA2]],Imputar[[#This Row],[Categoría]]),0)</f>
        <v>0</v>
      </c>
      <c r="H224">
        <f>ROUND(SUMIFS(CATEGORIAS[[#All],[CAMBIO DE
CATEGORIA]],CATEGORIAS[[#All],[CATEGORIA2]],Imputar[[#This Row],[Categoría]]),0)</f>
        <v>0</v>
      </c>
      <c r="I2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4">
        <f>+ROUND(SUMIFS(CATEGORIAS[[#All],[PROYECCION
TOTAL DE COSTO]],CATEGORIAS[[#All],[CATEGORIA2]],Imputar[[#This Row],[Categoría]]),0)
-Imputar[[#This Row],[Inventario]]
-Imputar[[#This Row],[Pedidos no Rec]]</f>
        <v>0</v>
      </c>
      <c r="K2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4">
        <f>_xlfn.IFNA(VLOOKUP(Imputar[[#This Row],[Categoría]],EIMI!C:T,8,0),0)</f>
        <v>0</v>
      </c>
      <c r="M224">
        <f>_xlfn.IFNA(VLOOKUP(Imputar[[#This Row],[Categoría]],EIMI!C:T,9,0),0)</f>
        <v>0</v>
      </c>
      <c r="N224">
        <f>_xlfn.IFNA(VLOOKUP(Imputar[[#This Row],[Categoría]],EIMI!C:T,10,0),0)</f>
        <v>0</v>
      </c>
    </row>
    <row r="225" spans="1:14" hidden="1" x14ac:dyDescent="0.25">
      <c r="A225" s="210">
        <f>Indice!$I$11</f>
        <v>0</v>
      </c>
      <c r="B225" t="s">
        <v>808</v>
      </c>
      <c r="C225" s="39">
        <f>Indice!$I$12</f>
        <v>45992</v>
      </c>
      <c r="E225">
        <f>ROUND(SUMIFS(CATEGORIAS[[#All],[TOTAL PRODUCCION
ACTUAL]],CATEGORIAS[[#All],[CATEGORIA2]],Imputar[[#This Row],[Categoría]]),0)</f>
        <v>0</v>
      </c>
      <c r="F225">
        <v>0</v>
      </c>
      <c r="G225">
        <f>ROUND(SUMIFS(CATEGORIAS[[#All],[PROYECCION
DE INGRESO
DEL SALDO]],CATEGORIAS[[#All],[CATEGORIA2]],Imputar[[#This Row],[Categoría]]),0)</f>
        <v>0</v>
      </c>
      <c r="H225">
        <f>ROUND(SUMIFS(CATEGORIAS[[#All],[CAMBIO DE
CATEGORIA]],CATEGORIAS[[#All],[CATEGORIA2]],Imputar[[#This Row],[Categoría]]),0)</f>
        <v>0</v>
      </c>
      <c r="I2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5">
        <f>+ROUND(SUMIFS(CATEGORIAS[[#All],[PROYECCION
TOTAL DE COSTO]],CATEGORIAS[[#All],[CATEGORIA2]],Imputar[[#This Row],[Categoría]]),0)
-Imputar[[#This Row],[Inventario]]
-Imputar[[#This Row],[Pedidos no Rec]]</f>
        <v>0</v>
      </c>
      <c r="K2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5">
        <f>_xlfn.IFNA(VLOOKUP(Imputar[[#This Row],[Categoría]],EIMI!C:T,8,0),0)</f>
        <v>0</v>
      </c>
      <c r="M225">
        <f>_xlfn.IFNA(VLOOKUP(Imputar[[#This Row],[Categoría]],EIMI!C:T,9,0),0)</f>
        <v>0</v>
      </c>
      <c r="N225">
        <f>_xlfn.IFNA(VLOOKUP(Imputar[[#This Row],[Categoría]],EIMI!C:T,10,0),0)</f>
        <v>0</v>
      </c>
    </row>
    <row r="226" spans="1:14" x14ac:dyDescent="0.25">
      <c r="A226" s="210">
        <f>Indice!$I$11</f>
        <v>0</v>
      </c>
      <c r="B226" t="s">
        <v>810</v>
      </c>
      <c r="C226" s="39">
        <f>Indice!$I$12</f>
        <v>45992</v>
      </c>
      <c r="E226">
        <f>ROUND(SUMIFS(CATEGORIAS[[#All],[TOTAL PRODUCCION
ACTUAL]],CATEGORIAS[[#All],[CATEGORIA2]],Imputar[[#This Row],[Categoría]]),0)</f>
        <v>0</v>
      </c>
      <c r="F226">
        <v>0</v>
      </c>
      <c r="G226">
        <f>ROUND(SUMIFS(CATEGORIAS[[#All],[PROYECCION
DE INGRESO
DEL SALDO]],CATEGORIAS[[#All],[CATEGORIA2]],Imputar[[#This Row],[Categoría]]),0)</f>
        <v>0</v>
      </c>
      <c r="H226">
        <f>ROUND(SUMIFS(CATEGORIAS[[#All],[CAMBIO DE
CATEGORIA]],CATEGORIAS[[#All],[CATEGORIA2]],Imputar[[#This Row],[Categoría]]),0)</f>
        <v>0</v>
      </c>
      <c r="I2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6">
        <f>+ROUND(SUMIFS(CATEGORIAS[[#All],[PROYECCION
TOTAL DE COSTO]],CATEGORIAS[[#All],[CATEGORIA2]],Imputar[[#This Row],[Categoría]]),0)
-Imputar[[#This Row],[Inventario]]
-Imputar[[#This Row],[Pedidos no Rec]]</f>
        <v>0</v>
      </c>
      <c r="K2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6">
        <f>_xlfn.IFNA(VLOOKUP(Imputar[[#This Row],[Categoría]],EIMI!C:T,8,0),0)</f>
        <v>0</v>
      </c>
      <c r="M226">
        <f>_xlfn.IFNA(VLOOKUP(Imputar[[#This Row],[Categoría]],EIMI!C:T,9,0),0)</f>
        <v>0</v>
      </c>
      <c r="N226">
        <f>_xlfn.IFNA(VLOOKUP(Imputar[[#This Row],[Categoría]],EIMI!C:T,10,0),0)</f>
        <v>0</v>
      </c>
    </row>
    <row r="227" spans="1:14" hidden="1" x14ac:dyDescent="0.25">
      <c r="A227" s="210">
        <f>Indice!$I$11</f>
        <v>0</v>
      </c>
      <c r="B227" t="s">
        <v>812</v>
      </c>
      <c r="C227" s="39">
        <f>Indice!$I$12</f>
        <v>45992</v>
      </c>
      <c r="E227">
        <f>ROUND(SUMIFS(CATEGORIAS[[#All],[TOTAL PRODUCCION
ACTUAL]],CATEGORIAS[[#All],[CATEGORIA2]],Imputar[[#This Row],[Categoría]]),0)</f>
        <v>0</v>
      </c>
      <c r="F227">
        <v>0</v>
      </c>
      <c r="G227">
        <f>ROUND(SUMIFS(CATEGORIAS[[#All],[PROYECCION
DE INGRESO
DEL SALDO]],CATEGORIAS[[#All],[CATEGORIA2]],Imputar[[#This Row],[Categoría]]),0)</f>
        <v>0</v>
      </c>
      <c r="H227">
        <f>ROUND(SUMIFS(CATEGORIAS[[#All],[CAMBIO DE
CATEGORIA]],CATEGORIAS[[#All],[CATEGORIA2]],Imputar[[#This Row],[Categoría]]),0)</f>
        <v>0</v>
      </c>
      <c r="I2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7">
        <f>+ROUND(SUMIFS(CATEGORIAS[[#All],[PROYECCION
TOTAL DE COSTO]],CATEGORIAS[[#All],[CATEGORIA2]],Imputar[[#This Row],[Categoría]]),0)
-Imputar[[#This Row],[Inventario]]
-Imputar[[#This Row],[Pedidos no Rec]]</f>
        <v>0</v>
      </c>
      <c r="K2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7">
        <f>_xlfn.IFNA(VLOOKUP(Imputar[[#This Row],[Categoría]],EIMI!C:T,8,0),0)</f>
        <v>0</v>
      </c>
      <c r="M227">
        <f>_xlfn.IFNA(VLOOKUP(Imputar[[#This Row],[Categoría]],EIMI!C:T,9,0),0)</f>
        <v>0</v>
      </c>
      <c r="N227">
        <f>_xlfn.IFNA(VLOOKUP(Imputar[[#This Row],[Categoría]],EIMI!C:T,10,0),0)</f>
        <v>0</v>
      </c>
    </row>
    <row r="228" spans="1:14" hidden="1" x14ac:dyDescent="0.25">
      <c r="A228" s="210">
        <f>Indice!$I$11</f>
        <v>0</v>
      </c>
      <c r="B228" t="s">
        <v>814</v>
      </c>
      <c r="C228" s="39">
        <f>Indice!$I$12</f>
        <v>45992</v>
      </c>
      <c r="E228">
        <f>ROUND(SUMIFS(CATEGORIAS[[#All],[TOTAL PRODUCCION
ACTUAL]],CATEGORIAS[[#All],[CATEGORIA2]],Imputar[[#This Row],[Categoría]]),0)</f>
        <v>0</v>
      </c>
      <c r="F228">
        <v>0</v>
      </c>
      <c r="G228">
        <f>ROUND(SUMIFS(CATEGORIAS[[#All],[PROYECCION
DE INGRESO
DEL SALDO]],CATEGORIAS[[#All],[CATEGORIA2]],Imputar[[#This Row],[Categoría]]),0)</f>
        <v>0</v>
      </c>
      <c r="H228">
        <f>ROUND(SUMIFS(CATEGORIAS[[#All],[CAMBIO DE
CATEGORIA]],CATEGORIAS[[#All],[CATEGORIA2]],Imputar[[#This Row],[Categoría]]),0)</f>
        <v>0</v>
      </c>
      <c r="I2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8">
        <f>+ROUND(SUMIFS(CATEGORIAS[[#All],[PROYECCION
TOTAL DE COSTO]],CATEGORIAS[[#All],[CATEGORIA2]],Imputar[[#This Row],[Categoría]]),0)
-Imputar[[#This Row],[Inventario]]
-Imputar[[#This Row],[Pedidos no Rec]]</f>
        <v>0</v>
      </c>
      <c r="K2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8">
        <f>_xlfn.IFNA(VLOOKUP(Imputar[[#This Row],[Categoría]],EIMI!C:T,8,0),0)</f>
        <v>0</v>
      </c>
      <c r="M228">
        <f>_xlfn.IFNA(VLOOKUP(Imputar[[#This Row],[Categoría]],EIMI!C:T,9,0),0)</f>
        <v>0</v>
      </c>
      <c r="N228">
        <f>_xlfn.IFNA(VLOOKUP(Imputar[[#This Row],[Categoría]],EIMI!C:T,10,0),0)</f>
        <v>0</v>
      </c>
    </row>
    <row r="229" spans="1:14" hidden="1" x14ac:dyDescent="0.25">
      <c r="A229" s="210">
        <f>Indice!$I$11</f>
        <v>0</v>
      </c>
      <c r="B229" t="s">
        <v>816</v>
      </c>
      <c r="C229" s="39">
        <f>Indice!$I$12</f>
        <v>45992</v>
      </c>
      <c r="E229">
        <f>ROUND(SUMIFS(CATEGORIAS[[#All],[TOTAL PRODUCCION
ACTUAL]],CATEGORIAS[[#All],[CATEGORIA2]],Imputar[[#This Row],[Categoría]]),0)</f>
        <v>0</v>
      </c>
      <c r="F229">
        <v>0</v>
      </c>
      <c r="G229">
        <f>ROUND(SUMIFS(CATEGORIAS[[#All],[PROYECCION
DE INGRESO
DEL SALDO]],CATEGORIAS[[#All],[CATEGORIA2]],Imputar[[#This Row],[Categoría]]),0)</f>
        <v>0</v>
      </c>
      <c r="H229">
        <f>ROUND(SUMIFS(CATEGORIAS[[#All],[CAMBIO DE
CATEGORIA]],CATEGORIAS[[#All],[CATEGORIA2]],Imputar[[#This Row],[Categoría]]),0)</f>
        <v>0</v>
      </c>
      <c r="I2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9">
        <f>+ROUND(SUMIFS(CATEGORIAS[[#All],[PROYECCION
TOTAL DE COSTO]],CATEGORIAS[[#All],[CATEGORIA2]],Imputar[[#This Row],[Categoría]]),0)
-Imputar[[#This Row],[Inventario]]
-Imputar[[#This Row],[Pedidos no Rec]]</f>
        <v>0</v>
      </c>
      <c r="K2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9">
        <f>_xlfn.IFNA(VLOOKUP(Imputar[[#This Row],[Categoría]],EIMI!C:T,8,0),0)</f>
        <v>0</v>
      </c>
      <c r="M229">
        <f>_xlfn.IFNA(VLOOKUP(Imputar[[#This Row],[Categoría]],EIMI!C:T,9,0),0)</f>
        <v>0</v>
      </c>
      <c r="N229">
        <f>_xlfn.IFNA(VLOOKUP(Imputar[[#This Row],[Categoría]],EIMI!C:T,10,0),0)</f>
        <v>0</v>
      </c>
    </row>
    <row r="230" spans="1:14" hidden="1" x14ac:dyDescent="0.25">
      <c r="A230" s="210">
        <f>Indice!$I$11</f>
        <v>0</v>
      </c>
      <c r="B230" t="s">
        <v>818</v>
      </c>
      <c r="C230" s="39">
        <f>Indice!$I$12</f>
        <v>45992</v>
      </c>
      <c r="E230">
        <f>ROUND(SUMIFS(CATEGORIAS[[#All],[TOTAL PRODUCCION
ACTUAL]],CATEGORIAS[[#All],[CATEGORIA2]],Imputar[[#This Row],[Categoría]]),0)</f>
        <v>0</v>
      </c>
      <c r="F230">
        <v>0</v>
      </c>
      <c r="G230">
        <f>ROUND(SUMIFS(CATEGORIAS[[#All],[PROYECCION
DE INGRESO
DEL SALDO]],CATEGORIAS[[#All],[CATEGORIA2]],Imputar[[#This Row],[Categoría]]),0)</f>
        <v>0</v>
      </c>
      <c r="H230">
        <f>ROUND(SUMIFS(CATEGORIAS[[#All],[CAMBIO DE
CATEGORIA]],CATEGORIAS[[#All],[CATEGORIA2]],Imputar[[#This Row],[Categoría]]),0)</f>
        <v>0</v>
      </c>
      <c r="I2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0">
        <f>+ROUND(SUMIFS(CATEGORIAS[[#All],[PROYECCION
TOTAL DE COSTO]],CATEGORIAS[[#All],[CATEGORIA2]],Imputar[[#This Row],[Categoría]]),0)
-Imputar[[#This Row],[Inventario]]
-Imputar[[#This Row],[Pedidos no Rec]]</f>
        <v>0</v>
      </c>
      <c r="K2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0">
        <f>_xlfn.IFNA(VLOOKUP(Imputar[[#This Row],[Categoría]],EIMI!C:T,8,0),0)</f>
        <v>0</v>
      </c>
      <c r="M230">
        <f>_xlfn.IFNA(VLOOKUP(Imputar[[#This Row],[Categoría]],EIMI!C:T,9,0),0)</f>
        <v>0</v>
      </c>
      <c r="N230">
        <f>_xlfn.IFNA(VLOOKUP(Imputar[[#This Row],[Categoría]],EIMI!C:T,10,0),0)</f>
        <v>0</v>
      </c>
    </row>
    <row r="231" spans="1:14" hidden="1" x14ac:dyDescent="0.25">
      <c r="A231" s="210">
        <f>Indice!$I$11</f>
        <v>0</v>
      </c>
      <c r="B231" t="s">
        <v>820</v>
      </c>
      <c r="C231" s="39">
        <f>Indice!$I$12</f>
        <v>45992</v>
      </c>
      <c r="E231">
        <f>ROUND(SUMIFS(CATEGORIAS[[#All],[TOTAL PRODUCCION
ACTUAL]],CATEGORIAS[[#All],[CATEGORIA2]],Imputar[[#This Row],[Categoría]]),0)</f>
        <v>0</v>
      </c>
      <c r="F231">
        <v>0</v>
      </c>
      <c r="G231">
        <f>ROUND(SUMIFS(CATEGORIAS[[#All],[PROYECCION
DE INGRESO
DEL SALDO]],CATEGORIAS[[#All],[CATEGORIA2]],Imputar[[#This Row],[Categoría]]),0)</f>
        <v>0</v>
      </c>
      <c r="H231">
        <f>ROUND(SUMIFS(CATEGORIAS[[#All],[CAMBIO DE
CATEGORIA]],CATEGORIAS[[#All],[CATEGORIA2]],Imputar[[#This Row],[Categoría]]),0)</f>
        <v>0</v>
      </c>
      <c r="I2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1">
        <f>+ROUND(SUMIFS(CATEGORIAS[[#All],[PROYECCION
TOTAL DE COSTO]],CATEGORIAS[[#All],[CATEGORIA2]],Imputar[[#This Row],[Categoría]]),0)
-Imputar[[#This Row],[Inventario]]
-Imputar[[#This Row],[Pedidos no Rec]]</f>
        <v>0</v>
      </c>
      <c r="K2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1">
        <f>_xlfn.IFNA(VLOOKUP(Imputar[[#This Row],[Categoría]],EIMI!C:T,8,0),0)</f>
        <v>0</v>
      </c>
      <c r="M231">
        <f>_xlfn.IFNA(VLOOKUP(Imputar[[#This Row],[Categoría]],EIMI!C:T,9,0),0)</f>
        <v>0</v>
      </c>
      <c r="N231">
        <f>_xlfn.IFNA(VLOOKUP(Imputar[[#This Row],[Categoría]],EIMI!C:T,10,0),0)</f>
        <v>0</v>
      </c>
    </row>
    <row r="232" spans="1:14" hidden="1" x14ac:dyDescent="0.25">
      <c r="A232" s="210">
        <f>Indice!$I$11</f>
        <v>0</v>
      </c>
      <c r="B232" t="s">
        <v>822</v>
      </c>
      <c r="C232" s="39">
        <f>Indice!$I$12</f>
        <v>45992</v>
      </c>
      <c r="E232">
        <f>ROUND(SUMIFS(CATEGORIAS[[#All],[TOTAL PRODUCCION
ACTUAL]],CATEGORIAS[[#All],[CATEGORIA2]],Imputar[[#This Row],[Categoría]]),0)</f>
        <v>0</v>
      </c>
      <c r="F232">
        <v>0</v>
      </c>
      <c r="G232">
        <f>ROUND(SUMIFS(CATEGORIAS[[#All],[PROYECCION
DE INGRESO
DEL SALDO]],CATEGORIAS[[#All],[CATEGORIA2]],Imputar[[#This Row],[Categoría]]),0)</f>
        <v>0</v>
      </c>
      <c r="H232">
        <f>ROUND(SUMIFS(CATEGORIAS[[#All],[CAMBIO DE
CATEGORIA]],CATEGORIAS[[#All],[CATEGORIA2]],Imputar[[#This Row],[Categoría]]),0)</f>
        <v>0</v>
      </c>
      <c r="I2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2">
        <f>+ROUND(SUMIFS(CATEGORIAS[[#All],[PROYECCION
TOTAL DE COSTO]],CATEGORIAS[[#All],[CATEGORIA2]],Imputar[[#This Row],[Categoría]]),0)
-Imputar[[#This Row],[Inventario]]
-Imputar[[#This Row],[Pedidos no Rec]]</f>
        <v>0</v>
      </c>
      <c r="K2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2">
        <f>_xlfn.IFNA(VLOOKUP(Imputar[[#This Row],[Categoría]],EIMI!C:T,8,0),0)</f>
        <v>0</v>
      </c>
      <c r="M232">
        <f>_xlfn.IFNA(VLOOKUP(Imputar[[#This Row],[Categoría]],EIMI!C:T,9,0),0)</f>
        <v>0</v>
      </c>
      <c r="N232">
        <f>_xlfn.IFNA(VLOOKUP(Imputar[[#This Row],[Categoría]],EIMI!C:T,10,0),0)</f>
        <v>0</v>
      </c>
    </row>
    <row r="233" spans="1:14" hidden="1" x14ac:dyDescent="0.25">
      <c r="A233" s="210">
        <f>Indice!$I$11</f>
        <v>0</v>
      </c>
      <c r="B233" t="s">
        <v>824</v>
      </c>
      <c r="C233" s="39">
        <f>Indice!$I$12</f>
        <v>45992</v>
      </c>
      <c r="E233">
        <f>ROUND(SUMIFS(CATEGORIAS[[#All],[TOTAL PRODUCCION
ACTUAL]],CATEGORIAS[[#All],[CATEGORIA2]],Imputar[[#This Row],[Categoría]]),0)</f>
        <v>0</v>
      </c>
      <c r="F233">
        <v>0</v>
      </c>
      <c r="G233">
        <f>ROUND(SUMIFS(CATEGORIAS[[#All],[PROYECCION
DE INGRESO
DEL SALDO]],CATEGORIAS[[#All],[CATEGORIA2]],Imputar[[#This Row],[Categoría]]),0)</f>
        <v>0</v>
      </c>
      <c r="H233">
        <f>ROUND(SUMIFS(CATEGORIAS[[#All],[CAMBIO DE
CATEGORIA]],CATEGORIAS[[#All],[CATEGORIA2]],Imputar[[#This Row],[Categoría]]),0)</f>
        <v>0</v>
      </c>
      <c r="I2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3">
        <f>+ROUND(SUMIFS(CATEGORIAS[[#All],[PROYECCION
TOTAL DE COSTO]],CATEGORIAS[[#All],[CATEGORIA2]],Imputar[[#This Row],[Categoría]]),0)
-Imputar[[#This Row],[Inventario]]
-Imputar[[#This Row],[Pedidos no Rec]]</f>
        <v>0</v>
      </c>
      <c r="K2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3">
        <f>_xlfn.IFNA(VLOOKUP(Imputar[[#This Row],[Categoría]],EIMI!C:T,8,0),0)</f>
        <v>0</v>
      </c>
      <c r="M233">
        <f>_xlfn.IFNA(VLOOKUP(Imputar[[#This Row],[Categoría]],EIMI!C:T,9,0),0)</f>
        <v>0</v>
      </c>
      <c r="N233">
        <f>_xlfn.IFNA(VLOOKUP(Imputar[[#This Row],[Categoría]],EIMI!C:T,10,0),0)</f>
        <v>0</v>
      </c>
    </row>
    <row r="234" spans="1:14" x14ac:dyDescent="0.25">
      <c r="A234" s="210">
        <f>Indice!$I$11</f>
        <v>0</v>
      </c>
      <c r="B234" t="s">
        <v>826</v>
      </c>
      <c r="C234" s="39">
        <f>Indice!$I$12</f>
        <v>45992</v>
      </c>
      <c r="E234">
        <f>ROUND(SUMIFS(CATEGORIAS[[#All],[TOTAL PRODUCCION
ACTUAL]],CATEGORIAS[[#All],[CATEGORIA2]],Imputar[[#This Row],[Categoría]]),0)</f>
        <v>0</v>
      </c>
      <c r="F234">
        <v>0</v>
      </c>
      <c r="G234">
        <f>ROUND(SUMIFS(CATEGORIAS[[#All],[PROYECCION
DE INGRESO
DEL SALDO]],CATEGORIAS[[#All],[CATEGORIA2]],Imputar[[#This Row],[Categoría]]),0)</f>
        <v>0</v>
      </c>
      <c r="H234">
        <f>ROUND(SUMIFS(CATEGORIAS[[#All],[CAMBIO DE
CATEGORIA]],CATEGORIAS[[#All],[CATEGORIA2]],Imputar[[#This Row],[Categoría]]),0)</f>
        <v>0</v>
      </c>
      <c r="I2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4">
        <f>+ROUND(SUMIFS(CATEGORIAS[[#All],[PROYECCION
TOTAL DE COSTO]],CATEGORIAS[[#All],[CATEGORIA2]],Imputar[[#This Row],[Categoría]]),0)
-Imputar[[#This Row],[Inventario]]
-Imputar[[#This Row],[Pedidos no Rec]]</f>
        <v>0</v>
      </c>
      <c r="K2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4">
        <f>_xlfn.IFNA(VLOOKUP(Imputar[[#This Row],[Categoría]],EIMI!C:T,8,0),0)</f>
        <v>0</v>
      </c>
      <c r="M234">
        <f>_xlfn.IFNA(VLOOKUP(Imputar[[#This Row],[Categoría]],EIMI!C:T,9,0),0)</f>
        <v>0</v>
      </c>
      <c r="N234">
        <f>_xlfn.IFNA(VLOOKUP(Imputar[[#This Row],[Categoría]],EIMI!C:T,10,0),0)</f>
        <v>0</v>
      </c>
    </row>
    <row r="235" spans="1:14" hidden="1" x14ac:dyDescent="0.25">
      <c r="A235" s="210">
        <f>Indice!$I$11</f>
        <v>0</v>
      </c>
      <c r="B235" t="s">
        <v>828</v>
      </c>
      <c r="C235" s="39">
        <f>Indice!$I$12</f>
        <v>45992</v>
      </c>
      <c r="E235">
        <f>ROUND(SUMIFS(CATEGORIAS[[#All],[TOTAL PRODUCCION
ACTUAL]],CATEGORIAS[[#All],[CATEGORIA2]],Imputar[[#This Row],[Categoría]]),0)</f>
        <v>0</v>
      </c>
      <c r="F235">
        <v>0</v>
      </c>
      <c r="G235">
        <f>ROUND(SUMIFS(CATEGORIAS[[#All],[PROYECCION
DE INGRESO
DEL SALDO]],CATEGORIAS[[#All],[CATEGORIA2]],Imputar[[#This Row],[Categoría]]),0)</f>
        <v>0</v>
      </c>
      <c r="H235">
        <f>ROUND(SUMIFS(CATEGORIAS[[#All],[CAMBIO DE
CATEGORIA]],CATEGORIAS[[#All],[CATEGORIA2]],Imputar[[#This Row],[Categoría]]),0)</f>
        <v>0</v>
      </c>
      <c r="I2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5">
        <f>+ROUND(SUMIFS(CATEGORIAS[[#All],[PROYECCION
TOTAL DE COSTO]],CATEGORIAS[[#All],[CATEGORIA2]],Imputar[[#This Row],[Categoría]]),0)
-Imputar[[#This Row],[Inventario]]
-Imputar[[#This Row],[Pedidos no Rec]]</f>
        <v>0</v>
      </c>
      <c r="K2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5">
        <f>_xlfn.IFNA(VLOOKUP(Imputar[[#This Row],[Categoría]],EIMI!C:T,8,0),0)</f>
        <v>0</v>
      </c>
      <c r="M235">
        <f>_xlfn.IFNA(VLOOKUP(Imputar[[#This Row],[Categoría]],EIMI!C:T,9,0),0)</f>
        <v>0</v>
      </c>
      <c r="N235">
        <f>_xlfn.IFNA(VLOOKUP(Imputar[[#This Row],[Categoría]],EIMI!C:T,10,0),0)</f>
        <v>0</v>
      </c>
    </row>
    <row r="236" spans="1:14" x14ac:dyDescent="0.25">
      <c r="A236" s="210">
        <f>Indice!$I$11</f>
        <v>0</v>
      </c>
      <c r="B236" t="s">
        <v>830</v>
      </c>
      <c r="C236" s="39">
        <f>Indice!$I$12</f>
        <v>45992</v>
      </c>
      <c r="E236">
        <f>ROUND(SUMIFS(CATEGORIAS[[#All],[TOTAL PRODUCCION
ACTUAL]],CATEGORIAS[[#All],[CATEGORIA2]],Imputar[[#This Row],[Categoría]]),0)</f>
        <v>0</v>
      </c>
      <c r="F236">
        <v>0</v>
      </c>
      <c r="G236">
        <f>ROUND(SUMIFS(CATEGORIAS[[#All],[PROYECCION
DE INGRESO
DEL SALDO]],CATEGORIAS[[#All],[CATEGORIA2]],Imputar[[#This Row],[Categoría]]),0)</f>
        <v>0</v>
      </c>
      <c r="H236">
        <f>ROUND(SUMIFS(CATEGORIAS[[#All],[CAMBIO DE
CATEGORIA]],CATEGORIAS[[#All],[CATEGORIA2]],Imputar[[#This Row],[Categoría]]),0)</f>
        <v>0</v>
      </c>
      <c r="I2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6">
        <f>+ROUND(SUMIFS(CATEGORIAS[[#All],[PROYECCION
TOTAL DE COSTO]],CATEGORIAS[[#All],[CATEGORIA2]],Imputar[[#This Row],[Categoría]]),0)
-Imputar[[#This Row],[Inventario]]
-Imputar[[#This Row],[Pedidos no Rec]]</f>
        <v>0</v>
      </c>
      <c r="K2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6">
        <f>_xlfn.IFNA(VLOOKUP(Imputar[[#This Row],[Categoría]],EIMI!C:T,8,0),0)</f>
        <v>0</v>
      </c>
      <c r="M236">
        <f>_xlfn.IFNA(VLOOKUP(Imputar[[#This Row],[Categoría]],EIMI!C:T,9,0),0)</f>
        <v>0</v>
      </c>
      <c r="N236">
        <f>_xlfn.IFNA(VLOOKUP(Imputar[[#This Row],[Categoría]],EIMI!C:T,10,0),0)</f>
        <v>0</v>
      </c>
    </row>
    <row r="237" spans="1:14" hidden="1" x14ac:dyDescent="0.25">
      <c r="A237" s="210">
        <f>Indice!$I$11</f>
        <v>0</v>
      </c>
      <c r="B237" t="s">
        <v>832</v>
      </c>
      <c r="C237" s="39">
        <f>Indice!$I$12</f>
        <v>45992</v>
      </c>
      <c r="E237">
        <f>ROUND(SUMIFS(CATEGORIAS[[#All],[TOTAL PRODUCCION
ACTUAL]],CATEGORIAS[[#All],[CATEGORIA2]],Imputar[[#This Row],[Categoría]]),0)</f>
        <v>0</v>
      </c>
      <c r="F237">
        <v>0</v>
      </c>
      <c r="G237">
        <f>ROUND(SUMIFS(CATEGORIAS[[#All],[PROYECCION
DE INGRESO
DEL SALDO]],CATEGORIAS[[#All],[CATEGORIA2]],Imputar[[#This Row],[Categoría]]),0)</f>
        <v>0</v>
      </c>
      <c r="H237">
        <f>ROUND(SUMIFS(CATEGORIAS[[#All],[CAMBIO DE
CATEGORIA]],CATEGORIAS[[#All],[CATEGORIA2]],Imputar[[#This Row],[Categoría]]),0)</f>
        <v>0</v>
      </c>
      <c r="I2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7">
        <f>+ROUND(SUMIFS(CATEGORIAS[[#All],[PROYECCION
TOTAL DE COSTO]],CATEGORIAS[[#All],[CATEGORIA2]],Imputar[[#This Row],[Categoría]]),0)
-Imputar[[#This Row],[Inventario]]
-Imputar[[#This Row],[Pedidos no Rec]]</f>
        <v>0</v>
      </c>
      <c r="K2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7">
        <f>_xlfn.IFNA(VLOOKUP(Imputar[[#This Row],[Categoría]],EIMI!C:T,8,0),0)</f>
        <v>0</v>
      </c>
      <c r="M237">
        <f>_xlfn.IFNA(VLOOKUP(Imputar[[#This Row],[Categoría]],EIMI!C:T,9,0),0)</f>
        <v>0</v>
      </c>
      <c r="N237">
        <f>_xlfn.IFNA(VLOOKUP(Imputar[[#This Row],[Categoría]],EIMI!C:T,10,0),0)</f>
        <v>0</v>
      </c>
    </row>
    <row r="238" spans="1:14" x14ac:dyDescent="0.25">
      <c r="A238" s="210">
        <f>Indice!$I$11</f>
        <v>0</v>
      </c>
      <c r="B238" t="s">
        <v>834</v>
      </c>
      <c r="C238" s="39">
        <f>Indice!$I$12</f>
        <v>45992</v>
      </c>
      <c r="E238">
        <f>ROUND(SUMIFS(CATEGORIAS[[#All],[TOTAL PRODUCCION
ACTUAL]],CATEGORIAS[[#All],[CATEGORIA2]],Imputar[[#This Row],[Categoría]]),0)</f>
        <v>0</v>
      </c>
      <c r="F238">
        <v>0</v>
      </c>
      <c r="G238">
        <f>ROUND(SUMIFS(CATEGORIAS[[#All],[PROYECCION
DE INGRESO
DEL SALDO]],CATEGORIAS[[#All],[CATEGORIA2]],Imputar[[#This Row],[Categoría]]),0)</f>
        <v>0</v>
      </c>
      <c r="H238">
        <f>ROUND(SUMIFS(CATEGORIAS[[#All],[CAMBIO DE
CATEGORIA]],CATEGORIAS[[#All],[CATEGORIA2]],Imputar[[#This Row],[Categoría]]),0)</f>
        <v>0</v>
      </c>
      <c r="I2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8">
        <f>+ROUND(SUMIFS(CATEGORIAS[[#All],[PROYECCION
TOTAL DE COSTO]],CATEGORIAS[[#All],[CATEGORIA2]],Imputar[[#This Row],[Categoría]]),0)
-Imputar[[#This Row],[Inventario]]
-Imputar[[#This Row],[Pedidos no Rec]]</f>
        <v>0</v>
      </c>
      <c r="K2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8">
        <f>_xlfn.IFNA(VLOOKUP(Imputar[[#This Row],[Categoría]],EIMI!C:T,8,0),0)</f>
        <v>0</v>
      </c>
      <c r="M238">
        <f>_xlfn.IFNA(VLOOKUP(Imputar[[#This Row],[Categoría]],EIMI!C:T,9,0),0)</f>
        <v>0</v>
      </c>
      <c r="N238">
        <f>_xlfn.IFNA(VLOOKUP(Imputar[[#This Row],[Categoría]],EIMI!C:T,10,0),0)</f>
        <v>0</v>
      </c>
    </row>
    <row r="239" spans="1:14" hidden="1" x14ac:dyDescent="0.25">
      <c r="A239" s="210">
        <f>Indice!$I$11</f>
        <v>0</v>
      </c>
      <c r="B239" t="s">
        <v>836</v>
      </c>
      <c r="C239" s="39">
        <f>Indice!$I$12</f>
        <v>45992</v>
      </c>
      <c r="E239">
        <f>ROUND(SUMIFS(CATEGORIAS[[#All],[TOTAL PRODUCCION
ACTUAL]],CATEGORIAS[[#All],[CATEGORIA2]],Imputar[[#This Row],[Categoría]]),0)</f>
        <v>0</v>
      </c>
      <c r="F239">
        <v>0</v>
      </c>
      <c r="G239">
        <f>ROUND(SUMIFS(CATEGORIAS[[#All],[PROYECCION
DE INGRESO
DEL SALDO]],CATEGORIAS[[#All],[CATEGORIA2]],Imputar[[#This Row],[Categoría]]),0)</f>
        <v>0</v>
      </c>
      <c r="H239">
        <f>ROUND(SUMIFS(CATEGORIAS[[#All],[CAMBIO DE
CATEGORIA]],CATEGORIAS[[#All],[CATEGORIA2]],Imputar[[#This Row],[Categoría]]),0)</f>
        <v>0</v>
      </c>
      <c r="I2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9">
        <f>+ROUND(SUMIFS(CATEGORIAS[[#All],[PROYECCION
TOTAL DE COSTO]],CATEGORIAS[[#All],[CATEGORIA2]],Imputar[[#This Row],[Categoría]]),0)
-Imputar[[#This Row],[Inventario]]
-Imputar[[#This Row],[Pedidos no Rec]]</f>
        <v>0</v>
      </c>
      <c r="K2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9">
        <f>_xlfn.IFNA(VLOOKUP(Imputar[[#This Row],[Categoría]],EIMI!C:T,8,0),0)</f>
        <v>0</v>
      </c>
      <c r="M239">
        <f>_xlfn.IFNA(VLOOKUP(Imputar[[#This Row],[Categoría]],EIMI!C:T,9,0),0)</f>
        <v>0</v>
      </c>
      <c r="N239">
        <f>_xlfn.IFNA(VLOOKUP(Imputar[[#This Row],[Categoría]],EIMI!C:T,10,0),0)</f>
        <v>0</v>
      </c>
    </row>
    <row r="240" spans="1:14" x14ac:dyDescent="0.25">
      <c r="A240" s="210">
        <f>Indice!$I$11</f>
        <v>0</v>
      </c>
      <c r="B240" t="s">
        <v>838</v>
      </c>
      <c r="C240" s="39">
        <f>Indice!$I$12</f>
        <v>45992</v>
      </c>
      <c r="E240">
        <f>ROUND(SUMIFS(CATEGORIAS[[#All],[TOTAL PRODUCCION
ACTUAL]],CATEGORIAS[[#All],[CATEGORIA2]],Imputar[[#This Row],[Categoría]]),0)</f>
        <v>0</v>
      </c>
      <c r="F240">
        <v>0</v>
      </c>
      <c r="G240">
        <f>ROUND(SUMIFS(CATEGORIAS[[#All],[PROYECCION
DE INGRESO
DEL SALDO]],CATEGORIAS[[#All],[CATEGORIA2]],Imputar[[#This Row],[Categoría]]),0)</f>
        <v>0</v>
      </c>
      <c r="H240">
        <f>ROUND(SUMIFS(CATEGORIAS[[#All],[CAMBIO DE
CATEGORIA]],CATEGORIAS[[#All],[CATEGORIA2]],Imputar[[#This Row],[Categoría]]),0)</f>
        <v>0</v>
      </c>
      <c r="I2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0">
        <f>+ROUND(SUMIFS(CATEGORIAS[[#All],[PROYECCION
TOTAL DE COSTO]],CATEGORIAS[[#All],[CATEGORIA2]],Imputar[[#This Row],[Categoría]]),0)
-Imputar[[#This Row],[Inventario]]
-Imputar[[#This Row],[Pedidos no Rec]]</f>
        <v>0</v>
      </c>
      <c r="K2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0">
        <f>_xlfn.IFNA(VLOOKUP(Imputar[[#This Row],[Categoría]],EIMI!C:T,8,0),0)</f>
        <v>0</v>
      </c>
      <c r="M240">
        <f>_xlfn.IFNA(VLOOKUP(Imputar[[#This Row],[Categoría]],EIMI!C:T,9,0),0)</f>
        <v>0</v>
      </c>
      <c r="N240">
        <f>_xlfn.IFNA(VLOOKUP(Imputar[[#This Row],[Categoría]],EIMI!C:T,10,0),0)</f>
        <v>0</v>
      </c>
    </row>
    <row r="241" spans="1:14" hidden="1" x14ac:dyDescent="0.25">
      <c r="A241" s="210">
        <f>Indice!$I$11</f>
        <v>0</v>
      </c>
      <c r="B241" t="s">
        <v>840</v>
      </c>
      <c r="C241" s="39">
        <f>Indice!$I$12</f>
        <v>45992</v>
      </c>
      <c r="E241">
        <f>ROUND(SUMIFS(CATEGORIAS[[#All],[TOTAL PRODUCCION
ACTUAL]],CATEGORIAS[[#All],[CATEGORIA2]],Imputar[[#This Row],[Categoría]]),0)</f>
        <v>0</v>
      </c>
      <c r="F241">
        <v>0</v>
      </c>
      <c r="G241">
        <f>ROUND(SUMIFS(CATEGORIAS[[#All],[PROYECCION
DE INGRESO
DEL SALDO]],CATEGORIAS[[#All],[CATEGORIA2]],Imputar[[#This Row],[Categoría]]),0)</f>
        <v>0</v>
      </c>
      <c r="H241">
        <f>ROUND(SUMIFS(CATEGORIAS[[#All],[CAMBIO DE
CATEGORIA]],CATEGORIAS[[#All],[CATEGORIA2]],Imputar[[#This Row],[Categoría]]),0)</f>
        <v>0</v>
      </c>
      <c r="I2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1">
        <f>+ROUND(SUMIFS(CATEGORIAS[[#All],[PROYECCION
TOTAL DE COSTO]],CATEGORIAS[[#All],[CATEGORIA2]],Imputar[[#This Row],[Categoría]]),0)
-Imputar[[#This Row],[Inventario]]
-Imputar[[#This Row],[Pedidos no Rec]]</f>
        <v>0</v>
      </c>
      <c r="K2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1">
        <f>_xlfn.IFNA(VLOOKUP(Imputar[[#This Row],[Categoría]],EIMI!C:T,8,0),0)</f>
        <v>0</v>
      </c>
      <c r="M241">
        <f>_xlfn.IFNA(VLOOKUP(Imputar[[#This Row],[Categoría]],EIMI!C:T,9,0),0)</f>
        <v>0</v>
      </c>
      <c r="N241">
        <f>_xlfn.IFNA(VLOOKUP(Imputar[[#This Row],[Categoría]],EIMI!C:T,10,0),0)</f>
        <v>0</v>
      </c>
    </row>
    <row r="242" spans="1:14" x14ac:dyDescent="0.25">
      <c r="A242" s="210">
        <f>Indice!$I$11</f>
        <v>0</v>
      </c>
      <c r="B242" t="s">
        <v>842</v>
      </c>
      <c r="C242" s="39">
        <f>Indice!$I$12</f>
        <v>45992</v>
      </c>
      <c r="E242">
        <f>ROUND(SUMIFS(CATEGORIAS[[#All],[TOTAL PRODUCCION
ACTUAL]],CATEGORIAS[[#All],[CATEGORIA2]],Imputar[[#This Row],[Categoría]]),0)</f>
        <v>0</v>
      </c>
      <c r="F242">
        <v>0</v>
      </c>
      <c r="G242">
        <f>ROUND(SUMIFS(CATEGORIAS[[#All],[PROYECCION
DE INGRESO
DEL SALDO]],CATEGORIAS[[#All],[CATEGORIA2]],Imputar[[#This Row],[Categoría]]),0)</f>
        <v>0</v>
      </c>
      <c r="H242">
        <f>ROUND(SUMIFS(CATEGORIAS[[#All],[CAMBIO DE
CATEGORIA]],CATEGORIAS[[#All],[CATEGORIA2]],Imputar[[#This Row],[Categoría]]),0)</f>
        <v>0</v>
      </c>
      <c r="I2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2">
        <f>+ROUND(SUMIFS(CATEGORIAS[[#All],[PROYECCION
TOTAL DE COSTO]],CATEGORIAS[[#All],[CATEGORIA2]],Imputar[[#This Row],[Categoría]]),0)
-Imputar[[#This Row],[Inventario]]
-Imputar[[#This Row],[Pedidos no Rec]]</f>
        <v>0</v>
      </c>
      <c r="K2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2">
        <f>_xlfn.IFNA(VLOOKUP(Imputar[[#This Row],[Categoría]],EIMI!C:T,8,0),0)</f>
        <v>0</v>
      </c>
      <c r="M242">
        <f>_xlfn.IFNA(VLOOKUP(Imputar[[#This Row],[Categoría]],EIMI!C:T,9,0),0)</f>
        <v>0</v>
      </c>
      <c r="N242">
        <f>_xlfn.IFNA(VLOOKUP(Imputar[[#This Row],[Categoría]],EIMI!C:T,10,0),0)</f>
        <v>0</v>
      </c>
    </row>
    <row r="243" spans="1:14" hidden="1" x14ac:dyDescent="0.25">
      <c r="A243" s="210">
        <f>Indice!$I$11</f>
        <v>0</v>
      </c>
      <c r="B243" t="s">
        <v>844</v>
      </c>
      <c r="C243" s="39">
        <f>Indice!$I$12</f>
        <v>45992</v>
      </c>
      <c r="E243">
        <f>ROUND(SUMIFS(CATEGORIAS[[#All],[TOTAL PRODUCCION
ACTUAL]],CATEGORIAS[[#All],[CATEGORIA2]],Imputar[[#This Row],[Categoría]]),0)</f>
        <v>0</v>
      </c>
      <c r="F243">
        <v>0</v>
      </c>
      <c r="G243">
        <f>ROUND(SUMIFS(CATEGORIAS[[#All],[PROYECCION
DE INGRESO
DEL SALDO]],CATEGORIAS[[#All],[CATEGORIA2]],Imputar[[#This Row],[Categoría]]),0)</f>
        <v>0</v>
      </c>
      <c r="H243">
        <f>ROUND(SUMIFS(CATEGORIAS[[#All],[CAMBIO DE
CATEGORIA]],CATEGORIAS[[#All],[CATEGORIA2]],Imputar[[#This Row],[Categoría]]),0)</f>
        <v>0</v>
      </c>
      <c r="I2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3">
        <f>+ROUND(SUMIFS(CATEGORIAS[[#All],[PROYECCION
TOTAL DE COSTO]],CATEGORIAS[[#All],[CATEGORIA2]],Imputar[[#This Row],[Categoría]]),0)
-Imputar[[#This Row],[Inventario]]
-Imputar[[#This Row],[Pedidos no Rec]]</f>
        <v>0</v>
      </c>
      <c r="K2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3">
        <f>_xlfn.IFNA(VLOOKUP(Imputar[[#This Row],[Categoría]],EIMI!C:T,8,0),0)</f>
        <v>0</v>
      </c>
      <c r="M243">
        <f>_xlfn.IFNA(VLOOKUP(Imputar[[#This Row],[Categoría]],EIMI!C:T,9,0),0)</f>
        <v>0</v>
      </c>
      <c r="N243">
        <f>_xlfn.IFNA(VLOOKUP(Imputar[[#This Row],[Categoría]],EIMI!C:T,10,0),0)</f>
        <v>0</v>
      </c>
    </row>
    <row r="244" spans="1:14" x14ac:dyDescent="0.25">
      <c r="A244" s="210">
        <f>Indice!$I$11</f>
        <v>0</v>
      </c>
      <c r="B244" t="s">
        <v>846</v>
      </c>
      <c r="C244" s="39">
        <f>Indice!$I$12</f>
        <v>45992</v>
      </c>
      <c r="E244">
        <f>ROUND(SUMIFS(CATEGORIAS[[#All],[TOTAL PRODUCCION
ACTUAL]],CATEGORIAS[[#All],[CATEGORIA2]],Imputar[[#This Row],[Categoría]]),0)</f>
        <v>0</v>
      </c>
      <c r="F244">
        <v>0</v>
      </c>
      <c r="G244">
        <f>ROUND(SUMIFS(CATEGORIAS[[#All],[PROYECCION
DE INGRESO
DEL SALDO]],CATEGORIAS[[#All],[CATEGORIA2]],Imputar[[#This Row],[Categoría]]),0)</f>
        <v>0</v>
      </c>
      <c r="H244">
        <f>ROUND(SUMIFS(CATEGORIAS[[#All],[CAMBIO DE
CATEGORIA]],CATEGORIAS[[#All],[CATEGORIA2]],Imputar[[#This Row],[Categoría]]),0)</f>
        <v>0</v>
      </c>
      <c r="I2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4">
        <f>+ROUND(SUMIFS(CATEGORIAS[[#All],[PROYECCION
TOTAL DE COSTO]],CATEGORIAS[[#All],[CATEGORIA2]],Imputar[[#This Row],[Categoría]]),0)
-Imputar[[#This Row],[Inventario]]
-Imputar[[#This Row],[Pedidos no Rec]]</f>
        <v>0</v>
      </c>
      <c r="K2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4">
        <f>_xlfn.IFNA(VLOOKUP(Imputar[[#This Row],[Categoría]],EIMI!C:T,8,0),0)</f>
        <v>0</v>
      </c>
      <c r="M244">
        <f>_xlfn.IFNA(VLOOKUP(Imputar[[#This Row],[Categoría]],EIMI!C:T,9,0),0)</f>
        <v>0</v>
      </c>
      <c r="N244">
        <f>_xlfn.IFNA(VLOOKUP(Imputar[[#This Row],[Categoría]],EIMI!C:T,10,0),0)</f>
        <v>0</v>
      </c>
    </row>
    <row r="245" spans="1:14" hidden="1" x14ac:dyDescent="0.25">
      <c r="A245" s="210">
        <f>Indice!$I$11</f>
        <v>0</v>
      </c>
      <c r="B245" t="s">
        <v>848</v>
      </c>
      <c r="C245" s="39">
        <f>Indice!$I$12</f>
        <v>45992</v>
      </c>
      <c r="E245">
        <f>ROUND(SUMIFS(CATEGORIAS[[#All],[TOTAL PRODUCCION
ACTUAL]],CATEGORIAS[[#All],[CATEGORIA2]],Imputar[[#This Row],[Categoría]]),0)</f>
        <v>0</v>
      </c>
      <c r="F245">
        <v>0</v>
      </c>
      <c r="G245">
        <f>ROUND(SUMIFS(CATEGORIAS[[#All],[PROYECCION
DE INGRESO
DEL SALDO]],CATEGORIAS[[#All],[CATEGORIA2]],Imputar[[#This Row],[Categoría]]),0)</f>
        <v>0</v>
      </c>
      <c r="H245">
        <f>ROUND(SUMIFS(CATEGORIAS[[#All],[CAMBIO DE
CATEGORIA]],CATEGORIAS[[#All],[CATEGORIA2]],Imputar[[#This Row],[Categoría]]),0)</f>
        <v>0</v>
      </c>
      <c r="I2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5">
        <f>+ROUND(SUMIFS(CATEGORIAS[[#All],[PROYECCION
TOTAL DE COSTO]],CATEGORIAS[[#All],[CATEGORIA2]],Imputar[[#This Row],[Categoría]]),0)
-Imputar[[#This Row],[Inventario]]
-Imputar[[#This Row],[Pedidos no Rec]]</f>
        <v>0</v>
      </c>
      <c r="K2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5">
        <f>_xlfn.IFNA(VLOOKUP(Imputar[[#This Row],[Categoría]],EIMI!C:T,8,0),0)</f>
        <v>0</v>
      </c>
      <c r="M245">
        <f>_xlfn.IFNA(VLOOKUP(Imputar[[#This Row],[Categoría]],EIMI!C:T,9,0),0)</f>
        <v>0</v>
      </c>
      <c r="N245">
        <f>_xlfn.IFNA(VLOOKUP(Imputar[[#This Row],[Categoría]],EIMI!C:T,10,0),0)</f>
        <v>0</v>
      </c>
    </row>
    <row r="246" spans="1:14" hidden="1" x14ac:dyDescent="0.25">
      <c r="A246" s="210">
        <f>Indice!$I$11</f>
        <v>0</v>
      </c>
      <c r="B246" t="s">
        <v>850</v>
      </c>
      <c r="C246" s="39">
        <f>Indice!$I$12</f>
        <v>45992</v>
      </c>
      <c r="E246">
        <f>ROUND(SUMIFS(CATEGORIAS[[#All],[TOTAL PRODUCCION
ACTUAL]],CATEGORIAS[[#All],[CATEGORIA2]],Imputar[[#This Row],[Categoría]]),0)</f>
        <v>0</v>
      </c>
      <c r="F246">
        <v>0</v>
      </c>
      <c r="G246">
        <f>ROUND(SUMIFS(CATEGORIAS[[#All],[PROYECCION
DE INGRESO
DEL SALDO]],CATEGORIAS[[#All],[CATEGORIA2]],Imputar[[#This Row],[Categoría]]),0)</f>
        <v>0</v>
      </c>
      <c r="H246">
        <f>ROUND(SUMIFS(CATEGORIAS[[#All],[CAMBIO DE
CATEGORIA]],CATEGORIAS[[#All],[CATEGORIA2]],Imputar[[#This Row],[Categoría]]),0)</f>
        <v>0</v>
      </c>
      <c r="I2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6">
        <f>+ROUND(SUMIFS(CATEGORIAS[[#All],[PROYECCION
TOTAL DE COSTO]],CATEGORIAS[[#All],[CATEGORIA2]],Imputar[[#This Row],[Categoría]]),0)
-Imputar[[#This Row],[Inventario]]
-Imputar[[#This Row],[Pedidos no Rec]]</f>
        <v>0</v>
      </c>
      <c r="K2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6">
        <f>_xlfn.IFNA(VLOOKUP(Imputar[[#This Row],[Categoría]],EIMI!C:T,8,0),0)</f>
        <v>0</v>
      </c>
      <c r="M246">
        <f>_xlfn.IFNA(VLOOKUP(Imputar[[#This Row],[Categoría]],EIMI!C:T,9,0),0)</f>
        <v>0</v>
      </c>
      <c r="N246">
        <f>_xlfn.IFNA(VLOOKUP(Imputar[[#This Row],[Categoría]],EIMI!C:T,10,0),0)</f>
        <v>0</v>
      </c>
    </row>
    <row r="247" spans="1:14" hidden="1" x14ac:dyDescent="0.25">
      <c r="A247" s="210">
        <f>Indice!$I$11</f>
        <v>0</v>
      </c>
      <c r="B247" t="s">
        <v>852</v>
      </c>
      <c r="C247" s="39">
        <f>Indice!$I$12</f>
        <v>45992</v>
      </c>
      <c r="E247">
        <f>ROUND(SUMIFS(CATEGORIAS[[#All],[TOTAL PRODUCCION
ACTUAL]],CATEGORIAS[[#All],[CATEGORIA2]],Imputar[[#This Row],[Categoría]]),0)</f>
        <v>0</v>
      </c>
      <c r="F247">
        <v>0</v>
      </c>
      <c r="G247">
        <f>ROUND(SUMIFS(CATEGORIAS[[#All],[PROYECCION
DE INGRESO
DEL SALDO]],CATEGORIAS[[#All],[CATEGORIA2]],Imputar[[#This Row],[Categoría]]),0)</f>
        <v>0</v>
      </c>
      <c r="H247">
        <f>ROUND(SUMIFS(CATEGORIAS[[#All],[CAMBIO DE
CATEGORIA]],CATEGORIAS[[#All],[CATEGORIA2]],Imputar[[#This Row],[Categoría]]),0)</f>
        <v>0</v>
      </c>
      <c r="I2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7">
        <f>+ROUND(SUMIFS(CATEGORIAS[[#All],[PROYECCION
TOTAL DE COSTO]],CATEGORIAS[[#All],[CATEGORIA2]],Imputar[[#This Row],[Categoría]]),0)
-Imputar[[#This Row],[Inventario]]
-Imputar[[#This Row],[Pedidos no Rec]]</f>
        <v>0</v>
      </c>
      <c r="K2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7">
        <f>_xlfn.IFNA(VLOOKUP(Imputar[[#This Row],[Categoría]],EIMI!C:T,8,0),0)</f>
        <v>0</v>
      </c>
      <c r="M247">
        <f>_xlfn.IFNA(VLOOKUP(Imputar[[#This Row],[Categoría]],EIMI!C:T,9,0),0)</f>
        <v>0</v>
      </c>
      <c r="N247">
        <f>_xlfn.IFNA(VLOOKUP(Imputar[[#This Row],[Categoría]],EIMI!C:T,10,0),0)</f>
        <v>0</v>
      </c>
    </row>
    <row r="248" spans="1:14" x14ac:dyDescent="0.25">
      <c r="A248" s="210">
        <f>Indice!$I$11</f>
        <v>0</v>
      </c>
      <c r="B248" t="s">
        <v>854</v>
      </c>
      <c r="C248" s="39">
        <f>Indice!$I$12</f>
        <v>45992</v>
      </c>
      <c r="E248">
        <f>ROUND(SUMIFS(CATEGORIAS[[#All],[TOTAL PRODUCCION
ACTUAL]],CATEGORIAS[[#All],[CATEGORIA2]],Imputar[[#This Row],[Categoría]]),0)</f>
        <v>0</v>
      </c>
      <c r="F248">
        <v>0</v>
      </c>
      <c r="G248">
        <f>ROUND(SUMIFS(CATEGORIAS[[#All],[PROYECCION
DE INGRESO
DEL SALDO]],CATEGORIAS[[#All],[CATEGORIA2]],Imputar[[#This Row],[Categoría]]),0)</f>
        <v>0</v>
      </c>
      <c r="H248">
        <f>ROUND(SUMIFS(CATEGORIAS[[#All],[CAMBIO DE
CATEGORIA]],CATEGORIAS[[#All],[CATEGORIA2]],Imputar[[#This Row],[Categoría]]),0)</f>
        <v>0</v>
      </c>
      <c r="I2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8">
        <f>+ROUND(SUMIFS(CATEGORIAS[[#All],[PROYECCION
TOTAL DE COSTO]],CATEGORIAS[[#All],[CATEGORIA2]],Imputar[[#This Row],[Categoría]]),0)
-Imputar[[#This Row],[Inventario]]
-Imputar[[#This Row],[Pedidos no Rec]]</f>
        <v>0</v>
      </c>
      <c r="K2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8">
        <f>_xlfn.IFNA(VLOOKUP(Imputar[[#This Row],[Categoría]],EIMI!C:T,8,0),0)</f>
        <v>0</v>
      </c>
      <c r="M248">
        <f>_xlfn.IFNA(VLOOKUP(Imputar[[#This Row],[Categoría]],EIMI!C:T,9,0),0)</f>
        <v>0</v>
      </c>
      <c r="N248">
        <f>_xlfn.IFNA(VLOOKUP(Imputar[[#This Row],[Categoría]],EIMI!C:T,10,0),0)</f>
        <v>0</v>
      </c>
    </row>
    <row r="249" spans="1:14" hidden="1" x14ac:dyDescent="0.25">
      <c r="A249" s="210">
        <f>Indice!$I$11</f>
        <v>0</v>
      </c>
      <c r="B249" t="s">
        <v>856</v>
      </c>
      <c r="C249" s="39">
        <f>Indice!$I$12</f>
        <v>45992</v>
      </c>
      <c r="E249">
        <f>ROUND(SUMIFS(CATEGORIAS[[#All],[TOTAL PRODUCCION
ACTUAL]],CATEGORIAS[[#All],[CATEGORIA2]],Imputar[[#This Row],[Categoría]]),0)</f>
        <v>0</v>
      </c>
      <c r="F249">
        <v>0</v>
      </c>
      <c r="G249">
        <f>ROUND(SUMIFS(CATEGORIAS[[#All],[PROYECCION
DE INGRESO
DEL SALDO]],CATEGORIAS[[#All],[CATEGORIA2]],Imputar[[#This Row],[Categoría]]),0)</f>
        <v>0</v>
      </c>
      <c r="H249">
        <f>ROUND(SUMIFS(CATEGORIAS[[#All],[CAMBIO DE
CATEGORIA]],CATEGORIAS[[#All],[CATEGORIA2]],Imputar[[#This Row],[Categoría]]),0)</f>
        <v>0</v>
      </c>
      <c r="I2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9">
        <f>+ROUND(SUMIFS(CATEGORIAS[[#All],[PROYECCION
TOTAL DE COSTO]],CATEGORIAS[[#All],[CATEGORIA2]],Imputar[[#This Row],[Categoría]]),0)
-Imputar[[#This Row],[Inventario]]
-Imputar[[#This Row],[Pedidos no Rec]]</f>
        <v>0</v>
      </c>
      <c r="K2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9">
        <f>_xlfn.IFNA(VLOOKUP(Imputar[[#This Row],[Categoría]],EIMI!C:T,8,0),0)</f>
        <v>0</v>
      </c>
      <c r="M249">
        <f>_xlfn.IFNA(VLOOKUP(Imputar[[#This Row],[Categoría]],EIMI!C:T,9,0),0)</f>
        <v>0</v>
      </c>
      <c r="N249">
        <f>_xlfn.IFNA(VLOOKUP(Imputar[[#This Row],[Categoría]],EIMI!C:T,10,0),0)</f>
        <v>0</v>
      </c>
    </row>
    <row r="250" spans="1:14" hidden="1" x14ac:dyDescent="0.25">
      <c r="A250" s="210">
        <f>Indice!$I$11</f>
        <v>0</v>
      </c>
      <c r="B250" t="s">
        <v>858</v>
      </c>
      <c r="C250" s="39">
        <f>Indice!$I$12</f>
        <v>45992</v>
      </c>
      <c r="E250">
        <f>ROUND(SUMIFS(CATEGORIAS[[#All],[TOTAL PRODUCCION
ACTUAL]],CATEGORIAS[[#All],[CATEGORIA2]],Imputar[[#This Row],[Categoría]]),0)</f>
        <v>0</v>
      </c>
      <c r="F250">
        <v>0</v>
      </c>
      <c r="G250">
        <f>ROUND(SUMIFS(CATEGORIAS[[#All],[PROYECCION
DE INGRESO
DEL SALDO]],CATEGORIAS[[#All],[CATEGORIA2]],Imputar[[#This Row],[Categoría]]),0)</f>
        <v>0</v>
      </c>
      <c r="H250">
        <f>ROUND(SUMIFS(CATEGORIAS[[#All],[CAMBIO DE
CATEGORIA]],CATEGORIAS[[#All],[CATEGORIA2]],Imputar[[#This Row],[Categoría]]),0)</f>
        <v>0</v>
      </c>
      <c r="I2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0">
        <f>+ROUND(SUMIFS(CATEGORIAS[[#All],[PROYECCION
TOTAL DE COSTO]],CATEGORIAS[[#All],[CATEGORIA2]],Imputar[[#This Row],[Categoría]]),0)
-Imputar[[#This Row],[Inventario]]
-Imputar[[#This Row],[Pedidos no Rec]]</f>
        <v>0</v>
      </c>
      <c r="K2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0">
        <f>_xlfn.IFNA(VLOOKUP(Imputar[[#This Row],[Categoría]],EIMI!C:T,8,0),0)</f>
        <v>0</v>
      </c>
      <c r="M250">
        <f>_xlfn.IFNA(VLOOKUP(Imputar[[#This Row],[Categoría]],EIMI!C:T,9,0),0)</f>
        <v>0</v>
      </c>
      <c r="N250">
        <f>_xlfn.IFNA(VLOOKUP(Imputar[[#This Row],[Categoría]],EIMI!C:T,10,0),0)</f>
        <v>0</v>
      </c>
    </row>
    <row r="251" spans="1:14" hidden="1" x14ac:dyDescent="0.25">
      <c r="A251" s="210">
        <f>Indice!$I$11</f>
        <v>0</v>
      </c>
      <c r="B251" t="s">
        <v>860</v>
      </c>
      <c r="C251" s="39">
        <f>Indice!$I$12</f>
        <v>45992</v>
      </c>
      <c r="E251">
        <f>ROUND(SUMIFS(CATEGORIAS[[#All],[TOTAL PRODUCCION
ACTUAL]],CATEGORIAS[[#All],[CATEGORIA2]],Imputar[[#This Row],[Categoría]]),0)</f>
        <v>0</v>
      </c>
      <c r="F251">
        <v>0</v>
      </c>
      <c r="G251">
        <f>ROUND(SUMIFS(CATEGORIAS[[#All],[PROYECCION
DE INGRESO
DEL SALDO]],CATEGORIAS[[#All],[CATEGORIA2]],Imputar[[#This Row],[Categoría]]),0)</f>
        <v>0</v>
      </c>
      <c r="H251">
        <f>ROUND(SUMIFS(CATEGORIAS[[#All],[CAMBIO DE
CATEGORIA]],CATEGORIAS[[#All],[CATEGORIA2]],Imputar[[#This Row],[Categoría]]),0)</f>
        <v>0</v>
      </c>
      <c r="I2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1">
        <f>+ROUND(SUMIFS(CATEGORIAS[[#All],[PROYECCION
TOTAL DE COSTO]],CATEGORIAS[[#All],[CATEGORIA2]],Imputar[[#This Row],[Categoría]]),0)
-Imputar[[#This Row],[Inventario]]
-Imputar[[#This Row],[Pedidos no Rec]]</f>
        <v>0</v>
      </c>
      <c r="K2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1">
        <f>_xlfn.IFNA(VLOOKUP(Imputar[[#This Row],[Categoría]],EIMI!C:T,8,0),0)</f>
        <v>0</v>
      </c>
      <c r="M251">
        <f>_xlfn.IFNA(VLOOKUP(Imputar[[#This Row],[Categoría]],EIMI!C:T,9,0),0)</f>
        <v>0</v>
      </c>
      <c r="N251">
        <f>_xlfn.IFNA(VLOOKUP(Imputar[[#This Row],[Categoría]],EIMI!C:T,10,0),0)</f>
        <v>0</v>
      </c>
    </row>
    <row r="252" spans="1:14" hidden="1" x14ac:dyDescent="0.25">
      <c r="A252" s="210">
        <f>Indice!$I$11</f>
        <v>0</v>
      </c>
      <c r="B252" t="s">
        <v>862</v>
      </c>
      <c r="C252" s="39">
        <f>Indice!$I$12</f>
        <v>45992</v>
      </c>
      <c r="E252">
        <f>ROUND(SUMIFS(CATEGORIAS[[#All],[TOTAL PRODUCCION
ACTUAL]],CATEGORIAS[[#All],[CATEGORIA2]],Imputar[[#This Row],[Categoría]]),0)</f>
        <v>0</v>
      </c>
      <c r="F252">
        <v>0</v>
      </c>
      <c r="G252">
        <f>ROUND(SUMIFS(CATEGORIAS[[#All],[PROYECCION
DE INGRESO
DEL SALDO]],CATEGORIAS[[#All],[CATEGORIA2]],Imputar[[#This Row],[Categoría]]),0)</f>
        <v>0</v>
      </c>
      <c r="H252">
        <f>ROUND(SUMIFS(CATEGORIAS[[#All],[CAMBIO DE
CATEGORIA]],CATEGORIAS[[#All],[CATEGORIA2]],Imputar[[#This Row],[Categoría]]),0)</f>
        <v>0</v>
      </c>
      <c r="I2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2">
        <f>+ROUND(SUMIFS(CATEGORIAS[[#All],[PROYECCION
TOTAL DE COSTO]],CATEGORIAS[[#All],[CATEGORIA2]],Imputar[[#This Row],[Categoría]]),0)
-Imputar[[#This Row],[Inventario]]
-Imputar[[#This Row],[Pedidos no Rec]]</f>
        <v>0</v>
      </c>
      <c r="K2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2">
        <f>_xlfn.IFNA(VLOOKUP(Imputar[[#This Row],[Categoría]],EIMI!C:T,8,0),0)</f>
        <v>0</v>
      </c>
      <c r="M252">
        <f>_xlfn.IFNA(VLOOKUP(Imputar[[#This Row],[Categoría]],EIMI!C:T,9,0),0)</f>
        <v>0</v>
      </c>
      <c r="N252">
        <f>_xlfn.IFNA(VLOOKUP(Imputar[[#This Row],[Categoría]],EIMI!C:T,10,0),0)</f>
        <v>0</v>
      </c>
    </row>
    <row r="253" spans="1:14" hidden="1" x14ac:dyDescent="0.25">
      <c r="A253" s="210">
        <f>Indice!$I$11</f>
        <v>0</v>
      </c>
      <c r="B253" t="s">
        <v>864</v>
      </c>
      <c r="C253" s="39">
        <f>Indice!$I$12</f>
        <v>45992</v>
      </c>
      <c r="E253">
        <f>ROUND(SUMIFS(CATEGORIAS[[#All],[TOTAL PRODUCCION
ACTUAL]],CATEGORIAS[[#All],[CATEGORIA2]],Imputar[[#This Row],[Categoría]]),0)</f>
        <v>0</v>
      </c>
      <c r="F253">
        <v>0</v>
      </c>
      <c r="G253">
        <f>ROUND(SUMIFS(CATEGORIAS[[#All],[PROYECCION
DE INGRESO
DEL SALDO]],CATEGORIAS[[#All],[CATEGORIA2]],Imputar[[#This Row],[Categoría]]),0)</f>
        <v>0</v>
      </c>
      <c r="H253">
        <f>ROUND(SUMIFS(CATEGORIAS[[#All],[CAMBIO DE
CATEGORIA]],CATEGORIAS[[#All],[CATEGORIA2]],Imputar[[#This Row],[Categoría]]),0)</f>
        <v>0</v>
      </c>
      <c r="I2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3">
        <f>+ROUND(SUMIFS(CATEGORIAS[[#All],[PROYECCION
TOTAL DE COSTO]],CATEGORIAS[[#All],[CATEGORIA2]],Imputar[[#This Row],[Categoría]]),0)
-Imputar[[#This Row],[Inventario]]
-Imputar[[#This Row],[Pedidos no Rec]]</f>
        <v>0</v>
      </c>
      <c r="K2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3">
        <f>_xlfn.IFNA(VLOOKUP(Imputar[[#This Row],[Categoría]],EIMI!C:T,8,0),0)</f>
        <v>0</v>
      </c>
      <c r="M253">
        <f>_xlfn.IFNA(VLOOKUP(Imputar[[#This Row],[Categoría]],EIMI!C:T,9,0),0)</f>
        <v>0</v>
      </c>
      <c r="N253">
        <f>_xlfn.IFNA(VLOOKUP(Imputar[[#This Row],[Categoría]],EIMI!C:T,10,0),0)</f>
        <v>0</v>
      </c>
    </row>
    <row r="254" spans="1:14" hidden="1" x14ac:dyDescent="0.25">
      <c r="A254" s="210">
        <f>Indice!$I$11</f>
        <v>0</v>
      </c>
      <c r="B254" t="s">
        <v>866</v>
      </c>
      <c r="C254" s="39">
        <f>Indice!$I$12</f>
        <v>45992</v>
      </c>
      <c r="E254">
        <f>ROUND(SUMIFS(CATEGORIAS[[#All],[TOTAL PRODUCCION
ACTUAL]],CATEGORIAS[[#All],[CATEGORIA2]],Imputar[[#This Row],[Categoría]]),0)</f>
        <v>0</v>
      </c>
      <c r="F254">
        <v>0</v>
      </c>
      <c r="G254">
        <f>ROUND(SUMIFS(CATEGORIAS[[#All],[PROYECCION
DE INGRESO
DEL SALDO]],CATEGORIAS[[#All],[CATEGORIA2]],Imputar[[#This Row],[Categoría]]),0)</f>
        <v>0</v>
      </c>
      <c r="H254">
        <f>ROUND(SUMIFS(CATEGORIAS[[#All],[CAMBIO DE
CATEGORIA]],CATEGORIAS[[#All],[CATEGORIA2]],Imputar[[#This Row],[Categoría]]),0)</f>
        <v>0</v>
      </c>
      <c r="I2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4">
        <f>+ROUND(SUMIFS(CATEGORIAS[[#All],[PROYECCION
TOTAL DE COSTO]],CATEGORIAS[[#All],[CATEGORIA2]],Imputar[[#This Row],[Categoría]]),0)
-Imputar[[#This Row],[Inventario]]
-Imputar[[#This Row],[Pedidos no Rec]]</f>
        <v>0</v>
      </c>
      <c r="K2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4">
        <f>_xlfn.IFNA(VLOOKUP(Imputar[[#This Row],[Categoría]],EIMI!C:T,8,0),0)</f>
        <v>0</v>
      </c>
      <c r="M254">
        <f>_xlfn.IFNA(VLOOKUP(Imputar[[#This Row],[Categoría]],EIMI!C:T,9,0),0)</f>
        <v>0</v>
      </c>
      <c r="N254">
        <f>_xlfn.IFNA(VLOOKUP(Imputar[[#This Row],[Categoría]],EIMI!C:T,10,0),0)</f>
        <v>0</v>
      </c>
    </row>
    <row r="255" spans="1:14" hidden="1" x14ac:dyDescent="0.25">
      <c r="A255" s="210">
        <f>Indice!$I$11</f>
        <v>0</v>
      </c>
      <c r="B255" t="s">
        <v>868</v>
      </c>
      <c r="C255" s="39">
        <f>Indice!$I$12</f>
        <v>45992</v>
      </c>
      <c r="E255">
        <f>ROUND(SUMIFS(CATEGORIAS[[#All],[TOTAL PRODUCCION
ACTUAL]],CATEGORIAS[[#All],[CATEGORIA2]],Imputar[[#This Row],[Categoría]]),0)</f>
        <v>0</v>
      </c>
      <c r="F255">
        <v>0</v>
      </c>
      <c r="G255">
        <f>ROUND(SUMIFS(CATEGORIAS[[#All],[PROYECCION
DE INGRESO
DEL SALDO]],CATEGORIAS[[#All],[CATEGORIA2]],Imputar[[#This Row],[Categoría]]),0)</f>
        <v>0</v>
      </c>
      <c r="H255">
        <f>ROUND(SUMIFS(CATEGORIAS[[#All],[CAMBIO DE
CATEGORIA]],CATEGORIAS[[#All],[CATEGORIA2]],Imputar[[#This Row],[Categoría]]),0)</f>
        <v>0</v>
      </c>
      <c r="I2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5">
        <f>+ROUND(SUMIFS(CATEGORIAS[[#All],[PROYECCION
TOTAL DE COSTO]],CATEGORIAS[[#All],[CATEGORIA2]],Imputar[[#This Row],[Categoría]]),0)
-Imputar[[#This Row],[Inventario]]
-Imputar[[#This Row],[Pedidos no Rec]]</f>
        <v>0</v>
      </c>
      <c r="K2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5">
        <f>_xlfn.IFNA(VLOOKUP(Imputar[[#This Row],[Categoría]],EIMI!C:T,8,0),0)</f>
        <v>0</v>
      </c>
      <c r="M255">
        <f>_xlfn.IFNA(VLOOKUP(Imputar[[#This Row],[Categoría]],EIMI!C:T,9,0),0)</f>
        <v>0</v>
      </c>
      <c r="N255">
        <f>_xlfn.IFNA(VLOOKUP(Imputar[[#This Row],[Categoría]],EIMI!C:T,10,0),0)</f>
        <v>0</v>
      </c>
    </row>
    <row r="256" spans="1:14" x14ac:dyDescent="0.25">
      <c r="A256" s="210">
        <f>Indice!$I$11</f>
        <v>0</v>
      </c>
      <c r="B256" t="s">
        <v>870</v>
      </c>
      <c r="C256" s="39">
        <f>Indice!$I$12</f>
        <v>45992</v>
      </c>
      <c r="E256">
        <f>ROUND(SUMIFS(CATEGORIAS[[#All],[TOTAL PRODUCCION
ACTUAL]],CATEGORIAS[[#All],[CATEGORIA2]],Imputar[[#This Row],[Categoría]]),0)</f>
        <v>0</v>
      </c>
      <c r="F256">
        <v>0</v>
      </c>
      <c r="G256">
        <f>ROUND(SUMIFS(CATEGORIAS[[#All],[PROYECCION
DE INGRESO
DEL SALDO]],CATEGORIAS[[#All],[CATEGORIA2]],Imputar[[#This Row],[Categoría]]),0)</f>
        <v>0</v>
      </c>
      <c r="H256">
        <f>ROUND(SUMIFS(CATEGORIAS[[#All],[CAMBIO DE
CATEGORIA]],CATEGORIAS[[#All],[CATEGORIA2]],Imputar[[#This Row],[Categoría]]),0)</f>
        <v>0</v>
      </c>
      <c r="I2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6">
        <f>+ROUND(SUMIFS(CATEGORIAS[[#All],[PROYECCION
TOTAL DE COSTO]],CATEGORIAS[[#All],[CATEGORIA2]],Imputar[[#This Row],[Categoría]]),0)
-Imputar[[#This Row],[Inventario]]
-Imputar[[#This Row],[Pedidos no Rec]]</f>
        <v>0</v>
      </c>
      <c r="K2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6">
        <f>_xlfn.IFNA(VLOOKUP(Imputar[[#This Row],[Categoría]],EIMI!C:T,8,0),0)</f>
        <v>0</v>
      </c>
      <c r="M256">
        <f>_xlfn.IFNA(VLOOKUP(Imputar[[#This Row],[Categoría]],EIMI!C:T,9,0),0)</f>
        <v>0</v>
      </c>
      <c r="N256">
        <f>_xlfn.IFNA(VLOOKUP(Imputar[[#This Row],[Categoría]],EIMI!C:T,10,0),0)</f>
        <v>0</v>
      </c>
    </row>
    <row r="257" spans="1:14" hidden="1" x14ac:dyDescent="0.25">
      <c r="A257" s="210">
        <f>Indice!$I$11</f>
        <v>0</v>
      </c>
      <c r="B257" t="s">
        <v>872</v>
      </c>
      <c r="C257" s="39">
        <f>Indice!$I$12</f>
        <v>45992</v>
      </c>
      <c r="E257">
        <f>ROUND(SUMIFS(CATEGORIAS[[#All],[TOTAL PRODUCCION
ACTUAL]],CATEGORIAS[[#All],[CATEGORIA2]],Imputar[[#This Row],[Categoría]]),0)</f>
        <v>0</v>
      </c>
      <c r="F257">
        <v>0</v>
      </c>
      <c r="G257">
        <f>ROUND(SUMIFS(CATEGORIAS[[#All],[PROYECCION
DE INGRESO
DEL SALDO]],CATEGORIAS[[#All],[CATEGORIA2]],Imputar[[#This Row],[Categoría]]),0)</f>
        <v>0</v>
      </c>
      <c r="H257">
        <f>ROUND(SUMIFS(CATEGORIAS[[#All],[CAMBIO DE
CATEGORIA]],CATEGORIAS[[#All],[CATEGORIA2]],Imputar[[#This Row],[Categoría]]),0)</f>
        <v>0</v>
      </c>
      <c r="I2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7">
        <f>+ROUND(SUMIFS(CATEGORIAS[[#All],[PROYECCION
TOTAL DE COSTO]],CATEGORIAS[[#All],[CATEGORIA2]],Imputar[[#This Row],[Categoría]]),0)
-Imputar[[#This Row],[Inventario]]
-Imputar[[#This Row],[Pedidos no Rec]]</f>
        <v>0</v>
      </c>
      <c r="K2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7">
        <f>_xlfn.IFNA(VLOOKUP(Imputar[[#This Row],[Categoría]],EIMI!C:T,8,0),0)</f>
        <v>0</v>
      </c>
      <c r="M257">
        <f>_xlfn.IFNA(VLOOKUP(Imputar[[#This Row],[Categoría]],EIMI!C:T,9,0),0)</f>
        <v>0</v>
      </c>
      <c r="N257">
        <f>_xlfn.IFNA(VLOOKUP(Imputar[[#This Row],[Categoría]],EIMI!C:T,10,0),0)</f>
        <v>0</v>
      </c>
    </row>
    <row r="258" spans="1:14" hidden="1" x14ac:dyDescent="0.25">
      <c r="A258" s="210">
        <f>Indice!$I$11</f>
        <v>0</v>
      </c>
      <c r="B258" t="s">
        <v>874</v>
      </c>
      <c r="C258" s="39">
        <f>Indice!$I$12</f>
        <v>45992</v>
      </c>
      <c r="E258">
        <f>ROUND(SUMIFS(CATEGORIAS[[#All],[TOTAL PRODUCCION
ACTUAL]],CATEGORIAS[[#All],[CATEGORIA2]],Imputar[[#This Row],[Categoría]]),0)</f>
        <v>0</v>
      </c>
      <c r="F258">
        <v>0</v>
      </c>
      <c r="G258">
        <f>ROUND(SUMIFS(CATEGORIAS[[#All],[PROYECCION
DE INGRESO
DEL SALDO]],CATEGORIAS[[#All],[CATEGORIA2]],Imputar[[#This Row],[Categoría]]),0)</f>
        <v>0</v>
      </c>
      <c r="H258">
        <f>ROUND(SUMIFS(CATEGORIAS[[#All],[CAMBIO DE
CATEGORIA]],CATEGORIAS[[#All],[CATEGORIA2]],Imputar[[#This Row],[Categoría]]),0)</f>
        <v>0</v>
      </c>
      <c r="I2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8">
        <f>+ROUND(SUMIFS(CATEGORIAS[[#All],[PROYECCION
TOTAL DE COSTO]],CATEGORIAS[[#All],[CATEGORIA2]],Imputar[[#This Row],[Categoría]]),0)
-Imputar[[#This Row],[Inventario]]
-Imputar[[#This Row],[Pedidos no Rec]]</f>
        <v>0</v>
      </c>
      <c r="K2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8">
        <f>_xlfn.IFNA(VLOOKUP(Imputar[[#This Row],[Categoría]],EIMI!C:T,8,0),0)</f>
        <v>0</v>
      </c>
      <c r="M258">
        <f>_xlfn.IFNA(VLOOKUP(Imputar[[#This Row],[Categoría]],EIMI!C:T,9,0),0)</f>
        <v>0</v>
      </c>
      <c r="N258">
        <f>_xlfn.IFNA(VLOOKUP(Imputar[[#This Row],[Categoría]],EIMI!C:T,10,0),0)</f>
        <v>0</v>
      </c>
    </row>
    <row r="259" spans="1:14" hidden="1" x14ac:dyDescent="0.25">
      <c r="A259" s="210">
        <f>Indice!$I$11</f>
        <v>0</v>
      </c>
      <c r="B259" t="s">
        <v>876</v>
      </c>
      <c r="C259" s="39">
        <f>Indice!$I$12</f>
        <v>45992</v>
      </c>
      <c r="E259">
        <f>ROUND(SUMIFS(CATEGORIAS[[#All],[TOTAL PRODUCCION
ACTUAL]],CATEGORIAS[[#All],[CATEGORIA2]],Imputar[[#This Row],[Categoría]]),0)</f>
        <v>0</v>
      </c>
      <c r="F259">
        <v>0</v>
      </c>
      <c r="G259">
        <f>ROUND(SUMIFS(CATEGORIAS[[#All],[PROYECCION
DE INGRESO
DEL SALDO]],CATEGORIAS[[#All],[CATEGORIA2]],Imputar[[#This Row],[Categoría]]),0)</f>
        <v>0</v>
      </c>
      <c r="H259">
        <f>ROUND(SUMIFS(CATEGORIAS[[#All],[CAMBIO DE
CATEGORIA]],CATEGORIAS[[#All],[CATEGORIA2]],Imputar[[#This Row],[Categoría]]),0)</f>
        <v>0</v>
      </c>
      <c r="I2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9">
        <f>+ROUND(SUMIFS(CATEGORIAS[[#All],[PROYECCION
TOTAL DE COSTO]],CATEGORIAS[[#All],[CATEGORIA2]],Imputar[[#This Row],[Categoría]]),0)
-Imputar[[#This Row],[Inventario]]
-Imputar[[#This Row],[Pedidos no Rec]]</f>
        <v>0</v>
      </c>
      <c r="K2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9">
        <f>_xlfn.IFNA(VLOOKUP(Imputar[[#This Row],[Categoría]],EIMI!C:T,8,0),0)</f>
        <v>0</v>
      </c>
      <c r="M259">
        <f>_xlfn.IFNA(VLOOKUP(Imputar[[#This Row],[Categoría]],EIMI!C:T,9,0),0)</f>
        <v>0</v>
      </c>
      <c r="N259">
        <f>_xlfn.IFNA(VLOOKUP(Imputar[[#This Row],[Categoría]],EIMI!C:T,10,0),0)</f>
        <v>0</v>
      </c>
    </row>
    <row r="260" spans="1:14" hidden="1" x14ac:dyDescent="0.25">
      <c r="A260" s="210">
        <f>Indice!$I$11</f>
        <v>0</v>
      </c>
      <c r="B260" t="s">
        <v>878</v>
      </c>
      <c r="C260" s="39">
        <f>Indice!$I$12</f>
        <v>45992</v>
      </c>
      <c r="E260">
        <f>ROUND(SUMIFS(CATEGORIAS[[#All],[TOTAL PRODUCCION
ACTUAL]],CATEGORIAS[[#All],[CATEGORIA2]],Imputar[[#This Row],[Categoría]]),0)</f>
        <v>0</v>
      </c>
      <c r="F260">
        <v>0</v>
      </c>
      <c r="G260">
        <f>ROUND(SUMIFS(CATEGORIAS[[#All],[PROYECCION
DE INGRESO
DEL SALDO]],CATEGORIAS[[#All],[CATEGORIA2]],Imputar[[#This Row],[Categoría]]),0)</f>
        <v>0</v>
      </c>
      <c r="H260">
        <f>ROUND(SUMIFS(CATEGORIAS[[#All],[CAMBIO DE
CATEGORIA]],CATEGORIAS[[#All],[CATEGORIA2]],Imputar[[#This Row],[Categoría]]),0)</f>
        <v>0</v>
      </c>
      <c r="I2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0">
        <f>+ROUND(SUMIFS(CATEGORIAS[[#All],[PROYECCION
TOTAL DE COSTO]],CATEGORIAS[[#All],[CATEGORIA2]],Imputar[[#This Row],[Categoría]]),0)
-Imputar[[#This Row],[Inventario]]
-Imputar[[#This Row],[Pedidos no Rec]]</f>
        <v>0</v>
      </c>
      <c r="K2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0">
        <f>_xlfn.IFNA(VLOOKUP(Imputar[[#This Row],[Categoría]],EIMI!C:T,8,0),0)</f>
        <v>0</v>
      </c>
      <c r="M260">
        <f>_xlfn.IFNA(VLOOKUP(Imputar[[#This Row],[Categoría]],EIMI!C:T,9,0),0)</f>
        <v>0</v>
      </c>
      <c r="N260">
        <f>_xlfn.IFNA(VLOOKUP(Imputar[[#This Row],[Categoría]],EIMI!C:T,10,0),0)</f>
        <v>0</v>
      </c>
    </row>
    <row r="261" spans="1:14" hidden="1" x14ac:dyDescent="0.25">
      <c r="A261" s="210">
        <f>Indice!$I$11</f>
        <v>0</v>
      </c>
      <c r="B261" t="s">
        <v>880</v>
      </c>
      <c r="C261" s="39">
        <f>Indice!$I$12</f>
        <v>45992</v>
      </c>
      <c r="E261">
        <f>ROUND(SUMIFS(CATEGORIAS[[#All],[TOTAL PRODUCCION
ACTUAL]],CATEGORIAS[[#All],[CATEGORIA2]],Imputar[[#This Row],[Categoría]]),0)</f>
        <v>0</v>
      </c>
      <c r="F261">
        <v>0</v>
      </c>
      <c r="G261">
        <f>ROUND(SUMIFS(CATEGORIAS[[#All],[PROYECCION
DE INGRESO
DEL SALDO]],CATEGORIAS[[#All],[CATEGORIA2]],Imputar[[#This Row],[Categoría]]),0)</f>
        <v>0</v>
      </c>
      <c r="H261">
        <f>ROUND(SUMIFS(CATEGORIAS[[#All],[CAMBIO DE
CATEGORIA]],CATEGORIAS[[#All],[CATEGORIA2]],Imputar[[#This Row],[Categoría]]),0)</f>
        <v>0</v>
      </c>
      <c r="I2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1">
        <f>+ROUND(SUMIFS(CATEGORIAS[[#All],[PROYECCION
TOTAL DE COSTO]],CATEGORIAS[[#All],[CATEGORIA2]],Imputar[[#This Row],[Categoría]]),0)
-Imputar[[#This Row],[Inventario]]
-Imputar[[#This Row],[Pedidos no Rec]]</f>
        <v>0</v>
      </c>
      <c r="K2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1">
        <f>_xlfn.IFNA(VLOOKUP(Imputar[[#This Row],[Categoría]],EIMI!C:T,8,0),0)</f>
        <v>0</v>
      </c>
      <c r="M261">
        <f>_xlfn.IFNA(VLOOKUP(Imputar[[#This Row],[Categoría]],EIMI!C:T,9,0),0)</f>
        <v>0</v>
      </c>
      <c r="N261">
        <f>_xlfn.IFNA(VLOOKUP(Imputar[[#This Row],[Categoría]],EIMI!C:T,10,0),0)</f>
        <v>0</v>
      </c>
    </row>
    <row r="262" spans="1:14" hidden="1" x14ac:dyDescent="0.25">
      <c r="A262" s="210">
        <f>Indice!$I$11</f>
        <v>0</v>
      </c>
      <c r="B262" t="s">
        <v>882</v>
      </c>
      <c r="C262" s="39">
        <f>Indice!$I$12</f>
        <v>45992</v>
      </c>
      <c r="E262">
        <f>ROUND(SUMIFS(CATEGORIAS[[#All],[TOTAL PRODUCCION
ACTUAL]],CATEGORIAS[[#All],[CATEGORIA2]],Imputar[[#This Row],[Categoría]]),0)</f>
        <v>0</v>
      </c>
      <c r="F262">
        <v>0</v>
      </c>
      <c r="G262">
        <f>ROUND(SUMIFS(CATEGORIAS[[#All],[PROYECCION
DE INGRESO
DEL SALDO]],CATEGORIAS[[#All],[CATEGORIA2]],Imputar[[#This Row],[Categoría]]),0)</f>
        <v>0</v>
      </c>
      <c r="H262">
        <f>ROUND(SUMIFS(CATEGORIAS[[#All],[CAMBIO DE
CATEGORIA]],CATEGORIAS[[#All],[CATEGORIA2]],Imputar[[#This Row],[Categoría]]),0)</f>
        <v>0</v>
      </c>
      <c r="I2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2">
        <f>+ROUND(SUMIFS(CATEGORIAS[[#All],[PROYECCION
TOTAL DE COSTO]],CATEGORIAS[[#All],[CATEGORIA2]],Imputar[[#This Row],[Categoría]]),0)
-Imputar[[#This Row],[Inventario]]
-Imputar[[#This Row],[Pedidos no Rec]]</f>
        <v>0</v>
      </c>
      <c r="K2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2">
        <f>_xlfn.IFNA(VLOOKUP(Imputar[[#This Row],[Categoría]],EIMI!C:T,8,0),0)</f>
        <v>0</v>
      </c>
      <c r="M262">
        <f>_xlfn.IFNA(VLOOKUP(Imputar[[#This Row],[Categoría]],EIMI!C:T,9,0),0)</f>
        <v>0</v>
      </c>
      <c r="N262">
        <f>_xlfn.IFNA(VLOOKUP(Imputar[[#This Row],[Categoría]],EIMI!C:T,10,0),0)</f>
        <v>0</v>
      </c>
    </row>
    <row r="263" spans="1:14" hidden="1" x14ac:dyDescent="0.25">
      <c r="A263" s="210">
        <f>Indice!$I$11</f>
        <v>0</v>
      </c>
      <c r="B263" t="s">
        <v>884</v>
      </c>
      <c r="C263" s="39">
        <f>Indice!$I$12</f>
        <v>45992</v>
      </c>
      <c r="E263">
        <f>ROUND(SUMIFS(CATEGORIAS[[#All],[TOTAL PRODUCCION
ACTUAL]],CATEGORIAS[[#All],[CATEGORIA2]],Imputar[[#This Row],[Categoría]]),0)</f>
        <v>0</v>
      </c>
      <c r="F263">
        <v>0</v>
      </c>
      <c r="G263">
        <f>ROUND(SUMIFS(CATEGORIAS[[#All],[PROYECCION
DE INGRESO
DEL SALDO]],CATEGORIAS[[#All],[CATEGORIA2]],Imputar[[#This Row],[Categoría]]),0)</f>
        <v>0</v>
      </c>
      <c r="H263">
        <f>ROUND(SUMIFS(CATEGORIAS[[#All],[CAMBIO DE
CATEGORIA]],CATEGORIAS[[#All],[CATEGORIA2]],Imputar[[#This Row],[Categoría]]),0)</f>
        <v>0</v>
      </c>
      <c r="I2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3">
        <f>+ROUND(SUMIFS(CATEGORIAS[[#All],[PROYECCION
TOTAL DE COSTO]],CATEGORIAS[[#All],[CATEGORIA2]],Imputar[[#This Row],[Categoría]]),0)
-Imputar[[#This Row],[Inventario]]
-Imputar[[#This Row],[Pedidos no Rec]]</f>
        <v>0</v>
      </c>
      <c r="K2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3">
        <f>_xlfn.IFNA(VLOOKUP(Imputar[[#This Row],[Categoría]],EIMI!C:T,8,0),0)</f>
        <v>0</v>
      </c>
      <c r="M263">
        <f>_xlfn.IFNA(VLOOKUP(Imputar[[#This Row],[Categoría]],EIMI!C:T,9,0),0)</f>
        <v>0</v>
      </c>
      <c r="N263">
        <f>_xlfn.IFNA(VLOOKUP(Imputar[[#This Row],[Categoría]],EIMI!C:T,10,0),0)</f>
        <v>0</v>
      </c>
    </row>
    <row r="264" spans="1:14" hidden="1" x14ac:dyDescent="0.25">
      <c r="A264" s="210">
        <f>Indice!$I$11</f>
        <v>0</v>
      </c>
      <c r="B264" t="s">
        <v>886</v>
      </c>
      <c r="C264" s="39">
        <f>Indice!$I$12</f>
        <v>45992</v>
      </c>
      <c r="E264">
        <f>ROUND(SUMIFS(CATEGORIAS[[#All],[TOTAL PRODUCCION
ACTUAL]],CATEGORIAS[[#All],[CATEGORIA2]],Imputar[[#This Row],[Categoría]]),0)</f>
        <v>0</v>
      </c>
      <c r="F264">
        <v>0</v>
      </c>
      <c r="G264">
        <f>ROUND(SUMIFS(CATEGORIAS[[#All],[PROYECCION
DE INGRESO
DEL SALDO]],CATEGORIAS[[#All],[CATEGORIA2]],Imputar[[#This Row],[Categoría]]),0)</f>
        <v>0</v>
      </c>
      <c r="H264">
        <f>ROUND(SUMIFS(CATEGORIAS[[#All],[CAMBIO DE
CATEGORIA]],CATEGORIAS[[#All],[CATEGORIA2]],Imputar[[#This Row],[Categoría]]),0)</f>
        <v>0</v>
      </c>
      <c r="I2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4">
        <f>+ROUND(SUMIFS(CATEGORIAS[[#All],[PROYECCION
TOTAL DE COSTO]],CATEGORIAS[[#All],[CATEGORIA2]],Imputar[[#This Row],[Categoría]]),0)
-Imputar[[#This Row],[Inventario]]
-Imputar[[#This Row],[Pedidos no Rec]]</f>
        <v>0</v>
      </c>
      <c r="K2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4">
        <f>_xlfn.IFNA(VLOOKUP(Imputar[[#This Row],[Categoría]],EIMI!C:T,8,0),0)</f>
        <v>0</v>
      </c>
      <c r="M264">
        <f>_xlfn.IFNA(VLOOKUP(Imputar[[#This Row],[Categoría]],EIMI!C:T,9,0),0)</f>
        <v>0</v>
      </c>
      <c r="N264">
        <f>_xlfn.IFNA(VLOOKUP(Imputar[[#This Row],[Categoría]],EIMI!C:T,10,0),0)</f>
        <v>0</v>
      </c>
    </row>
    <row r="265" spans="1:14" hidden="1" x14ac:dyDescent="0.25">
      <c r="A265" s="210">
        <f>Indice!$I$11</f>
        <v>0</v>
      </c>
      <c r="B265" t="s">
        <v>888</v>
      </c>
      <c r="C265" s="39">
        <f>Indice!$I$12</f>
        <v>45992</v>
      </c>
      <c r="E265">
        <f>ROUND(SUMIFS(CATEGORIAS[[#All],[TOTAL PRODUCCION
ACTUAL]],CATEGORIAS[[#All],[CATEGORIA2]],Imputar[[#This Row],[Categoría]]),0)</f>
        <v>0</v>
      </c>
      <c r="F265">
        <v>0</v>
      </c>
      <c r="G265">
        <f>ROUND(SUMIFS(CATEGORIAS[[#All],[PROYECCION
DE INGRESO
DEL SALDO]],CATEGORIAS[[#All],[CATEGORIA2]],Imputar[[#This Row],[Categoría]]),0)</f>
        <v>0</v>
      </c>
      <c r="H265">
        <f>ROUND(SUMIFS(CATEGORIAS[[#All],[CAMBIO DE
CATEGORIA]],CATEGORIAS[[#All],[CATEGORIA2]],Imputar[[#This Row],[Categoría]]),0)</f>
        <v>0</v>
      </c>
      <c r="I2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5">
        <f>+ROUND(SUMIFS(CATEGORIAS[[#All],[PROYECCION
TOTAL DE COSTO]],CATEGORIAS[[#All],[CATEGORIA2]],Imputar[[#This Row],[Categoría]]),0)
-Imputar[[#This Row],[Inventario]]
-Imputar[[#This Row],[Pedidos no Rec]]</f>
        <v>0</v>
      </c>
      <c r="K2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5">
        <f>_xlfn.IFNA(VLOOKUP(Imputar[[#This Row],[Categoría]],EIMI!C:T,8,0),0)</f>
        <v>0</v>
      </c>
      <c r="M265">
        <f>_xlfn.IFNA(VLOOKUP(Imputar[[#This Row],[Categoría]],EIMI!C:T,9,0),0)</f>
        <v>0</v>
      </c>
      <c r="N265">
        <f>_xlfn.IFNA(VLOOKUP(Imputar[[#This Row],[Categoría]],EIMI!C:T,10,0),0)</f>
        <v>0</v>
      </c>
    </row>
    <row r="266" spans="1:14" hidden="1" x14ac:dyDescent="0.25">
      <c r="A266" s="210">
        <f>Indice!$I$11</f>
        <v>0</v>
      </c>
      <c r="B266" t="s">
        <v>890</v>
      </c>
      <c r="C266" s="39">
        <f>Indice!$I$12</f>
        <v>45992</v>
      </c>
      <c r="E266">
        <f>ROUND(SUMIFS(CATEGORIAS[[#All],[TOTAL PRODUCCION
ACTUAL]],CATEGORIAS[[#All],[CATEGORIA2]],Imputar[[#This Row],[Categoría]]),0)</f>
        <v>0</v>
      </c>
      <c r="F266">
        <v>0</v>
      </c>
      <c r="G266">
        <f>ROUND(SUMIFS(CATEGORIAS[[#All],[PROYECCION
DE INGRESO
DEL SALDO]],CATEGORIAS[[#All],[CATEGORIA2]],Imputar[[#This Row],[Categoría]]),0)</f>
        <v>0</v>
      </c>
      <c r="H266">
        <f>ROUND(SUMIFS(CATEGORIAS[[#All],[CAMBIO DE
CATEGORIA]],CATEGORIAS[[#All],[CATEGORIA2]],Imputar[[#This Row],[Categoría]]),0)</f>
        <v>0</v>
      </c>
      <c r="I2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6">
        <f>+ROUND(SUMIFS(CATEGORIAS[[#All],[PROYECCION
TOTAL DE COSTO]],CATEGORIAS[[#All],[CATEGORIA2]],Imputar[[#This Row],[Categoría]]),0)
-Imputar[[#This Row],[Inventario]]
-Imputar[[#This Row],[Pedidos no Rec]]</f>
        <v>0</v>
      </c>
      <c r="K2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6">
        <f>_xlfn.IFNA(VLOOKUP(Imputar[[#This Row],[Categoría]],EIMI!C:T,8,0),0)</f>
        <v>0</v>
      </c>
      <c r="M266">
        <f>_xlfn.IFNA(VLOOKUP(Imputar[[#This Row],[Categoría]],EIMI!C:T,9,0),0)</f>
        <v>0</v>
      </c>
      <c r="N266">
        <f>_xlfn.IFNA(VLOOKUP(Imputar[[#This Row],[Categoría]],EIMI!C:T,10,0),0)</f>
        <v>0</v>
      </c>
    </row>
    <row r="267" spans="1:14" hidden="1" x14ac:dyDescent="0.25">
      <c r="A267" s="210">
        <f>Indice!$I$11</f>
        <v>0</v>
      </c>
      <c r="B267" t="s">
        <v>892</v>
      </c>
      <c r="C267" s="39">
        <f>Indice!$I$12</f>
        <v>45992</v>
      </c>
      <c r="E267">
        <f>ROUND(SUMIFS(CATEGORIAS[[#All],[TOTAL PRODUCCION
ACTUAL]],CATEGORIAS[[#All],[CATEGORIA2]],Imputar[[#This Row],[Categoría]]),0)</f>
        <v>0</v>
      </c>
      <c r="F267">
        <v>0</v>
      </c>
      <c r="G267">
        <f>ROUND(SUMIFS(CATEGORIAS[[#All],[PROYECCION
DE INGRESO
DEL SALDO]],CATEGORIAS[[#All],[CATEGORIA2]],Imputar[[#This Row],[Categoría]]),0)</f>
        <v>0</v>
      </c>
      <c r="H267">
        <f>ROUND(SUMIFS(CATEGORIAS[[#All],[CAMBIO DE
CATEGORIA]],CATEGORIAS[[#All],[CATEGORIA2]],Imputar[[#This Row],[Categoría]]),0)</f>
        <v>0</v>
      </c>
      <c r="I2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7">
        <f>+ROUND(SUMIFS(CATEGORIAS[[#All],[PROYECCION
TOTAL DE COSTO]],CATEGORIAS[[#All],[CATEGORIA2]],Imputar[[#This Row],[Categoría]]),0)
-Imputar[[#This Row],[Inventario]]
-Imputar[[#This Row],[Pedidos no Rec]]</f>
        <v>0</v>
      </c>
      <c r="K2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7">
        <f>_xlfn.IFNA(VLOOKUP(Imputar[[#This Row],[Categoría]],EIMI!C:T,8,0),0)</f>
        <v>0</v>
      </c>
      <c r="M267">
        <f>_xlfn.IFNA(VLOOKUP(Imputar[[#This Row],[Categoría]],EIMI!C:T,9,0),0)</f>
        <v>0</v>
      </c>
      <c r="N267">
        <f>_xlfn.IFNA(VLOOKUP(Imputar[[#This Row],[Categoría]],EIMI!C:T,10,0),0)</f>
        <v>0</v>
      </c>
    </row>
    <row r="268" spans="1:14" hidden="1" x14ac:dyDescent="0.25">
      <c r="A268" s="210">
        <f>Indice!$I$11</f>
        <v>0</v>
      </c>
      <c r="B268" t="s">
        <v>894</v>
      </c>
      <c r="C268" s="39">
        <f>Indice!$I$12</f>
        <v>45992</v>
      </c>
      <c r="E268">
        <f>ROUND(SUMIFS(CATEGORIAS[[#All],[TOTAL PRODUCCION
ACTUAL]],CATEGORIAS[[#All],[CATEGORIA2]],Imputar[[#This Row],[Categoría]]),0)</f>
        <v>0</v>
      </c>
      <c r="F268">
        <v>0</v>
      </c>
      <c r="G268">
        <f>ROUND(SUMIFS(CATEGORIAS[[#All],[PROYECCION
DE INGRESO
DEL SALDO]],CATEGORIAS[[#All],[CATEGORIA2]],Imputar[[#This Row],[Categoría]]),0)</f>
        <v>0</v>
      </c>
      <c r="H268">
        <f>ROUND(SUMIFS(CATEGORIAS[[#All],[CAMBIO DE
CATEGORIA]],CATEGORIAS[[#All],[CATEGORIA2]],Imputar[[#This Row],[Categoría]]),0)</f>
        <v>0</v>
      </c>
      <c r="I2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8">
        <f>+ROUND(SUMIFS(CATEGORIAS[[#All],[PROYECCION
TOTAL DE COSTO]],CATEGORIAS[[#All],[CATEGORIA2]],Imputar[[#This Row],[Categoría]]),0)
-Imputar[[#This Row],[Inventario]]
-Imputar[[#This Row],[Pedidos no Rec]]</f>
        <v>0</v>
      </c>
      <c r="K2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8">
        <f>_xlfn.IFNA(VLOOKUP(Imputar[[#This Row],[Categoría]],EIMI!C:T,8,0),0)</f>
        <v>0</v>
      </c>
      <c r="M268">
        <f>_xlfn.IFNA(VLOOKUP(Imputar[[#This Row],[Categoría]],EIMI!C:T,9,0),0)</f>
        <v>0</v>
      </c>
      <c r="N268">
        <f>_xlfn.IFNA(VLOOKUP(Imputar[[#This Row],[Categoría]],EIMI!C:T,10,0),0)</f>
        <v>0</v>
      </c>
    </row>
    <row r="269" spans="1:14" hidden="1" x14ac:dyDescent="0.25">
      <c r="A269" s="210">
        <f>Indice!$I$11</f>
        <v>0</v>
      </c>
      <c r="B269" t="s">
        <v>896</v>
      </c>
      <c r="C269" s="39">
        <f>Indice!$I$12</f>
        <v>45992</v>
      </c>
      <c r="E269">
        <f>ROUND(SUMIFS(CATEGORIAS[[#All],[TOTAL PRODUCCION
ACTUAL]],CATEGORIAS[[#All],[CATEGORIA2]],Imputar[[#This Row],[Categoría]]),0)</f>
        <v>0</v>
      </c>
      <c r="F269">
        <v>0</v>
      </c>
      <c r="G269">
        <f>ROUND(SUMIFS(CATEGORIAS[[#All],[PROYECCION
DE INGRESO
DEL SALDO]],CATEGORIAS[[#All],[CATEGORIA2]],Imputar[[#This Row],[Categoría]]),0)</f>
        <v>0</v>
      </c>
      <c r="H269">
        <f>ROUND(SUMIFS(CATEGORIAS[[#All],[CAMBIO DE
CATEGORIA]],CATEGORIAS[[#All],[CATEGORIA2]],Imputar[[#This Row],[Categoría]]),0)</f>
        <v>0</v>
      </c>
      <c r="I2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9">
        <f>+ROUND(SUMIFS(CATEGORIAS[[#All],[PROYECCION
TOTAL DE COSTO]],CATEGORIAS[[#All],[CATEGORIA2]],Imputar[[#This Row],[Categoría]]),0)
-Imputar[[#This Row],[Inventario]]
-Imputar[[#This Row],[Pedidos no Rec]]</f>
        <v>0</v>
      </c>
      <c r="K2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9">
        <f>_xlfn.IFNA(VLOOKUP(Imputar[[#This Row],[Categoría]],EIMI!C:T,8,0),0)</f>
        <v>0</v>
      </c>
      <c r="M269">
        <f>_xlfn.IFNA(VLOOKUP(Imputar[[#This Row],[Categoría]],EIMI!C:T,9,0),0)</f>
        <v>0</v>
      </c>
      <c r="N269">
        <f>_xlfn.IFNA(VLOOKUP(Imputar[[#This Row],[Categoría]],EIMI!C:T,10,0),0)</f>
        <v>0</v>
      </c>
    </row>
    <row r="270" spans="1:14" hidden="1" x14ac:dyDescent="0.25">
      <c r="A270" s="210">
        <f>Indice!$I$11</f>
        <v>0</v>
      </c>
      <c r="B270" t="s">
        <v>898</v>
      </c>
      <c r="C270" s="39">
        <f>Indice!$I$12</f>
        <v>45992</v>
      </c>
      <c r="E270">
        <f>ROUND(SUMIFS(CATEGORIAS[[#All],[TOTAL PRODUCCION
ACTUAL]],CATEGORIAS[[#All],[CATEGORIA2]],Imputar[[#This Row],[Categoría]]),0)</f>
        <v>0</v>
      </c>
      <c r="F270">
        <v>0</v>
      </c>
      <c r="G270">
        <f>ROUND(SUMIFS(CATEGORIAS[[#All],[PROYECCION
DE INGRESO
DEL SALDO]],CATEGORIAS[[#All],[CATEGORIA2]],Imputar[[#This Row],[Categoría]]),0)</f>
        <v>0</v>
      </c>
      <c r="H270">
        <f>ROUND(SUMIFS(CATEGORIAS[[#All],[CAMBIO DE
CATEGORIA]],CATEGORIAS[[#All],[CATEGORIA2]],Imputar[[#This Row],[Categoría]]),0)</f>
        <v>0</v>
      </c>
      <c r="I2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0">
        <f>+ROUND(SUMIFS(CATEGORIAS[[#All],[PROYECCION
TOTAL DE COSTO]],CATEGORIAS[[#All],[CATEGORIA2]],Imputar[[#This Row],[Categoría]]),0)
-Imputar[[#This Row],[Inventario]]
-Imputar[[#This Row],[Pedidos no Rec]]</f>
        <v>0</v>
      </c>
      <c r="K2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0">
        <f>_xlfn.IFNA(VLOOKUP(Imputar[[#This Row],[Categoría]],EIMI!C:T,8,0),0)</f>
        <v>0</v>
      </c>
      <c r="M270">
        <f>_xlfn.IFNA(VLOOKUP(Imputar[[#This Row],[Categoría]],EIMI!C:T,9,0),0)</f>
        <v>0</v>
      </c>
      <c r="N270">
        <f>_xlfn.IFNA(VLOOKUP(Imputar[[#This Row],[Categoría]],EIMI!C:T,10,0),0)</f>
        <v>0</v>
      </c>
    </row>
    <row r="271" spans="1:14" hidden="1" x14ac:dyDescent="0.25">
      <c r="A271" s="210">
        <f>Indice!$I$11</f>
        <v>0</v>
      </c>
      <c r="B271" t="s">
        <v>900</v>
      </c>
      <c r="C271" s="39">
        <f>Indice!$I$12</f>
        <v>45992</v>
      </c>
      <c r="E271">
        <f>ROUND(SUMIFS(CATEGORIAS[[#All],[TOTAL PRODUCCION
ACTUAL]],CATEGORIAS[[#All],[CATEGORIA2]],Imputar[[#This Row],[Categoría]]),0)</f>
        <v>0</v>
      </c>
      <c r="F271">
        <v>0</v>
      </c>
      <c r="G271">
        <f>ROUND(SUMIFS(CATEGORIAS[[#All],[PROYECCION
DE INGRESO
DEL SALDO]],CATEGORIAS[[#All],[CATEGORIA2]],Imputar[[#This Row],[Categoría]]),0)</f>
        <v>0</v>
      </c>
      <c r="H271">
        <f>ROUND(SUMIFS(CATEGORIAS[[#All],[CAMBIO DE
CATEGORIA]],CATEGORIAS[[#All],[CATEGORIA2]],Imputar[[#This Row],[Categoría]]),0)</f>
        <v>0</v>
      </c>
      <c r="I2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1">
        <f>+ROUND(SUMIFS(CATEGORIAS[[#All],[PROYECCION
TOTAL DE COSTO]],CATEGORIAS[[#All],[CATEGORIA2]],Imputar[[#This Row],[Categoría]]),0)
-Imputar[[#This Row],[Inventario]]
-Imputar[[#This Row],[Pedidos no Rec]]</f>
        <v>0</v>
      </c>
      <c r="K2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1">
        <f>_xlfn.IFNA(VLOOKUP(Imputar[[#This Row],[Categoría]],EIMI!C:T,8,0),0)</f>
        <v>0</v>
      </c>
      <c r="M271">
        <f>_xlfn.IFNA(VLOOKUP(Imputar[[#This Row],[Categoría]],EIMI!C:T,9,0),0)</f>
        <v>0</v>
      </c>
      <c r="N271">
        <f>_xlfn.IFNA(VLOOKUP(Imputar[[#This Row],[Categoría]],EIMI!C:T,10,0),0)</f>
        <v>0</v>
      </c>
    </row>
    <row r="272" spans="1:14" hidden="1" x14ac:dyDescent="0.25">
      <c r="A272" s="210">
        <f>Indice!$I$11</f>
        <v>0</v>
      </c>
      <c r="B272" t="s">
        <v>902</v>
      </c>
      <c r="C272" s="39">
        <f>Indice!$I$12</f>
        <v>45992</v>
      </c>
      <c r="E272">
        <f>ROUND(SUMIFS(CATEGORIAS[[#All],[TOTAL PRODUCCION
ACTUAL]],CATEGORIAS[[#All],[CATEGORIA2]],Imputar[[#This Row],[Categoría]]),0)</f>
        <v>0</v>
      </c>
      <c r="F272">
        <v>0</v>
      </c>
      <c r="G272">
        <f>ROUND(SUMIFS(CATEGORIAS[[#All],[PROYECCION
DE INGRESO
DEL SALDO]],CATEGORIAS[[#All],[CATEGORIA2]],Imputar[[#This Row],[Categoría]]),0)</f>
        <v>0</v>
      </c>
      <c r="H272">
        <f>ROUND(SUMIFS(CATEGORIAS[[#All],[CAMBIO DE
CATEGORIA]],CATEGORIAS[[#All],[CATEGORIA2]],Imputar[[#This Row],[Categoría]]),0)</f>
        <v>0</v>
      </c>
      <c r="I2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2">
        <f>+ROUND(SUMIFS(CATEGORIAS[[#All],[PROYECCION
TOTAL DE COSTO]],CATEGORIAS[[#All],[CATEGORIA2]],Imputar[[#This Row],[Categoría]]),0)
-Imputar[[#This Row],[Inventario]]
-Imputar[[#This Row],[Pedidos no Rec]]</f>
        <v>0</v>
      </c>
      <c r="K2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2">
        <f>_xlfn.IFNA(VLOOKUP(Imputar[[#This Row],[Categoría]],EIMI!C:T,8,0),0)</f>
        <v>0</v>
      </c>
      <c r="M272">
        <f>_xlfn.IFNA(VLOOKUP(Imputar[[#This Row],[Categoría]],EIMI!C:T,9,0),0)</f>
        <v>0</v>
      </c>
      <c r="N272">
        <f>_xlfn.IFNA(VLOOKUP(Imputar[[#This Row],[Categoría]],EIMI!C:T,10,0),0)</f>
        <v>0</v>
      </c>
    </row>
    <row r="273" spans="1:14" hidden="1" x14ac:dyDescent="0.25">
      <c r="A273" s="210">
        <f>Indice!$I$11</f>
        <v>0</v>
      </c>
      <c r="B273" t="s">
        <v>904</v>
      </c>
      <c r="C273" s="39">
        <f>Indice!$I$12</f>
        <v>45992</v>
      </c>
      <c r="E273">
        <f>ROUND(SUMIFS(CATEGORIAS[[#All],[TOTAL PRODUCCION
ACTUAL]],CATEGORIAS[[#All],[CATEGORIA2]],Imputar[[#This Row],[Categoría]]),0)</f>
        <v>0</v>
      </c>
      <c r="F273">
        <v>0</v>
      </c>
      <c r="G273">
        <f>ROUND(SUMIFS(CATEGORIAS[[#All],[PROYECCION
DE INGRESO
DEL SALDO]],CATEGORIAS[[#All],[CATEGORIA2]],Imputar[[#This Row],[Categoría]]),0)</f>
        <v>0</v>
      </c>
      <c r="H273">
        <f>ROUND(SUMIFS(CATEGORIAS[[#All],[CAMBIO DE
CATEGORIA]],CATEGORIAS[[#All],[CATEGORIA2]],Imputar[[#This Row],[Categoría]]),0)</f>
        <v>0</v>
      </c>
      <c r="I2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3">
        <f>+ROUND(SUMIFS(CATEGORIAS[[#All],[PROYECCION
TOTAL DE COSTO]],CATEGORIAS[[#All],[CATEGORIA2]],Imputar[[#This Row],[Categoría]]),0)
-Imputar[[#This Row],[Inventario]]
-Imputar[[#This Row],[Pedidos no Rec]]</f>
        <v>0</v>
      </c>
      <c r="K2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3">
        <f>_xlfn.IFNA(VLOOKUP(Imputar[[#This Row],[Categoría]],EIMI!C:T,8,0),0)</f>
        <v>0</v>
      </c>
      <c r="M273">
        <f>_xlfn.IFNA(VLOOKUP(Imputar[[#This Row],[Categoría]],EIMI!C:T,9,0),0)</f>
        <v>0</v>
      </c>
      <c r="N273">
        <f>_xlfn.IFNA(VLOOKUP(Imputar[[#This Row],[Categoría]],EIMI!C:T,10,0),0)</f>
        <v>0</v>
      </c>
    </row>
    <row r="274" spans="1:14" hidden="1" x14ac:dyDescent="0.25">
      <c r="A274" s="210">
        <f>Indice!$I$11</f>
        <v>0</v>
      </c>
      <c r="B274" t="s">
        <v>906</v>
      </c>
      <c r="C274" s="39">
        <f>Indice!$I$12</f>
        <v>45992</v>
      </c>
      <c r="E274">
        <f>ROUND(SUMIFS(CATEGORIAS[[#All],[TOTAL PRODUCCION
ACTUAL]],CATEGORIAS[[#All],[CATEGORIA2]],Imputar[[#This Row],[Categoría]]),0)</f>
        <v>0</v>
      </c>
      <c r="F274">
        <v>0</v>
      </c>
      <c r="G274">
        <f>ROUND(SUMIFS(CATEGORIAS[[#All],[PROYECCION
DE INGRESO
DEL SALDO]],CATEGORIAS[[#All],[CATEGORIA2]],Imputar[[#This Row],[Categoría]]),0)</f>
        <v>0</v>
      </c>
      <c r="H274">
        <f>ROUND(SUMIFS(CATEGORIAS[[#All],[CAMBIO DE
CATEGORIA]],CATEGORIAS[[#All],[CATEGORIA2]],Imputar[[#This Row],[Categoría]]),0)</f>
        <v>0</v>
      </c>
      <c r="I2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4">
        <f>+ROUND(SUMIFS(CATEGORIAS[[#All],[PROYECCION
TOTAL DE COSTO]],CATEGORIAS[[#All],[CATEGORIA2]],Imputar[[#This Row],[Categoría]]),0)
-Imputar[[#This Row],[Inventario]]
-Imputar[[#This Row],[Pedidos no Rec]]</f>
        <v>0</v>
      </c>
      <c r="K2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4">
        <f>_xlfn.IFNA(VLOOKUP(Imputar[[#This Row],[Categoría]],EIMI!C:T,8,0),0)</f>
        <v>0</v>
      </c>
      <c r="M274">
        <f>_xlfn.IFNA(VLOOKUP(Imputar[[#This Row],[Categoría]],EIMI!C:T,9,0),0)</f>
        <v>0</v>
      </c>
      <c r="N274">
        <f>_xlfn.IFNA(VLOOKUP(Imputar[[#This Row],[Categoría]],EIMI!C:T,10,0),0)</f>
        <v>0</v>
      </c>
    </row>
    <row r="275" spans="1:14" hidden="1" x14ac:dyDescent="0.25">
      <c r="A275" s="210">
        <f>Indice!$I$11</f>
        <v>0</v>
      </c>
      <c r="B275" t="s">
        <v>908</v>
      </c>
      <c r="C275" s="39">
        <f>Indice!$I$12</f>
        <v>45992</v>
      </c>
      <c r="E275">
        <f>ROUND(SUMIFS(CATEGORIAS[[#All],[TOTAL PRODUCCION
ACTUAL]],CATEGORIAS[[#All],[CATEGORIA2]],Imputar[[#This Row],[Categoría]]),0)</f>
        <v>0</v>
      </c>
      <c r="F275">
        <v>0</v>
      </c>
      <c r="G275">
        <f>ROUND(SUMIFS(CATEGORIAS[[#All],[PROYECCION
DE INGRESO
DEL SALDO]],CATEGORIAS[[#All],[CATEGORIA2]],Imputar[[#This Row],[Categoría]]),0)</f>
        <v>0</v>
      </c>
      <c r="H275">
        <f>ROUND(SUMIFS(CATEGORIAS[[#All],[CAMBIO DE
CATEGORIA]],CATEGORIAS[[#All],[CATEGORIA2]],Imputar[[#This Row],[Categoría]]),0)</f>
        <v>0</v>
      </c>
      <c r="I2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5">
        <f>+ROUND(SUMIFS(CATEGORIAS[[#All],[PROYECCION
TOTAL DE COSTO]],CATEGORIAS[[#All],[CATEGORIA2]],Imputar[[#This Row],[Categoría]]),0)
-Imputar[[#This Row],[Inventario]]
-Imputar[[#This Row],[Pedidos no Rec]]</f>
        <v>0</v>
      </c>
      <c r="K2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5">
        <f>_xlfn.IFNA(VLOOKUP(Imputar[[#This Row],[Categoría]],EIMI!C:T,8,0),0)</f>
        <v>0</v>
      </c>
      <c r="M275">
        <f>_xlfn.IFNA(VLOOKUP(Imputar[[#This Row],[Categoría]],EIMI!C:T,9,0),0)</f>
        <v>0</v>
      </c>
      <c r="N275">
        <f>_xlfn.IFNA(VLOOKUP(Imputar[[#This Row],[Categoría]],EIMI!C:T,10,0),0)</f>
        <v>0</v>
      </c>
    </row>
    <row r="276" spans="1:14" hidden="1" x14ac:dyDescent="0.25">
      <c r="A276" s="210">
        <f>Indice!$I$11</f>
        <v>0</v>
      </c>
      <c r="B276" t="s">
        <v>910</v>
      </c>
      <c r="C276" s="39">
        <f>Indice!$I$12</f>
        <v>45992</v>
      </c>
      <c r="E276">
        <f>ROUND(SUMIFS(CATEGORIAS[[#All],[TOTAL PRODUCCION
ACTUAL]],CATEGORIAS[[#All],[CATEGORIA2]],Imputar[[#This Row],[Categoría]]),0)</f>
        <v>0</v>
      </c>
      <c r="F276">
        <v>0</v>
      </c>
      <c r="G276">
        <f>ROUND(SUMIFS(CATEGORIAS[[#All],[PROYECCION
DE INGRESO
DEL SALDO]],CATEGORIAS[[#All],[CATEGORIA2]],Imputar[[#This Row],[Categoría]]),0)</f>
        <v>0</v>
      </c>
      <c r="H276">
        <f>ROUND(SUMIFS(CATEGORIAS[[#All],[CAMBIO DE
CATEGORIA]],CATEGORIAS[[#All],[CATEGORIA2]],Imputar[[#This Row],[Categoría]]),0)</f>
        <v>0</v>
      </c>
      <c r="I2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6">
        <f>+ROUND(SUMIFS(CATEGORIAS[[#All],[PROYECCION
TOTAL DE COSTO]],CATEGORIAS[[#All],[CATEGORIA2]],Imputar[[#This Row],[Categoría]]),0)
-Imputar[[#This Row],[Inventario]]
-Imputar[[#This Row],[Pedidos no Rec]]</f>
        <v>0</v>
      </c>
      <c r="K2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6">
        <f>_xlfn.IFNA(VLOOKUP(Imputar[[#This Row],[Categoría]],EIMI!C:T,8,0),0)</f>
        <v>0</v>
      </c>
      <c r="M276">
        <f>_xlfn.IFNA(VLOOKUP(Imputar[[#This Row],[Categoría]],EIMI!C:T,9,0),0)</f>
        <v>0</v>
      </c>
      <c r="N276">
        <f>_xlfn.IFNA(VLOOKUP(Imputar[[#This Row],[Categoría]],EIMI!C:T,10,0),0)</f>
        <v>0</v>
      </c>
    </row>
    <row r="277" spans="1:14" hidden="1" x14ac:dyDescent="0.25">
      <c r="A277" s="210">
        <f>Indice!$I$11</f>
        <v>0</v>
      </c>
      <c r="B277" t="s">
        <v>912</v>
      </c>
      <c r="C277" s="39">
        <f>Indice!$I$12</f>
        <v>45992</v>
      </c>
      <c r="E277">
        <f>ROUND(SUMIFS(CATEGORIAS[[#All],[TOTAL PRODUCCION
ACTUAL]],CATEGORIAS[[#All],[CATEGORIA2]],Imputar[[#This Row],[Categoría]]),0)</f>
        <v>0</v>
      </c>
      <c r="F277">
        <v>0</v>
      </c>
      <c r="G277">
        <f>ROUND(SUMIFS(CATEGORIAS[[#All],[PROYECCION
DE INGRESO
DEL SALDO]],CATEGORIAS[[#All],[CATEGORIA2]],Imputar[[#This Row],[Categoría]]),0)</f>
        <v>0</v>
      </c>
      <c r="H277">
        <f>ROUND(SUMIFS(CATEGORIAS[[#All],[CAMBIO DE
CATEGORIA]],CATEGORIAS[[#All],[CATEGORIA2]],Imputar[[#This Row],[Categoría]]),0)</f>
        <v>0</v>
      </c>
      <c r="I2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7">
        <f>+ROUND(SUMIFS(CATEGORIAS[[#All],[PROYECCION
TOTAL DE COSTO]],CATEGORIAS[[#All],[CATEGORIA2]],Imputar[[#This Row],[Categoría]]),0)
-Imputar[[#This Row],[Inventario]]
-Imputar[[#This Row],[Pedidos no Rec]]</f>
        <v>0</v>
      </c>
      <c r="K2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7">
        <f>_xlfn.IFNA(VLOOKUP(Imputar[[#This Row],[Categoría]],EIMI!C:T,8,0),0)</f>
        <v>0</v>
      </c>
      <c r="M277">
        <f>_xlfn.IFNA(VLOOKUP(Imputar[[#This Row],[Categoría]],EIMI!C:T,9,0),0)</f>
        <v>0</v>
      </c>
      <c r="N277">
        <f>_xlfn.IFNA(VLOOKUP(Imputar[[#This Row],[Categoría]],EIMI!C:T,10,0),0)</f>
        <v>0</v>
      </c>
    </row>
    <row r="278" spans="1:14" hidden="1" x14ac:dyDescent="0.25">
      <c r="A278" s="210">
        <f>Indice!$I$11</f>
        <v>0</v>
      </c>
      <c r="B278" t="s">
        <v>914</v>
      </c>
      <c r="C278" s="39">
        <f>Indice!$I$12</f>
        <v>45992</v>
      </c>
      <c r="E278">
        <f>ROUND(SUMIFS(CATEGORIAS[[#All],[TOTAL PRODUCCION
ACTUAL]],CATEGORIAS[[#All],[CATEGORIA2]],Imputar[[#This Row],[Categoría]]),0)</f>
        <v>0</v>
      </c>
      <c r="F278">
        <v>0</v>
      </c>
      <c r="G278">
        <f>ROUND(SUMIFS(CATEGORIAS[[#All],[PROYECCION
DE INGRESO
DEL SALDO]],CATEGORIAS[[#All],[CATEGORIA2]],Imputar[[#This Row],[Categoría]]),0)</f>
        <v>0</v>
      </c>
      <c r="H278">
        <f>ROUND(SUMIFS(CATEGORIAS[[#All],[CAMBIO DE
CATEGORIA]],CATEGORIAS[[#All],[CATEGORIA2]],Imputar[[#This Row],[Categoría]]),0)</f>
        <v>0</v>
      </c>
      <c r="I2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8">
        <f>+ROUND(SUMIFS(CATEGORIAS[[#All],[PROYECCION
TOTAL DE COSTO]],CATEGORIAS[[#All],[CATEGORIA2]],Imputar[[#This Row],[Categoría]]),0)
-Imputar[[#This Row],[Inventario]]
-Imputar[[#This Row],[Pedidos no Rec]]</f>
        <v>0</v>
      </c>
      <c r="K2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8">
        <f>_xlfn.IFNA(VLOOKUP(Imputar[[#This Row],[Categoría]],EIMI!C:T,8,0),0)</f>
        <v>0</v>
      </c>
      <c r="M278">
        <f>_xlfn.IFNA(VLOOKUP(Imputar[[#This Row],[Categoría]],EIMI!C:T,9,0),0)</f>
        <v>0</v>
      </c>
      <c r="N278">
        <f>_xlfn.IFNA(VLOOKUP(Imputar[[#This Row],[Categoría]],EIMI!C:T,10,0),0)</f>
        <v>0</v>
      </c>
    </row>
    <row r="279" spans="1:14" hidden="1" x14ac:dyDescent="0.25">
      <c r="A279" s="210">
        <f>Indice!$I$11</f>
        <v>0</v>
      </c>
      <c r="B279" t="s">
        <v>916</v>
      </c>
      <c r="C279" s="39">
        <f>Indice!$I$12</f>
        <v>45992</v>
      </c>
      <c r="E279">
        <f>ROUND(SUMIFS(CATEGORIAS[[#All],[TOTAL PRODUCCION
ACTUAL]],CATEGORIAS[[#All],[CATEGORIA2]],Imputar[[#This Row],[Categoría]]),0)</f>
        <v>0</v>
      </c>
      <c r="F279">
        <v>0</v>
      </c>
      <c r="G279">
        <f>ROUND(SUMIFS(CATEGORIAS[[#All],[PROYECCION
DE INGRESO
DEL SALDO]],CATEGORIAS[[#All],[CATEGORIA2]],Imputar[[#This Row],[Categoría]]),0)</f>
        <v>0</v>
      </c>
      <c r="H279">
        <f>ROUND(SUMIFS(CATEGORIAS[[#All],[CAMBIO DE
CATEGORIA]],CATEGORIAS[[#All],[CATEGORIA2]],Imputar[[#This Row],[Categoría]]),0)</f>
        <v>0</v>
      </c>
      <c r="I2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9">
        <f>+ROUND(SUMIFS(CATEGORIAS[[#All],[PROYECCION
TOTAL DE COSTO]],CATEGORIAS[[#All],[CATEGORIA2]],Imputar[[#This Row],[Categoría]]),0)
-Imputar[[#This Row],[Inventario]]
-Imputar[[#This Row],[Pedidos no Rec]]</f>
        <v>0</v>
      </c>
      <c r="K2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9">
        <f>_xlfn.IFNA(VLOOKUP(Imputar[[#This Row],[Categoría]],EIMI!C:T,8,0),0)</f>
        <v>0</v>
      </c>
      <c r="M279">
        <f>_xlfn.IFNA(VLOOKUP(Imputar[[#This Row],[Categoría]],EIMI!C:T,9,0),0)</f>
        <v>0</v>
      </c>
      <c r="N279">
        <f>_xlfn.IFNA(VLOOKUP(Imputar[[#This Row],[Categoría]],EIMI!C:T,10,0),0)</f>
        <v>0</v>
      </c>
    </row>
    <row r="280" spans="1:14" hidden="1" x14ac:dyDescent="0.25">
      <c r="A280" s="210">
        <f>Indice!$I$11</f>
        <v>0</v>
      </c>
      <c r="B280" t="s">
        <v>918</v>
      </c>
      <c r="C280" s="39">
        <f>Indice!$I$12</f>
        <v>45992</v>
      </c>
      <c r="E280">
        <f>ROUND(SUMIFS(CATEGORIAS[[#All],[TOTAL PRODUCCION
ACTUAL]],CATEGORIAS[[#All],[CATEGORIA2]],Imputar[[#This Row],[Categoría]]),0)</f>
        <v>0</v>
      </c>
      <c r="F280">
        <v>0</v>
      </c>
      <c r="G280">
        <f>ROUND(SUMIFS(CATEGORIAS[[#All],[PROYECCION
DE INGRESO
DEL SALDO]],CATEGORIAS[[#All],[CATEGORIA2]],Imputar[[#This Row],[Categoría]]),0)</f>
        <v>0</v>
      </c>
      <c r="H280">
        <f>ROUND(SUMIFS(CATEGORIAS[[#All],[CAMBIO DE
CATEGORIA]],CATEGORIAS[[#All],[CATEGORIA2]],Imputar[[#This Row],[Categoría]]),0)</f>
        <v>0</v>
      </c>
      <c r="I2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0">
        <f>+ROUND(SUMIFS(CATEGORIAS[[#All],[PROYECCION
TOTAL DE COSTO]],CATEGORIAS[[#All],[CATEGORIA2]],Imputar[[#This Row],[Categoría]]),0)
-Imputar[[#This Row],[Inventario]]
-Imputar[[#This Row],[Pedidos no Rec]]</f>
        <v>0</v>
      </c>
      <c r="K2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0">
        <f>_xlfn.IFNA(VLOOKUP(Imputar[[#This Row],[Categoría]],EIMI!C:T,8,0),0)</f>
        <v>0</v>
      </c>
      <c r="M280">
        <f>_xlfn.IFNA(VLOOKUP(Imputar[[#This Row],[Categoría]],EIMI!C:T,9,0),0)</f>
        <v>0</v>
      </c>
      <c r="N280">
        <f>_xlfn.IFNA(VLOOKUP(Imputar[[#This Row],[Categoría]],EIMI!C:T,10,0),0)</f>
        <v>0</v>
      </c>
    </row>
    <row r="281" spans="1:14" hidden="1" x14ac:dyDescent="0.25">
      <c r="A281" s="210">
        <f>Indice!$I$11</f>
        <v>0</v>
      </c>
      <c r="B281" t="s">
        <v>920</v>
      </c>
      <c r="C281" s="39">
        <f>Indice!$I$12</f>
        <v>45992</v>
      </c>
      <c r="E281">
        <f>ROUND(SUMIFS(CATEGORIAS[[#All],[TOTAL PRODUCCION
ACTUAL]],CATEGORIAS[[#All],[CATEGORIA2]],Imputar[[#This Row],[Categoría]]),0)</f>
        <v>0</v>
      </c>
      <c r="F281">
        <v>0</v>
      </c>
      <c r="G281">
        <f>ROUND(SUMIFS(CATEGORIAS[[#All],[PROYECCION
DE INGRESO
DEL SALDO]],CATEGORIAS[[#All],[CATEGORIA2]],Imputar[[#This Row],[Categoría]]),0)</f>
        <v>0</v>
      </c>
      <c r="H281">
        <f>ROUND(SUMIFS(CATEGORIAS[[#All],[CAMBIO DE
CATEGORIA]],CATEGORIAS[[#All],[CATEGORIA2]],Imputar[[#This Row],[Categoría]]),0)</f>
        <v>0</v>
      </c>
      <c r="I2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1">
        <f>+ROUND(SUMIFS(CATEGORIAS[[#All],[PROYECCION
TOTAL DE COSTO]],CATEGORIAS[[#All],[CATEGORIA2]],Imputar[[#This Row],[Categoría]]),0)
-Imputar[[#This Row],[Inventario]]
-Imputar[[#This Row],[Pedidos no Rec]]</f>
        <v>0</v>
      </c>
      <c r="K2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1">
        <f>_xlfn.IFNA(VLOOKUP(Imputar[[#This Row],[Categoría]],EIMI!C:T,8,0),0)</f>
        <v>0</v>
      </c>
      <c r="M281">
        <f>_xlfn.IFNA(VLOOKUP(Imputar[[#This Row],[Categoría]],EIMI!C:T,9,0),0)</f>
        <v>0</v>
      </c>
      <c r="N281">
        <f>_xlfn.IFNA(VLOOKUP(Imputar[[#This Row],[Categoría]],EIMI!C:T,10,0),0)</f>
        <v>0</v>
      </c>
    </row>
    <row r="282" spans="1:14" hidden="1" x14ac:dyDescent="0.25">
      <c r="A282" s="210">
        <f>Indice!$I$11</f>
        <v>0</v>
      </c>
      <c r="B282" t="s">
        <v>922</v>
      </c>
      <c r="C282" s="39">
        <f>Indice!$I$12</f>
        <v>45992</v>
      </c>
      <c r="E282">
        <f>ROUND(SUMIFS(CATEGORIAS[[#All],[TOTAL PRODUCCION
ACTUAL]],CATEGORIAS[[#All],[CATEGORIA2]],Imputar[[#This Row],[Categoría]]),0)</f>
        <v>0</v>
      </c>
      <c r="F282">
        <v>0</v>
      </c>
      <c r="G282">
        <f>ROUND(SUMIFS(CATEGORIAS[[#All],[PROYECCION
DE INGRESO
DEL SALDO]],CATEGORIAS[[#All],[CATEGORIA2]],Imputar[[#This Row],[Categoría]]),0)</f>
        <v>0</v>
      </c>
      <c r="H282">
        <f>ROUND(SUMIFS(CATEGORIAS[[#All],[CAMBIO DE
CATEGORIA]],CATEGORIAS[[#All],[CATEGORIA2]],Imputar[[#This Row],[Categoría]]),0)</f>
        <v>0</v>
      </c>
      <c r="I2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2">
        <f>+ROUND(SUMIFS(CATEGORIAS[[#All],[PROYECCION
TOTAL DE COSTO]],CATEGORIAS[[#All],[CATEGORIA2]],Imputar[[#This Row],[Categoría]]),0)
-Imputar[[#This Row],[Inventario]]
-Imputar[[#This Row],[Pedidos no Rec]]</f>
        <v>0</v>
      </c>
      <c r="K2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2">
        <f>_xlfn.IFNA(VLOOKUP(Imputar[[#This Row],[Categoría]],EIMI!C:T,8,0),0)</f>
        <v>0</v>
      </c>
      <c r="M282">
        <f>_xlfn.IFNA(VLOOKUP(Imputar[[#This Row],[Categoría]],EIMI!C:T,9,0),0)</f>
        <v>0</v>
      </c>
      <c r="N282">
        <f>_xlfn.IFNA(VLOOKUP(Imputar[[#This Row],[Categoría]],EIMI!C:T,10,0),0)</f>
        <v>0</v>
      </c>
    </row>
    <row r="283" spans="1:14" hidden="1" x14ac:dyDescent="0.25">
      <c r="A283" s="210">
        <f>Indice!$I$11</f>
        <v>0</v>
      </c>
      <c r="B283" t="s">
        <v>924</v>
      </c>
      <c r="C283" s="39">
        <f>Indice!$I$12</f>
        <v>45992</v>
      </c>
      <c r="E283">
        <f>ROUND(SUMIFS(CATEGORIAS[[#All],[TOTAL PRODUCCION
ACTUAL]],CATEGORIAS[[#All],[CATEGORIA2]],Imputar[[#This Row],[Categoría]]),0)</f>
        <v>0</v>
      </c>
      <c r="F283">
        <v>0</v>
      </c>
      <c r="G283">
        <f>ROUND(SUMIFS(CATEGORIAS[[#All],[PROYECCION
DE INGRESO
DEL SALDO]],CATEGORIAS[[#All],[CATEGORIA2]],Imputar[[#This Row],[Categoría]]),0)</f>
        <v>0</v>
      </c>
      <c r="H283">
        <f>ROUND(SUMIFS(CATEGORIAS[[#All],[CAMBIO DE
CATEGORIA]],CATEGORIAS[[#All],[CATEGORIA2]],Imputar[[#This Row],[Categoría]]),0)</f>
        <v>0</v>
      </c>
      <c r="I2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3">
        <f>+ROUND(SUMIFS(CATEGORIAS[[#All],[PROYECCION
TOTAL DE COSTO]],CATEGORIAS[[#All],[CATEGORIA2]],Imputar[[#This Row],[Categoría]]),0)
-Imputar[[#This Row],[Inventario]]
-Imputar[[#This Row],[Pedidos no Rec]]</f>
        <v>0</v>
      </c>
      <c r="K2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3">
        <f>_xlfn.IFNA(VLOOKUP(Imputar[[#This Row],[Categoría]],EIMI!C:T,8,0),0)</f>
        <v>0</v>
      </c>
      <c r="M283">
        <f>_xlfn.IFNA(VLOOKUP(Imputar[[#This Row],[Categoría]],EIMI!C:T,9,0),0)</f>
        <v>0</v>
      </c>
      <c r="N283">
        <f>_xlfn.IFNA(VLOOKUP(Imputar[[#This Row],[Categoría]],EIMI!C:T,10,0),0)</f>
        <v>0</v>
      </c>
    </row>
    <row r="284" spans="1:14" hidden="1" x14ac:dyDescent="0.25">
      <c r="A284" s="210">
        <f>Indice!$I$11</f>
        <v>0</v>
      </c>
      <c r="B284" t="s">
        <v>926</v>
      </c>
      <c r="C284" s="39">
        <f>Indice!$I$12</f>
        <v>45992</v>
      </c>
      <c r="E284">
        <f>ROUND(SUMIFS(CATEGORIAS[[#All],[TOTAL PRODUCCION
ACTUAL]],CATEGORIAS[[#All],[CATEGORIA2]],Imputar[[#This Row],[Categoría]]),0)</f>
        <v>0</v>
      </c>
      <c r="F284">
        <v>0</v>
      </c>
      <c r="G284">
        <f>ROUND(SUMIFS(CATEGORIAS[[#All],[PROYECCION
DE INGRESO
DEL SALDO]],CATEGORIAS[[#All],[CATEGORIA2]],Imputar[[#This Row],[Categoría]]),0)</f>
        <v>0</v>
      </c>
      <c r="H284">
        <f>ROUND(SUMIFS(CATEGORIAS[[#All],[CAMBIO DE
CATEGORIA]],CATEGORIAS[[#All],[CATEGORIA2]],Imputar[[#This Row],[Categoría]]),0)</f>
        <v>0</v>
      </c>
      <c r="I2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4">
        <f>+ROUND(SUMIFS(CATEGORIAS[[#All],[PROYECCION
TOTAL DE COSTO]],CATEGORIAS[[#All],[CATEGORIA2]],Imputar[[#This Row],[Categoría]]),0)
-Imputar[[#This Row],[Inventario]]
-Imputar[[#This Row],[Pedidos no Rec]]</f>
        <v>0</v>
      </c>
      <c r="K2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4">
        <f>_xlfn.IFNA(VLOOKUP(Imputar[[#This Row],[Categoría]],EIMI!C:T,8,0),0)</f>
        <v>0</v>
      </c>
      <c r="M284">
        <f>_xlfn.IFNA(VLOOKUP(Imputar[[#This Row],[Categoría]],EIMI!C:T,9,0),0)</f>
        <v>0</v>
      </c>
      <c r="N284">
        <f>_xlfn.IFNA(VLOOKUP(Imputar[[#This Row],[Categoría]],EIMI!C:T,10,0),0)</f>
        <v>0</v>
      </c>
    </row>
    <row r="285" spans="1:14" hidden="1" x14ac:dyDescent="0.25">
      <c r="A285" s="210">
        <f>Indice!$I$11</f>
        <v>0</v>
      </c>
      <c r="B285" t="s">
        <v>928</v>
      </c>
      <c r="C285" s="39">
        <f>Indice!$I$12</f>
        <v>45992</v>
      </c>
      <c r="E285">
        <f>ROUND(SUMIFS(CATEGORIAS[[#All],[TOTAL PRODUCCION
ACTUAL]],CATEGORIAS[[#All],[CATEGORIA2]],Imputar[[#This Row],[Categoría]]),0)</f>
        <v>0</v>
      </c>
      <c r="F285">
        <v>0</v>
      </c>
      <c r="G285">
        <f>ROUND(SUMIFS(CATEGORIAS[[#All],[PROYECCION
DE INGRESO
DEL SALDO]],CATEGORIAS[[#All],[CATEGORIA2]],Imputar[[#This Row],[Categoría]]),0)</f>
        <v>0</v>
      </c>
      <c r="H285">
        <f>ROUND(SUMIFS(CATEGORIAS[[#All],[CAMBIO DE
CATEGORIA]],CATEGORIAS[[#All],[CATEGORIA2]],Imputar[[#This Row],[Categoría]]),0)</f>
        <v>0</v>
      </c>
      <c r="I2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5">
        <f>+ROUND(SUMIFS(CATEGORIAS[[#All],[PROYECCION
TOTAL DE COSTO]],CATEGORIAS[[#All],[CATEGORIA2]],Imputar[[#This Row],[Categoría]]),0)
-Imputar[[#This Row],[Inventario]]
-Imputar[[#This Row],[Pedidos no Rec]]</f>
        <v>0</v>
      </c>
      <c r="K2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5">
        <f>_xlfn.IFNA(VLOOKUP(Imputar[[#This Row],[Categoría]],EIMI!C:T,8,0),0)</f>
        <v>0</v>
      </c>
      <c r="M285">
        <f>_xlfn.IFNA(VLOOKUP(Imputar[[#This Row],[Categoría]],EIMI!C:T,9,0),0)</f>
        <v>0</v>
      </c>
      <c r="N285">
        <f>_xlfn.IFNA(VLOOKUP(Imputar[[#This Row],[Categoría]],EIMI!C:T,10,0),0)</f>
        <v>0</v>
      </c>
    </row>
    <row r="286" spans="1:14" hidden="1" x14ac:dyDescent="0.25">
      <c r="A286" s="210">
        <f>Indice!$I$11</f>
        <v>0</v>
      </c>
      <c r="B286" t="s">
        <v>930</v>
      </c>
      <c r="C286" s="39">
        <f>Indice!$I$12</f>
        <v>45992</v>
      </c>
      <c r="E286">
        <f>ROUND(SUMIFS(CATEGORIAS[[#All],[TOTAL PRODUCCION
ACTUAL]],CATEGORIAS[[#All],[CATEGORIA2]],Imputar[[#This Row],[Categoría]]),0)</f>
        <v>0</v>
      </c>
      <c r="F286">
        <v>0</v>
      </c>
      <c r="G286">
        <f>ROUND(SUMIFS(CATEGORIAS[[#All],[PROYECCION
DE INGRESO
DEL SALDO]],CATEGORIAS[[#All],[CATEGORIA2]],Imputar[[#This Row],[Categoría]]),0)</f>
        <v>0</v>
      </c>
      <c r="H286">
        <f>ROUND(SUMIFS(CATEGORIAS[[#All],[CAMBIO DE
CATEGORIA]],CATEGORIAS[[#All],[CATEGORIA2]],Imputar[[#This Row],[Categoría]]),0)</f>
        <v>0</v>
      </c>
      <c r="I2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6">
        <f>+ROUND(SUMIFS(CATEGORIAS[[#All],[PROYECCION
TOTAL DE COSTO]],CATEGORIAS[[#All],[CATEGORIA2]],Imputar[[#This Row],[Categoría]]),0)
-Imputar[[#This Row],[Inventario]]
-Imputar[[#This Row],[Pedidos no Rec]]</f>
        <v>0</v>
      </c>
      <c r="K2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6">
        <f>_xlfn.IFNA(VLOOKUP(Imputar[[#This Row],[Categoría]],EIMI!C:T,8,0),0)</f>
        <v>0</v>
      </c>
      <c r="M286">
        <f>_xlfn.IFNA(VLOOKUP(Imputar[[#This Row],[Categoría]],EIMI!C:T,9,0),0)</f>
        <v>0</v>
      </c>
      <c r="N286">
        <f>_xlfn.IFNA(VLOOKUP(Imputar[[#This Row],[Categoría]],EIMI!C:T,10,0),0)</f>
        <v>0</v>
      </c>
    </row>
    <row r="287" spans="1:14" hidden="1" x14ac:dyDescent="0.25">
      <c r="A287" s="210">
        <f>Indice!$I$11</f>
        <v>0</v>
      </c>
      <c r="B287" t="s">
        <v>932</v>
      </c>
      <c r="C287" s="39">
        <f>Indice!$I$12</f>
        <v>45992</v>
      </c>
      <c r="E287">
        <f>ROUND(SUMIFS(CATEGORIAS[[#All],[TOTAL PRODUCCION
ACTUAL]],CATEGORIAS[[#All],[CATEGORIA2]],Imputar[[#This Row],[Categoría]]),0)</f>
        <v>0</v>
      </c>
      <c r="F287">
        <v>0</v>
      </c>
      <c r="G287">
        <f>ROUND(SUMIFS(CATEGORIAS[[#All],[PROYECCION
DE INGRESO
DEL SALDO]],CATEGORIAS[[#All],[CATEGORIA2]],Imputar[[#This Row],[Categoría]]),0)</f>
        <v>0</v>
      </c>
      <c r="H287">
        <f>ROUND(SUMIFS(CATEGORIAS[[#All],[CAMBIO DE
CATEGORIA]],CATEGORIAS[[#All],[CATEGORIA2]],Imputar[[#This Row],[Categoría]]),0)</f>
        <v>0</v>
      </c>
      <c r="I2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7">
        <f>+ROUND(SUMIFS(CATEGORIAS[[#All],[PROYECCION
TOTAL DE COSTO]],CATEGORIAS[[#All],[CATEGORIA2]],Imputar[[#This Row],[Categoría]]),0)
-Imputar[[#This Row],[Inventario]]
-Imputar[[#This Row],[Pedidos no Rec]]</f>
        <v>0</v>
      </c>
      <c r="K2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7">
        <f>_xlfn.IFNA(VLOOKUP(Imputar[[#This Row],[Categoría]],EIMI!C:T,8,0),0)</f>
        <v>0</v>
      </c>
      <c r="M287">
        <f>_xlfn.IFNA(VLOOKUP(Imputar[[#This Row],[Categoría]],EIMI!C:T,9,0),0)</f>
        <v>0</v>
      </c>
      <c r="N287">
        <f>_xlfn.IFNA(VLOOKUP(Imputar[[#This Row],[Categoría]],EIMI!C:T,10,0),0)</f>
        <v>0</v>
      </c>
    </row>
    <row r="288" spans="1:14" hidden="1" x14ac:dyDescent="0.25">
      <c r="A288" s="210">
        <f>Indice!$I$11</f>
        <v>0</v>
      </c>
      <c r="B288" t="s">
        <v>934</v>
      </c>
      <c r="C288" s="39">
        <f>Indice!$I$12</f>
        <v>45992</v>
      </c>
      <c r="E288">
        <f>ROUND(SUMIFS(CATEGORIAS[[#All],[TOTAL PRODUCCION
ACTUAL]],CATEGORIAS[[#All],[CATEGORIA2]],Imputar[[#This Row],[Categoría]]),0)</f>
        <v>0</v>
      </c>
      <c r="F288">
        <v>0</v>
      </c>
      <c r="G288">
        <f>ROUND(SUMIFS(CATEGORIAS[[#All],[PROYECCION
DE INGRESO
DEL SALDO]],CATEGORIAS[[#All],[CATEGORIA2]],Imputar[[#This Row],[Categoría]]),0)</f>
        <v>0</v>
      </c>
      <c r="H288">
        <f>ROUND(SUMIFS(CATEGORIAS[[#All],[CAMBIO DE
CATEGORIA]],CATEGORIAS[[#All],[CATEGORIA2]],Imputar[[#This Row],[Categoría]]),0)</f>
        <v>0</v>
      </c>
      <c r="I2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8">
        <f>+ROUND(SUMIFS(CATEGORIAS[[#All],[PROYECCION
TOTAL DE COSTO]],CATEGORIAS[[#All],[CATEGORIA2]],Imputar[[#This Row],[Categoría]]),0)
-Imputar[[#This Row],[Inventario]]
-Imputar[[#This Row],[Pedidos no Rec]]</f>
        <v>0</v>
      </c>
      <c r="K2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8">
        <f>_xlfn.IFNA(VLOOKUP(Imputar[[#This Row],[Categoría]],EIMI!C:T,8,0),0)</f>
        <v>0</v>
      </c>
      <c r="M288">
        <f>_xlfn.IFNA(VLOOKUP(Imputar[[#This Row],[Categoría]],EIMI!C:T,9,0),0)</f>
        <v>0</v>
      </c>
      <c r="N288">
        <f>_xlfn.IFNA(VLOOKUP(Imputar[[#This Row],[Categoría]],EIMI!C:T,10,0),0)</f>
        <v>0</v>
      </c>
    </row>
    <row r="289" spans="1:14" hidden="1" x14ac:dyDescent="0.25">
      <c r="A289" s="210">
        <f>Indice!$I$11</f>
        <v>0</v>
      </c>
      <c r="B289" t="s">
        <v>936</v>
      </c>
      <c r="C289" s="39">
        <f>Indice!$I$12</f>
        <v>45992</v>
      </c>
      <c r="E289">
        <f>ROUND(SUMIFS(CATEGORIAS[[#All],[TOTAL PRODUCCION
ACTUAL]],CATEGORIAS[[#All],[CATEGORIA2]],Imputar[[#This Row],[Categoría]]),0)</f>
        <v>0</v>
      </c>
      <c r="F289">
        <v>0</v>
      </c>
      <c r="G289">
        <f>ROUND(SUMIFS(CATEGORIAS[[#All],[PROYECCION
DE INGRESO
DEL SALDO]],CATEGORIAS[[#All],[CATEGORIA2]],Imputar[[#This Row],[Categoría]]),0)</f>
        <v>0</v>
      </c>
      <c r="H289">
        <f>ROUND(SUMIFS(CATEGORIAS[[#All],[CAMBIO DE
CATEGORIA]],CATEGORIAS[[#All],[CATEGORIA2]],Imputar[[#This Row],[Categoría]]),0)</f>
        <v>0</v>
      </c>
      <c r="I2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9">
        <f>+ROUND(SUMIFS(CATEGORIAS[[#All],[PROYECCION
TOTAL DE COSTO]],CATEGORIAS[[#All],[CATEGORIA2]],Imputar[[#This Row],[Categoría]]),0)
-Imputar[[#This Row],[Inventario]]
-Imputar[[#This Row],[Pedidos no Rec]]</f>
        <v>0</v>
      </c>
      <c r="K2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9">
        <f>_xlfn.IFNA(VLOOKUP(Imputar[[#This Row],[Categoría]],EIMI!C:T,8,0),0)</f>
        <v>0</v>
      </c>
      <c r="M289">
        <f>_xlfn.IFNA(VLOOKUP(Imputar[[#This Row],[Categoría]],EIMI!C:T,9,0),0)</f>
        <v>0</v>
      </c>
      <c r="N289">
        <f>_xlfn.IFNA(VLOOKUP(Imputar[[#This Row],[Categoría]],EIMI!C:T,10,0),0)</f>
        <v>0</v>
      </c>
    </row>
    <row r="290" spans="1:14" hidden="1" x14ac:dyDescent="0.25">
      <c r="A290" s="210">
        <f>Indice!$I$11</f>
        <v>0</v>
      </c>
      <c r="B290" t="s">
        <v>938</v>
      </c>
      <c r="C290" s="39">
        <f>Indice!$I$12</f>
        <v>45992</v>
      </c>
      <c r="E290">
        <f>ROUND(SUMIFS(CATEGORIAS[[#All],[TOTAL PRODUCCION
ACTUAL]],CATEGORIAS[[#All],[CATEGORIA2]],Imputar[[#This Row],[Categoría]]),0)</f>
        <v>0</v>
      </c>
      <c r="F290">
        <v>0</v>
      </c>
      <c r="G290">
        <f>ROUND(SUMIFS(CATEGORIAS[[#All],[PROYECCION
DE INGRESO
DEL SALDO]],CATEGORIAS[[#All],[CATEGORIA2]],Imputar[[#This Row],[Categoría]]),0)</f>
        <v>0</v>
      </c>
      <c r="H290">
        <f>ROUND(SUMIFS(CATEGORIAS[[#All],[CAMBIO DE
CATEGORIA]],CATEGORIAS[[#All],[CATEGORIA2]],Imputar[[#This Row],[Categoría]]),0)</f>
        <v>0</v>
      </c>
      <c r="I2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0">
        <f>+ROUND(SUMIFS(CATEGORIAS[[#All],[PROYECCION
TOTAL DE COSTO]],CATEGORIAS[[#All],[CATEGORIA2]],Imputar[[#This Row],[Categoría]]),0)
-Imputar[[#This Row],[Inventario]]
-Imputar[[#This Row],[Pedidos no Rec]]</f>
        <v>0</v>
      </c>
      <c r="K2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0">
        <f>_xlfn.IFNA(VLOOKUP(Imputar[[#This Row],[Categoría]],EIMI!C:T,8,0),0)</f>
        <v>0</v>
      </c>
      <c r="M290">
        <f>_xlfn.IFNA(VLOOKUP(Imputar[[#This Row],[Categoría]],EIMI!C:T,9,0),0)</f>
        <v>0</v>
      </c>
      <c r="N290">
        <f>_xlfn.IFNA(VLOOKUP(Imputar[[#This Row],[Categoría]],EIMI!C:T,10,0),0)</f>
        <v>0</v>
      </c>
    </row>
    <row r="291" spans="1:14" hidden="1" x14ac:dyDescent="0.25">
      <c r="A291" s="210">
        <f>Indice!$I$11</f>
        <v>0</v>
      </c>
      <c r="B291" t="s">
        <v>940</v>
      </c>
      <c r="C291" s="39">
        <f>Indice!$I$12</f>
        <v>45992</v>
      </c>
      <c r="E291">
        <f>ROUND(SUMIFS(CATEGORIAS[[#All],[TOTAL PRODUCCION
ACTUAL]],CATEGORIAS[[#All],[CATEGORIA2]],Imputar[[#This Row],[Categoría]]),0)</f>
        <v>0</v>
      </c>
      <c r="F291">
        <v>0</v>
      </c>
      <c r="G291">
        <f>ROUND(SUMIFS(CATEGORIAS[[#All],[PROYECCION
DE INGRESO
DEL SALDO]],CATEGORIAS[[#All],[CATEGORIA2]],Imputar[[#This Row],[Categoría]]),0)</f>
        <v>0</v>
      </c>
      <c r="H291">
        <f>ROUND(SUMIFS(CATEGORIAS[[#All],[CAMBIO DE
CATEGORIA]],CATEGORIAS[[#All],[CATEGORIA2]],Imputar[[#This Row],[Categoría]]),0)</f>
        <v>0</v>
      </c>
      <c r="I2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1">
        <f>+ROUND(SUMIFS(CATEGORIAS[[#All],[PROYECCION
TOTAL DE COSTO]],CATEGORIAS[[#All],[CATEGORIA2]],Imputar[[#This Row],[Categoría]]),0)
-Imputar[[#This Row],[Inventario]]
-Imputar[[#This Row],[Pedidos no Rec]]</f>
        <v>0</v>
      </c>
      <c r="K2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1">
        <f>_xlfn.IFNA(VLOOKUP(Imputar[[#This Row],[Categoría]],EIMI!C:T,8,0),0)</f>
        <v>0</v>
      </c>
      <c r="M291">
        <f>_xlfn.IFNA(VLOOKUP(Imputar[[#This Row],[Categoría]],EIMI!C:T,9,0),0)</f>
        <v>0</v>
      </c>
      <c r="N291">
        <f>_xlfn.IFNA(VLOOKUP(Imputar[[#This Row],[Categoría]],EIMI!C:T,10,0),0)</f>
        <v>0</v>
      </c>
    </row>
    <row r="292" spans="1:14" hidden="1" x14ac:dyDescent="0.25">
      <c r="A292" s="210">
        <f>Indice!$I$11</f>
        <v>0</v>
      </c>
      <c r="B292" t="s">
        <v>942</v>
      </c>
      <c r="C292" s="39">
        <f>Indice!$I$12</f>
        <v>45992</v>
      </c>
      <c r="E292">
        <f>ROUND(SUMIFS(CATEGORIAS[[#All],[TOTAL PRODUCCION
ACTUAL]],CATEGORIAS[[#All],[CATEGORIA2]],Imputar[[#This Row],[Categoría]]),0)</f>
        <v>0</v>
      </c>
      <c r="F292">
        <v>0</v>
      </c>
      <c r="G292">
        <f>ROUND(SUMIFS(CATEGORIAS[[#All],[PROYECCION
DE INGRESO
DEL SALDO]],CATEGORIAS[[#All],[CATEGORIA2]],Imputar[[#This Row],[Categoría]]),0)</f>
        <v>0</v>
      </c>
      <c r="H292">
        <f>ROUND(SUMIFS(CATEGORIAS[[#All],[CAMBIO DE
CATEGORIA]],CATEGORIAS[[#All],[CATEGORIA2]],Imputar[[#This Row],[Categoría]]),0)</f>
        <v>0</v>
      </c>
      <c r="I2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2">
        <f>+ROUND(SUMIFS(CATEGORIAS[[#All],[PROYECCION
TOTAL DE COSTO]],CATEGORIAS[[#All],[CATEGORIA2]],Imputar[[#This Row],[Categoría]]),0)
-Imputar[[#This Row],[Inventario]]
-Imputar[[#This Row],[Pedidos no Rec]]</f>
        <v>0</v>
      </c>
      <c r="K2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2">
        <f>_xlfn.IFNA(VLOOKUP(Imputar[[#This Row],[Categoría]],EIMI!C:T,8,0),0)</f>
        <v>0</v>
      </c>
      <c r="M292">
        <f>_xlfn.IFNA(VLOOKUP(Imputar[[#This Row],[Categoría]],EIMI!C:T,9,0),0)</f>
        <v>0</v>
      </c>
      <c r="N292">
        <f>_xlfn.IFNA(VLOOKUP(Imputar[[#This Row],[Categoría]],EIMI!C:T,10,0),0)</f>
        <v>0</v>
      </c>
    </row>
    <row r="293" spans="1:14" hidden="1" x14ac:dyDescent="0.25">
      <c r="A293" s="210">
        <f>Indice!$I$11</f>
        <v>0</v>
      </c>
      <c r="B293" t="s">
        <v>944</v>
      </c>
      <c r="C293" s="39">
        <f>Indice!$I$12</f>
        <v>45992</v>
      </c>
      <c r="E293">
        <f>ROUND(SUMIFS(CATEGORIAS[[#All],[TOTAL PRODUCCION
ACTUAL]],CATEGORIAS[[#All],[CATEGORIA2]],Imputar[[#This Row],[Categoría]]),0)</f>
        <v>0</v>
      </c>
      <c r="F293">
        <v>0</v>
      </c>
      <c r="G293">
        <f>ROUND(SUMIFS(CATEGORIAS[[#All],[PROYECCION
DE INGRESO
DEL SALDO]],CATEGORIAS[[#All],[CATEGORIA2]],Imputar[[#This Row],[Categoría]]),0)</f>
        <v>0</v>
      </c>
      <c r="H293">
        <f>ROUND(SUMIFS(CATEGORIAS[[#All],[CAMBIO DE
CATEGORIA]],CATEGORIAS[[#All],[CATEGORIA2]],Imputar[[#This Row],[Categoría]]),0)</f>
        <v>0</v>
      </c>
      <c r="I2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3">
        <f>+ROUND(SUMIFS(CATEGORIAS[[#All],[PROYECCION
TOTAL DE COSTO]],CATEGORIAS[[#All],[CATEGORIA2]],Imputar[[#This Row],[Categoría]]),0)
-Imputar[[#This Row],[Inventario]]
-Imputar[[#This Row],[Pedidos no Rec]]</f>
        <v>0</v>
      </c>
      <c r="K2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3">
        <f>_xlfn.IFNA(VLOOKUP(Imputar[[#This Row],[Categoría]],EIMI!C:T,8,0),0)</f>
        <v>0</v>
      </c>
      <c r="M293">
        <f>_xlfn.IFNA(VLOOKUP(Imputar[[#This Row],[Categoría]],EIMI!C:T,9,0),0)</f>
        <v>0</v>
      </c>
      <c r="N293">
        <f>_xlfn.IFNA(VLOOKUP(Imputar[[#This Row],[Categoría]],EIMI!C:T,10,0),0)</f>
        <v>0</v>
      </c>
    </row>
    <row r="294" spans="1:14" hidden="1" x14ac:dyDescent="0.25">
      <c r="A294" s="210">
        <f>Indice!$I$11</f>
        <v>0</v>
      </c>
      <c r="B294" t="s">
        <v>946</v>
      </c>
      <c r="C294" s="39">
        <f>Indice!$I$12</f>
        <v>45992</v>
      </c>
      <c r="E294">
        <f>ROUND(SUMIFS(CATEGORIAS[[#All],[TOTAL PRODUCCION
ACTUAL]],CATEGORIAS[[#All],[CATEGORIA2]],Imputar[[#This Row],[Categoría]]),0)</f>
        <v>0</v>
      </c>
      <c r="F294">
        <v>0</v>
      </c>
      <c r="G294">
        <f>ROUND(SUMIFS(CATEGORIAS[[#All],[PROYECCION
DE INGRESO
DEL SALDO]],CATEGORIAS[[#All],[CATEGORIA2]],Imputar[[#This Row],[Categoría]]),0)</f>
        <v>0</v>
      </c>
      <c r="H294">
        <f>ROUND(SUMIFS(CATEGORIAS[[#All],[CAMBIO DE
CATEGORIA]],CATEGORIAS[[#All],[CATEGORIA2]],Imputar[[#This Row],[Categoría]]),0)</f>
        <v>0</v>
      </c>
      <c r="I2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4">
        <f>+ROUND(SUMIFS(CATEGORIAS[[#All],[PROYECCION
TOTAL DE COSTO]],CATEGORIAS[[#All],[CATEGORIA2]],Imputar[[#This Row],[Categoría]]),0)
-Imputar[[#This Row],[Inventario]]
-Imputar[[#This Row],[Pedidos no Rec]]</f>
        <v>0</v>
      </c>
      <c r="K2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4">
        <f>_xlfn.IFNA(VLOOKUP(Imputar[[#This Row],[Categoría]],EIMI!C:T,8,0),0)</f>
        <v>0</v>
      </c>
      <c r="M294">
        <f>_xlfn.IFNA(VLOOKUP(Imputar[[#This Row],[Categoría]],EIMI!C:T,9,0),0)</f>
        <v>0</v>
      </c>
      <c r="N294">
        <f>_xlfn.IFNA(VLOOKUP(Imputar[[#This Row],[Categoría]],EIMI!C:T,10,0),0)</f>
        <v>0</v>
      </c>
    </row>
    <row r="295" spans="1:14" hidden="1" x14ac:dyDescent="0.25">
      <c r="A295" s="210">
        <f>Indice!$I$11</f>
        <v>0</v>
      </c>
      <c r="B295" t="s">
        <v>948</v>
      </c>
      <c r="C295" s="39">
        <f>Indice!$I$12</f>
        <v>45992</v>
      </c>
      <c r="E295">
        <f>ROUND(SUMIFS(CATEGORIAS[[#All],[TOTAL PRODUCCION
ACTUAL]],CATEGORIAS[[#All],[CATEGORIA2]],Imputar[[#This Row],[Categoría]]),0)</f>
        <v>0</v>
      </c>
      <c r="F295">
        <v>0</v>
      </c>
      <c r="G295">
        <f>ROUND(SUMIFS(CATEGORIAS[[#All],[PROYECCION
DE INGRESO
DEL SALDO]],CATEGORIAS[[#All],[CATEGORIA2]],Imputar[[#This Row],[Categoría]]),0)</f>
        <v>0</v>
      </c>
      <c r="H295">
        <f>ROUND(SUMIFS(CATEGORIAS[[#All],[CAMBIO DE
CATEGORIA]],CATEGORIAS[[#All],[CATEGORIA2]],Imputar[[#This Row],[Categoría]]),0)</f>
        <v>0</v>
      </c>
      <c r="I2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5">
        <f>+ROUND(SUMIFS(CATEGORIAS[[#All],[PROYECCION
TOTAL DE COSTO]],CATEGORIAS[[#All],[CATEGORIA2]],Imputar[[#This Row],[Categoría]]),0)
-Imputar[[#This Row],[Inventario]]
-Imputar[[#This Row],[Pedidos no Rec]]</f>
        <v>0</v>
      </c>
      <c r="K2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5">
        <f>_xlfn.IFNA(VLOOKUP(Imputar[[#This Row],[Categoría]],EIMI!C:T,8,0),0)</f>
        <v>0</v>
      </c>
      <c r="M295">
        <f>_xlfn.IFNA(VLOOKUP(Imputar[[#This Row],[Categoría]],EIMI!C:T,9,0),0)</f>
        <v>0</v>
      </c>
      <c r="N295">
        <f>_xlfn.IFNA(VLOOKUP(Imputar[[#This Row],[Categoría]],EIMI!C:T,10,0),0)</f>
        <v>0</v>
      </c>
    </row>
    <row r="296" spans="1:14" hidden="1" x14ac:dyDescent="0.25">
      <c r="A296" s="210">
        <f>Indice!$I$11</f>
        <v>0</v>
      </c>
      <c r="B296" t="s">
        <v>950</v>
      </c>
      <c r="C296" s="39">
        <f>Indice!$I$12</f>
        <v>45992</v>
      </c>
      <c r="E296">
        <f>ROUND(SUMIFS(CATEGORIAS[[#All],[TOTAL PRODUCCION
ACTUAL]],CATEGORIAS[[#All],[CATEGORIA2]],Imputar[[#This Row],[Categoría]]),0)</f>
        <v>0</v>
      </c>
      <c r="F296">
        <v>0</v>
      </c>
      <c r="G296">
        <f>ROUND(SUMIFS(CATEGORIAS[[#All],[PROYECCION
DE INGRESO
DEL SALDO]],CATEGORIAS[[#All],[CATEGORIA2]],Imputar[[#This Row],[Categoría]]),0)</f>
        <v>0</v>
      </c>
      <c r="H296">
        <f>ROUND(SUMIFS(CATEGORIAS[[#All],[CAMBIO DE
CATEGORIA]],CATEGORIAS[[#All],[CATEGORIA2]],Imputar[[#This Row],[Categoría]]),0)</f>
        <v>0</v>
      </c>
      <c r="I2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6">
        <f>+ROUND(SUMIFS(CATEGORIAS[[#All],[PROYECCION
TOTAL DE COSTO]],CATEGORIAS[[#All],[CATEGORIA2]],Imputar[[#This Row],[Categoría]]),0)
-Imputar[[#This Row],[Inventario]]
-Imputar[[#This Row],[Pedidos no Rec]]</f>
        <v>0</v>
      </c>
      <c r="K2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6">
        <f>_xlfn.IFNA(VLOOKUP(Imputar[[#This Row],[Categoría]],EIMI!C:T,8,0),0)</f>
        <v>0</v>
      </c>
      <c r="M296">
        <f>_xlfn.IFNA(VLOOKUP(Imputar[[#This Row],[Categoría]],EIMI!C:T,9,0),0)</f>
        <v>0</v>
      </c>
      <c r="N296">
        <f>_xlfn.IFNA(VLOOKUP(Imputar[[#This Row],[Categoría]],EIMI!C:T,10,0),0)</f>
        <v>0</v>
      </c>
    </row>
    <row r="297" spans="1:14" hidden="1" x14ac:dyDescent="0.25">
      <c r="A297" s="210">
        <f>Indice!$I$11</f>
        <v>0</v>
      </c>
      <c r="B297" t="s">
        <v>952</v>
      </c>
      <c r="C297" s="39">
        <f>Indice!$I$12</f>
        <v>45992</v>
      </c>
      <c r="E297">
        <f>ROUND(SUMIFS(CATEGORIAS[[#All],[TOTAL PRODUCCION
ACTUAL]],CATEGORIAS[[#All],[CATEGORIA2]],Imputar[[#This Row],[Categoría]]),0)</f>
        <v>0</v>
      </c>
      <c r="F297">
        <v>0</v>
      </c>
      <c r="G297">
        <f>ROUND(SUMIFS(CATEGORIAS[[#All],[PROYECCION
DE INGRESO
DEL SALDO]],CATEGORIAS[[#All],[CATEGORIA2]],Imputar[[#This Row],[Categoría]]),0)</f>
        <v>0</v>
      </c>
      <c r="H297">
        <f>ROUND(SUMIFS(CATEGORIAS[[#All],[CAMBIO DE
CATEGORIA]],CATEGORIAS[[#All],[CATEGORIA2]],Imputar[[#This Row],[Categoría]]),0)</f>
        <v>0</v>
      </c>
      <c r="I2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7">
        <f>+ROUND(SUMIFS(CATEGORIAS[[#All],[PROYECCION
TOTAL DE COSTO]],CATEGORIAS[[#All],[CATEGORIA2]],Imputar[[#This Row],[Categoría]]),0)
-Imputar[[#This Row],[Inventario]]
-Imputar[[#This Row],[Pedidos no Rec]]</f>
        <v>0</v>
      </c>
      <c r="K2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7">
        <f>_xlfn.IFNA(VLOOKUP(Imputar[[#This Row],[Categoría]],EIMI!C:T,8,0),0)</f>
        <v>0</v>
      </c>
      <c r="M297">
        <f>_xlfn.IFNA(VLOOKUP(Imputar[[#This Row],[Categoría]],EIMI!C:T,9,0),0)</f>
        <v>0</v>
      </c>
      <c r="N297">
        <f>_xlfn.IFNA(VLOOKUP(Imputar[[#This Row],[Categoría]],EIMI!C:T,10,0),0)</f>
        <v>0</v>
      </c>
    </row>
    <row r="298" spans="1:14" hidden="1" x14ac:dyDescent="0.25">
      <c r="A298" s="210">
        <f>Indice!$I$11</f>
        <v>0</v>
      </c>
      <c r="B298" t="s">
        <v>954</v>
      </c>
      <c r="C298" s="39">
        <f>Indice!$I$12</f>
        <v>45992</v>
      </c>
      <c r="E298">
        <f>ROUND(SUMIFS(CATEGORIAS[[#All],[TOTAL PRODUCCION
ACTUAL]],CATEGORIAS[[#All],[CATEGORIA2]],Imputar[[#This Row],[Categoría]]),0)</f>
        <v>0</v>
      </c>
      <c r="F298">
        <v>0</v>
      </c>
      <c r="G298">
        <f>ROUND(SUMIFS(CATEGORIAS[[#All],[PROYECCION
DE INGRESO
DEL SALDO]],CATEGORIAS[[#All],[CATEGORIA2]],Imputar[[#This Row],[Categoría]]),0)</f>
        <v>0</v>
      </c>
      <c r="H298">
        <f>ROUND(SUMIFS(CATEGORIAS[[#All],[CAMBIO DE
CATEGORIA]],CATEGORIAS[[#All],[CATEGORIA2]],Imputar[[#This Row],[Categoría]]),0)</f>
        <v>0</v>
      </c>
      <c r="I2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8">
        <f>+ROUND(SUMIFS(CATEGORIAS[[#All],[PROYECCION
TOTAL DE COSTO]],CATEGORIAS[[#All],[CATEGORIA2]],Imputar[[#This Row],[Categoría]]),0)
-Imputar[[#This Row],[Inventario]]
-Imputar[[#This Row],[Pedidos no Rec]]</f>
        <v>0</v>
      </c>
      <c r="K2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8">
        <f>_xlfn.IFNA(VLOOKUP(Imputar[[#This Row],[Categoría]],EIMI!C:T,8,0),0)</f>
        <v>0</v>
      </c>
      <c r="M298">
        <f>_xlfn.IFNA(VLOOKUP(Imputar[[#This Row],[Categoría]],EIMI!C:T,9,0),0)</f>
        <v>0</v>
      </c>
      <c r="N298">
        <f>_xlfn.IFNA(VLOOKUP(Imputar[[#This Row],[Categoría]],EIMI!C:T,10,0),0)</f>
        <v>0</v>
      </c>
    </row>
    <row r="299" spans="1:14" hidden="1" x14ac:dyDescent="0.25">
      <c r="A299" s="210">
        <f>Indice!$I$11</f>
        <v>0</v>
      </c>
      <c r="B299" t="s">
        <v>956</v>
      </c>
      <c r="C299" s="39">
        <f>Indice!$I$12</f>
        <v>45992</v>
      </c>
      <c r="E299">
        <f>ROUND(SUMIFS(CATEGORIAS[[#All],[TOTAL PRODUCCION
ACTUAL]],CATEGORIAS[[#All],[CATEGORIA2]],Imputar[[#This Row],[Categoría]]),0)</f>
        <v>0</v>
      </c>
      <c r="F299">
        <v>0</v>
      </c>
      <c r="G299">
        <f>ROUND(SUMIFS(CATEGORIAS[[#All],[PROYECCION
DE INGRESO
DEL SALDO]],CATEGORIAS[[#All],[CATEGORIA2]],Imputar[[#This Row],[Categoría]]),0)</f>
        <v>0</v>
      </c>
      <c r="H299">
        <f>ROUND(SUMIFS(CATEGORIAS[[#All],[CAMBIO DE
CATEGORIA]],CATEGORIAS[[#All],[CATEGORIA2]],Imputar[[#This Row],[Categoría]]),0)</f>
        <v>0</v>
      </c>
      <c r="I2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9">
        <f>+ROUND(SUMIFS(CATEGORIAS[[#All],[PROYECCION
TOTAL DE COSTO]],CATEGORIAS[[#All],[CATEGORIA2]],Imputar[[#This Row],[Categoría]]),0)
-Imputar[[#This Row],[Inventario]]
-Imputar[[#This Row],[Pedidos no Rec]]</f>
        <v>0</v>
      </c>
      <c r="K2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9">
        <f>_xlfn.IFNA(VLOOKUP(Imputar[[#This Row],[Categoría]],EIMI!C:T,8,0),0)</f>
        <v>0</v>
      </c>
      <c r="M299">
        <f>_xlfn.IFNA(VLOOKUP(Imputar[[#This Row],[Categoría]],EIMI!C:T,9,0),0)</f>
        <v>0</v>
      </c>
      <c r="N299">
        <f>_xlfn.IFNA(VLOOKUP(Imputar[[#This Row],[Categoría]],EIMI!C:T,10,0),0)</f>
        <v>0</v>
      </c>
    </row>
    <row r="300" spans="1:14" hidden="1" x14ac:dyDescent="0.25">
      <c r="A300" s="210">
        <f>Indice!$I$11</f>
        <v>0</v>
      </c>
      <c r="B300" t="s">
        <v>958</v>
      </c>
      <c r="C300" s="39">
        <f>Indice!$I$12</f>
        <v>45992</v>
      </c>
      <c r="E300">
        <f>ROUND(SUMIFS(CATEGORIAS[[#All],[TOTAL PRODUCCION
ACTUAL]],CATEGORIAS[[#All],[CATEGORIA2]],Imputar[[#This Row],[Categoría]]),0)</f>
        <v>0</v>
      </c>
      <c r="F300">
        <v>0</v>
      </c>
      <c r="G300">
        <f>ROUND(SUMIFS(CATEGORIAS[[#All],[PROYECCION
DE INGRESO
DEL SALDO]],CATEGORIAS[[#All],[CATEGORIA2]],Imputar[[#This Row],[Categoría]]),0)</f>
        <v>0</v>
      </c>
      <c r="H300">
        <f>ROUND(SUMIFS(CATEGORIAS[[#All],[CAMBIO DE
CATEGORIA]],CATEGORIAS[[#All],[CATEGORIA2]],Imputar[[#This Row],[Categoría]]),0)</f>
        <v>0</v>
      </c>
      <c r="I3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0">
        <f>+ROUND(SUMIFS(CATEGORIAS[[#All],[PROYECCION
TOTAL DE COSTO]],CATEGORIAS[[#All],[CATEGORIA2]],Imputar[[#This Row],[Categoría]]),0)
-Imputar[[#This Row],[Inventario]]
-Imputar[[#This Row],[Pedidos no Rec]]</f>
        <v>0</v>
      </c>
      <c r="K3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0">
        <f>_xlfn.IFNA(VLOOKUP(Imputar[[#This Row],[Categoría]],EIMI!C:T,8,0),0)</f>
        <v>0</v>
      </c>
      <c r="M300">
        <f>_xlfn.IFNA(VLOOKUP(Imputar[[#This Row],[Categoría]],EIMI!C:T,9,0),0)</f>
        <v>0</v>
      </c>
      <c r="N300">
        <f>_xlfn.IFNA(VLOOKUP(Imputar[[#This Row],[Categoría]],EIMI!C:T,10,0),0)</f>
        <v>0</v>
      </c>
    </row>
    <row r="301" spans="1:14" hidden="1" x14ac:dyDescent="0.25">
      <c r="A301" s="210">
        <f>Indice!$I$11</f>
        <v>0</v>
      </c>
      <c r="B301" t="s">
        <v>960</v>
      </c>
      <c r="C301" s="39">
        <f>Indice!$I$12</f>
        <v>45992</v>
      </c>
      <c r="E301">
        <f>ROUND(SUMIFS(CATEGORIAS[[#All],[TOTAL PRODUCCION
ACTUAL]],CATEGORIAS[[#All],[CATEGORIA2]],Imputar[[#This Row],[Categoría]]),0)</f>
        <v>0</v>
      </c>
      <c r="F301">
        <v>0</v>
      </c>
      <c r="G301">
        <f>ROUND(SUMIFS(CATEGORIAS[[#All],[PROYECCION
DE INGRESO
DEL SALDO]],CATEGORIAS[[#All],[CATEGORIA2]],Imputar[[#This Row],[Categoría]]),0)</f>
        <v>0</v>
      </c>
      <c r="H301">
        <f>ROUND(SUMIFS(CATEGORIAS[[#All],[CAMBIO DE
CATEGORIA]],CATEGORIAS[[#All],[CATEGORIA2]],Imputar[[#This Row],[Categoría]]),0)</f>
        <v>0</v>
      </c>
      <c r="I3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1">
        <f>+ROUND(SUMIFS(CATEGORIAS[[#All],[PROYECCION
TOTAL DE COSTO]],CATEGORIAS[[#All],[CATEGORIA2]],Imputar[[#This Row],[Categoría]]),0)
-Imputar[[#This Row],[Inventario]]
-Imputar[[#This Row],[Pedidos no Rec]]</f>
        <v>0</v>
      </c>
      <c r="K3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1">
        <f>_xlfn.IFNA(VLOOKUP(Imputar[[#This Row],[Categoría]],EIMI!C:T,8,0),0)</f>
        <v>0</v>
      </c>
      <c r="M301">
        <f>_xlfn.IFNA(VLOOKUP(Imputar[[#This Row],[Categoría]],EIMI!C:T,9,0),0)</f>
        <v>0</v>
      </c>
      <c r="N301">
        <f>_xlfn.IFNA(VLOOKUP(Imputar[[#This Row],[Categoría]],EIMI!C:T,10,0),0)</f>
        <v>0</v>
      </c>
    </row>
    <row r="302" spans="1:14" hidden="1" x14ac:dyDescent="0.25">
      <c r="A302" s="210">
        <f>Indice!$I$11</f>
        <v>0</v>
      </c>
      <c r="B302" t="s">
        <v>962</v>
      </c>
      <c r="C302" s="39">
        <f>Indice!$I$12</f>
        <v>45992</v>
      </c>
      <c r="E302">
        <f>ROUND(SUMIFS(CATEGORIAS[[#All],[TOTAL PRODUCCION
ACTUAL]],CATEGORIAS[[#All],[CATEGORIA2]],Imputar[[#This Row],[Categoría]]),0)</f>
        <v>0</v>
      </c>
      <c r="F302">
        <v>0</v>
      </c>
      <c r="G302">
        <f>ROUND(SUMIFS(CATEGORIAS[[#All],[PROYECCION
DE INGRESO
DEL SALDO]],CATEGORIAS[[#All],[CATEGORIA2]],Imputar[[#This Row],[Categoría]]),0)</f>
        <v>0</v>
      </c>
      <c r="H302">
        <f>ROUND(SUMIFS(CATEGORIAS[[#All],[CAMBIO DE
CATEGORIA]],CATEGORIAS[[#All],[CATEGORIA2]],Imputar[[#This Row],[Categoría]]),0)</f>
        <v>0</v>
      </c>
      <c r="I3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2">
        <f>+ROUND(SUMIFS(CATEGORIAS[[#All],[PROYECCION
TOTAL DE COSTO]],CATEGORIAS[[#All],[CATEGORIA2]],Imputar[[#This Row],[Categoría]]),0)
-Imputar[[#This Row],[Inventario]]
-Imputar[[#This Row],[Pedidos no Rec]]</f>
        <v>0</v>
      </c>
      <c r="K3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2">
        <f>_xlfn.IFNA(VLOOKUP(Imputar[[#This Row],[Categoría]],EIMI!C:T,8,0),0)</f>
        <v>0</v>
      </c>
      <c r="M302">
        <f>_xlfn.IFNA(VLOOKUP(Imputar[[#This Row],[Categoría]],EIMI!C:T,9,0),0)</f>
        <v>0</v>
      </c>
      <c r="N302">
        <f>_xlfn.IFNA(VLOOKUP(Imputar[[#This Row],[Categoría]],EIMI!C:T,10,0),0)</f>
        <v>0</v>
      </c>
    </row>
    <row r="303" spans="1:14" hidden="1" x14ac:dyDescent="0.25">
      <c r="A303" s="210">
        <f>Indice!$I$11</f>
        <v>0</v>
      </c>
      <c r="B303" t="s">
        <v>964</v>
      </c>
      <c r="C303" s="39">
        <f>Indice!$I$12</f>
        <v>45992</v>
      </c>
      <c r="E303">
        <f>ROUND(SUMIFS(CATEGORIAS[[#All],[TOTAL PRODUCCION
ACTUAL]],CATEGORIAS[[#All],[CATEGORIA2]],Imputar[[#This Row],[Categoría]]),0)</f>
        <v>0</v>
      </c>
      <c r="F303">
        <v>0</v>
      </c>
      <c r="G303">
        <f>ROUND(SUMIFS(CATEGORIAS[[#All],[PROYECCION
DE INGRESO
DEL SALDO]],CATEGORIAS[[#All],[CATEGORIA2]],Imputar[[#This Row],[Categoría]]),0)</f>
        <v>0</v>
      </c>
      <c r="H303">
        <f>ROUND(SUMIFS(CATEGORIAS[[#All],[CAMBIO DE
CATEGORIA]],CATEGORIAS[[#All],[CATEGORIA2]],Imputar[[#This Row],[Categoría]]),0)</f>
        <v>0</v>
      </c>
      <c r="I3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3">
        <f>+ROUND(SUMIFS(CATEGORIAS[[#All],[PROYECCION
TOTAL DE COSTO]],CATEGORIAS[[#All],[CATEGORIA2]],Imputar[[#This Row],[Categoría]]),0)
-Imputar[[#This Row],[Inventario]]
-Imputar[[#This Row],[Pedidos no Rec]]</f>
        <v>0</v>
      </c>
      <c r="K3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3">
        <f>_xlfn.IFNA(VLOOKUP(Imputar[[#This Row],[Categoría]],EIMI!C:T,8,0),0)</f>
        <v>0</v>
      </c>
      <c r="M303">
        <f>_xlfn.IFNA(VLOOKUP(Imputar[[#This Row],[Categoría]],EIMI!C:T,9,0),0)</f>
        <v>0</v>
      </c>
      <c r="N303">
        <f>_xlfn.IFNA(VLOOKUP(Imputar[[#This Row],[Categoría]],EIMI!C:T,10,0),0)</f>
        <v>0</v>
      </c>
    </row>
    <row r="304" spans="1:14" hidden="1" x14ac:dyDescent="0.25">
      <c r="A304" s="210">
        <f>Indice!$I$11</f>
        <v>0</v>
      </c>
      <c r="B304" t="s">
        <v>966</v>
      </c>
      <c r="C304" s="39">
        <f>Indice!$I$12</f>
        <v>45992</v>
      </c>
      <c r="E304">
        <f>ROUND(SUMIFS(CATEGORIAS[[#All],[TOTAL PRODUCCION
ACTUAL]],CATEGORIAS[[#All],[CATEGORIA2]],Imputar[[#This Row],[Categoría]]),0)</f>
        <v>0</v>
      </c>
      <c r="F304">
        <v>0</v>
      </c>
      <c r="G304">
        <f>ROUND(SUMIFS(CATEGORIAS[[#All],[PROYECCION
DE INGRESO
DEL SALDO]],CATEGORIAS[[#All],[CATEGORIA2]],Imputar[[#This Row],[Categoría]]),0)</f>
        <v>0</v>
      </c>
      <c r="H304">
        <f>ROUND(SUMIFS(CATEGORIAS[[#All],[CAMBIO DE
CATEGORIA]],CATEGORIAS[[#All],[CATEGORIA2]],Imputar[[#This Row],[Categoría]]),0)</f>
        <v>0</v>
      </c>
      <c r="I3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4">
        <f>+ROUND(SUMIFS(CATEGORIAS[[#All],[PROYECCION
TOTAL DE COSTO]],CATEGORIAS[[#All],[CATEGORIA2]],Imputar[[#This Row],[Categoría]]),0)
-Imputar[[#This Row],[Inventario]]
-Imputar[[#This Row],[Pedidos no Rec]]</f>
        <v>0</v>
      </c>
      <c r="K3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4">
        <f>_xlfn.IFNA(VLOOKUP(Imputar[[#This Row],[Categoría]],EIMI!C:T,8,0),0)</f>
        <v>0</v>
      </c>
      <c r="M304">
        <f>_xlfn.IFNA(VLOOKUP(Imputar[[#This Row],[Categoría]],EIMI!C:T,9,0),0)</f>
        <v>0</v>
      </c>
      <c r="N304">
        <f>_xlfn.IFNA(VLOOKUP(Imputar[[#This Row],[Categoría]],EIMI!C:T,10,0),0)</f>
        <v>0</v>
      </c>
    </row>
    <row r="305" spans="1:14" hidden="1" x14ac:dyDescent="0.25">
      <c r="A305" s="210">
        <f>Indice!$I$11</f>
        <v>0</v>
      </c>
      <c r="B305" t="s">
        <v>968</v>
      </c>
      <c r="C305" s="39">
        <f>Indice!$I$12</f>
        <v>45992</v>
      </c>
      <c r="E305">
        <f>ROUND(SUMIFS(CATEGORIAS[[#All],[TOTAL PRODUCCION
ACTUAL]],CATEGORIAS[[#All],[CATEGORIA2]],Imputar[[#This Row],[Categoría]]),0)</f>
        <v>0</v>
      </c>
      <c r="F305">
        <v>0</v>
      </c>
      <c r="G305">
        <f>ROUND(SUMIFS(CATEGORIAS[[#All],[PROYECCION
DE INGRESO
DEL SALDO]],CATEGORIAS[[#All],[CATEGORIA2]],Imputar[[#This Row],[Categoría]]),0)</f>
        <v>0</v>
      </c>
      <c r="H305">
        <f>ROUND(SUMIFS(CATEGORIAS[[#All],[CAMBIO DE
CATEGORIA]],CATEGORIAS[[#All],[CATEGORIA2]],Imputar[[#This Row],[Categoría]]),0)</f>
        <v>0</v>
      </c>
      <c r="I3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5">
        <f>+ROUND(SUMIFS(CATEGORIAS[[#All],[PROYECCION
TOTAL DE COSTO]],CATEGORIAS[[#All],[CATEGORIA2]],Imputar[[#This Row],[Categoría]]),0)
-Imputar[[#This Row],[Inventario]]
-Imputar[[#This Row],[Pedidos no Rec]]</f>
        <v>0</v>
      </c>
      <c r="K3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5">
        <f>_xlfn.IFNA(VLOOKUP(Imputar[[#This Row],[Categoría]],EIMI!C:T,8,0),0)</f>
        <v>0</v>
      </c>
      <c r="M305">
        <f>_xlfn.IFNA(VLOOKUP(Imputar[[#This Row],[Categoría]],EIMI!C:T,9,0),0)</f>
        <v>0</v>
      </c>
      <c r="N305">
        <f>_xlfn.IFNA(VLOOKUP(Imputar[[#This Row],[Categoría]],EIMI!C:T,10,0),0)</f>
        <v>0</v>
      </c>
    </row>
    <row r="306" spans="1:14" hidden="1" x14ac:dyDescent="0.25">
      <c r="A306" s="210">
        <f>Indice!$I$11</f>
        <v>0</v>
      </c>
      <c r="B306" t="s">
        <v>973</v>
      </c>
      <c r="C306" s="39">
        <f>Indice!$I$12</f>
        <v>45992</v>
      </c>
      <c r="E306">
        <f>ROUND(SUMIFS(CATEGORIAS[[#All],[TOTAL PRODUCCION
ACTUAL]],CATEGORIAS[[#All],[CATEGORIA2]],Imputar[[#This Row],[Categoría]]),0)</f>
        <v>0</v>
      </c>
      <c r="F306">
        <v>0</v>
      </c>
      <c r="G306">
        <f>ROUND(SUMIFS(CATEGORIAS[[#All],[PROYECCION
DE INGRESO
DEL SALDO]],CATEGORIAS[[#All],[CATEGORIA2]],Imputar[[#This Row],[Categoría]]),0)</f>
        <v>0</v>
      </c>
      <c r="H306">
        <f>ROUND(SUMIFS(CATEGORIAS[[#All],[CAMBIO DE
CATEGORIA]],CATEGORIAS[[#All],[CATEGORIA2]],Imputar[[#This Row],[Categoría]]),0)</f>
        <v>0</v>
      </c>
      <c r="I3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6">
        <f>+ROUND(SUMIFS(CATEGORIAS[[#All],[PROYECCION
TOTAL DE COSTO]],CATEGORIAS[[#All],[CATEGORIA2]],Imputar[[#This Row],[Categoría]]),0)
-Imputar[[#This Row],[Inventario]]
-Imputar[[#This Row],[Pedidos no Rec]]</f>
        <v>0</v>
      </c>
      <c r="K3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6">
        <f>_xlfn.IFNA(VLOOKUP(Imputar[[#This Row],[Categoría]],EIMI!C:T,8,0),0)</f>
        <v>0</v>
      </c>
      <c r="M306">
        <f>_xlfn.IFNA(VLOOKUP(Imputar[[#This Row],[Categoría]],EIMI!C:T,9,0),0)</f>
        <v>0</v>
      </c>
      <c r="N306">
        <f>_xlfn.IFNA(VLOOKUP(Imputar[[#This Row],[Categoría]],EIMI!C:T,10,0),0)</f>
        <v>0</v>
      </c>
    </row>
    <row r="307" spans="1:14" hidden="1" x14ac:dyDescent="0.25">
      <c r="A307" s="210">
        <f>Indice!$I$11</f>
        <v>0</v>
      </c>
      <c r="B307" t="s">
        <v>975</v>
      </c>
      <c r="C307" s="39">
        <f>Indice!$I$12</f>
        <v>45992</v>
      </c>
      <c r="E307">
        <f>ROUND(SUMIFS(CATEGORIAS[[#All],[TOTAL PRODUCCION
ACTUAL]],CATEGORIAS[[#All],[CATEGORIA2]],Imputar[[#This Row],[Categoría]]),0)</f>
        <v>0</v>
      </c>
      <c r="F307">
        <v>0</v>
      </c>
      <c r="G307">
        <f>ROUND(SUMIFS(CATEGORIAS[[#All],[PROYECCION
DE INGRESO
DEL SALDO]],CATEGORIAS[[#All],[CATEGORIA2]],Imputar[[#This Row],[Categoría]]),0)</f>
        <v>0</v>
      </c>
      <c r="H307">
        <f>ROUND(SUMIFS(CATEGORIAS[[#All],[CAMBIO DE
CATEGORIA]],CATEGORIAS[[#All],[CATEGORIA2]],Imputar[[#This Row],[Categoría]]),0)</f>
        <v>0</v>
      </c>
      <c r="I3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7">
        <f>+ROUND(SUMIFS(CATEGORIAS[[#All],[PROYECCION
TOTAL DE COSTO]],CATEGORIAS[[#All],[CATEGORIA2]],Imputar[[#This Row],[Categoría]]),0)
-Imputar[[#This Row],[Inventario]]
-Imputar[[#This Row],[Pedidos no Rec]]</f>
        <v>0</v>
      </c>
      <c r="K3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7">
        <f>_xlfn.IFNA(VLOOKUP(Imputar[[#This Row],[Categoría]],EIMI!C:T,8,0),0)</f>
        <v>0</v>
      </c>
      <c r="M307">
        <f>_xlfn.IFNA(VLOOKUP(Imputar[[#This Row],[Categoría]],EIMI!C:T,9,0),0)</f>
        <v>0</v>
      </c>
      <c r="N307">
        <f>_xlfn.IFNA(VLOOKUP(Imputar[[#This Row],[Categoría]],EIMI!C:T,10,0),0)</f>
        <v>0</v>
      </c>
    </row>
    <row r="308" spans="1:14" hidden="1" x14ac:dyDescent="0.25">
      <c r="A308" s="210">
        <f>Indice!$I$11</f>
        <v>0</v>
      </c>
      <c r="B308" t="s">
        <v>977</v>
      </c>
      <c r="C308" s="39">
        <f>Indice!$I$12</f>
        <v>45992</v>
      </c>
      <c r="E308">
        <f>ROUND(SUMIFS(CATEGORIAS[[#All],[TOTAL PRODUCCION
ACTUAL]],CATEGORIAS[[#All],[CATEGORIA2]],Imputar[[#This Row],[Categoría]]),0)</f>
        <v>0</v>
      </c>
      <c r="F308">
        <v>0</v>
      </c>
      <c r="G308">
        <f>ROUND(SUMIFS(CATEGORIAS[[#All],[PROYECCION
DE INGRESO
DEL SALDO]],CATEGORIAS[[#All],[CATEGORIA2]],Imputar[[#This Row],[Categoría]]),0)</f>
        <v>0</v>
      </c>
      <c r="H308">
        <f>ROUND(SUMIFS(CATEGORIAS[[#All],[CAMBIO DE
CATEGORIA]],CATEGORIAS[[#All],[CATEGORIA2]],Imputar[[#This Row],[Categoría]]),0)</f>
        <v>0</v>
      </c>
      <c r="I3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8">
        <f>+ROUND(SUMIFS(CATEGORIAS[[#All],[PROYECCION
TOTAL DE COSTO]],CATEGORIAS[[#All],[CATEGORIA2]],Imputar[[#This Row],[Categoría]]),0)
-Imputar[[#This Row],[Inventario]]
-Imputar[[#This Row],[Pedidos no Rec]]</f>
        <v>0</v>
      </c>
      <c r="K3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8">
        <f>_xlfn.IFNA(VLOOKUP(Imputar[[#This Row],[Categoría]],EIMI!C:T,8,0),0)</f>
        <v>0</v>
      </c>
      <c r="M308">
        <f>_xlfn.IFNA(VLOOKUP(Imputar[[#This Row],[Categoría]],EIMI!C:T,9,0),0)</f>
        <v>0</v>
      </c>
      <c r="N308">
        <f>_xlfn.IFNA(VLOOKUP(Imputar[[#This Row],[Categoría]],EIMI!C:T,10,0),0)</f>
        <v>0</v>
      </c>
    </row>
    <row r="309" spans="1:14" hidden="1" x14ac:dyDescent="0.25">
      <c r="A309" s="210">
        <f>Indice!$I$11</f>
        <v>0</v>
      </c>
      <c r="B309" t="s">
        <v>979</v>
      </c>
      <c r="C309" s="39">
        <f>Indice!$I$12</f>
        <v>45992</v>
      </c>
      <c r="E309">
        <f>ROUND(SUMIFS(CATEGORIAS[[#All],[TOTAL PRODUCCION
ACTUAL]],CATEGORIAS[[#All],[CATEGORIA2]],Imputar[[#This Row],[Categoría]]),0)</f>
        <v>0</v>
      </c>
      <c r="F309">
        <v>0</v>
      </c>
      <c r="G309">
        <f>ROUND(SUMIFS(CATEGORIAS[[#All],[PROYECCION
DE INGRESO
DEL SALDO]],CATEGORIAS[[#All],[CATEGORIA2]],Imputar[[#This Row],[Categoría]]),0)</f>
        <v>0</v>
      </c>
      <c r="H309">
        <f>ROUND(SUMIFS(CATEGORIAS[[#All],[CAMBIO DE
CATEGORIA]],CATEGORIAS[[#All],[CATEGORIA2]],Imputar[[#This Row],[Categoría]]),0)</f>
        <v>0</v>
      </c>
      <c r="I3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9">
        <f>+ROUND(SUMIFS(CATEGORIAS[[#All],[PROYECCION
TOTAL DE COSTO]],CATEGORIAS[[#All],[CATEGORIA2]],Imputar[[#This Row],[Categoría]]),0)
-Imputar[[#This Row],[Inventario]]
-Imputar[[#This Row],[Pedidos no Rec]]</f>
        <v>0</v>
      </c>
      <c r="K3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9">
        <f>_xlfn.IFNA(VLOOKUP(Imputar[[#This Row],[Categoría]],EIMI!C:T,8,0),0)</f>
        <v>0</v>
      </c>
      <c r="M309">
        <f>_xlfn.IFNA(VLOOKUP(Imputar[[#This Row],[Categoría]],EIMI!C:T,9,0),0)</f>
        <v>0</v>
      </c>
      <c r="N309">
        <f>_xlfn.IFNA(VLOOKUP(Imputar[[#This Row],[Categoría]],EIMI!C:T,10,0),0)</f>
        <v>0</v>
      </c>
    </row>
    <row r="310" spans="1:14" x14ac:dyDescent="0.25">
      <c r="A310" s="210">
        <f>Indice!$I$11</f>
        <v>0</v>
      </c>
      <c r="B310" t="s">
        <v>981</v>
      </c>
      <c r="C310" s="39">
        <f>Indice!$I$12</f>
        <v>45992</v>
      </c>
      <c r="E310">
        <f>ROUND(SUMIFS(CATEGORIAS[[#All],[TOTAL PRODUCCION
ACTUAL]],CATEGORIAS[[#All],[CATEGORIA2]],Imputar[[#This Row],[Categoría]]),0)</f>
        <v>0</v>
      </c>
      <c r="F310">
        <v>0</v>
      </c>
      <c r="G310">
        <f>ROUND(SUMIFS(CATEGORIAS[[#All],[PROYECCION
DE INGRESO
DEL SALDO]],CATEGORIAS[[#All],[CATEGORIA2]],Imputar[[#This Row],[Categoría]]),0)</f>
        <v>0</v>
      </c>
      <c r="H310">
        <f>ROUND(SUMIFS(CATEGORIAS[[#All],[CAMBIO DE
CATEGORIA]],CATEGORIAS[[#All],[CATEGORIA2]],Imputar[[#This Row],[Categoría]]),0)</f>
        <v>0</v>
      </c>
      <c r="I3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0">
        <f>+ROUND(SUMIFS(CATEGORIAS[[#All],[PROYECCION
TOTAL DE COSTO]],CATEGORIAS[[#All],[CATEGORIA2]],Imputar[[#This Row],[Categoría]]),0)
-Imputar[[#This Row],[Inventario]]
-Imputar[[#This Row],[Pedidos no Rec]]</f>
        <v>0</v>
      </c>
      <c r="K3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0">
        <f>_xlfn.IFNA(VLOOKUP(Imputar[[#This Row],[Categoría]],EIMI!C:T,8,0),0)</f>
        <v>0</v>
      </c>
      <c r="M310">
        <f>_xlfn.IFNA(VLOOKUP(Imputar[[#This Row],[Categoría]],EIMI!C:T,9,0),0)</f>
        <v>0</v>
      </c>
      <c r="N310">
        <f>_xlfn.IFNA(VLOOKUP(Imputar[[#This Row],[Categoría]],EIMI!C:T,10,0),0)</f>
        <v>0</v>
      </c>
    </row>
    <row r="311" spans="1:14" x14ac:dyDescent="0.25">
      <c r="A311" s="210">
        <f>Indice!$I$11</f>
        <v>0</v>
      </c>
      <c r="B311" t="s">
        <v>983</v>
      </c>
      <c r="C311" s="39">
        <f>Indice!$I$12</f>
        <v>45992</v>
      </c>
      <c r="E311">
        <f>ROUND(SUMIFS(CATEGORIAS[[#All],[TOTAL PRODUCCION
ACTUAL]],CATEGORIAS[[#All],[CATEGORIA2]],Imputar[[#This Row],[Categoría]]),0)</f>
        <v>0</v>
      </c>
      <c r="F311">
        <v>0</v>
      </c>
      <c r="G311">
        <f>ROUND(SUMIFS(CATEGORIAS[[#All],[PROYECCION
DE INGRESO
DEL SALDO]],CATEGORIAS[[#All],[CATEGORIA2]],Imputar[[#This Row],[Categoría]]),0)</f>
        <v>0</v>
      </c>
      <c r="H311">
        <f>ROUND(SUMIFS(CATEGORIAS[[#All],[CAMBIO DE
CATEGORIA]],CATEGORIAS[[#All],[CATEGORIA2]],Imputar[[#This Row],[Categoría]]),0)</f>
        <v>0</v>
      </c>
      <c r="I3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-97736381</v>
      </c>
      <c r="J311">
        <f>+ROUND(SUMIFS(CATEGORIAS[[#All],[PROYECCION
TOTAL DE COSTO]],CATEGORIAS[[#All],[CATEGORIA2]],Imputar[[#This Row],[Categoría]]),0)
-Imputar[[#This Row],[Inventario]]
-Imputar[[#This Row],[Pedidos no Rec]]</f>
        <v>0</v>
      </c>
      <c r="K31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11">
        <f>_xlfn.IFNA(VLOOKUP(Imputar[[#This Row],[Categoría]],EIMI!C:T,8,0),0)</f>
        <v>97736381</v>
      </c>
      <c r="M311">
        <f>_xlfn.IFNA(VLOOKUP(Imputar[[#This Row],[Categoría]],EIMI!C:T,9,0),0)</f>
        <v>0</v>
      </c>
      <c r="N311">
        <f>_xlfn.IFNA(VLOOKUP(Imputar[[#This Row],[Categoría]],EIMI!C:T,10,0),0)</f>
        <v>0</v>
      </c>
    </row>
    <row r="312" spans="1:14" x14ac:dyDescent="0.25">
      <c r="A312" s="210">
        <f>Indice!$I$11</f>
        <v>0</v>
      </c>
      <c r="B312" t="s">
        <v>985</v>
      </c>
      <c r="C312" s="39">
        <f>Indice!$I$12</f>
        <v>45992</v>
      </c>
      <c r="E312">
        <f>ROUND(SUMIFS(CATEGORIAS[[#All],[TOTAL PRODUCCION
ACTUAL]],CATEGORIAS[[#All],[CATEGORIA2]],Imputar[[#This Row],[Categoría]]),0)</f>
        <v>0</v>
      </c>
      <c r="F312">
        <v>0</v>
      </c>
      <c r="G312">
        <f>ROUND(SUMIFS(CATEGORIAS[[#All],[PROYECCION
DE INGRESO
DEL SALDO]],CATEGORIAS[[#All],[CATEGORIA2]],Imputar[[#This Row],[Categoría]]),0)</f>
        <v>0</v>
      </c>
      <c r="H312">
        <f>ROUND(SUMIFS(CATEGORIAS[[#All],[CAMBIO DE
CATEGORIA]],CATEGORIAS[[#All],[CATEGORIA2]],Imputar[[#This Row],[Categoría]]),0)</f>
        <v>0</v>
      </c>
      <c r="I3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2">
        <f>+ROUND(SUMIFS(CATEGORIAS[[#All],[PROYECCION
TOTAL DE COSTO]],CATEGORIAS[[#All],[CATEGORIA2]],Imputar[[#This Row],[Categoría]]),0)
-Imputar[[#This Row],[Inventario]]
-Imputar[[#This Row],[Pedidos no Rec]]</f>
        <v>0</v>
      </c>
      <c r="K3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2">
        <f>_xlfn.IFNA(VLOOKUP(Imputar[[#This Row],[Categoría]],EIMI!C:T,8,0),0)</f>
        <v>0</v>
      </c>
      <c r="M312">
        <f>_xlfn.IFNA(VLOOKUP(Imputar[[#This Row],[Categoría]],EIMI!C:T,9,0),0)</f>
        <v>0</v>
      </c>
      <c r="N312">
        <f>_xlfn.IFNA(VLOOKUP(Imputar[[#This Row],[Categoría]],EIMI!C:T,10,0),0)</f>
        <v>0</v>
      </c>
    </row>
    <row r="313" spans="1:14" hidden="1" x14ac:dyDescent="0.25">
      <c r="A313" s="210">
        <f>Indice!$I$11</f>
        <v>0</v>
      </c>
      <c r="B313" t="s">
        <v>987</v>
      </c>
      <c r="C313" s="39">
        <f>Indice!$I$12</f>
        <v>45992</v>
      </c>
      <c r="E313">
        <f>ROUND(SUMIFS(CATEGORIAS[[#All],[TOTAL PRODUCCION
ACTUAL]],CATEGORIAS[[#All],[CATEGORIA2]],Imputar[[#This Row],[Categoría]]),0)</f>
        <v>0</v>
      </c>
      <c r="F313">
        <v>0</v>
      </c>
      <c r="G313">
        <f>ROUND(SUMIFS(CATEGORIAS[[#All],[PROYECCION
DE INGRESO
DEL SALDO]],CATEGORIAS[[#All],[CATEGORIA2]],Imputar[[#This Row],[Categoría]]),0)</f>
        <v>0</v>
      </c>
      <c r="H313">
        <f>ROUND(SUMIFS(CATEGORIAS[[#All],[CAMBIO DE
CATEGORIA]],CATEGORIAS[[#All],[CATEGORIA2]],Imputar[[#This Row],[Categoría]]),0)</f>
        <v>0</v>
      </c>
      <c r="I3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3">
        <f>+ROUND(SUMIFS(CATEGORIAS[[#All],[PROYECCION
TOTAL DE COSTO]],CATEGORIAS[[#All],[CATEGORIA2]],Imputar[[#This Row],[Categoría]]),0)
-Imputar[[#This Row],[Inventario]]
-Imputar[[#This Row],[Pedidos no Rec]]</f>
        <v>0</v>
      </c>
      <c r="K3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3">
        <f>_xlfn.IFNA(VLOOKUP(Imputar[[#This Row],[Categoría]],EIMI!C:T,8,0),0)</f>
        <v>0</v>
      </c>
      <c r="M313">
        <f>_xlfn.IFNA(VLOOKUP(Imputar[[#This Row],[Categoría]],EIMI!C:T,9,0),0)</f>
        <v>0</v>
      </c>
      <c r="N313">
        <f>_xlfn.IFNA(VLOOKUP(Imputar[[#This Row],[Categoría]],EIMI!C:T,10,0),0)</f>
        <v>0</v>
      </c>
    </row>
    <row r="314" spans="1:14" x14ac:dyDescent="0.25">
      <c r="A314" s="210">
        <f>Indice!$I$11</f>
        <v>0</v>
      </c>
      <c r="B314" t="s">
        <v>989</v>
      </c>
      <c r="C314" s="39">
        <f>Indice!$I$12</f>
        <v>45992</v>
      </c>
      <c r="E314">
        <f>ROUND(SUMIFS(CATEGORIAS[[#All],[TOTAL PRODUCCION
ACTUAL]],CATEGORIAS[[#All],[CATEGORIA2]],Imputar[[#This Row],[Categoría]]),0)</f>
        <v>0</v>
      </c>
      <c r="F314">
        <v>0</v>
      </c>
      <c r="G314">
        <f>ROUND(SUMIFS(CATEGORIAS[[#All],[PROYECCION
DE INGRESO
DEL SALDO]],CATEGORIAS[[#All],[CATEGORIA2]],Imputar[[#This Row],[Categoría]]),0)</f>
        <v>0</v>
      </c>
      <c r="H314">
        <f>ROUND(SUMIFS(CATEGORIAS[[#All],[CAMBIO DE
CATEGORIA]],CATEGORIAS[[#All],[CATEGORIA2]],Imputar[[#This Row],[Categoría]]),0)</f>
        <v>0</v>
      </c>
      <c r="I3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4">
        <f>+ROUND(SUMIFS(CATEGORIAS[[#All],[PROYECCION
TOTAL DE COSTO]],CATEGORIAS[[#All],[CATEGORIA2]],Imputar[[#This Row],[Categoría]]),0)
-Imputar[[#This Row],[Inventario]]
-Imputar[[#This Row],[Pedidos no Rec]]</f>
        <v>0</v>
      </c>
      <c r="K3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4">
        <f>_xlfn.IFNA(VLOOKUP(Imputar[[#This Row],[Categoría]],EIMI!C:T,8,0),0)</f>
        <v>0</v>
      </c>
      <c r="M314">
        <f>_xlfn.IFNA(VLOOKUP(Imputar[[#This Row],[Categoría]],EIMI!C:T,9,0),0)</f>
        <v>0</v>
      </c>
      <c r="N314">
        <f>_xlfn.IFNA(VLOOKUP(Imputar[[#This Row],[Categoría]],EIMI!C:T,10,0),0)</f>
        <v>0</v>
      </c>
    </row>
    <row r="315" spans="1:14" x14ac:dyDescent="0.25">
      <c r="A315" s="210">
        <f>Indice!$I$11</f>
        <v>0</v>
      </c>
      <c r="B315" t="s">
        <v>991</v>
      </c>
      <c r="C315" s="39">
        <f>Indice!$I$12</f>
        <v>45992</v>
      </c>
      <c r="E315">
        <f>ROUND(SUMIFS(CATEGORIAS[[#All],[TOTAL PRODUCCION
ACTUAL]],CATEGORIAS[[#All],[CATEGORIA2]],Imputar[[#This Row],[Categoría]]),0)</f>
        <v>0</v>
      </c>
      <c r="F315">
        <v>0</v>
      </c>
      <c r="G315">
        <f>ROUND(SUMIFS(CATEGORIAS[[#All],[PROYECCION
DE INGRESO
DEL SALDO]],CATEGORIAS[[#All],[CATEGORIA2]],Imputar[[#This Row],[Categoría]]),0)</f>
        <v>0</v>
      </c>
      <c r="H315">
        <f>ROUND(SUMIFS(CATEGORIAS[[#All],[CAMBIO DE
CATEGORIA]],CATEGORIAS[[#All],[CATEGORIA2]],Imputar[[#This Row],[Categoría]]),0)</f>
        <v>0</v>
      </c>
      <c r="I3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-24279350</v>
      </c>
      <c r="J315">
        <f>+ROUND(SUMIFS(CATEGORIAS[[#All],[PROYECCION
TOTAL DE COSTO]],CATEGORIAS[[#All],[CATEGORIA2]],Imputar[[#This Row],[Categoría]]),0)
-Imputar[[#This Row],[Inventario]]
-Imputar[[#This Row],[Pedidos no Rec]]</f>
        <v>0</v>
      </c>
      <c r="K31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15">
        <f>_xlfn.IFNA(VLOOKUP(Imputar[[#This Row],[Categoría]],EIMI!C:T,8,0),0)</f>
        <v>24279350</v>
      </c>
      <c r="M315">
        <f>_xlfn.IFNA(VLOOKUP(Imputar[[#This Row],[Categoría]],EIMI!C:T,9,0),0)</f>
        <v>0</v>
      </c>
      <c r="N315">
        <f>_xlfn.IFNA(VLOOKUP(Imputar[[#This Row],[Categoría]],EIMI!C:T,10,0),0)</f>
        <v>0</v>
      </c>
    </row>
    <row r="316" spans="1:14" hidden="1" x14ac:dyDescent="0.25">
      <c r="A316" s="210">
        <f>Indice!$I$11</f>
        <v>0</v>
      </c>
      <c r="B316" t="s">
        <v>993</v>
      </c>
      <c r="C316" s="39">
        <f>Indice!$I$12</f>
        <v>45992</v>
      </c>
      <c r="E316">
        <f>ROUND(SUMIFS(CATEGORIAS[[#All],[TOTAL PRODUCCION
ACTUAL]],CATEGORIAS[[#All],[CATEGORIA2]],Imputar[[#This Row],[Categoría]]),0)</f>
        <v>0</v>
      </c>
      <c r="F316">
        <v>0</v>
      </c>
      <c r="G316">
        <f>ROUND(SUMIFS(CATEGORIAS[[#All],[PROYECCION
DE INGRESO
DEL SALDO]],CATEGORIAS[[#All],[CATEGORIA2]],Imputar[[#This Row],[Categoría]]),0)</f>
        <v>0</v>
      </c>
      <c r="H316">
        <f>ROUND(SUMIFS(CATEGORIAS[[#All],[CAMBIO DE
CATEGORIA]],CATEGORIAS[[#All],[CATEGORIA2]],Imputar[[#This Row],[Categoría]]),0)</f>
        <v>0</v>
      </c>
      <c r="I3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6">
        <f>+ROUND(SUMIFS(CATEGORIAS[[#All],[PROYECCION
TOTAL DE COSTO]],CATEGORIAS[[#All],[CATEGORIA2]],Imputar[[#This Row],[Categoría]]),0)
-Imputar[[#This Row],[Inventario]]
-Imputar[[#This Row],[Pedidos no Rec]]</f>
        <v>0</v>
      </c>
      <c r="K3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6">
        <f>_xlfn.IFNA(VLOOKUP(Imputar[[#This Row],[Categoría]],EIMI!C:T,8,0),0)</f>
        <v>0</v>
      </c>
      <c r="M316">
        <f>_xlfn.IFNA(VLOOKUP(Imputar[[#This Row],[Categoría]],EIMI!C:T,9,0),0)</f>
        <v>0</v>
      </c>
      <c r="N316">
        <f>_xlfn.IFNA(VLOOKUP(Imputar[[#This Row],[Categoría]],EIMI!C:T,10,0),0)</f>
        <v>0</v>
      </c>
    </row>
    <row r="317" spans="1:14" hidden="1" x14ac:dyDescent="0.25">
      <c r="A317" s="210">
        <f>Indice!$I$11</f>
        <v>0</v>
      </c>
      <c r="B317" t="s">
        <v>995</v>
      </c>
      <c r="C317" s="39">
        <f>Indice!$I$12</f>
        <v>45992</v>
      </c>
      <c r="E317">
        <f>ROUND(SUMIFS(CATEGORIAS[[#All],[TOTAL PRODUCCION
ACTUAL]],CATEGORIAS[[#All],[CATEGORIA2]],Imputar[[#This Row],[Categoría]]),0)</f>
        <v>0</v>
      </c>
      <c r="F317">
        <v>0</v>
      </c>
      <c r="G317">
        <f>ROUND(SUMIFS(CATEGORIAS[[#All],[PROYECCION
DE INGRESO
DEL SALDO]],CATEGORIAS[[#All],[CATEGORIA2]],Imputar[[#This Row],[Categoría]]),0)</f>
        <v>0</v>
      </c>
      <c r="H317">
        <f>ROUND(SUMIFS(CATEGORIAS[[#All],[CAMBIO DE
CATEGORIA]],CATEGORIAS[[#All],[CATEGORIA2]],Imputar[[#This Row],[Categoría]]),0)</f>
        <v>0</v>
      </c>
      <c r="I3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7">
        <f>+ROUND(SUMIFS(CATEGORIAS[[#All],[PROYECCION
TOTAL DE COSTO]],CATEGORIAS[[#All],[CATEGORIA2]],Imputar[[#This Row],[Categoría]]),0)
-Imputar[[#This Row],[Inventario]]
-Imputar[[#This Row],[Pedidos no Rec]]</f>
        <v>0</v>
      </c>
      <c r="K3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7">
        <f>_xlfn.IFNA(VLOOKUP(Imputar[[#This Row],[Categoría]],EIMI!C:T,8,0),0)</f>
        <v>0</v>
      </c>
      <c r="M317">
        <f>_xlfn.IFNA(VLOOKUP(Imputar[[#This Row],[Categoría]],EIMI!C:T,9,0),0)</f>
        <v>0</v>
      </c>
      <c r="N317">
        <f>_xlfn.IFNA(VLOOKUP(Imputar[[#This Row],[Categoría]],EIMI!C:T,10,0),0)</f>
        <v>0</v>
      </c>
    </row>
    <row r="318" spans="1:14" x14ac:dyDescent="0.25">
      <c r="A318" s="210">
        <f>Indice!$I$11</f>
        <v>0</v>
      </c>
      <c r="B318" t="s">
        <v>1000</v>
      </c>
      <c r="C318" s="39">
        <f>Indice!$I$12</f>
        <v>45992</v>
      </c>
      <c r="E318">
        <f>ROUND(SUMIFS(CATEGORIAS[[#All],[TOTAL PRODUCCION
ACTUAL]],CATEGORIAS[[#All],[CATEGORIA2]],Imputar[[#This Row],[Categoría]]),0)</f>
        <v>0</v>
      </c>
      <c r="F318">
        <v>0</v>
      </c>
      <c r="G318">
        <f>ROUND(SUMIFS(CATEGORIAS[[#All],[PROYECCION
DE INGRESO
DEL SALDO]],CATEGORIAS[[#All],[CATEGORIA2]],Imputar[[#This Row],[Categoría]]),0)</f>
        <v>0</v>
      </c>
      <c r="H318">
        <f>ROUND(SUMIFS(CATEGORIAS[[#All],[CAMBIO DE
CATEGORIA]],CATEGORIAS[[#All],[CATEGORIA2]],Imputar[[#This Row],[Categoría]]),0)</f>
        <v>0</v>
      </c>
      <c r="I3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8">
        <f>+ROUND(SUMIFS(CATEGORIAS[[#All],[PROYECCION
TOTAL DE COSTO]],CATEGORIAS[[#All],[CATEGORIA2]],Imputar[[#This Row],[Categoría]]),0)
-Imputar[[#This Row],[Inventario]]
-Imputar[[#This Row],[Pedidos no Rec]]</f>
        <v>0</v>
      </c>
      <c r="K3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8">
        <f>_xlfn.IFNA(VLOOKUP(Imputar[[#This Row],[Categoría]],EIMI!C:T,8,0),0)</f>
        <v>0</v>
      </c>
      <c r="M318">
        <f>_xlfn.IFNA(VLOOKUP(Imputar[[#This Row],[Categoría]],EIMI!C:T,9,0),0)</f>
        <v>0</v>
      </c>
      <c r="N318">
        <f>_xlfn.IFNA(VLOOKUP(Imputar[[#This Row],[Categoría]],EIMI!C:T,10,0),0)</f>
        <v>0</v>
      </c>
    </row>
    <row r="319" spans="1:14" hidden="1" x14ac:dyDescent="0.25">
      <c r="A319" s="210">
        <f>Indice!$I$11</f>
        <v>0</v>
      </c>
      <c r="B319" t="s">
        <v>1002</v>
      </c>
      <c r="C319" s="39">
        <f>Indice!$I$12</f>
        <v>45992</v>
      </c>
      <c r="E319">
        <f>ROUND(SUMIFS(CATEGORIAS[[#All],[TOTAL PRODUCCION
ACTUAL]],CATEGORIAS[[#All],[CATEGORIA2]],Imputar[[#This Row],[Categoría]]),0)</f>
        <v>0</v>
      </c>
      <c r="F319">
        <v>0</v>
      </c>
      <c r="G319">
        <f>ROUND(SUMIFS(CATEGORIAS[[#All],[PROYECCION
DE INGRESO
DEL SALDO]],CATEGORIAS[[#All],[CATEGORIA2]],Imputar[[#This Row],[Categoría]]),0)</f>
        <v>0</v>
      </c>
      <c r="H319">
        <f>ROUND(SUMIFS(CATEGORIAS[[#All],[CAMBIO DE
CATEGORIA]],CATEGORIAS[[#All],[CATEGORIA2]],Imputar[[#This Row],[Categoría]]),0)</f>
        <v>0</v>
      </c>
      <c r="I3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9">
        <f>+ROUND(SUMIFS(CATEGORIAS[[#All],[PROYECCION
TOTAL DE COSTO]],CATEGORIAS[[#All],[CATEGORIA2]],Imputar[[#This Row],[Categoría]]),0)
-Imputar[[#This Row],[Inventario]]
-Imputar[[#This Row],[Pedidos no Rec]]</f>
        <v>0</v>
      </c>
      <c r="K3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9">
        <f>_xlfn.IFNA(VLOOKUP(Imputar[[#This Row],[Categoría]],EIMI!C:T,8,0),0)</f>
        <v>0</v>
      </c>
      <c r="M319">
        <f>_xlfn.IFNA(VLOOKUP(Imputar[[#This Row],[Categoría]],EIMI!C:T,9,0),0)</f>
        <v>0</v>
      </c>
      <c r="N319">
        <f>_xlfn.IFNA(VLOOKUP(Imputar[[#This Row],[Categoría]],EIMI!C:T,10,0),0)</f>
        <v>0</v>
      </c>
    </row>
    <row r="320" spans="1:14" hidden="1" x14ac:dyDescent="0.25">
      <c r="A320" s="210">
        <f>Indice!$I$11</f>
        <v>0</v>
      </c>
      <c r="B320" t="s">
        <v>1004</v>
      </c>
      <c r="C320" s="39">
        <f>Indice!$I$12</f>
        <v>45992</v>
      </c>
      <c r="E320">
        <f>ROUND(SUMIFS(CATEGORIAS[[#All],[TOTAL PRODUCCION
ACTUAL]],CATEGORIAS[[#All],[CATEGORIA2]],Imputar[[#This Row],[Categoría]]),0)</f>
        <v>0</v>
      </c>
      <c r="F320">
        <v>0</v>
      </c>
      <c r="G320">
        <f>ROUND(SUMIFS(CATEGORIAS[[#All],[PROYECCION
DE INGRESO
DEL SALDO]],CATEGORIAS[[#All],[CATEGORIA2]],Imputar[[#This Row],[Categoría]]),0)</f>
        <v>0</v>
      </c>
      <c r="H320">
        <f>ROUND(SUMIFS(CATEGORIAS[[#All],[CAMBIO DE
CATEGORIA]],CATEGORIAS[[#All],[CATEGORIA2]],Imputar[[#This Row],[Categoría]]),0)</f>
        <v>0</v>
      </c>
      <c r="I3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0">
        <f>+ROUND(SUMIFS(CATEGORIAS[[#All],[PROYECCION
TOTAL DE COSTO]],CATEGORIAS[[#All],[CATEGORIA2]],Imputar[[#This Row],[Categoría]]),0)
-Imputar[[#This Row],[Inventario]]
-Imputar[[#This Row],[Pedidos no Rec]]</f>
        <v>0</v>
      </c>
      <c r="K3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0">
        <f>_xlfn.IFNA(VLOOKUP(Imputar[[#This Row],[Categoría]],EIMI!C:T,8,0),0)</f>
        <v>0</v>
      </c>
      <c r="M320">
        <f>_xlfn.IFNA(VLOOKUP(Imputar[[#This Row],[Categoría]],EIMI!C:T,9,0),0)</f>
        <v>0</v>
      </c>
      <c r="N320">
        <f>_xlfn.IFNA(VLOOKUP(Imputar[[#This Row],[Categoría]],EIMI!C:T,10,0),0)</f>
        <v>0</v>
      </c>
    </row>
    <row r="321" spans="1:14" hidden="1" x14ac:dyDescent="0.25">
      <c r="A321" s="210">
        <f>Indice!$I$11</f>
        <v>0</v>
      </c>
      <c r="B321" t="s">
        <v>1006</v>
      </c>
      <c r="C321" s="39">
        <f>Indice!$I$12</f>
        <v>45992</v>
      </c>
      <c r="E321">
        <f>ROUND(SUMIFS(CATEGORIAS[[#All],[TOTAL PRODUCCION
ACTUAL]],CATEGORIAS[[#All],[CATEGORIA2]],Imputar[[#This Row],[Categoría]]),0)</f>
        <v>0</v>
      </c>
      <c r="F321">
        <v>0</v>
      </c>
      <c r="G321">
        <f>ROUND(SUMIFS(CATEGORIAS[[#All],[PROYECCION
DE INGRESO
DEL SALDO]],CATEGORIAS[[#All],[CATEGORIA2]],Imputar[[#This Row],[Categoría]]),0)</f>
        <v>0</v>
      </c>
      <c r="H321">
        <f>ROUND(SUMIFS(CATEGORIAS[[#All],[CAMBIO DE
CATEGORIA]],CATEGORIAS[[#All],[CATEGORIA2]],Imputar[[#This Row],[Categoría]]),0)</f>
        <v>0</v>
      </c>
      <c r="I3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1">
        <f>+ROUND(SUMIFS(CATEGORIAS[[#All],[PROYECCION
TOTAL DE COSTO]],CATEGORIAS[[#All],[CATEGORIA2]],Imputar[[#This Row],[Categoría]]),0)
-Imputar[[#This Row],[Inventario]]
-Imputar[[#This Row],[Pedidos no Rec]]</f>
        <v>0</v>
      </c>
      <c r="K3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1">
        <f>_xlfn.IFNA(VLOOKUP(Imputar[[#This Row],[Categoría]],EIMI!C:T,8,0),0)</f>
        <v>0</v>
      </c>
      <c r="M321">
        <f>_xlfn.IFNA(VLOOKUP(Imputar[[#This Row],[Categoría]],EIMI!C:T,9,0),0)</f>
        <v>0</v>
      </c>
      <c r="N321">
        <f>_xlfn.IFNA(VLOOKUP(Imputar[[#This Row],[Categoría]],EIMI!C:T,10,0),0)</f>
        <v>0</v>
      </c>
    </row>
    <row r="322" spans="1:14" x14ac:dyDescent="0.25">
      <c r="A322" s="210">
        <f>Indice!$I$11</f>
        <v>0</v>
      </c>
      <c r="B322" t="s">
        <v>1008</v>
      </c>
      <c r="C322" s="39">
        <f>Indice!$I$12</f>
        <v>45992</v>
      </c>
      <c r="E322">
        <f>ROUND(SUMIFS(CATEGORIAS[[#All],[TOTAL PRODUCCION
ACTUAL]],CATEGORIAS[[#All],[CATEGORIA2]],Imputar[[#This Row],[Categoría]]),0)</f>
        <v>0</v>
      </c>
      <c r="F322">
        <v>0</v>
      </c>
      <c r="G322">
        <f>ROUND(SUMIFS(CATEGORIAS[[#All],[PROYECCION
DE INGRESO
DEL SALDO]],CATEGORIAS[[#All],[CATEGORIA2]],Imputar[[#This Row],[Categoría]]),0)</f>
        <v>0</v>
      </c>
      <c r="H322">
        <f>ROUND(SUMIFS(CATEGORIAS[[#All],[CAMBIO DE
CATEGORIA]],CATEGORIAS[[#All],[CATEGORIA2]],Imputar[[#This Row],[Categoría]]),0)</f>
        <v>0</v>
      </c>
      <c r="I3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2">
        <f>+ROUND(SUMIFS(CATEGORIAS[[#All],[PROYECCION
TOTAL DE COSTO]],CATEGORIAS[[#All],[CATEGORIA2]],Imputar[[#This Row],[Categoría]]),0)
-Imputar[[#This Row],[Inventario]]
-Imputar[[#This Row],[Pedidos no Rec]]</f>
        <v>0</v>
      </c>
      <c r="K3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2">
        <f>_xlfn.IFNA(VLOOKUP(Imputar[[#This Row],[Categoría]],EIMI!C:T,8,0),0)</f>
        <v>0</v>
      </c>
      <c r="M322">
        <f>_xlfn.IFNA(VLOOKUP(Imputar[[#This Row],[Categoría]],EIMI!C:T,9,0),0)</f>
        <v>0</v>
      </c>
      <c r="N322">
        <f>_xlfn.IFNA(VLOOKUP(Imputar[[#This Row],[Categoría]],EIMI!C:T,10,0),0)</f>
        <v>0</v>
      </c>
    </row>
    <row r="323" spans="1:14" x14ac:dyDescent="0.25">
      <c r="A323" s="210">
        <f>Indice!$I$11</f>
        <v>0</v>
      </c>
      <c r="B323" t="s">
        <v>1010</v>
      </c>
      <c r="C323" s="39">
        <f>Indice!$I$12</f>
        <v>45992</v>
      </c>
      <c r="E323">
        <f>ROUND(SUMIFS(CATEGORIAS[[#All],[TOTAL PRODUCCION
ACTUAL]],CATEGORIAS[[#All],[CATEGORIA2]],Imputar[[#This Row],[Categoría]]),0)</f>
        <v>0</v>
      </c>
      <c r="F323">
        <v>0</v>
      </c>
      <c r="G323">
        <f>ROUND(SUMIFS(CATEGORIAS[[#All],[PROYECCION
DE INGRESO
DEL SALDO]],CATEGORIAS[[#All],[CATEGORIA2]],Imputar[[#This Row],[Categoría]]),0)</f>
        <v>0</v>
      </c>
      <c r="H323">
        <f>ROUND(SUMIFS(CATEGORIAS[[#All],[CAMBIO DE
CATEGORIA]],CATEGORIAS[[#All],[CATEGORIA2]],Imputar[[#This Row],[Categoría]]),0)</f>
        <v>0</v>
      </c>
      <c r="I3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-21206130</v>
      </c>
      <c r="J323">
        <f>+ROUND(SUMIFS(CATEGORIAS[[#All],[PROYECCION
TOTAL DE COSTO]],CATEGORIAS[[#All],[CATEGORIA2]],Imputar[[#This Row],[Categoría]]),0)
-Imputar[[#This Row],[Inventario]]
-Imputar[[#This Row],[Pedidos no Rec]]</f>
        <v>0</v>
      </c>
      <c r="K32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23">
        <f>_xlfn.IFNA(VLOOKUP(Imputar[[#This Row],[Categoría]],EIMI!C:T,8,0),0)</f>
        <v>21206130</v>
      </c>
      <c r="M323">
        <f>_xlfn.IFNA(VLOOKUP(Imputar[[#This Row],[Categoría]],EIMI!C:T,9,0),0)</f>
        <v>0</v>
      </c>
      <c r="N323">
        <f>_xlfn.IFNA(VLOOKUP(Imputar[[#This Row],[Categoría]],EIMI!C:T,10,0),0)</f>
        <v>0</v>
      </c>
    </row>
    <row r="324" spans="1:14" hidden="1" x14ac:dyDescent="0.25">
      <c r="A324" s="210">
        <f>Indice!$I$11</f>
        <v>0</v>
      </c>
      <c r="B324" t="s">
        <v>1012</v>
      </c>
      <c r="C324" s="39">
        <f>Indice!$I$12</f>
        <v>45992</v>
      </c>
      <c r="E324">
        <f>ROUND(SUMIFS(CATEGORIAS[[#All],[TOTAL PRODUCCION
ACTUAL]],CATEGORIAS[[#All],[CATEGORIA2]],Imputar[[#This Row],[Categoría]]),0)</f>
        <v>0</v>
      </c>
      <c r="F324">
        <v>0</v>
      </c>
      <c r="G324">
        <f>ROUND(SUMIFS(CATEGORIAS[[#All],[PROYECCION
DE INGRESO
DEL SALDO]],CATEGORIAS[[#All],[CATEGORIA2]],Imputar[[#This Row],[Categoría]]),0)</f>
        <v>0</v>
      </c>
      <c r="H324">
        <f>ROUND(SUMIFS(CATEGORIAS[[#All],[CAMBIO DE
CATEGORIA]],CATEGORIAS[[#All],[CATEGORIA2]],Imputar[[#This Row],[Categoría]]),0)</f>
        <v>0</v>
      </c>
      <c r="I3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4">
        <f>+ROUND(SUMIFS(CATEGORIAS[[#All],[PROYECCION
TOTAL DE COSTO]],CATEGORIAS[[#All],[CATEGORIA2]],Imputar[[#This Row],[Categoría]]),0)
-Imputar[[#This Row],[Inventario]]
-Imputar[[#This Row],[Pedidos no Rec]]</f>
        <v>0</v>
      </c>
      <c r="K3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4">
        <f>_xlfn.IFNA(VLOOKUP(Imputar[[#This Row],[Categoría]],EIMI!C:T,8,0),0)</f>
        <v>0</v>
      </c>
      <c r="M324">
        <f>_xlfn.IFNA(VLOOKUP(Imputar[[#This Row],[Categoría]],EIMI!C:T,9,0),0)</f>
        <v>0</v>
      </c>
      <c r="N324">
        <f>_xlfn.IFNA(VLOOKUP(Imputar[[#This Row],[Categoría]],EIMI!C:T,10,0),0)</f>
        <v>0</v>
      </c>
    </row>
    <row r="325" spans="1:14" hidden="1" x14ac:dyDescent="0.25">
      <c r="A325" s="210">
        <f>Indice!$I$11</f>
        <v>0</v>
      </c>
      <c r="B325" t="s">
        <v>1014</v>
      </c>
      <c r="C325" s="39">
        <f>Indice!$I$12</f>
        <v>45992</v>
      </c>
      <c r="E325">
        <f>ROUND(SUMIFS(CATEGORIAS[[#All],[TOTAL PRODUCCION
ACTUAL]],CATEGORIAS[[#All],[CATEGORIA2]],Imputar[[#This Row],[Categoría]]),0)</f>
        <v>0</v>
      </c>
      <c r="F325">
        <v>0</v>
      </c>
      <c r="G325">
        <f>ROUND(SUMIFS(CATEGORIAS[[#All],[PROYECCION
DE INGRESO
DEL SALDO]],CATEGORIAS[[#All],[CATEGORIA2]],Imputar[[#This Row],[Categoría]]),0)</f>
        <v>0</v>
      </c>
      <c r="H325">
        <f>ROUND(SUMIFS(CATEGORIAS[[#All],[CAMBIO DE
CATEGORIA]],CATEGORIAS[[#All],[CATEGORIA2]],Imputar[[#This Row],[Categoría]]),0)</f>
        <v>0</v>
      </c>
      <c r="I3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5">
        <f>+ROUND(SUMIFS(CATEGORIAS[[#All],[PROYECCION
TOTAL DE COSTO]],CATEGORIAS[[#All],[CATEGORIA2]],Imputar[[#This Row],[Categoría]]),0)
-Imputar[[#This Row],[Inventario]]
-Imputar[[#This Row],[Pedidos no Rec]]</f>
        <v>0</v>
      </c>
      <c r="K3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5">
        <f>_xlfn.IFNA(VLOOKUP(Imputar[[#This Row],[Categoría]],EIMI!C:T,8,0),0)</f>
        <v>0</v>
      </c>
      <c r="M325">
        <f>_xlfn.IFNA(VLOOKUP(Imputar[[#This Row],[Categoría]],EIMI!C:T,9,0),0)</f>
        <v>0</v>
      </c>
      <c r="N325">
        <f>_xlfn.IFNA(VLOOKUP(Imputar[[#This Row],[Categoría]],EIMI!C:T,10,0),0)</f>
        <v>0</v>
      </c>
    </row>
    <row r="326" spans="1:14" x14ac:dyDescent="0.25">
      <c r="A326" s="210">
        <f>Indice!$I$11</f>
        <v>0</v>
      </c>
      <c r="B326" t="s">
        <v>1016</v>
      </c>
      <c r="C326" s="39">
        <f>Indice!$I$12</f>
        <v>45992</v>
      </c>
      <c r="E326">
        <f>ROUND(SUMIFS(CATEGORIAS[[#All],[TOTAL PRODUCCION
ACTUAL]],CATEGORIAS[[#All],[CATEGORIA2]],Imputar[[#This Row],[Categoría]]),0)</f>
        <v>0</v>
      </c>
      <c r="F326">
        <v>0</v>
      </c>
      <c r="G326">
        <f>ROUND(SUMIFS(CATEGORIAS[[#All],[PROYECCION
DE INGRESO
DEL SALDO]],CATEGORIAS[[#All],[CATEGORIA2]],Imputar[[#This Row],[Categoría]]),0)</f>
        <v>0</v>
      </c>
      <c r="H326">
        <f>ROUND(SUMIFS(CATEGORIAS[[#All],[CAMBIO DE
CATEGORIA]],CATEGORIAS[[#All],[CATEGORIA2]],Imputar[[#This Row],[Categoría]]),0)</f>
        <v>0</v>
      </c>
      <c r="I3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6">
        <f>+ROUND(SUMIFS(CATEGORIAS[[#All],[PROYECCION
TOTAL DE COSTO]],CATEGORIAS[[#All],[CATEGORIA2]],Imputar[[#This Row],[Categoría]]),0)
-Imputar[[#This Row],[Inventario]]
-Imputar[[#This Row],[Pedidos no Rec]]</f>
        <v>0</v>
      </c>
      <c r="K3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6">
        <f>_xlfn.IFNA(VLOOKUP(Imputar[[#This Row],[Categoría]],EIMI!C:T,8,0),0)</f>
        <v>0</v>
      </c>
      <c r="M326">
        <f>_xlfn.IFNA(VLOOKUP(Imputar[[#This Row],[Categoría]],EIMI!C:T,9,0),0)</f>
        <v>0</v>
      </c>
      <c r="N326">
        <f>_xlfn.IFNA(VLOOKUP(Imputar[[#This Row],[Categoría]],EIMI!C:T,10,0),0)</f>
        <v>0</v>
      </c>
    </row>
    <row r="327" spans="1:14" x14ac:dyDescent="0.25">
      <c r="A327" s="210">
        <f>Indice!$I$11</f>
        <v>0</v>
      </c>
      <c r="B327" t="s">
        <v>1018</v>
      </c>
      <c r="C327" s="39">
        <f>Indice!$I$12</f>
        <v>45992</v>
      </c>
      <c r="E327">
        <f>ROUND(SUMIFS(CATEGORIAS[[#All],[TOTAL PRODUCCION
ACTUAL]],CATEGORIAS[[#All],[CATEGORIA2]],Imputar[[#This Row],[Categoría]]),0)</f>
        <v>0</v>
      </c>
      <c r="F327">
        <v>0</v>
      </c>
      <c r="G327">
        <f>ROUND(SUMIFS(CATEGORIAS[[#All],[PROYECCION
DE INGRESO
DEL SALDO]],CATEGORIAS[[#All],[CATEGORIA2]],Imputar[[#This Row],[Categoría]]),0)</f>
        <v>0</v>
      </c>
      <c r="H327">
        <f>ROUND(SUMIFS(CATEGORIAS[[#All],[CAMBIO DE
CATEGORIA]],CATEGORIAS[[#All],[CATEGORIA2]],Imputar[[#This Row],[Categoría]]),0)</f>
        <v>0</v>
      </c>
      <c r="I3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-2143242</v>
      </c>
      <c r="J327">
        <f>+ROUND(SUMIFS(CATEGORIAS[[#All],[PROYECCION
TOTAL DE COSTO]],CATEGORIAS[[#All],[CATEGORIA2]],Imputar[[#This Row],[Categoría]]),0)
-Imputar[[#This Row],[Inventario]]
-Imputar[[#This Row],[Pedidos no Rec]]</f>
        <v>0</v>
      </c>
      <c r="K3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27">
        <f>_xlfn.IFNA(VLOOKUP(Imputar[[#This Row],[Categoría]],EIMI!C:T,8,0),0)</f>
        <v>2143242</v>
      </c>
      <c r="M327">
        <f>_xlfn.IFNA(VLOOKUP(Imputar[[#This Row],[Categoría]],EIMI!C:T,9,0),0)</f>
        <v>0</v>
      </c>
      <c r="N327">
        <f>_xlfn.IFNA(VLOOKUP(Imputar[[#This Row],[Categoría]],EIMI!C:T,10,0),0)</f>
        <v>0</v>
      </c>
    </row>
    <row r="328" spans="1:14" hidden="1" x14ac:dyDescent="0.25">
      <c r="A328" s="210">
        <f>Indice!$I$11</f>
        <v>0</v>
      </c>
      <c r="B328" t="s">
        <v>1020</v>
      </c>
      <c r="C328" s="39">
        <f>Indice!$I$12</f>
        <v>45992</v>
      </c>
      <c r="E328">
        <f>ROUND(SUMIFS(CATEGORIAS[[#All],[TOTAL PRODUCCION
ACTUAL]],CATEGORIAS[[#All],[CATEGORIA2]],Imputar[[#This Row],[Categoría]]),0)</f>
        <v>0</v>
      </c>
      <c r="F328">
        <v>0</v>
      </c>
      <c r="G328">
        <f>ROUND(SUMIFS(CATEGORIAS[[#All],[PROYECCION
DE INGRESO
DEL SALDO]],CATEGORIAS[[#All],[CATEGORIA2]],Imputar[[#This Row],[Categoría]]),0)</f>
        <v>0</v>
      </c>
      <c r="H328">
        <f>ROUND(SUMIFS(CATEGORIAS[[#All],[CAMBIO DE
CATEGORIA]],CATEGORIAS[[#All],[CATEGORIA2]],Imputar[[#This Row],[Categoría]]),0)</f>
        <v>0</v>
      </c>
      <c r="I3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8">
        <f>+ROUND(SUMIFS(CATEGORIAS[[#All],[PROYECCION
TOTAL DE COSTO]],CATEGORIAS[[#All],[CATEGORIA2]],Imputar[[#This Row],[Categoría]]),0)
-Imputar[[#This Row],[Inventario]]
-Imputar[[#This Row],[Pedidos no Rec]]</f>
        <v>0</v>
      </c>
      <c r="K3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8">
        <f>_xlfn.IFNA(VLOOKUP(Imputar[[#This Row],[Categoría]],EIMI!C:T,8,0),0)</f>
        <v>0</v>
      </c>
      <c r="M328">
        <f>_xlfn.IFNA(VLOOKUP(Imputar[[#This Row],[Categoría]],EIMI!C:T,9,0),0)</f>
        <v>0</v>
      </c>
      <c r="N328">
        <f>_xlfn.IFNA(VLOOKUP(Imputar[[#This Row],[Categoría]],EIMI!C:T,10,0),0)</f>
        <v>0</v>
      </c>
    </row>
    <row r="329" spans="1:14" hidden="1" x14ac:dyDescent="0.25">
      <c r="A329" s="210">
        <f>Indice!$I$11</f>
        <v>0</v>
      </c>
      <c r="B329" t="s">
        <v>1022</v>
      </c>
      <c r="C329" s="39">
        <f>Indice!$I$12</f>
        <v>45992</v>
      </c>
      <c r="E329">
        <f>ROUND(SUMIFS(CATEGORIAS[[#All],[TOTAL PRODUCCION
ACTUAL]],CATEGORIAS[[#All],[CATEGORIA2]],Imputar[[#This Row],[Categoría]]),0)</f>
        <v>0</v>
      </c>
      <c r="F329">
        <v>0</v>
      </c>
      <c r="G329">
        <f>ROUND(SUMIFS(CATEGORIAS[[#All],[PROYECCION
DE INGRESO
DEL SALDO]],CATEGORIAS[[#All],[CATEGORIA2]],Imputar[[#This Row],[Categoría]]),0)</f>
        <v>0</v>
      </c>
      <c r="H329">
        <f>ROUND(SUMIFS(CATEGORIAS[[#All],[CAMBIO DE
CATEGORIA]],CATEGORIAS[[#All],[CATEGORIA2]],Imputar[[#This Row],[Categoría]]),0)</f>
        <v>0</v>
      </c>
      <c r="I3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9">
        <f>+ROUND(SUMIFS(CATEGORIAS[[#All],[PROYECCION
TOTAL DE COSTO]],CATEGORIAS[[#All],[CATEGORIA2]],Imputar[[#This Row],[Categoría]]),0)
-Imputar[[#This Row],[Inventario]]
-Imputar[[#This Row],[Pedidos no Rec]]</f>
        <v>0</v>
      </c>
      <c r="K3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9">
        <f>_xlfn.IFNA(VLOOKUP(Imputar[[#This Row],[Categoría]],EIMI!C:T,8,0),0)</f>
        <v>0</v>
      </c>
      <c r="M329">
        <f>_xlfn.IFNA(VLOOKUP(Imputar[[#This Row],[Categoría]],EIMI!C:T,9,0),0)</f>
        <v>0</v>
      </c>
      <c r="N329">
        <f>_xlfn.IFNA(VLOOKUP(Imputar[[#This Row],[Categoría]],EIMI!C:T,10,0),0)</f>
        <v>0</v>
      </c>
    </row>
    <row r="330" spans="1:14" x14ac:dyDescent="0.25">
      <c r="A330" s="210">
        <f>Indice!$I$11</f>
        <v>0</v>
      </c>
      <c r="B330" t="s">
        <v>1024</v>
      </c>
      <c r="C330" s="39">
        <f>Indice!$I$12</f>
        <v>45992</v>
      </c>
      <c r="E330">
        <f>ROUND(SUMIFS(CATEGORIAS[[#All],[TOTAL PRODUCCION
ACTUAL]],CATEGORIAS[[#All],[CATEGORIA2]],Imputar[[#This Row],[Categoría]]),0)</f>
        <v>0</v>
      </c>
      <c r="F330">
        <v>0</v>
      </c>
      <c r="G330">
        <f>ROUND(SUMIFS(CATEGORIAS[[#All],[PROYECCION
DE INGRESO
DEL SALDO]],CATEGORIAS[[#All],[CATEGORIA2]],Imputar[[#This Row],[Categoría]]),0)</f>
        <v>0</v>
      </c>
      <c r="H330">
        <f>ROUND(SUMIFS(CATEGORIAS[[#All],[CAMBIO DE
CATEGORIA]],CATEGORIAS[[#All],[CATEGORIA2]],Imputar[[#This Row],[Categoría]]),0)</f>
        <v>0</v>
      </c>
      <c r="I3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0">
        <f>+ROUND(SUMIFS(CATEGORIAS[[#All],[PROYECCION
TOTAL DE COSTO]],CATEGORIAS[[#All],[CATEGORIA2]],Imputar[[#This Row],[Categoría]]),0)
-Imputar[[#This Row],[Inventario]]
-Imputar[[#This Row],[Pedidos no Rec]]</f>
        <v>0</v>
      </c>
      <c r="K3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0">
        <f>_xlfn.IFNA(VLOOKUP(Imputar[[#This Row],[Categoría]],EIMI!C:T,8,0),0)</f>
        <v>0</v>
      </c>
      <c r="M330">
        <f>_xlfn.IFNA(VLOOKUP(Imputar[[#This Row],[Categoría]],EIMI!C:T,9,0),0)</f>
        <v>0</v>
      </c>
      <c r="N330">
        <f>_xlfn.IFNA(VLOOKUP(Imputar[[#This Row],[Categoría]],EIMI!C:T,10,0),0)</f>
        <v>0</v>
      </c>
    </row>
    <row r="331" spans="1:14" x14ac:dyDescent="0.25">
      <c r="A331" s="210">
        <f>Indice!$I$11</f>
        <v>0</v>
      </c>
      <c r="B331" t="s">
        <v>1026</v>
      </c>
      <c r="C331" s="39">
        <f>Indice!$I$12</f>
        <v>45992</v>
      </c>
      <c r="E331">
        <f>ROUND(SUMIFS(CATEGORIAS[[#All],[TOTAL PRODUCCION
ACTUAL]],CATEGORIAS[[#All],[CATEGORIA2]],Imputar[[#This Row],[Categoría]]),0)</f>
        <v>0</v>
      </c>
      <c r="F331">
        <v>0</v>
      </c>
      <c r="G331">
        <f>ROUND(SUMIFS(CATEGORIAS[[#All],[PROYECCION
DE INGRESO
DEL SALDO]],CATEGORIAS[[#All],[CATEGORIA2]],Imputar[[#This Row],[Categoría]]),0)</f>
        <v>0</v>
      </c>
      <c r="H331">
        <f>ROUND(SUMIFS(CATEGORIAS[[#All],[CAMBIO DE
CATEGORIA]],CATEGORIAS[[#All],[CATEGORIA2]],Imputar[[#This Row],[Categoría]]),0)</f>
        <v>0</v>
      </c>
      <c r="I3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-8336598</v>
      </c>
      <c r="J331">
        <f>+ROUND(SUMIFS(CATEGORIAS[[#All],[PROYECCION
TOTAL DE COSTO]],CATEGORIAS[[#All],[CATEGORIA2]],Imputar[[#This Row],[Categoría]]),0)
-Imputar[[#This Row],[Inventario]]
-Imputar[[#This Row],[Pedidos no Rec]]</f>
        <v>0</v>
      </c>
      <c r="K33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31">
        <f>_xlfn.IFNA(VLOOKUP(Imputar[[#This Row],[Categoría]],EIMI!C:T,8,0),0)</f>
        <v>8336598</v>
      </c>
      <c r="M331">
        <f>_xlfn.IFNA(VLOOKUP(Imputar[[#This Row],[Categoría]],EIMI!C:T,9,0),0)</f>
        <v>0</v>
      </c>
      <c r="N331">
        <f>_xlfn.IFNA(VLOOKUP(Imputar[[#This Row],[Categoría]],EIMI!C:T,10,0),0)</f>
        <v>0</v>
      </c>
    </row>
    <row r="332" spans="1:14" hidden="1" x14ac:dyDescent="0.25">
      <c r="A332" s="210">
        <f>Indice!$I$11</f>
        <v>0</v>
      </c>
      <c r="B332" t="s">
        <v>1028</v>
      </c>
      <c r="C332" s="39">
        <f>Indice!$I$12</f>
        <v>45992</v>
      </c>
      <c r="E332">
        <f>ROUND(SUMIFS(CATEGORIAS[[#All],[TOTAL PRODUCCION
ACTUAL]],CATEGORIAS[[#All],[CATEGORIA2]],Imputar[[#This Row],[Categoría]]),0)</f>
        <v>0</v>
      </c>
      <c r="F332">
        <v>0</v>
      </c>
      <c r="G332">
        <f>ROUND(SUMIFS(CATEGORIAS[[#All],[PROYECCION
DE INGRESO
DEL SALDO]],CATEGORIAS[[#All],[CATEGORIA2]],Imputar[[#This Row],[Categoría]]),0)</f>
        <v>0</v>
      </c>
      <c r="H332">
        <f>ROUND(SUMIFS(CATEGORIAS[[#All],[CAMBIO DE
CATEGORIA]],CATEGORIAS[[#All],[CATEGORIA2]],Imputar[[#This Row],[Categoría]]),0)</f>
        <v>0</v>
      </c>
      <c r="I3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2">
        <f>+ROUND(SUMIFS(CATEGORIAS[[#All],[PROYECCION
TOTAL DE COSTO]],CATEGORIAS[[#All],[CATEGORIA2]],Imputar[[#This Row],[Categoría]]),0)
-Imputar[[#This Row],[Inventario]]
-Imputar[[#This Row],[Pedidos no Rec]]</f>
        <v>0</v>
      </c>
      <c r="K3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2">
        <f>_xlfn.IFNA(VLOOKUP(Imputar[[#This Row],[Categoría]],EIMI!C:T,8,0),0)</f>
        <v>0</v>
      </c>
      <c r="M332">
        <f>_xlfn.IFNA(VLOOKUP(Imputar[[#This Row],[Categoría]],EIMI!C:T,9,0),0)</f>
        <v>0</v>
      </c>
      <c r="N332">
        <f>_xlfn.IFNA(VLOOKUP(Imputar[[#This Row],[Categoría]],EIMI!C:T,10,0),0)</f>
        <v>0</v>
      </c>
    </row>
    <row r="333" spans="1:14" hidden="1" x14ac:dyDescent="0.25">
      <c r="A333" s="210">
        <f>Indice!$I$11</f>
        <v>0</v>
      </c>
      <c r="B333" t="s">
        <v>1030</v>
      </c>
      <c r="C333" s="39">
        <f>Indice!$I$12</f>
        <v>45992</v>
      </c>
      <c r="E333">
        <f>ROUND(SUMIFS(CATEGORIAS[[#All],[TOTAL PRODUCCION
ACTUAL]],CATEGORIAS[[#All],[CATEGORIA2]],Imputar[[#This Row],[Categoría]]),0)</f>
        <v>0</v>
      </c>
      <c r="F333">
        <v>0</v>
      </c>
      <c r="G333">
        <f>ROUND(SUMIFS(CATEGORIAS[[#All],[PROYECCION
DE INGRESO
DEL SALDO]],CATEGORIAS[[#All],[CATEGORIA2]],Imputar[[#This Row],[Categoría]]),0)</f>
        <v>0</v>
      </c>
      <c r="H333">
        <f>ROUND(SUMIFS(CATEGORIAS[[#All],[CAMBIO DE
CATEGORIA]],CATEGORIAS[[#All],[CATEGORIA2]],Imputar[[#This Row],[Categoría]]),0)</f>
        <v>0</v>
      </c>
      <c r="I3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3">
        <f>+ROUND(SUMIFS(CATEGORIAS[[#All],[PROYECCION
TOTAL DE COSTO]],CATEGORIAS[[#All],[CATEGORIA2]],Imputar[[#This Row],[Categoría]]),0)
-Imputar[[#This Row],[Inventario]]
-Imputar[[#This Row],[Pedidos no Rec]]</f>
        <v>0</v>
      </c>
      <c r="K3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3">
        <f>_xlfn.IFNA(VLOOKUP(Imputar[[#This Row],[Categoría]],EIMI!C:T,8,0),0)</f>
        <v>0</v>
      </c>
      <c r="M333">
        <f>_xlfn.IFNA(VLOOKUP(Imputar[[#This Row],[Categoría]],EIMI!C:T,9,0),0)</f>
        <v>0</v>
      </c>
      <c r="N333">
        <f>_xlfn.IFNA(VLOOKUP(Imputar[[#This Row],[Categoría]],EIMI!C:T,10,0),0)</f>
        <v>0</v>
      </c>
    </row>
    <row r="334" spans="1:14" x14ac:dyDescent="0.25">
      <c r="A334" s="210">
        <f>Indice!$I$11</f>
        <v>0</v>
      </c>
      <c r="B334" t="s">
        <v>1032</v>
      </c>
      <c r="C334" s="39">
        <f>Indice!$I$12</f>
        <v>45992</v>
      </c>
      <c r="E334">
        <f>ROUND(SUMIFS(CATEGORIAS[[#All],[TOTAL PRODUCCION
ACTUAL]],CATEGORIAS[[#All],[CATEGORIA2]],Imputar[[#This Row],[Categoría]]),0)</f>
        <v>0</v>
      </c>
      <c r="F334">
        <v>0</v>
      </c>
      <c r="G334">
        <f>ROUND(SUMIFS(CATEGORIAS[[#All],[PROYECCION
DE INGRESO
DEL SALDO]],CATEGORIAS[[#All],[CATEGORIA2]],Imputar[[#This Row],[Categoría]]),0)</f>
        <v>0</v>
      </c>
      <c r="H334">
        <f>ROUND(SUMIFS(CATEGORIAS[[#All],[CAMBIO DE
CATEGORIA]],CATEGORIAS[[#All],[CATEGORIA2]],Imputar[[#This Row],[Categoría]]),0)</f>
        <v>0</v>
      </c>
      <c r="I3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4">
        <f>+ROUND(SUMIFS(CATEGORIAS[[#All],[PROYECCION
TOTAL DE COSTO]],CATEGORIAS[[#All],[CATEGORIA2]],Imputar[[#This Row],[Categoría]]),0)
-Imputar[[#This Row],[Inventario]]
-Imputar[[#This Row],[Pedidos no Rec]]</f>
        <v>0</v>
      </c>
      <c r="K3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4">
        <f>_xlfn.IFNA(VLOOKUP(Imputar[[#This Row],[Categoría]],EIMI!C:T,8,0),0)</f>
        <v>0</v>
      </c>
      <c r="M334">
        <f>_xlfn.IFNA(VLOOKUP(Imputar[[#This Row],[Categoría]],EIMI!C:T,9,0),0)</f>
        <v>0</v>
      </c>
      <c r="N334">
        <f>_xlfn.IFNA(VLOOKUP(Imputar[[#This Row],[Categoría]],EIMI!C:T,10,0),0)</f>
        <v>0</v>
      </c>
    </row>
    <row r="335" spans="1:14" hidden="1" x14ac:dyDescent="0.25">
      <c r="A335" s="210">
        <f>Indice!$I$11</f>
        <v>0</v>
      </c>
      <c r="B335" t="s">
        <v>1034</v>
      </c>
      <c r="C335" s="39">
        <f>Indice!$I$12</f>
        <v>45992</v>
      </c>
      <c r="E335">
        <f>ROUND(SUMIFS(CATEGORIAS[[#All],[TOTAL PRODUCCION
ACTUAL]],CATEGORIAS[[#All],[CATEGORIA2]],Imputar[[#This Row],[Categoría]]),0)</f>
        <v>0</v>
      </c>
      <c r="F335">
        <v>0</v>
      </c>
      <c r="G335">
        <f>ROUND(SUMIFS(CATEGORIAS[[#All],[PROYECCION
DE INGRESO
DEL SALDO]],CATEGORIAS[[#All],[CATEGORIA2]],Imputar[[#This Row],[Categoría]]),0)</f>
        <v>0</v>
      </c>
      <c r="H335">
        <f>ROUND(SUMIFS(CATEGORIAS[[#All],[CAMBIO DE
CATEGORIA]],CATEGORIAS[[#All],[CATEGORIA2]],Imputar[[#This Row],[Categoría]]),0)</f>
        <v>0</v>
      </c>
      <c r="I3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5">
        <f>+ROUND(SUMIFS(CATEGORIAS[[#All],[PROYECCION
TOTAL DE COSTO]],CATEGORIAS[[#All],[CATEGORIA2]],Imputar[[#This Row],[Categoría]]),0)
-Imputar[[#This Row],[Inventario]]
-Imputar[[#This Row],[Pedidos no Rec]]</f>
        <v>0</v>
      </c>
      <c r="K3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5">
        <f>_xlfn.IFNA(VLOOKUP(Imputar[[#This Row],[Categoría]],EIMI!C:T,8,0),0)</f>
        <v>0</v>
      </c>
      <c r="M335">
        <f>_xlfn.IFNA(VLOOKUP(Imputar[[#This Row],[Categoría]],EIMI!C:T,9,0),0)</f>
        <v>0</v>
      </c>
      <c r="N335">
        <f>_xlfn.IFNA(VLOOKUP(Imputar[[#This Row],[Categoría]],EIMI!C:T,10,0),0)</f>
        <v>0</v>
      </c>
    </row>
    <row r="336" spans="1:14" hidden="1" x14ac:dyDescent="0.25">
      <c r="A336" s="210">
        <f>Indice!$I$11</f>
        <v>0</v>
      </c>
      <c r="B336" t="s">
        <v>1036</v>
      </c>
      <c r="C336" s="39">
        <f>Indice!$I$12</f>
        <v>45992</v>
      </c>
      <c r="E336">
        <f>ROUND(SUMIFS(CATEGORIAS[[#All],[TOTAL PRODUCCION
ACTUAL]],CATEGORIAS[[#All],[CATEGORIA2]],Imputar[[#This Row],[Categoría]]),0)</f>
        <v>0</v>
      </c>
      <c r="F336">
        <v>0</v>
      </c>
      <c r="G336">
        <f>ROUND(SUMIFS(CATEGORIAS[[#All],[PROYECCION
DE INGRESO
DEL SALDO]],CATEGORIAS[[#All],[CATEGORIA2]],Imputar[[#This Row],[Categoría]]),0)</f>
        <v>0</v>
      </c>
      <c r="H336">
        <f>ROUND(SUMIFS(CATEGORIAS[[#All],[CAMBIO DE
CATEGORIA]],CATEGORIAS[[#All],[CATEGORIA2]],Imputar[[#This Row],[Categoría]]),0)</f>
        <v>0</v>
      </c>
      <c r="I3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6">
        <f>+ROUND(SUMIFS(CATEGORIAS[[#All],[PROYECCION
TOTAL DE COSTO]],CATEGORIAS[[#All],[CATEGORIA2]],Imputar[[#This Row],[Categoría]]),0)
-Imputar[[#This Row],[Inventario]]
-Imputar[[#This Row],[Pedidos no Rec]]</f>
        <v>0</v>
      </c>
      <c r="K3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6">
        <f>_xlfn.IFNA(VLOOKUP(Imputar[[#This Row],[Categoría]],EIMI!C:T,8,0),0)</f>
        <v>0</v>
      </c>
      <c r="M336">
        <f>_xlfn.IFNA(VLOOKUP(Imputar[[#This Row],[Categoría]],EIMI!C:T,9,0),0)</f>
        <v>0</v>
      </c>
      <c r="N336">
        <f>_xlfn.IFNA(VLOOKUP(Imputar[[#This Row],[Categoría]],EIMI!C:T,10,0),0)</f>
        <v>0</v>
      </c>
    </row>
    <row r="337" spans="1:14" hidden="1" x14ac:dyDescent="0.25">
      <c r="A337" s="210">
        <f>Indice!$I$11</f>
        <v>0</v>
      </c>
      <c r="B337" t="s">
        <v>1038</v>
      </c>
      <c r="C337" s="39">
        <f>Indice!$I$12</f>
        <v>45992</v>
      </c>
      <c r="E337">
        <f>ROUND(SUMIFS(CATEGORIAS[[#All],[TOTAL PRODUCCION
ACTUAL]],CATEGORIAS[[#All],[CATEGORIA2]],Imputar[[#This Row],[Categoría]]),0)</f>
        <v>0</v>
      </c>
      <c r="F337">
        <v>0</v>
      </c>
      <c r="G337">
        <f>ROUND(SUMIFS(CATEGORIAS[[#All],[PROYECCION
DE INGRESO
DEL SALDO]],CATEGORIAS[[#All],[CATEGORIA2]],Imputar[[#This Row],[Categoría]]),0)</f>
        <v>0</v>
      </c>
      <c r="H337">
        <f>ROUND(SUMIFS(CATEGORIAS[[#All],[CAMBIO DE
CATEGORIA]],CATEGORIAS[[#All],[CATEGORIA2]],Imputar[[#This Row],[Categoría]]),0)</f>
        <v>0</v>
      </c>
      <c r="I3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7">
        <f>+ROUND(SUMIFS(CATEGORIAS[[#All],[PROYECCION
TOTAL DE COSTO]],CATEGORIAS[[#All],[CATEGORIA2]],Imputar[[#This Row],[Categoría]]),0)
-Imputar[[#This Row],[Inventario]]
-Imputar[[#This Row],[Pedidos no Rec]]</f>
        <v>0</v>
      </c>
      <c r="K3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7">
        <f>_xlfn.IFNA(VLOOKUP(Imputar[[#This Row],[Categoría]],EIMI!C:T,8,0),0)</f>
        <v>0</v>
      </c>
      <c r="M337">
        <f>_xlfn.IFNA(VLOOKUP(Imputar[[#This Row],[Categoría]],EIMI!C:T,9,0),0)</f>
        <v>0</v>
      </c>
      <c r="N337">
        <f>_xlfn.IFNA(VLOOKUP(Imputar[[#This Row],[Categoría]],EIMI!C:T,10,0),0)</f>
        <v>0</v>
      </c>
    </row>
    <row r="338" spans="1:14" hidden="1" x14ac:dyDescent="0.25">
      <c r="A338" s="210">
        <f>Indice!$I$11</f>
        <v>0</v>
      </c>
      <c r="B338" t="s">
        <v>1040</v>
      </c>
      <c r="C338" s="39">
        <f>Indice!$I$12</f>
        <v>45992</v>
      </c>
      <c r="E338">
        <f>ROUND(SUMIFS(CATEGORIAS[[#All],[TOTAL PRODUCCION
ACTUAL]],CATEGORIAS[[#All],[CATEGORIA2]],Imputar[[#This Row],[Categoría]]),0)</f>
        <v>0</v>
      </c>
      <c r="F338">
        <v>0</v>
      </c>
      <c r="G338">
        <f>ROUND(SUMIFS(CATEGORIAS[[#All],[PROYECCION
DE INGRESO
DEL SALDO]],CATEGORIAS[[#All],[CATEGORIA2]],Imputar[[#This Row],[Categoría]]),0)</f>
        <v>0</v>
      </c>
      <c r="H338">
        <f>ROUND(SUMIFS(CATEGORIAS[[#All],[CAMBIO DE
CATEGORIA]],CATEGORIAS[[#All],[CATEGORIA2]],Imputar[[#This Row],[Categoría]]),0)</f>
        <v>0</v>
      </c>
      <c r="I3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8">
        <f>+ROUND(SUMIFS(CATEGORIAS[[#All],[PROYECCION
TOTAL DE COSTO]],CATEGORIAS[[#All],[CATEGORIA2]],Imputar[[#This Row],[Categoría]]),0)
-Imputar[[#This Row],[Inventario]]
-Imputar[[#This Row],[Pedidos no Rec]]</f>
        <v>0</v>
      </c>
      <c r="K3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8">
        <f>_xlfn.IFNA(VLOOKUP(Imputar[[#This Row],[Categoría]],EIMI!C:T,8,0),0)</f>
        <v>0</v>
      </c>
      <c r="M338">
        <f>_xlfn.IFNA(VLOOKUP(Imputar[[#This Row],[Categoría]],EIMI!C:T,9,0),0)</f>
        <v>0</v>
      </c>
      <c r="N338">
        <f>_xlfn.IFNA(VLOOKUP(Imputar[[#This Row],[Categoría]],EIMI!C:T,10,0),0)</f>
        <v>0</v>
      </c>
    </row>
    <row r="339" spans="1:14" hidden="1" x14ac:dyDescent="0.25">
      <c r="A339" s="210">
        <f>Indice!$I$11</f>
        <v>0</v>
      </c>
      <c r="B339" t="s">
        <v>1042</v>
      </c>
      <c r="C339" s="39">
        <f>Indice!$I$12</f>
        <v>45992</v>
      </c>
      <c r="E339">
        <f>ROUND(SUMIFS(CATEGORIAS[[#All],[TOTAL PRODUCCION
ACTUAL]],CATEGORIAS[[#All],[CATEGORIA2]],Imputar[[#This Row],[Categoría]]),0)</f>
        <v>0</v>
      </c>
      <c r="F339">
        <v>0</v>
      </c>
      <c r="G339">
        <f>ROUND(SUMIFS(CATEGORIAS[[#All],[PROYECCION
DE INGRESO
DEL SALDO]],CATEGORIAS[[#All],[CATEGORIA2]],Imputar[[#This Row],[Categoría]]),0)</f>
        <v>0</v>
      </c>
      <c r="H339">
        <f>ROUND(SUMIFS(CATEGORIAS[[#All],[CAMBIO DE
CATEGORIA]],CATEGORIAS[[#All],[CATEGORIA2]],Imputar[[#This Row],[Categoría]]),0)</f>
        <v>0</v>
      </c>
      <c r="I3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9">
        <f>+ROUND(SUMIFS(CATEGORIAS[[#All],[PROYECCION
TOTAL DE COSTO]],CATEGORIAS[[#All],[CATEGORIA2]],Imputar[[#This Row],[Categoría]]),0)
-Imputar[[#This Row],[Inventario]]
-Imputar[[#This Row],[Pedidos no Rec]]</f>
        <v>0</v>
      </c>
      <c r="K3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9">
        <f>_xlfn.IFNA(VLOOKUP(Imputar[[#This Row],[Categoría]],EIMI!C:T,8,0),0)</f>
        <v>0</v>
      </c>
      <c r="M339">
        <f>_xlfn.IFNA(VLOOKUP(Imputar[[#This Row],[Categoría]],EIMI!C:T,9,0),0)</f>
        <v>0</v>
      </c>
      <c r="N339">
        <f>_xlfn.IFNA(VLOOKUP(Imputar[[#This Row],[Categoría]],EIMI!C:T,10,0),0)</f>
        <v>0</v>
      </c>
    </row>
    <row r="340" spans="1:14" hidden="1" x14ac:dyDescent="0.25">
      <c r="A340" s="210">
        <f>Indice!$I$11</f>
        <v>0</v>
      </c>
      <c r="B340" t="s">
        <v>1044</v>
      </c>
      <c r="C340" s="39">
        <f>Indice!$I$12</f>
        <v>45992</v>
      </c>
      <c r="E340">
        <f>ROUND(SUMIFS(CATEGORIAS[[#All],[TOTAL PRODUCCION
ACTUAL]],CATEGORIAS[[#All],[CATEGORIA2]],Imputar[[#This Row],[Categoría]]),0)</f>
        <v>0</v>
      </c>
      <c r="F340">
        <v>0</v>
      </c>
      <c r="G340">
        <f>ROUND(SUMIFS(CATEGORIAS[[#All],[PROYECCION
DE INGRESO
DEL SALDO]],CATEGORIAS[[#All],[CATEGORIA2]],Imputar[[#This Row],[Categoría]]),0)</f>
        <v>0</v>
      </c>
      <c r="H340">
        <f>ROUND(SUMIFS(CATEGORIAS[[#All],[CAMBIO DE
CATEGORIA]],CATEGORIAS[[#All],[CATEGORIA2]],Imputar[[#This Row],[Categoría]]),0)</f>
        <v>0</v>
      </c>
      <c r="I3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0">
        <f>+ROUND(SUMIFS(CATEGORIAS[[#All],[PROYECCION
TOTAL DE COSTO]],CATEGORIAS[[#All],[CATEGORIA2]],Imputar[[#This Row],[Categoría]]),0)
-Imputar[[#This Row],[Inventario]]
-Imputar[[#This Row],[Pedidos no Rec]]</f>
        <v>0</v>
      </c>
      <c r="K3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0">
        <f>_xlfn.IFNA(VLOOKUP(Imputar[[#This Row],[Categoría]],EIMI!C:T,8,0),0)</f>
        <v>0</v>
      </c>
      <c r="M340">
        <f>_xlfn.IFNA(VLOOKUP(Imputar[[#This Row],[Categoría]],EIMI!C:T,9,0),0)</f>
        <v>0</v>
      </c>
      <c r="N340">
        <f>_xlfn.IFNA(VLOOKUP(Imputar[[#This Row],[Categoría]],EIMI!C:T,10,0),0)</f>
        <v>0</v>
      </c>
    </row>
    <row r="341" spans="1:14" hidden="1" x14ac:dyDescent="0.25">
      <c r="A341" s="210">
        <f>Indice!$I$11</f>
        <v>0</v>
      </c>
      <c r="B341" t="s">
        <v>1046</v>
      </c>
      <c r="C341" s="39">
        <f>Indice!$I$12</f>
        <v>45992</v>
      </c>
      <c r="E341">
        <f>ROUND(SUMIFS(CATEGORIAS[[#All],[TOTAL PRODUCCION
ACTUAL]],CATEGORIAS[[#All],[CATEGORIA2]],Imputar[[#This Row],[Categoría]]),0)</f>
        <v>0</v>
      </c>
      <c r="F341">
        <v>0</v>
      </c>
      <c r="G341">
        <f>ROUND(SUMIFS(CATEGORIAS[[#All],[PROYECCION
DE INGRESO
DEL SALDO]],CATEGORIAS[[#All],[CATEGORIA2]],Imputar[[#This Row],[Categoría]]),0)</f>
        <v>0</v>
      </c>
      <c r="H341">
        <f>ROUND(SUMIFS(CATEGORIAS[[#All],[CAMBIO DE
CATEGORIA]],CATEGORIAS[[#All],[CATEGORIA2]],Imputar[[#This Row],[Categoría]]),0)</f>
        <v>0</v>
      </c>
      <c r="I3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1">
        <f>+ROUND(SUMIFS(CATEGORIAS[[#All],[PROYECCION
TOTAL DE COSTO]],CATEGORIAS[[#All],[CATEGORIA2]],Imputar[[#This Row],[Categoría]]),0)
-Imputar[[#This Row],[Inventario]]
-Imputar[[#This Row],[Pedidos no Rec]]</f>
        <v>0</v>
      </c>
      <c r="K3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1">
        <f>_xlfn.IFNA(VLOOKUP(Imputar[[#This Row],[Categoría]],EIMI!C:T,8,0),0)</f>
        <v>0</v>
      </c>
      <c r="M341">
        <f>_xlfn.IFNA(VLOOKUP(Imputar[[#This Row],[Categoría]],EIMI!C:T,9,0),0)</f>
        <v>0</v>
      </c>
      <c r="N341">
        <f>_xlfn.IFNA(VLOOKUP(Imputar[[#This Row],[Categoría]],EIMI!C:T,10,0),0)</f>
        <v>0</v>
      </c>
    </row>
    <row r="342" spans="1:14" hidden="1" x14ac:dyDescent="0.25">
      <c r="A342" s="210">
        <f>Indice!$I$11</f>
        <v>0</v>
      </c>
      <c r="B342" t="s">
        <v>1048</v>
      </c>
      <c r="C342" s="39">
        <f>Indice!$I$12</f>
        <v>45992</v>
      </c>
      <c r="E342">
        <f>ROUND(SUMIFS(CATEGORIAS[[#All],[TOTAL PRODUCCION
ACTUAL]],CATEGORIAS[[#All],[CATEGORIA2]],Imputar[[#This Row],[Categoría]]),0)</f>
        <v>0</v>
      </c>
      <c r="F342">
        <v>0</v>
      </c>
      <c r="G342">
        <f>ROUND(SUMIFS(CATEGORIAS[[#All],[PROYECCION
DE INGRESO
DEL SALDO]],CATEGORIAS[[#All],[CATEGORIA2]],Imputar[[#This Row],[Categoría]]),0)</f>
        <v>0</v>
      </c>
      <c r="H342">
        <f>ROUND(SUMIFS(CATEGORIAS[[#All],[CAMBIO DE
CATEGORIA]],CATEGORIAS[[#All],[CATEGORIA2]],Imputar[[#This Row],[Categoría]]),0)</f>
        <v>0</v>
      </c>
      <c r="I3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2">
        <f>+ROUND(SUMIFS(CATEGORIAS[[#All],[PROYECCION
TOTAL DE COSTO]],CATEGORIAS[[#All],[CATEGORIA2]],Imputar[[#This Row],[Categoría]]),0)
-Imputar[[#This Row],[Inventario]]
-Imputar[[#This Row],[Pedidos no Rec]]</f>
        <v>0</v>
      </c>
      <c r="K3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2">
        <f>_xlfn.IFNA(VLOOKUP(Imputar[[#This Row],[Categoría]],EIMI!C:T,8,0),0)</f>
        <v>0</v>
      </c>
      <c r="M342">
        <f>_xlfn.IFNA(VLOOKUP(Imputar[[#This Row],[Categoría]],EIMI!C:T,9,0),0)</f>
        <v>0</v>
      </c>
      <c r="N342">
        <f>_xlfn.IFNA(VLOOKUP(Imputar[[#This Row],[Categoría]],EIMI!C:T,10,0),0)</f>
        <v>0</v>
      </c>
    </row>
    <row r="343" spans="1:14" hidden="1" x14ac:dyDescent="0.25">
      <c r="A343" s="210">
        <f>Indice!$I$11</f>
        <v>0</v>
      </c>
      <c r="B343" t="s">
        <v>1050</v>
      </c>
      <c r="C343" s="39">
        <f>Indice!$I$12</f>
        <v>45992</v>
      </c>
      <c r="E343">
        <f>ROUND(SUMIFS(CATEGORIAS[[#All],[TOTAL PRODUCCION
ACTUAL]],CATEGORIAS[[#All],[CATEGORIA2]],Imputar[[#This Row],[Categoría]]),0)</f>
        <v>0</v>
      </c>
      <c r="F343">
        <v>0</v>
      </c>
      <c r="G343">
        <f>ROUND(SUMIFS(CATEGORIAS[[#All],[PROYECCION
DE INGRESO
DEL SALDO]],CATEGORIAS[[#All],[CATEGORIA2]],Imputar[[#This Row],[Categoría]]),0)</f>
        <v>0</v>
      </c>
      <c r="H343">
        <f>ROUND(SUMIFS(CATEGORIAS[[#All],[CAMBIO DE
CATEGORIA]],CATEGORIAS[[#All],[CATEGORIA2]],Imputar[[#This Row],[Categoría]]),0)</f>
        <v>0</v>
      </c>
      <c r="I3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3">
        <f>+ROUND(SUMIFS(CATEGORIAS[[#All],[PROYECCION
TOTAL DE COSTO]],CATEGORIAS[[#All],[CATEGORIA2]],Imputar[[#This Row],[Categoría]]),0)
-Imputar[[#This Row],[Inventario]]
-Imputar[[#This Row],[Pedidos no Rec]]</f>
        <v>0</v>
      </c>
      <c r="K3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3">
        <f>_xlfn.IFNA(VLOOKUP(Imputar[[#This Row],[Categoría]],EIMI!C:T,8,0),0)</f>
        <v>0</v>
      </c>
      <c r="M343">
        <f>_xlfn.IFNA(VLOOKUP(Imputar[[#This Row],[Categoría]],EIMI!C:T,9,0),0)</f>
        <v>0</v>
      </c>
      <c r="N343">
        <f>_xlfn.IFNA(VLOOKUP(Imputar[[#This Row],[Categoría]],EIMI!C:T,10,0),0)</f>
        <v>0</v>
      </c>
    </row>
    <row r="344" spans="1:14" x14ac:dyDescent="0.25">
      <c r="A344" s="210">
        <f>Indice!$I$11</f>
        <v>0</v>
      </c>
      <c r="B344" t="s">
        <v>1052</v>
      </c>
      <c r="C344" s="39">
        <f>Indice!$I$12</f>
        <v>45992</v>
      </c>
      <c r="E344">
        <f>ROUND(SUMIFS(CATEGORIAS[[#All],[TOTAL PRODUCCION
ACTUAL]],CATEGORIAS[[#All],[CATEGORIA2]],Imputar[[#This Row],[Categoría]]),0)</f>
        <v>0</v>
      </c>
      <c r="F344">
        <v>0</v>
      </c>
      <c r="G344">
        <f>ROUND(SUMIFS(CATEGORIAS[[#All],[PROYECCION
DE INGRESO
DEL SALDO]],CATEGORIAS[[#All],[CATEGORIA2]],Imputar[[#This Row],[Categoría]]),0)</f>
        <v>0</v>
      </c>
      <c r="H344">
        <f>ROUND(SUMIFS(CATEGORIAS[[#All],[CAMBIO DE
CATEGORIA]],CATEGORIAS[[#All],[CATEGORIA2]],Imputar[[#This Row],[Categoría]]),0)</f>
        <v>0</v>
      </c>
      <c r="I3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4">
        <f>+ROUND(SUMIFS(CATEGORIAS[[#All],[PROYECCION
TOTAL DE COSTO]],CATEGORIAS[[#All],[CATEGORIA2]],Imputar[[#This Row],[Categoría]]),0)
-Imputar[[#This Row],[Inventario]]
-Imputar[[#This Row],[Pedidos no Rec]]</f>
        <v>0</v>
      </c>
      <c r="K3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4">
        <f>_xlfn.IFNA(VLOOKUP(Imputar[[#This Row],[Categoría]],EIMI!C:T,8,0),0)</f>
        <v>0</v>
      </c>
      <c r="M344">
        <f>_xlfn.IFNA(VLOOKUP(Imputar[[#This Row],[Categoría]],EIMI!C:T,9,0),0)</f>
        <v>0</v>
      </c>
      <c r="N344">
        <f>_xlfn.IFNA(VLOOKUP(Imputar[[#This Row],[Categoría]],EIMI!C:T,10,0),0)</f>
        <v>0</v>
      </c>
    </row>
    <row r="345" spans="1:14" x14ac:dyDescent="0.25">
      <c r="A345" s="210">
        <f>Indice!$I$11</f>
        <v>0</v>
      </c>
      <c r="B345" t="s">
        <v>1054</v>
      </c>
      <c r="C345" s="39">
        <f>Indice!$I$12</f>
        <v>45992</v>
      </c>
      <c r="E345">
        <f>ROUND(SUMIFS(CATEGORIAS[[#All],[TOTAL PRODUCCION
ACTUAL]],CATEGORIAS[[#All],[CATEGORIA2]],Imputar[[#This Row],[Categoría]]),0)</f>
        <v>0</v>
      </c>
      <c r="F345">
        <v>0</v>
      </c>
      <c r="G345">
        <f>ROUND(SUMIFS(CATEGORIAS[[#All],[PROYECCION
DE INGRESO
DEL SALDO]],CATEGORIAS[[#All],[CATEGORIA2]],Imputar[[#This Row],[Categoría]]),0)</f>
        <v>0</v>
      </c>
      <c r="H345">
        <f>ROUND(SUMIFS(CATEGORIAS[[#All],[CAMBIO DE
CATEGORIA]],CATEGORIAS[[#All],[CATEGORIA2]],Imputar[[#This Row],[Categoría]]),0)</f>
        <v>0</v>
      </c>
      <c r="I3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-4577845</v>
      </c>
      <c r="J345">
        <f>+ROUND(SUMIFS(CATEGORIAS[[#All],[PROYECCION
TOTAL DE COSTO]],CATEGORIAS[[#All],[CATEGORIA2]],Imputar[[#This Row],[Categoría]]),0)
-Imputar[[#This Row],[Inventario]]
-Imputar[[#This Row],[Pedidos no Rec]]</f>
        <v>0</v>
      </c>
      <c r="K34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5">
        <f>_xlfn.IFNA(VLOOKUP(Imputar[[#This Row],[Categoría]],EIMI!C:T,8,0),0)</f>
        <v>4577845</v>
      </c>
      <c r="M345">
        <f>_xlfn.IFNA(VLOOKUP(Imputar[[#This Row],[Categoría]],EIMI!C:T,9,0),0)</f>
        <v>0</v>
      </c>
      <c r="N345">
        <f>_xlfn.IFNA(VLOOKUP(Imputar[[#This Row],[Categoría]],EIMI!C:T,10,0),0)</f>
        <v>0</v>
      </c>
    </row>
    <row r="346" spans="1:14" x14ac:dyDescent="0.25">
      <c r="A346" s="210">
        <f>Indice!$I$11</f>
        <v>0</v>
      </c>
      <c r="B346" t="s">
        <v>1056</v>
      </c>
      <c r="C346" s="39">
        <f>Indice!$I$12</f>
        <v>45992</v>
      </c>
      <c r="E346">
        <f>ROUND(SUMIFS(CATEGORIAS[[#All],[TOTAL PRODUCCION
ACTUAL]],CATEGORIAS[[#All],[CATEGORIA2]],Imputar[[#This Row],[Categoría]]),0)</f>
        <v>0</v>
      </c>
      <c r="F346">
        <v>0</v>
      </c>
      <c r="G346">
        <f>ROUND(SUMIFS(CATEGORIAS[[#All],[PROYECCION
DE INGRESO
DEL SALDO]],CATEGORIAS[[#All],[CATEGORIA2]],Imputar[[#This Row],[Categoría]]),0)</f>
        <v>0</v>
      </c>
      <c r="H346">
        <f>ROUND(SUMIFS(CATEGORIAS[[#All],[CAMBIO DE
CATEGORIA]],CATEGORIAS[[#All],[CATEGORIA2]],Imputar[[#This Row],[Categoría]]),0)</f>
        <v>0</v>
      </c>
      <c r="I3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6">
        <f>+ROUND(SUMIFS(CATEGORIAS[[#All],[PROYECCION
TOTAL DE COSTO]],CATEGORIAS[[#All],[CATEGORIA2]],Imputar[[#This Row],[Categoría]]),0)
-Imputar[[#This Row],[Inventario]]
-Imputar[[#This Row],[Pedidos no Rec]]</f>
        <v>-4416360</v>
      </c>
      <c r="K34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6">
        <f>_xlfn.IFNA(VLOOKUP(Imputar[[#This Row],[Categoría]],EIMI!C:T,8,0),0)</f>
        <v>0</v>
      </c>
      <c r="M346">
        <f>_xlfn.IFNA(VLOOKUP(Imputar[[#This Row],[Categoría]],EIMI!C:T,9,0),0)</f>
        <v>4416360</v>
      </c>
      <c r="N346">
        <f>_xlfn.IFNA(VLOOKUP(Imputar[[#This Row],[Categoría]],EIMI!C:T,10,0),0)</f>
        <v>0</v>
      </c>
    </row>
    <row r="347" spans="1:14" hidden="1" x14ac:dyDescent="0.25">
      <c r="A347" s="210">
        <f>Indice!$I$11</f>
        <v>0</v>
      </c>
      <c r="B347" t="s">
        <v>1058</v>
      </c>
      <c r="C347" s="39">
        <f>Indice!$I$12</f>
        <v>45992</v>
      </c>
      <c r="E347">
        <f>ROUND(SUMIFS(CATEGORIAS[[#All],[TOTAL PRODUCCION
ACTUAL]],CATEGORIAS[[#All],[CATEGORIA2]],Imputar[[#This Row],[Categoría]]),0)</f>
        <v>0</v>
      </c>
      <c r="F347">
        <v>0</v>
      </c>
      <c r="G347">
        <f>ROUND(SUMIFS(CATEGORIAS[[#All],[PROYECCION
DE INGRESO
DEL SALDO]],CATEGORIAS[[#All],[CATEGORIA2]],Imputar[[#This Row],[Categoría]]),0)</f>
        <v>0</v>
      </c>
      <c r="H347">
        <f>ROUND(SUMIFS(CATEGORIAS[[#All],[CAMBIO DE
CATEGORIA]],CATEGORIAS[[#All],[CATEGORIA2]],Imputar[[#This Row],[Categoría]]),0)</f>
        <v>0</v>
      </c>
      <c r="I3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7">
        <f>+ROUND(SUMIFS(CATEGORIAS[[#All],[PROYECCION
TOTAL DE COSTO]],CATEGORIAS[[#All],[CATEGORIA2]],Imputar[[#This Row],[Categoría]]),0)
-Imputar[[#This Row],[Inventario]]
-Imputar[[#This Row],[Pedidos no Rec]]</f>
        <v>0</v>
      </c>
      <c r="K3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7">
        <f>_xlfn.IFNA(VLOOKUP(Imputar[[#This Row],[Categoría]],EIMI!C:T,8,0),0)</f>
        <v>0</v>
      </c>
      <c r="M347">
        <f>_xlfn.IFNA(VLOOKUP(Imputar[[#This Row],[Categoría]],EIMI!C:T,9,0),0)</f>
        <v>0</v>
      </c>
      <c r="N347">
        <f>_xlfn.IFNA(VLOOKUP(Imputar[[#This Row],[Categoría]],EIMI!C:T,10,0),0)</f>
        <v>0</v>
      </c>
    </row>
    <row r="348" spans="1:14" hidden="1" x14ac:dyDescent="0.25">
      <c r="A348" s="210">
        <f>Indice!$I$11</f>
        <v>0</v>
      </c>
      <c r="B348" t="s">
        <v>1060</v>
      </c>
      <c r="C348" s="39">
        <f>Indice!$I$12</f>
        <v>45992</v>
      </c>
      <c r="E348">
        <f>ROUND(SUMIFS(CATEGORIAS[[#All],[TOTAL PRODUCCION
ACTUAL]],CATEGORIAS[[#All],[CATEGORIA2]],Imputar[[#This Row],[Categoría]]),0)</f>
        <v>0</v>
      </c>
      <c r="F348">
        <v>0</v>
      </c>
      <c r="G348">
        <f>ROUND(SUMIFS(CATEGORIAS[[#All],[PROYECCION
DE INGRESO
DEL SALDO]],CATEGORIAS[[#All],[CATEGORIA2]],Imputar[[#This Row],[Categoría]]),0)</f>
        <v>0</v>
      </c>
      <c r="H348">
        <f>ROUND(SUMIFS(CATEGORIAS[[#All],[CAMBIO DE
CATEGORIA]],CATEGORIAS[[#All],[CATEGORIA2]],Imputar[[#This Row],[Categoría]]),0)</f>
        <v>0</v>
      </c>
      <c r="I3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8">
        <f>+ROUND(SUMIFS(CATEGORIAS[[#All],[PROYECCION
TOTAL DE COSTO]],CATEGORIAS[[#All],[CATEGORIA2]],Imputar[[#This Row],[Categoría]]),0)
-Imputar[[#This Row],[Inventario]]
-Imputar[[#This Row],[Pedidos no Rec]]</f>
        <v>0</v>
      </c>
      <c r="K3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8">
        <f>_xlfn.IFNA(VLOOKUP(Imputar[[#This Row],[Categoría]],EIMI!C:T,8,0),0)</f>
        <v>0</v>
      </c>
      <c r="M348">
        <f>_xlfn.IFNA(VLOOKUP(Imputar[[#This Row],[Categoría]],EIMI!C:T,9,0),0)</f>
        <v>0</v>
      </c>
      <c r="N348">
        <f>_xlfn.IFNA(VLOOKUP(Imputar[[#This Row],[Categoría]],EIMI!C:T,10,0),0)</f>
        <v>0</v>
      </c>
    </row>
    <row r="349" spans="1:14" hidden="1" x14ac:dyDescent="0.25">
      <c r="A349" s="210">
        <f>Indice!$I$11</f>
        <v>0</v>
      </c>
      <c r="B349" t="s">
        <v>1062</v>
      </c>
      <c r="C349" s="39">
        <f>Indice!$I$12</f>
        <v>45992</v>
      </c>
      <c r="E349">
        <f>ROUND(SUMIFS(CATEGORIAS[[#All],[TOTAL PRODUCCION
ACTUAL]],CATEGORIAS[[#All],[CATEGORIA2]],Imputar[[#This Row],[Categoría]]),0)</f>
        <v>0</v>
      </c>
      <c r="F349">
        <v>0</v>
      </c>
      <c r="G349">
        <f>ROUND(SUMIFS(CATEGORIAS[[#All],[PROYECCION
DE INGRESO
DEL SALDO]],CATEGORIAS[[#All],[CATEGORIA2]],Imputar[[#This Row],[Categoría]]),0)</f>
        <v>0</v>
      </c>
      <c r="H349">
        <f>ROUND(SUMIFS(CATEGORIAS[[#All],[CAMBIO DE
CATEGORIA]],CATEGORIAS[[#All],[CATEGORIA2]],Imputar[[#This Row],[Categoría]]),0)</f>
        <v>0</v>
      </c>
      <c r="I3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9">
        <f>+ROUND(SUMIFS(CATEGORIAS[[#All],[PROYECCION
TOTAL DE COSTO]],CATEGORIAS[[#All],[CATEGORIA2]],Imputar[[#This Row],[Categoría]]),0)
-Imputar[[#This Row],[Inventario]]
-Imputar[[#This Row],[Pedidos no Rec]]</f>
        <v>0</v>
      </c>
      <c r="K3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9">
        <f>_xlfn.IFNA(VLOOKUP(Imputar[[#This Row],[Categoría]],EIMI!C:T,8,0),0)</f>
        <v>0</v>
      </c>
      <c r="M349">
        <f>_xlfn.IFNA(VLOOKUP(Imputar[[#This Row],[Categoría]],EIMI!C:T,9,0),0)</f>
        <v>0</v>
      </c>
      <c r="N349">
        <f>_xlfn.IFNA(VLOOKUP(Imputar[[#This Row],[Categoría]],EIMI!C:T,10,0),0)</f>
        <v>0</v>
      </c>
    </row>
    <row r="350" spans="1:14" x14ac:dyDescent="0.25">
      <c r="A350" s="210">
        <f>Indice!$I$11</f>
        <v>0</v>
      </c>
      <c r="B350" t="s">
        <v>1064</v>
      </c>
      <c r="C350" s="39">
        <f>Indice!$I$12</f>
        <v>45992</v>
      </c>
      <c r="E350">
        <f>ROUND(SUMIFS(CATEGORIAS[[#All],[TOTAL PRODUCCION
ACTUAL]],CATEGORIAS[[#All],[CATEGORIA2]],Imputar[[#This Row],[Categoría]]),0)</f>
        <v>0</v>
      </c>
      <c r="F350">
        <v>0</v>
      </c>
      <c r="G350">
        <f>ROUND(SUMIFS(CATEGORIAS[[#All],[PROYECCION
DE INGRESO
DEL SALDO]],CATEGORIAS[[#All],[CATEGORIA2]],Imputar[[#This Row],[Categoría]]),0)</f>
        <v>0</v>
      </c>
      <c r="H350">
        <f>ROUND(SUMIFS(CATEGORIAS[[#All],[CAMBIO DE
CATEGORIA]],CATEGORIAS[[#All],[CATEGORIA2]],Imputar[[#This Row],[Categoría]]),0)</f>
        <v>0</v>
      </c>
      <c r="I3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0">
        <f>+ROUND(SUMIFS(CATEGORIAS[[#All],[PROYECCION
TOTAL DE COSTO]],CATEGORIAS[[#All],[CATEGORIA2]],Imputar[[#This Row],[Categoría]]),0)
-Imputar[[#This Row],[Inventario]]
-Imputar[[#This Row],[Pedidos no Rec]]</f>
        <v>-8306402</v>
      </c>
      <c r="K35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0">
        <f>_xlfn.IFNA(VLOOKUP(Imputar[[#This Row],[Categoría]],EIMI!C:T,8,0),0)</f>
        <v>0</v>
      </c>
      <c r="M350">
        <f>_xlfn.IFNA(VLOOKUP(Imputar[[#This Row],[Categoría]],EIMI!C:T,9,0),0)</f>
        <v>7354352</v>
      </c>
      <c r="N350">
        <f>_xlfn.IFNA(VLOOKUP(Imputar[[#This Row],[Categoría]],EIMI!C:T,10,0),0)</f>
        <v>952050</v>
      </c>
    </row>
    <row r="351" spans="1:14" hidden="1" x14ac:dyDescent="0.25">
      <c r="A351" s="210">
        <f>Indice!$I$11</f>
        <v>0</v>
      </c>
      <c r="B351" t="s">
        <v>1066</v>
      </c>
      <c r="C351" s="39">
        <f>Indice!$I$12</f>
        <v>45992</v>
      </c>
      <c r="E351">
        <f>ROUND(SUMIFS(CATEGORIAS[[#All],[TOTAL PRODUCCION
ACTUAL]],CATEGORIAS[[#All],[CATEGORIA2]],Imputar[[#This Row],[Categoría]]),0)</f>
        <v>0</v>
      </c>
      <c r="F351">
        <v>0</v>
      </c>
      <c r="G351">
        <f>ROUND(SUMIFS(CATEGORIAS[[#All],[PROYECCION
DE INGRESO
DEL SALDO]],CATEGORIAS[[#All],[CATEGORIA2]],Imputar[[#This Row],[Categoría]]),0)</f>
        <v>0</v>
      </c>
      <c r="H351">
        <f>ROUND(SUMIFS(CATEGORIAS[[#All],[CAMBIO DE
CATEGORIA]],CATEGORIAS[[#All],[CATEGORIA2]],Imputar[[#This Row],[Categoría]]),0)</f>
        <v>0</v>
      </c>
      <c r="I3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1">
        <f>+ROUND(SUMIFS(CATEGORIAS[[#All],[PROYECCION
TOTAL DE COSTO]],CATEGORIAS[[#All],[CATEGORIA2]],Imputar[[#This Row],[Categoría]]),0)
-Imputar[[#This Row],[Inventario]]
-Imputar[[#This Row],[Pedidos no Rec]]</f>
        <v>0</v>
      </c>
      <c r="K3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1">
        <f>_xlfn.IFNA(VLOOKUP(Imputar[[#This Row],[Categoría]],EIMI!C:T,8,0),0)</f>
        <v>0</v>
      </c>
      <c r="M351">
        <f>_xlfn.IFNA(VLOOKUP(Imputar[[#This Row],[Categoría]],EIMI!C:T,9,0),0)</f>
        <v>0</v>
      </c>
      <c r="N351">
        <f>_xlfn.IFNA(VLOOKUP(Imputar[[#This Row],[Categoría]],EIMI!C:T,10,0),0)</f>
        <v>0</v>
      </c>
    </row>
    <row r="352" spans="1:14" hidden="1" x14ac:dyDescent="0.25">
      <c r="A352" s="210">
        <f>Indice!$I$11</f>
        <v>0</v>
      </c>
      <c r="B352" t="s">
        <v>1068</v>
      </c>
      <c r="C352" s="39">
        <f>Indice!$I$12</f>
        <v>45992</v>
      </c>
      <c r="E352">
        <f>ROUND(SUMIFS(CATEGORIAS[[#All],[TOTAL PRODUCCION
ACTUAL]],CATEGORIAS[[#All],[CATEGORIA2]],Imputar[[#This Row],[Categoría]]),0)</f>
        <v>0</v>
      </c>
      <c r="F352">
        <v>0</v>
      </c>
      <c r="G352">
        <f>ROUND(SUMIFS(CATEGORIAS[[#All],[PROYECCION
DE INGRESO
DEL SALDO]],CATEGORIAS[[#All],[CATEGORIA2]],Imputar[[#This Row],[Categoría]]),0)</f>
        <v>0</v>
      </c>
      <c r="H352">
        <f>ROUND(SUMIFS(CATEGORIAS[[#All],[CAMBIO DE
CATEGORIA]],CATEGORIAS[[#All],[CATEGORIA2]],Imputar[[#This Row],[Categoría]]),0)</f>
        <v>0</v>
      </c>
      <c r="I3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2">
        <f>+ROUND(SUMIFS(CATEGORIAS[[#All],[PROYECCION
TOTAL DE COSTO]],CATEGORIAS[[#All],[CATEGORIA2]],Imputar[[#This Row],[Categoría]]),0)
-Imputar[[#This Row],[Inventario]]
-Imputar[[#This Row],[Pedidos no Rec]]</f>
        <v>0</v>
      </c>
      <c r="K3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2">
        <f>_xlfn.IFNA(VLOOKUP(Imputar[[#This Row],[Categoría]],EIMI!C:T,8,0),0)</f>
        <v>0</v>
      </c>
      <c r="M352">
        <f>_xlfn.IFNA(VLOOKUP(Imputar[[#This Row],[Categoría]],EIMI!C:T,9,0),0)</f>
        <v>0</v>
      </c>
      <c r="N352">
        <f>_xlfn.IFNA(VLOOKUP(Imputar[[#This Row],[Categoría]],EIMI!C:T,10,0),0)</f>
        <v>0</v>
      </c>
    </row>
    <row r="353" spans="1:14" hidden="1" x14ac:dyDescent="0.25">
      <c r="A353" s="210">
        <f>Indice!$I$11</f>
        <v>0</v>
      </c>
      <c r="B353" t="s">
        <v>1070</v>
      </c>
      <c r="C353" s="39">
        <f>Indice!$I$12</f>
        <v>45992</v>
      </c>
      <c r="E353">
        <f>ROUND(SUMIFS(CATEGORIAS[[#All],[TOTAL PRODUCCION
ACTUAL]],CATEGORIAS[[#All],[CATEGORIA2]],Imputar[[#This Row],[Categoría]]),0)</f>
        <v>0</v>
      </c>
      <c r="F353">
        <v>0</v>
      </c>
      <c r="G353">
        <f>ROUND(SUMIFS(CATEGORIAS[[#All],[PROYECCION
DE INGRESO
DEL SALDO]],CATEGORIAS[[#All],[CATEGORIA2]],Imputar[[#This Row],[Categoría]]),0)</f>
        <v>0</v>
      </c>
      <c r="H353">
        <f>ROUND(SUMIFS(CATEGORIAS[[#All],[CAMBIO DE
CATEGORIA]],CATEGORIAS[[#All],[CATEGORIA2]],Imputar[[#This Row],[Categoría]]),0)</f>
        <v>0</v>
      </c>
      <c r="I3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3">
        <f>+ROUND(SUMIFS(CATEGORIAS[[#All],[PROYECCION
TOTAL DE COSTO]],CATEGORIAS[[#All],[CATEGORIA2]],Imputar[[#This Row],[Categoría]]),0)
-Imputar[[#This Row],[Inventario]]
-Imputar[[#This Row],[Pedidos no Rec]]</f>
        <v>0</v>
      </c>
      <c r="K3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3">
        <f>_xlfn.IFNA(VLOOKUP(Imputar[[#This Row],[Categoría]],EIMI!C:T,8,0),0)</f>
        <v>0</v>
      </c>
      <c r="M353">
        <f>_xlfn.IFNA(VLOOKUP(Imputar[[#This Row],[Categoría]],EIMI!C:T,9,0),0)</f>
        <v>0</v>
      </c>
      <c r="N353">
        <f>_xlfn.IFNA(VLOOKUP(Imputar[[#This Row],[Categoría]],EIMI!C:T,10,0),0)</f>
        <v>0</v>
      </c>
    </row>
    <row r="354" spans="1:14" hidden="1" x14ac:dyDescent="0.25">
      <c r="A354" s="210">
        <f>Indice!$I$11</f>
        <v>0</v>
      </c>
      <c r="B354" t="s">
        <v>1072</v>
      </c>
      <c r="C354" s="39">
        <f>Indice!$I$12</f>
        <v>45992</v>
      </c>
      <c r="E354">
        <f>ROUND(SUMIFS(CATEGORIAS[[#All],[TOTAL PRODUCCION
ACTUAL]],CATEGORIAS[[#All],[CATEGORIA2]],Imputar[[#This Row],[Categoría]]),0)</f>
        <v>0</v>
      </c>
      <c r="F354">
        <v>0</v>
      </c>
      <c r="G354">
        <f>ROUND(SUMIFS(CATEGORIAS[[#All],[PROYECCION
DE INGRESO
DEL SALDO]],CATEGORIAS[[#All],[CATEGORIA2]],Imputar[[#This Row],[Categoría]]),0)</f>
        <v>0</v>
      </c>
      <c r="H354">
        <f>ROUND(SUMIFS(CATEGORIAS[[#All],[CAMBIO DE
CATEGORIA]],CATEGORIAS[[#All],[CATEGORIA2]],Imputar[[#This Row],[Categoría]]),0)</f>
        <v>0</v>
      </c>
      <c r="I3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4">
        <f>+ROUND(SUMIFS(CATEGORIAS[[#All],[PROYECCION
TOTAL DE COSTO]],CATEGORIAS[[#All],[CATEGORIA2]],Imputar[[#This Row],[Categoría]]),0)
-Imputar[[#This Row],[Inventario]]
-Imputar[[#This Row],[Pedidos no Rec]]</f>
        <v>0</v>
      </c>
      <c r="K3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4">
        <f>_xlfn.IFNA(VLOOKUP(Imputar[[#This Row],[Categoría]],EIMI!C:T,8,0),0)</f>
        <v>0</v>
      </c>
      <c r="M354">
        <f>_xlfn.IFNA(VLOOKUP(Imputar[[#This Row],[Categoría]],EIMI!C:T,9,0),0)</f>
        <v>0</v>
      </c>
      <c r="N354">
        <f>_xlfn.IFNA(VLOOKUP(Imputar[[#This Row],[Categoría]],EIMI!C:T,10,0),0)</f>
        <v>0</v>
      </c>
    </row>
    <row r="355" spans="1:14" hidden="1" x14ac:dyDescent="0.25">
      <c r="A355" s="210">
        <f>Indice!$I$11</f>
        <v>0</v>
      </c>
      <c r="B355" t="s">
        <v>1074</v>
      </c>
      <c r="C355" s="39">
        <f>Indice!$I$12</f>
        <v>45992</v>
      </c>
      <c r="E355">
        <f>ROUND(SUMIFS(CATEGORIAS[[#All],[TOTAL PRODUCCION
ACTUAL]],CATEGORIAS[[#All],[CATEGORIA2]],Imputar[[#This Row],[Categoría]]),0)</f>
        <v>0</v>
      </c>
      <c r="F355">
        <v>0</v>
      </c>
      <c r="G355">
        <f>ROUND(SUMIFS(CATEGORIAS[[#All],[PROYECCION
DE INGRESO
DEL SALDO]],CATEGORIAS[[#All],[CATEGORIA2]],Imputar[[#This Row],[Categoría]]),0)</f>
        <v>0</v>
      </c>
      <c r="H355">
        <f>ROUND(SUMIFS(CATEGORIAS[[#All],[CAMBIO DE
CATEGORIA]],CATEGORIAS[[#All],[CATEGORIA2]],Imputar[[#This Row],[Categoría]]),0)</f>
        <v>0</v>
      </c>
      <c r="I3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5">
        <f>+ROUND(SUMIFS(CATEGORIAS[[#All],[PROYECCION
TOTAL DE COSTO]],CATEGORIAS[[#All],[CATEGORIA2]],Imputar[[#This Row],[Categoría]]),0)
-Imputar[[#This Row],[Inventario]]
-Imputar[[#This Row],[Pedidos no Rec]]</f>
        <v>0</v>
      </c>
      <c r="K3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5">
        <f>_xlfn.IFNA(VLOOKUP(Imputar[[#This Row],[Categoría]],EIMI!C:T,8,0),0)</f>
        <v>0</v>
      </c>
      <c r="M355">
        <f>_xlfn.IFNA(VLOOKUP(Imputar[[#This Row],[Categoría]],EIMI!C:T,9,0),0)</f>
        <v>0</v>
      </c>
      <c r="N355">
        <f>_xlfn.IFNA(VLOOKUP(Imputar[[#This Row],[Categoría]],EIMI!C:T,10,0),0)</f>
        <v>0</v>
      </c>
    </row>
    <row r="356" spans="1:14" hidden="1" x14ac:dyDescent="0.25">
      <c r="A356" s="210">
        <f>Indice!$I$11</f>
        <v>0</v>
      </c>
      <c r="B356" t="s">
        <v>1076</v>
      </c>
      <c r="C356" s="39">
        <f>Indice!$I$12</f>
        <v>45992</v>
      </c>
      <c r="E356">
        <f>ROUND(SUMIFS(CATEGORIAS[[#All],[TOTAL PRODUCCION
ACTUAL]],CATEGORIAS[[#All],[CATEGORIA2]],Imputar[[#This Row],[Categoría]]),0)</f>
        <v>0</v>
      </c>
      <c r="F356">
        <v>0</v>
      </c>
      <c r="G356">
        <f>ROUND(SUMIFS(CATEGORIAS[[#All],[PROYECCION
DE INGRESO
DEL SALDO]],CATEGORIAS[[#All],[CATEGORIA2]],Imputar[[#This Row],[Categoría]]),0)</f>
        <v>0</v>
      </c>
      <c r="H356">
        <f>ROUND(SUMIFS(CATEGORIAS[[#All],[CAMBIO DE
CATEGORIA]],CATEGORIAS[[#All],[CATEGORIA2]],Imputar[[#This Row],[Categoría]]),0)</f>
        <v>0</v>
      </c>
      <c r="I3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6">
        <f>+ROUND(SUMIFS(CATEGORIAS[[#All],[PROYECCION
TOTAL DE COSTO]],CATEGORIAS[[#All],[CATEGORIA2]],Imputar[[#This Row],[Categoría]]),0)
-Imputar[[#This Row],[Inventario]]
-Imputar[[#This Row],[Pedidos no Rec]]</f>
        <v>0</v>
      </c>
      <c r="K3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6">
        <f>_xlfn.IFNA(VLOOKUP(Imputar[[#This Row],[Categoría]],EIMI!C:T,8,0),0)</f>
        <v>0</v>
      </c>
      <c r="M356">
        <f>_xlfn.IFNA(VLOOKUP(Imputar[[#This Row],[Categoría]],EIMI!C:T,9,0),0)</f>
        <v>0</v>
      </c>
      <c r="N356">
        <f>_xlfn.IFNA(VLOOKUP(Imputar[[#This Row],[Categoría]],EIMI!C:T,10,0),0)</f>
        <v>0</v>
      </c>
    </row>
    <row r="357" spans="1:14" hidden="1" x14ac:dyDescent="0.25">
      <c r="A357" s="210">
        <f>Indice!$I$11</f>
        <v>0</v>
      </c>
      <c r="B357" t="s">
        <v>1078</v>
      </c>
      <c r="C357" s="39">
        <f>Indice!$I$12</f>
        <v>45992</v>
      </c>
      <c r="E357">
        <f>ROUND(SUMIFS(CATEGORIAS[[#All],[TOTAL PRODUCCION
ACTUAL]],CATEGORIAS[[#All],[CATEGORIA2]],Imputar[[#This Row],[Categoría]]),0)</f>
        <v>0</v>
      </c>
      <c r="F357">
        <v>0</v>
      </c>
      <c r="G357">
        <f>ROUND(SUMIFS(CATEGORIAS[[#All],[PROYECCION
DE INGRESO
DEL SALDO]],CATEGORIAS[[#All],[CATEGORIA2]],Imputar[[#This Row],[Categoría]]),0)</f>
        <v>0</v>
      </c>
      <c r="H357">
        <f>ROUND(SUMIFS(CATEGORIAS[[#All],[CAMBIO DE
CATEGORIA]],CATEGORIAS[[#All],[CATEGORIA2]],Imputar[[#This Row],[Categoría]]),0)</f>
        <v>0</v>
      </c>
      <c r="I3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7">
        <f>+ROUND(SUMIFS(CATEGORIAS[[#All],[PROYECCION
TOTAL DE COSTO]],CATEGORIAS[[#All],[CATEGORIA2]],Imputar[[#This Row],[Categoría]]),0)
-Imputar[[#This Row],[Inventario]]
-Imputar[[#This Row],[Pedidos no Rec]]</f>
        <v>0</v>
      </c>
      <c r="K3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7">
        <f>_xlfn.IFNA(VLOOKUP(Imputar[[#This Row],[Categoría]],EIMI!C:T,8,0),0)</f>
        <v>0</v>
      </c>
      <c r="M357">
        <f>_xlfn.IFNA(VLOOKUP(Imputar[[#This Row],[Categoría]],EIMI!C:T,9,0),0)</f>
        <v>0</v>
      </c>
      <c r="N357">
        <f>_xlfn.IFNA(VLOOKUP(Imputar[[#This Row],[Categoría]],EIMI!C:T,10,0),0)</f>
        <v>0</v>
      </c>
    </row>
    <row r="358" spans="1:14" x14ac:dyDescent="0.25">
      <c r="A358" s="210">
        <f>Indice!$I$11</f>
        <v>0</v>
      </c>
      <c r="B358" t="s">
        <v>1080</v>
      </c>
      <c r="C358" s="39">
        <f>Indice!$I$12</f>
        <v>45992</v>
      </c>
      <c r="E358">
        <f>ROUND(SUMIFS(CATEGORIAS[[#All],[TOTAL PRODUCCION
ACTUAL]],CATEGORIAS[[#All],[CATEGORIA2]],Imputar[[#This Row],[Categoría]]),0)</f>
        <v>0</v>
      </c>
      <c r="F358">
        <v>0</v>
      </c>
      <c r="G358">
        <f>ROUND(SUMIFS(CATEGORIAS[[#All],[PROYECCION
DE INGRESO
DEL SALDO]],CATEGORIAS[[#All],[CATEGORIA2]],Imputar[[#This Row],[Categoría]]),0)</f>
        <v>0</v>
      </c>
      <c r="H358">
        <f>ROUND(SUMIFS(CATEGORIAS[[#All],[CAMBIO DE
CATEGORIA]],CATEGORIAS[[#All],[CATEGORIA2]],Imputar[[#This Row],[Categoría]]),0)</f>
        <v>0</v>
      </c>
      <c r="I3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8">
        <f>+ROUND(SUMIFS(CATEGORIAS[[#All],[PROYECCION
TOTAL DE COSTO]],CATEGORIAS[[#All],[CATEGORIA2]],Imputar[[#This Row],[Categoría]]),0)
-Imputar[[#This Row],[Inventario]]
-Imputar[[#This Row],[Pedidos no Rec]]</f>
        <v>-2207000</v>
      </c>
      <c r="K3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8">
        <f>_xlfn.IFNA(VLOOKUP(Imputar[[#This Row],[Categoría]],EIMI!C:T,8,0),0)</f>
        <v>0</v>
      </c>
      <c r="M358">
        <f>_xlfn.IFNA(VLOOKUP(Imputar[[#This Row],[Categoría]],EIMI!C:T,9,0),0)</f>
        <v>2207000</v>
      </c>
      <c r="N358">
        <f>_xlfn.IFNA(VLOOKUP(Imputar[[#This Row],[Categoría]],EIMI!C:T,10,0),0)</f>
        <v>0</v>
      </c>
    </row>
    <row r="359" spans="1:14" hidden="1" x14ac:dyDescent="0.25">
      <c r="A359" s="210">
        <f>Indice!$I$11</f>
        <v>0</v>
      </c>
      <c r="B359" t="s">
        <v>1082</v>
      </c>
      <c r="C359" s="39">
        <f>Indice!$I$12</f>
        <v>45992</v>
      </c>
      <c r="E359">
        <f>ROUND(SUMIFS(CATEGORIAS[[#All],[TOTAL PRODUCCION
ACTUAL]],CATEGORIAS[[#All],[CATEGORIA2]],Imputar[[#This Row],[Categoría]]),0)</f>
        <v>0</v>
      </c>
      <c r="F359">
        <v>0</v>
      </c>
      <c r="G359">
        <f>ROUND(SUMIFS(CATEGORIAS[[#All],[PROYECCION
DE INGRESO
DEL SALDO]],CATEGORIAS[[#All],[CATEGORIA2]],Imputar[[#This Row],[Categoría]]),0)</f>
        <v>0</v>
      </c>
      <c r="H359">
        <f>ROUND(SUMIFS(CATEGORIAS[[#All],[CAMBIO DE
CATEGORIA]],CATEGORIAS[[#All],[CATEGORIA2]],Imputar[[#This Row],[Categoría]]),0)</f>
        <v>0</v>
      </c>
      <c r="I3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9">
        <f>+ROUND(SUMIFS(CATEGORIAS[[#All],[PROYECCION
TOTAL DE COSTO]],CATEGORIAS[[#All],[CATEGORIA2]],Imputar[[#This Row],[Categoría]]),0)
-Imputar[[#This Row],[Inventario]]
-Imputar[[#This Row],[Pedidos no Rec]]</f>
        <v>0</v>
      </c>
      <c r="K3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9">
        <f>_xlfn.IFNA(VLOOKUP(Imputar[[#This Row],[Categoría]],EIMI!C:T,8,0),0)</f>
        <v>0</v>
      </c>
      <c r="M359">
        <f>_xlfn.IFNA(VLOOKUP(Imputar[[#This Row],[Categoría]],EIMI!C:T,9,0),0)</f>
        <v>0</v>
      </c>
      <c r="N359">
        <f>_xlfn.IFNA(VLOOKUP(Imputar[[#This Row],[Categoría]],EIMI!C:T,10,0),0)</f>
        <v>0</v>
      </c>
    </row>
    <row r="360" spans="1:14" hidden="1" x14ac:dyDescent="0.25">
      <c r="A360" s="210">
        <f>Indice!$I$11</f>
        <v>0</v>
      </c>
      <c r="B360" t="s">
        <v>1084</v>
      </c>
      <c r="C360" s="39">
        <f>Indice!$I$12</f>
        <v>45992</v>
      </c>
      <c r="E360">
        <f>ROUND(SUMIFS(CATEGORIAS[[#All],[TOTAL PRODUCCION
ACTUAL]],CATEGORIAS[[#All],[CATEGORIA2]],Imputar[[#This Row],[Categoría]]),0)</f>
        <v>0</v>
      </c>
      <c r="F360">
        <v>0</v>
      </c>
      <c r="G360">
        <f>ROUND(SUMIFS(CATEGORIAS[[#All],[PROYECCION
DE INGRESO
DEL SALDO]],CATEGORIAS[[#All],[CATEGORIA2]],Imputar[[#This Row],[Categoría]]),0)</f>
        <v>0</v>
      </c>
      <c r="H360">
        <f>ROUND(SUMIFS(CATEGORIAS[[#All],[CAMBIO DE
CATEGORIA]],CATEGORIAS[[#All],[CATEGORIA2]],Imputar[[#This Row],[Categoría]]),0)</f>
        <v>0</v>
      </c>
      <c r="I3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0">
        <f>+ROUND(SUMIFS(CATEGORIAS[[#All],[PROYECCION
TOTAL DE COSTO]],CATEGORIAS[[#All],[CATEGORIA2]],Imputar[[#This Row],[Categoría]]),0)
-Imputar[[#This Row],[Inventario]]
-Imputar[[#This Row],[Pedidos no Rec]]</f>
        <v>0</v>
      </c>
      <c r="K3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0">
        <f>_xlfn.IFNA(VLOOKUP(Imputar[[#This Row],[Categoría]],EIMI!C:T,8,0),0)</f>
        <v>0</v>
      </c>
      <c r="M360">
        <f>_xlfn.IFNA(VLOOKUP(Imputar[[#This Row],[Categoría]],EIMI!C:T,9,0),0)</f>
        <v>0</v>
      </c>
      <c r="N360">
        <f>_xlfn.IFNA(VLOOKUP(Imputar[[#This Row],[Categoría]],EIMI!C:T,10,0),0)</f>
        <v>0</v>
      </c>
    </row>
    <row r="361" spans="1:14" hidden="1" x14ac:dyDescent="0.25">
      <c r="A361" s="210">
        <f>Indice!$I$11</f>
        <v>0</v>
      </c>
      <c r="B361" t="s">
        <v>1086</v>
      </c>
      <c r="C361" s="39">
        <f>Indice!$I$12</f>
        <v>45992</v>
      </c>
      <c r="E361">
        <f>ROUND(SUMIFS(CATEGORIAS[[#All],[TOTAL PRODUCCION
ACTUAL]],CATEGORIAS[[#All],[CATEGORIA2]],Imputar[[#This Row],[Categoría]]),0)</f>
        <v>0</v>
      </c>
      <c r="F361">
        <v>0</v>
      </c>
      <c r="G361">
        <f>ROUND(SUMIFS(CATEGORIAS[[#All],[PROYECCION
DE INGRESO
DEL SALDO]],CATEGORIAS[[#All],[CATEGORIA2]],Imputar[[#This Row],[Categoría]]),0)</f>
        <v>0</v>
      </c>
      <c r="H361">
        <f>ROUND(SUMIFS(CATEGORIAS[[#All],[CAMBIO DE
CATEGORIA]],CATEGORIAS[[#All],[CATEGORIA2]],Imputar[[#This Row],[Categoría]]),0)</f>
        <v>0</v>
      </c>
      <c r="I3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1">
        <f>+ROUND(SUMIFS(CATEGORIAS[[#All],[PROYECCION
TOTAL DE COSTO]],CATEGORIAS[[#All],[CATEGORIA2]],Imputar[[#This Row],[Categoría]]),0)
-Imputar[[#This Row],[Inventario]]
-Imputar[[#This Row],[Pedidos no Rec]]</f>
        <v>0</v>
      </c>
      <c r="K3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1">
        <f>_xlfn.IFNA(VLOOKUP(Imputar[[#This Row],[Categoría]],EIMI!C:T,8,0),0)</f>
        <v>0</v>
      </c>
      <c r="M361">
        <f>_xlfn.IFNA(VLOOKUP(Imputar[[#This Row],[Categoría]],EIMI!C:T,9,0),0)</f>
        <v>0</v>
      </c>
      <c r="N361">
        <f>_xlfn.IFNA(VLOOKUP(Imputar[[#This Row],[Categoría]],EIMI!C:T,10,0),0)</f>
        <v>0</v>
      </c>
    </row>
    <row r="362" spans="1:14" hidden="1" x14ac:dyDescent="0.25">
      <c r="A362" s="210">
        <f>Indice!$I$11</f>
        <v>0</v>
      </c>
      <c r="B362" t="s">
        <v>1088</v>
      </c>
      <c r="C362" s="39">
        <f>Indice!$I$12</f>
        <v>45992</v>
      </c>
      <c r="E362">
        <f>ROUND(SUMIFS(CATEGORIAS[[#All],[TOTAL PRODUCCION
ACTUAL]],CATEGORIAS[[#All],[CATEGORIA2]],Imputar[[#This Row],[Categoría]]),0)</f>
        <v>0</v>
      </c>
      <c r="F362">
        <v>0</v>
      </c>
      <c r="G362">
        <f>ROUND(SUMIFS(CATEGORIAS[[#All],[PROYECCION
DE INGRESO
DEL SALDO]],CATEGORIAS[[#All],[CATEGORIA2]],Imputar[[#This Row],[Categoría]]),0)</f>
        <v>0</v>
      </c>
      <c r="H362">
        <f>ROUND(SUMIFS(CATEGORIAS[[#All],[CAMBIO DE
CATEGORIA]],CATEGORIAS[[#All],[CATEGORIA2]],Imputar[[#This Row],[Categoría]]),0)</f>
        <v>0</v>
      </c>
      <c r="I3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2">
        <f>+ROUND(SUMIFS(CATEGORIAS[[#All],[PROYECCION
TOTAL DE COSTO]],CATEGORIAS[[#All],[CATEGORIA2]],Imputar[[#This Row],[Categoría]]),0)
-Imputar[[#This Row],[Inventario]]
-Imputar[[#This Row],[Pedidos no Rec]]</f>
        <v>0</v>
      </c>
      <c r="K3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2">
        <f>_xlfn.IFNA(VLOOKUP(Imputar[[#This Row],[Categoría]],EIMI!C:T,8,0),0)</f>
        <v>0</v>
      </c>
      <c r="M362">
        <f>_xlfn.IFNA(VLOOKUP(Imputar[[#This Row],[Categoría]],EIMI!C:T,9,0),0)</f>
        <v>0</v>
      </c>
      <c r="N362">
        <f>_xlfn.IFNA(VLOOKUP(Imputar[[#This Row],[Categoría]],EIMI!C:T,10,0),0)</f>
        <v>0</v>
      </c>
    </row>
    <row r="363" spans="1:14" hidden="1" x14ac:dyDescent="0.25">
      <c r="A363" s="210">
        <f>Indice!$I$11</f>
        <v>0</v>
      </c>
      <c r="B363" t="s">
        <v>1090</v>
      </c>
      <c r="C363" s="39">
        <f>Indice!$I$12</f>
        <v>45992</v>
      </c>
      <c r="E363">
        <f>ROUND(SUMIFS(CATEGORIAS[[#All],[TOTAL PRODUCCION
ACTUAL]],CATEGORIAS[[#All],[CATEGORIA2]],Imputar[[#This Row],[Categoría]]),0)</f>
        <v>0</v>
      </c>
      <c r="F363">
        <v>0</v>
      </c>
      <c r="G363">
        <f>ROUND(SUMIFS(CATEGORIAS[[#All],[PROYECCION
DE INGRESO
DEL SALDO]],CATEGORIAS[[#All],[CATEGORIA2]],Imputar[[#This Row],[Categoría]]),0)</f>
        <v>0</v>
      </c>
      <c r="H363">
        <f>ROUND(SUMIFS(CATEGORIAS[[#All],[CAMBIO DE
CATEGORIA]],CATEGORIAS[[#All],[CATEGORIA2]],Imputar[[#This Row],[Categoría]]),0)</f>
        <v>0</v>
      </c>
      <c r="I3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3">
        <f>+ROUND(SUMIFS(CATEGORIAS[[#All],[PROYECCION
TOTAL DE COSTO]],CATEGORIAS[[#All],[CATEGORIA2]],Imputar[[#This Row],[Categoría]]),0)
-Imputar[[#This Row],[Inventario]]
-Imputar[[#This Row],[Pedidos no Rec]]</f>
        <v>0</v>
      </c>
      <c r="K3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3">
        <f>_xlfn.IFNA(VLOOKUP(Imputar[[#This Row],[Categoría]],EIMI!C:T,8,0),0)</f>
        <v>0</v>
      </c>
      <c r="M363">
        <f>_xlfn.IFNA(VLOOKUP(Imputar[[#This Row],[Categoría]],EIMI!C:T,9,0),0)</f>
        <v>0</v>
      </c>
      <c r="N363">
        <f>_xlfn.IFNA(VLOOKUP(Imputar[[#This Row],[Categoría]],EIMI!C:T,10,0),0)</f>
        <v>0</v>
      </c>
    </row>
    <row r="364" spans="1:14" hidden="1" x14ac:dyDescent="0.25">
      <c r="A364" s="210">
        <f>Indice!$I$11</f>
        <v>0</v>
      </c>
      <c r="B364" t="s">
        <v>1092</v>
      </c>
      <c r="C364" s="39">
        <f>Indice!$I$12</f>
        <v>45992</v>
      </c>
      <c r="E364">
        <f>ROUND(SUMIFS(CATEGORIAS[[#All],[TOTAL PRODUCCION
ACTUAL]],CATEGORIAS[[#All],[CATEGORIA2]],Imputar[[#This Row],[Categoría]]),0)</f>
        <v>0</v>
      </c>
      <c r="F364">
        <v>0</v>
      </c>
      <c r="G364">
        <f>ROUND(SUMIFS(CATEGORIAS[[#All],[PROYECCION
DE INGRESO
DEL SALDO]],CATEGORIAS[[#All],[CATEGORIA2]],Imputar[[#This Row],[Categoría]]),0)</f>
        <v>0</v>
      </c>
      <c r="H364">
        <f>ROUND(SUMIFS(CATEGORIAS[[#All],[CAMBIO DE
CATEGORIA]],CATEGORIAS[[#All],[CATEGORIA2]],Imputar[[#This Row],[Categoría]]),0)</f>
        <v>0</v>
      </c>
      <c r="I3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4">
        <f>+ROUND(SUMIFS(CATEGORIAS[[#All],[PROYECCION
TOTAL DE COSTO]],CATEGORIAS[[#All],[CATEGORIA2]],Imputar[[#This Row],[Categoría]]),0)
-Imputar[[#This Row],[Inventario]]
-Imputar[[#This Row],[Pedidos no Rec]]</f>
        <v>0</v>
      </c>
      <c r="K3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4">
        <f>_xlfn.IFNA(VLOOKUP(Imputar[[#This Row],[Categoría]],EIMI!C:T,8,0),0)</f>
        <v>0</v>
      </c>
      <c r="M364">
        <f>_xlfn.IFNA(VLOOKUP(Imputar[[#This Row],[Categoría]],EIMI!C:T,9,0),0)</f>
        <v>0</v>
      </c>
      <c r="N364">
        <f>_xlfn.IFNA(VLOOKUP(Imputar[[#This Row],[Categoría]],EIMI!C:T,10,0),0)</f>
        <v>0</v>
      </c>
    </row>
    <row r="365" spans="1:14" hidden="1" x14ac:dyDescent="0.25">
      <c r="A365" s="210">
        <f>Indice!$I$11</f>
        <v>0</v>
      </c>
      <c r="B365" t="s">
        <v>1094</v>
      </c>
      <c r="C365" s="39">
        <f>Indice!$I$12</f>
        <v>45992</v>
      </c>
      <c r="E365">
        <f>ROUND(SUMIFS(CATEGORIAS[[#All],[TOTAL PRODUCCION
ACTUAL]],CATEGORIAS[[#All],[CATEGORIA2]],Imputar[[#This Row],[Categoría]]),0)</f>
        <v>0</v>
      </c>
      <c r="F365">
        <v>0</v>
      </c>
      <c r="G365">
        <f>ROUND(SUMIFS(CATEGORIAS[[#All],[PROYECCION
DE INGRESO
DEL SALDO]],CATEGORIAS[[#All],[CATEGORIA2]],Imputar[[#This Row],[Categoría]]),0)</f>
        <v>0</v>
      </c>
      <c r="H365">
        <f>ROUND(SUMIFS(CATEGORIAS[[#All],[CAMBIO DE
CATEGORIA]],CATEGORIAS[[#All],[CATEGORIA2]],Imputar[[#This Row],[Categoría]]),0)</f>
        <v>0</v>
      </c>
      <c r="I3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5">
        <f>+ROUND(SUMIFS(CATEGORIAS[[#All],[PROYECCION
TOTAL DE COSTO]],CATEGORIAS[[#All],[CATEGORIA2]],Imputar[[#This Row],[Categoría]]),0)
-Imputar[[#This Row],[Inventario]]
-Imputar[[#This Row],[Pedidos no Rec]]</f>
        <v>0</v>
      </c>
      <c r="K3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5">
        <f>_xlfn.IFNA(VLOOKUP(Imputar[[#This Row],[Categoría]],EIMI!C:T,8,0),0)</f>
        <v>0</v>
      </c>
      <c r="M365">
        <f>_xlfn.IFNA(VLOOKUP(Imputar[[#This Row],[Categoría]],EIMI!C:T,9,0),0)</f>
        <v>0</v>
      </c>
      <c r="N365">
        <f>_xlfn.IFNA(VLOOKUP(Imputar[[#This Row],[Categoría]],EIMI!C:T,10,0),0)</f>
        <v>0</v>
      </c>
    </row>
    <row r="366" spans="1:14" x14ac:dyDescent="0.25">
      <c r="A366" s="210">
        <f>Indice!$I$11</f>
        <v>0</v>
      </c>
      <c r="B366" t="s">
        <v>1096</v>
      </c>
      <c r="C366" s="39">
        <f>Indice!$I$12</f>
        <v>45992</v>
      </c>
      <c r="E366">
        <f>ROUND(SUMIFS(CATEGORIAS[[#All],[TOTAL PRODUCCION
ACTUAL]],CATEGORIAS[[#All],[CATEGORIA2]],Imputar[[#This Row],[Categoría]]),0)</f>
        <v>0</v>
      </c>
      <c r="F366">
        <v>0</v>
      </c>
      <c r="G366">
        <f>ROUND(SUMIFS(CATEGORIAS[[#All],[PROYECCION
DE INGRESO
DEL SALDO]],CATEGORIAS[[#All],[CATEGORIA2]],Imputar[[#This Row],[Categoría]]),0)</f>
        <v>0</v>
      </c>
      <c r="H366">
        <f>ROUND(SUMIFS(CATEGORIAS[[#All],[CAMBIO DE
CATEGORIA]],CATEGORIAS[[#All],[CATEGORIA2]],Imputar[[#This Row],[Categoría]]),0)</f>
        <v>0</v>
      </c>
      <c r="I3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6">
        <f>+ROUND(SUMIFS(CATEGORIAS[[#All],[PROYECCION
TOTAL DE COSTO]],CATEGORIAS[[#All],[CATEGORIA2]],Imputar[[#This Row],[Categoría]]),0)
-Imputar[[#This Row],[Inventario]]
-Imputar[[#This Row],[Pedidos no Rec]]</f>
        <v>-22475188</v>
      </c>
      <c r="K36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66">
        <f>_xlfn.IFNA(VLOOKUP(Imputar[[#This Row],[Categoría]],EIMI!C:T,8,0),0)</f>
        <v>0</v>
      </c>
      <c r="M366">
        <f>_xlfn.IFNA(VLOOKUP(Imputar[[#This Row],[Categoría]],EIMI!C:T,9,0),0)</f>
        <v>22442788</v>
      </c>
      <c r="N366">
        <f>_xlfn.IFNA(VLOOKUP(Imputar[[#This Row],[Categoría]],EIMI!C:T,10,0),0)</f>
        <v>32400</v>
      </c>
    </row>
    <row r="367" spans="1:14" hidden="1" x14ac:dyDescent="0.25">
      <c r="A367" s="210">
        <f>Indice!$I$11</f>
        <v>0</v>
      </c>
      <c r="B367" t="s">
        <v>1098</v>
      </c>
      <c r="C367" s="39">
        <f>Indice!$I$12</f>
        <v>45992</v>
      </c>
      <c r="E367">
        <f>ROUND(SUMIFS(CATEGORIAS[[#All],[TOTAL PRODUCCION
ACTUAL]],CATEGORIAS[[#All],[CATEGORIA2]],Imputar[[#This Row],[Categoría]]),0)</f>
        <v>0</v>
      </c>
      <c r="F367">
        <v>0</v>
      </c>
      <c r="G367">
        <f>ROUND(SUMIFS(CATEGORIAS[[#All],[PROYECCION
DE INGRESO
DEL SALDO]],CATEGORIAS[[#All],[CATEGORIA2]],Imputar[[#This Row],[Categoría]]),0)</f>
        <v>0</v>
      </c>
      <c r="H367">
        <f>ROUND(SUMIFS(CATEGORIAS[[#All],[CAMBIO DE
CATEGORIA]],CATEGORIAS[[#All],[CATEGORIA2]],Imputar[[#This Row],[Categoría]]),0)</f>
        <v>0</v>
      </c>
      <c r="I3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7">
        <f>+ROUND(SUMIFS(CATEGORIAS[[#All],[PROYECCION
TOTAL DE COSTO]],CATEGORIAS[[#All],[CATEGORIA2]],Imputar[[#This Row],[Categoría]]),0)
-Imputar[[#This Row],[Inventario]]
-Imputar[[#This Row],[Pedidos no Rec]]</f>
        <v>0</v>
      </c>
      <c r="K3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7">
        <f>_xlfn.IFNA(VLOOKUP(Imputar[[#This Row],[Categoría]],EIMI!C:T,8,0),0)</f>
        <v>0</v>
      </c>
      <c r="M367">
        <f>_xlfn.IFNA(VLOOKUP(Imputar[[#This Row],[Categoría]],EIMI!C:T,9,0),0)</f>
        <v>0</v>
      </c>
      <c r="N367">
        <f>_xlfn.IFNA(VLOOKUP(Imputar[[#This Row],[Categoría]],EIMI!C:T,10,0),0)</f>
        <v>0</v>
      </c>
    </row>
    <row r="368" spans="1:14" hidden="1" x14ac:dyDescent="0.25">
      <c r="A368" s="210">
        <f>Indice!$I$11</f>
        <v>0</v>
      </c>
      <c r="B368" t="s">
        <v>1100</v>
      </c>
      <c r="C368" s="39">
        <f>Indice!$I$12</f>
        <v>45992</v>
      </c>
      <c r="E368">
        <f>ROUND(SUMIFS(CATEGORIAS[[#All],[TOTAL PRODUCCION
ACTUAL]],CATEGORIAS[[#All],[CATEGORIA2]],Imputar[[#This Row],[Categoría]]),0)</f>
        <v>0</v>
      </c>
      <c r="F368">
        <v>0</v>
      </c>
      <c r="G368">
        <f>ROUND(SUMIFS(CATEGORIAS[[#All],[PROYECCION
DE INGRESO
DEL SALDO]],CATEGORIAS[[#All],[CATEGORIA2]],Imputar[[#This Row],[Categoría]]),0)</f>
        <v>0</v>
      </c>
      <c r="H368">
        <f>ROUND(SUMIFS(CATEGORIAS[[#All],[CAMBIO DE
CATEGORIA]],CATEGORIAS[[#All],[CATEGORIA2]],Imputar[[#This Row],[Categoría]]),0)</f>
        <v>0</v>
      </c>
      <c r="I3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8">
        <f>+ROUND(SUMIFS(CATEGORIAS[[#All],[PROYECCION
TOTAL DE COSTO]],CATEGORIAS[[#All],[CATEGORIA2]],Imputar[[#This Row],[Categoría]]),0)
-Imputar[[#This Row],[Inventario]]
-Imputar[[#This Row],[Pedidos no Rec]]</f>
        <v>0</v>
      </c>
      <c r="K3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8">
        <f>_xlfn.IFNA(VLOOKUP(Imputar[[#This Row],[Categoría]],EIMI!C:T,8,0),0)</f>
        <v>0</v>
      </c>
      <c r="M368">
        <f>_xlfn.IFNA(VLOOKUP(Imputar[[#This Row],[Categoría]],EIMI!C:T,9,0),0)</f>
        <v>0</v>
      </c>
      <c r="N368">
        <f>_xlfn.IFNA(VLOOKUP(Imputar[[#This Row],[Categoría]],EIMI!C:T,10,0),0)</f>
        <v>0</v>
      </c>
    </row>
    <row r="369" spans="1:14" hidden="1" x14ac:dyDescent="0.25">
      <c r="A369" s="210">
        <f>Indice!$I$11</f>
        <v>0</v>
      </c>
      <c r="B369" t="s">
        <v>1102</v>
      </c>
      <c r="C369" s="39">
        <f>Indice!$I$12</f>
        <v>45992</v>
      </c>
      <c r="E369">
        <f>ROUND(SUMIFS(CATEGORIAS[[#All],[TOTAL PRODUCCION
ACTUAL]],CATEGORIAS[[#All],[CATEGORIA2]],Imputar[[#This Row],[Categoría]]),0)</f>
        <v>0</v>
      </c>
      <c r="F369">
        <v>0</v>
      </c>
      <c r="G369">
        <f>ROUND(SUMIFS(CATEGORIAS[[#All],[PROYECCION
DE INGRESO
DEL SALDO]],CATEGORIAS[[#All],[CATEGORIA2]],Imputar[[#This Row],[Categoría]]),0)</f>
        <v>0</v>
      </c>
      <c r="H369">
        <f>ROUND(SUMIFS(CATEGORIAS[[#All],[CAMBIO DE
CATEGORIA]],CATEGORIAS[[#All],[CATEGORIA2]],Imputar[[#This Row],[Categoría]]),0)</f>
        <v>0</v>
      </c>
      <c r="I3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9">
        <f>+ROUND(SUMIFS(CATEGORIAS[[#All],[PROYECCION
TOTAL DE COSTO]],CATEGORIAS[[#All],[CATEGORIA2]],Imputar[[#This Row],[Categoría]]),0)
-Imputar[[#This Row],[Inventario]]
-Imputar[[#This Row],[Pedidos no Rec]]</f>
        <v>0</v>
      </c>
      <c r="K3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9">
        <f>_xlfn.IFNA(VLOOKUP(Imputar[[#This Row],[Categoría]],EIMI!C:T,8,0),0)</f>
        <v>0</v>
      </c>
      <c r="M369">
        <f>_xlfn.IFNA(VLOOKUP(Imputar[[#This Row],[Categoría]],EIMI!C:T,9,0),0)</f>
        <v>0</v>
      </c>
      <c r="N369">
        <f>_xlfn.IFNA(VLOOKUP(Imputar[[#This Row],[Categoría]],EIMI!C:T,10,0),0)</f>
        <v>0</v>
      </c>
    </row>
    <row r="370" spans="1:14" x14ac:dyDescent="0.25">
      <c r="A370" s="210">
        <f>Indice!$I$11</f>
        <v>0</v>
      </c>
      <c r="B370" t="s">
        <v>1104</v>
      </c>
      <c r="C370" s="39">
        <f>Indice!$I$12</f>
        <v>45992</v>
      </c>
      <c r="E370">
        <f>ROUND(SUMIFS(CATEGORIAS[[#All],[TOTAL PRODUCCION
ACTUAL]],CATEGORIAS[[#All],[CATEGORIA2]],Imputar[[#This Row],[Categoría]]),0)</f>
        <v>0</v>
      </c>
      <c r="F370">
        <v>0</v>
      </c>
      <c r="G370">
        <f>ROUND(SUMIFS(CATEGORIAS[[#All],[PROYECCION
DE INGRESO
DEL SALDO]],CATEGORIAS[[#All],[CATEGORIA2]],Imputar[[#This Row],[Categoría]]),0)</f>
        <v>0</v>
      </c>
      <c r="H370">
        <f>ROUND(SUMIFS(CATEGORIAS[[#All],[CAMBIO DE
CATEGORIA]],CATEGORIAS[[#All],[CATEGORIA2]],Imputar[[#This Row],[Categoría]]),0)</f>
        <v>0</v>
      </c>
      <c r="I3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-661065</v>
      </c>
      <c r="J370">
        <f>+ROUND(SUMIFS(CATEGORIAS[[#All],[PROYECCION
TOTAL DE COSTO]],CATEGORIAS[[#All],[CATEGORIA2]],Imputar[[#This Row],[Categoría]]),0)
-Imputar[[#This Row],[Inventario]]
-Imputar[[#This Row],[Pedidos no Rec]]</f>
        <v>0</v>
      </c>
      <c r="K37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0">
        <f>_xlfn.IFNA(VLOOKUP(Imputar[[#This Row],[Categoría]],EIMI!C:T,8,0),0)</f>
        <v>661065</v>
      </c>
      <c r="M370">
        <f>_xlfn.IFNA(VLOOKUP(Imputar[[#This Row],[Categoría]],EIMI!C:T,9,0),0)</f>
        <v>0</v>
      </c>
      <c r="N370">
        <f>_xlfn.IFNA(VLOOKUP(Imputar[[#This Row],[Categoría]],EIMI!C:T,10,0),0)</f>
        <v>0</v>
      </c>
    </row>
    <row r="371" spans="1:14" x14ac:dyDescent="0.25">
      <c r="A371" s="210">
        <f>Indice!$I$11</f>
        <v>0</v>
      </c>
      <c r="B371" t="s">
        <v>1106</v>
      </c>
      <c r="C371" s="39">
        <f>Indice!$I$12</f>
        <v>45992</v>
      </c>
      <c r="E371">
        <f>ROUND(SUMIFS(CATEGORIAS[[#All],[TOTAL PRODUCCION
ACTUAL]],CATEGORIAS[[#All],[CATEGORIA2]],Imputar[[#This Row],[Categoría]]),0)</f>
        <v>0</v>
      </c>
      <c r="F371">
        <v>0</v>
      </c>
      <c r="G371">
        <f>ROUND(SUMIFS(CATEGORIAS[[#All],[PROYECCION
DE INGRESO
DEL SALDO]],CATEGORIAS[[#All],[CATEGORIA2]],Imputar[[#This Row],[Categoría]]),0)</f>
        <v>0</v>
      </c>
      <c r="H371">
        <f>ROUND(SUMIFS(CATEGORIAS[[#All],[CAMBIO DE
CATEGORIA]],CATEGORIAS[[#All],[CATEGORIA2]],Imputar[[#This Row],[Categoría]]),0)</f>
        <v>0</v>
      </c>
      <c r="I3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-110324</v>
      </c>
      <c r="J371">
        <f>+ROUND(SUMIFS(CATEGORIAS[[#All],[PROYECCION
TOTAL DE COSTO]],CATEGORIAS[[#All],[CATEGORIA2]],Imputar[[#This Row],[Categoría]]),0)
-Imputar[[#This Row],[Inventario]]
-Imputar[[#This Row],[Pedidos no Rec]]</f>
        <v>0</v>
      </c>
      <c r="K3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1">
        <f>_xlfn.IFNA(VLOOKUP(Imputar[[#This Row],[Categoría]],EIMI!C:T,8,0),0)</f>
        <v>110324</v>
      </c>
      <c r="M371">
        <f>_xlfn.IFNA(VLOOKUP(Imputar[[#This Row],[Categoría]],EIMI!C:T,9,0),0)</f>
        <v>0</v>
      </c>
      <c r="N371">
        <f>_xlfn.IFNA(VLOOKUP(Imputar[[#This Row],[Categoría]],EIMI!C:T,10,0),0)</f>
        <v>0</v>
      </c>
    </row>
    <row r="372" spans="1:14" x14ac:dyDescent="0.25">
      <c r="A372" s="210">
        <f>Indice!$I$11</f>
        <v>0</v>
      </c>
      <c r="B372" t="s">
        <v>1111</v>
      </c>
      <c r="C372" s="39">
        <f>Indice!$I$12</f>
        <v>45992</v>
      </c>
      <c r="E372">
        <f>ROUND(SUMIFS(CATEGORIAS[[#All],[TOTAL PRODUCCION
ACTUAL]],CATEGORIAS[[#All],[CATEGORIA2]],Imputar[[#This Row],[Categoría]]),0)</f>
        <v>0</v>
      </c>
      <c r="F372">
        <v>0</v>
      </c>
      <c r="G372">
        <f>ROUND(SUMIFS(CATEGORIAS[[#All],[PROYECCION
DE INGRESO
DEL SALDO]],CATEGORIAS[[#All],[CATEGORIA2]],Imputar[[#This Row],[Categoría]]),0)</f>
        <v>0</v>
      </c>
      <c r="H372">
        <f>ROUND(SUMIFS(CATEGORIAS[[#All],[CAMBIO DE
CATEGORIA]],CATEGORIAS[[#All],[CATEGORIA2]],Imputar[[#This Row],[Categoría]]),0)</f>
        <v>0</v>
      </c>
      <c r="I3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-16200000</v>
      </c>
      <c r="J372">
        <f>+ROUND(SUMIFS(CATEGORIAS[[#All],[PROYECCION
TOTAL DE COSTO]],CATEGORIAS[[#All],[CATEGORIA2]],Imputar[[#This Row],[Categoría]]),0)
-Imputar[[#This Row],[Inventario]]
-Imputar[[#This Row],[Pedidos no Rec]]</f>
        <v>0</v>
      </c>
      <c r="K37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2">
        <f>_xlfn.IFNA(VLOOKUP(Imputar[[#This Row],[Categoría]],EIMI!C:T,8,0),0)</f>
        <v>16200000</v>
      </c>
      <c r="M372">
        <f>_xlfn.IFNA(VLOOKUP(Imputar[[#This Row],[Categoría]],EIMI!C:T,9,0),0)</f>
        <v>0</v>
      </c>
      <c r="N372">
        <f>_xlfn.IFNA(VLOOKUP(Imputar[[#This Row],[Categoría]],EIMI!C:T,10,0),0)</f>
        <v>0</v>
      </c>
    </row>
    <row r="373" spans="1:14" hidden="1" x14ac:dyDescent="0.25">
      <c r="A373" s="210">
        <f>Indice!$I$11</f>
        <v>0</v>
      </c>
      <c r="B373" t="s">
        <v>1113</v>
      </c>
      <c r="C373" s="39">
        <f>Indice!$I$12</f>
        <v>45992</v>
      </c>
      <c r="E373">
        <f>ROUND(SUMIFS(CATEGORIAS[[#All],[TOTAL PRODUCCION
ACTUAL]],CATEGORIAS[[#All],[CATEGORIA2]],Imputar[[#This Row],[Categoría]]),0)</f>
        <v>0</v>
      </c>
      <c r="F373">
        <v>0</v>
      </c>
      <c r="G373">
        <f>ROUND(SUMIFS(CATEGORIAS[[#All],[PROYECCION
DE INGRESO
DEL SALDO]],CATEGORIAS[[#All],[CATEGORIA2]],Imputar[[#This Row],[Categoría]]),0)</f>
        <v>0</v>
      </c>
      <c r="H373">
        <f>ROUND(SUMIFS(CATEGORIAS[[#All],[CAMBIO DE
CATEGORIA]],CATEGORIAS[[#All],[CATEGORIA2]],Imputar[[#This Row],[Categoría]]),0)</f>
        <v>0</v>
      </c>
      <c r="I3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3">
        <f>+ROUND(SUMIFS(CATEGORIAS[[#All],[PROYECCION
TOTAL DE COSTO]],CATEGORIAS[[#All],[CATEGORIA2]],Imputar[[#This Row],[Categoría]]),0)
-Imputar[[#This Row],[Inventario]]
-Imputar[[#This Row],[Pedidos no Rec]]</f>
        <v>0</v>
      </c>
      <c r="K3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3">
        <f>_xlfn.IFNA(VLOOKUP(Imputar[[#This Row],[Categoría]],EIMI!C:T,8,0),0)</f>
        <v>0</v>
      </c>
      <c r="M373">
        <f>_xlfn.IFNA(VLOOKUP(Imputar[[#This Row],[Categoría]],EIMI!C:T,9,0),0)</f>
        <v>0</v>
      </c>
      <c r="N373">
        <f>_xlfn.IFNA(VLOOKUP(Imputar[[#This Row],[Categoría]],EIMI!C:T,10,0),0)</f>
        <v>0</v>
      </c>
    </row>
    <row r="374" spans="1:14" hidden="1" x14ac:dyDescent="0.25">
      <c r="A374" s="210">
        <f>Indice!$I$11</f>
        <v>0</v>
      </c>
      <c r="B374" t="s">
        <v>1115</v>
      </c>
      <c r="C374" s="39">
        <f>Indice!$I$12</f>
        <v>45992</v>
      </c>
      <c r="E374">
        <f>ROUND(SUMIFS(CATEGORIAS[[#All],[TOTAL PRODUCCION
ACTUAL]],CATEGORIAS[[#All],[CATEGORIA2]],Imputar[[#This Row],[Categoría]]),0)</f>
        <v>0</v>
      </c>
      <c r="F374">
        <v>0</v>
      </c>
      <c r="G374">
        <f>ROUND(SUMIFS(CATEGORIAS[[#All],[PROYECCION
DE INGRESO
DEL SALDO]],CATEGORIAS[[#All],[CATEGORIA2]],Imputar[[#This Row],[Categoría]]),0)</f>
        <v>0</v>
      </c>
      <c r="H374">
        <f>ROUND(SUMIFS(CATEGORIAS[[#All],[CAMBIO DE
CATEGORIA]],CATEGORIAS[[#All],[CATEGORIA2]],Imputar[[#This Row],[Categoría]]),0)</f>
        <v>0</v>
      </c>
      <c r="I3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4">
        <f>+ROUND(SUMIFS(CATEGORIAS[[#All],[PROYECCION
TOTAL DE COSTO]],CATEGORIAS[[#All],[CATEGORIA2]],Imputar[[#This Row],[Categoría]]),0)
-Imputar[[#This Row],[Inventario]]
-Imputar[[#This Row],[Pedidos no Rec]]</f>
        <v>0</v>
      </c>
      <c r="K3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4">
        <f>_xlfn.IFNA(VLOOKUP(Imputar[[#This Row],[Categoría]],EIMI!C:T,8,0),0)</f>
        <v>0</v>
      </c>
      <c r="M374">
        <f>_xlfn.IFNA(VLOOKUP(Imputar[[#This Row],[Categoría]],EIMI!C:T,9,0),0)</f>
        <v>0</v>
      </c>
      <c r="N374">
        <f>_xlfn.IFNA(VLOOKUP(Imputar[[#This Row],[Categoría]],EIMI!C:T,10,0),0)</f>
        <v>0</v>
      </c>
    </row>
    <row r="375" spans="1:14" hidden="1" x14ac:dyDescent="0.25">
      <c r="A375" s="210">
        <f>Indice!$I$11</f>
        <v>0</v>
      </c>
      <c r="B375" t="s">
        <v>1117</v>
      </c>
      <c r="C375" s="39">
        <f>Indice!$I$12</f>
        <v>45992</v>
      </c>
      <c r="E375">
        <f>ROUND(SUMIFS(CATEGORIAS[[#All],[TOTAL PRODUCCION
ACTUAL]],CATEGORIAS[[#All],[CATEGORIA2]],Imputar[[#This Row],[Categoría]]),0)</f>
        <v>0</v>
      </c>
      <c r="F375">
        <v>0</v>
      </c>
      <c r="G375">
        <f>ROUND(SUMIFS(CATEGORIAS[[#All],[PROYECCION
DE INGRESO
DEL SALDO]],CATEGORIAS[[#All],[CATEGORIA2]],Imputar[[#This Row],[Categoría]]),0)</f>
        <v>0</v>
      </c>
      <c r="H375">
        <f>ROUND(SUMIFS(CATEGORIAS[[#All],[CAMBIO DE
CATEGORIA]],CATEGORIAS[[#All],[CATEGORIA2]],Imputar[[#This Row],[Categoría]]),0)</f>
        <v>0</v>
      </c>
      <c r="I3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5">
        <f>+ROUND(SUMIFS(CATEGORIAS[[#All],[PROYECCION
TOTAL DE COSTO]],CATEGORIAS[[#All],[CATEGORIA2]],Imputar[[#This Row],[Categoría]]),0)
-Imputar[[#This Row],[Inventario]]
-Imputar[[#This Row],[Pedidos no Rec]]</f>
        <v>0</v>
      </c>
      <c r="K3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5">
        <f>_xlfn.IFNA(VLOOKUP(Imputar[[#This Row],[Categoría]],EIMI!C:T,8,0),0)</f>
        <v>0</v>
      </c>
      <c r="M375">
        <f>_xlfn.IFNA(VLOOKUP(Imputar[[#This Row],[Categoría]],EIMI!C:T,9,0),0)</f>
        <v>0</v>
      </c>
      <c r="N375">
        <f>_xlfn.IFNA(VLOOKUP(Imputar[[#This Row],[Categoría]],EIMI!C:T,10,0),0)</f>
        <v>0</v>
      </c>
    </row>
    <row r="376" spans="1:14" hidden="1" x14ac:dyDescent="0.25">
      <c r="A376" s="210">
        <f>Indice!$I$11</f>
        <v>0</v>
      </c>
      <c r="B376" t="s">
        <v>1119</v>
      </c>
      <c r="C376" s="39">
        <f>Indice!$I$12</f>
        <v>45992</v>
      </c>
      <c r="E376">
        <f>ROUND(SUMIFS(CATEGORIAS[[#All],[TOTAL PRODUCCION
ACTUAL]],CATEGORIAS[[#All],[CATEGORIA2]],Imputar[[#This Row],[Categoría]]),0)</f>
        <v>0</v>
      </c>
      <c r="F376">
        <v>0</v>
      </c>
      <c r="G376">
        <f>ROUND(SUMIFS(CATEGORIAS[[#All],[PROYECCION
DE INGRESO
DEL SALDO]],CATEGORIAS[[#All],[CATEGORIA2]],Imputar[[#This Row],[Categoría]]),0)</f>
        <v>0</v>
      </c>
      <c r="H376">
        <f>ROUND(SUMIFS(CATEGORIAS[[#All],[CAMBIO DE
CATEGORIA]],CATEGORIAS[[#All],[CATEGORIA2]],Imputar[[#This Row],[Categoría]]),0)</f>
        <v>0</v>
      </c>
      <c r="I3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6">
        <f>+ROUND(SUMIFS(CATEGORIAS[[#All],[PROYECCION
TOTAL DE COSTO]],CATEGORIAS[[#All],[CATEGORIA2]],Imputar[[#This Row],[Categoría]]),0)
-Imputar[[#This Row],[Inventario]]
-Imputar[[#This Row],[Pedidos no Rec]]</f>
        <v>0</v>
      </c>
      <c r="K3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6">
        <f>_xlfn.IFNA(VLOOKUP(Imputar[[#This Row],[Categoría]],EIMI!C:T,8,0),0)</f>
        <v>0</v>
      </c>
      <c r="M376">
        <f>_xlfn.IFNA(VLOOKUP(Imputar[[#This Row],[Categoría]],EIMI!C:T,9,0),0)</f>
        <v>0</v>
      </c>
      <c r="N376">
        <f>_xlfn.IFNA(VLOOKUP(Imputar[[#This Row],[Categoría]],EIMI!C:T,10,0),0)</f>
        <v>0</v>
      </c>
    </row>
    <row r="377" spans="1:14" hidden="1" x14ac:dyDescent="0.25">
      <c r="A377" s="210">
        <f>Indice!$I$11</f>
        <v>0</v>
      </c>
      <c r="B377" t="s">
        <v>1121</v>
      </c>
      <c r="C377" s="39">
        <f>Indice!$I$12</f>
        <v>45992</v>
      </c>
      <c r="E377">
        <f>ROUND(SUMIFS(CATEGORIAS[[#All],[TOTAL PRODUCCION
ACTUAL]],CATEGORIAS[[#All],[CATEGORIA2]],Imputar[[#This Row],[Categoría]]),0)</f>
        <v>0</v>
      </c>
      <c r="F377">
        <v>0</v>
      </c>
      <c r="G377">
        <f>ROUND(SUMIFS(CATEGORIAS[[#All],[PROYECCION
DE INGRESO
DEL SALDO]],CATEGORIAS[[#All],[CATEGORIA2]],Imputar[[#This Row],[Categoría]]),0)</f>
        <v>0</v>
      </c>
      <c r="H377">
        <f>ROUND(SUMIFS(CATEGORIAS[[#All],[CAMBIO DE
CATEGORIA]],CATEGORIAS[[#All],[CATEGORIA2]],Imputar[[#This Row],[Categoría]]),0)</f>
        <v>0</v>
      </c>
      <c r="I3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7">
        <f>+ROUND(SUMIFS(CATEGORIAS[[#All],[PROYECCION
TOTAL DE COSTO]],CATEGORIAS[[#All],[CATEGORIA2]],Imputar[[#This Row],[Categoría]]),0)
-Imputar[[#This Row],[Inventario]]
-Imputar[[#This Row],[Pedidos no Rec]]</f>
        <v>0</v>
      </c>
      <c r="K3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7">
        <f>_xlfn.IFNA(VLOOKUP(Imputar[[#This Row],[Categoría]],EIMI!C:T,8,0),0)</f>
        <v>0</v>
      </c>
      <c r="M377">
        <f>_xlfn.IFNA(VLOOKUP(Imputar[[#This Row],[Categoría]],EIMI!C:T,9,0),0)</f>
        <v>0</v>
      </c>
      <c r="N377">
        <f>_xlfn.IFNA(VLOOKUP(Imputar[[#This Row],[Categoría]],EIMI!C:T,10,0),0)</f>
        <v>0</v>
      </c>
    </row>
    <row r="378" spans="1:14" x14ac:dyDescent="0.25">
      <c r="A378" s="210">
        <f>Indice!$I$11</f>
        <v>0</v>
      </c>
      <c r="B378" t="s">
        <v>1123</v>
      </c>
      <c r="C378" s="39">
        <f>Indice!$I$12</f>
        <v>45992</v>
      </c>
      <c r="E378">
        <f>ROUND(SUMIFS(CATEGORIAS[[#All],[TOTAL PRODUCCION
ACTUAL]],CATEGORIAS[[#All],[CATEGORIA2]],Imputar[[#This Row],[Categoría]]),0)</f>
        <v>0</v>
      </c>
      <c r="F378">
        <v>0</v>
      </c>
      <c r="G378">
        <f>ROUND(SUMIFS(CATEGORIAS[[#All],[PROYECCION
DE INGRESO
DEL SALDO]],CATEGORIAS[[#All],[CATEGORIA2]],Imputar[[#This Row],[Categoría]]),0)</f>
        <v>0</v>
      </c>
      <c r="H378">
        <f>ROUND(SUMIFS(CATEGORIAS[[#All],[CAMBIO DE
CATEGORIA]],CATEGORIAS[[#All],[CATEGORIA2]],Imputar[[#This Row],[Categoría]]),0)</f>
        <v>0</v>
      </c>
      <c r="I3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-373332</v>
      </c>
      <c r="J378">
        <f>+ROUND(SUMIFS(CATEGORIAS[[#All],[PROYECCION
TOTAL DE COSTO]],CATEGORIAS[[#All],[CATEGORIA2]],Imputar[[#This Row],[Categoría]]),0)
-Imputar[[#This Row],[Inventario]]
-Imputar[[#This Row],[Pedidos no Rec]]</f>
        <v>-60750</v>
      </c>
      <c r="K37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8">
        <f>_xlfn.IFNA(VLOOKUP(Imputar[[#This Row],[Categoría]],EIMI!C:T,8,0),0)</f>
        <v>373332</v>
      </c>
      <c r="M378">
        <f>_xlfn.IFNA(VLOOKUP(Imputar[[#This Row],[Categoría]],EIMI!C:T,9,0),0)</f>
        <v>60750</v>
      </c>
      <c r="N378">
        <f>_xlfn.IFNA(VLOOKUP(Imputar[[#This Row],[Categoría]],EIMI!C:T,10,0),0)</f>
        <v>0</v>
      </c>
    </row>
    <row r="379" spans="1:14" hidden="1" x14ac:dyDescent="0.25">
      <c r="A379" s="210">
        <f>Indice!$I$11</f>
        <v>0</v>
      </c>
      <c r="B379" t="s">
        <v>1125</v>
      </c>
      <c r="C379" s="39">
        <f>Indice!$I$12</f>
        <v>45992</v>
      </c>
      <c r="E379">
        <f>ROUND(SUMIFS(CATEGORIAS[[#All],[TOTAL PRODUCCION
ACTUAL]],CATEGORIAS[[#All],[CATEGORIA2]],Imputar[[#This Row],[Categoría]]),0)</f>
        <v>0</v>
      </c>
      <c r="F379">
        <v>0</v>
      </c>
      <c r="G379">
        <f>ROUND(SUMIFS(CATEGORIAS[[#All],[PROYECCION
DE INGRESO
DEL SALDO]],CATEGORIAS[[#All],[CATEGORIA2]],Imputar[[#This Row],[Categoría]]),0)</f>
        <v>0</v>
      </c>
      <c r="H379">
        <f>ROUND(SUMIFS(CATEGORIAS[[#All],[CAMBIO DE
CATEGORIA]],CATEGORIAS[[#All],[CATEGORIA2]],Imputar[[#This Row],[Categoría]]),0)</f>
        <v>0</v>
      </c>
      <c r="I3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9">
        <f>+ROUND(SUMIFS(CATEGORIAS[[#All],[PROYECCION
TOTAL DE COSTO]],CATEGORIAS[[#All],[CATEGORIA2]],Imputar[[#This Row],[Categoría]]),0)
-Imputar[[#This Row],[Inventario]]
-Imputar[[#This Row],[Pedidos no Rec]]</f>
        <v>0</v>
      </c>
      <c r="K3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9">
        <f>_xlfn.IFNA(VLOOKUP(Imputar[[#This Row],[Categoría]],EIMI!C:T,8,0),0)</f>
        <v>0</v>
      </c>
      <c r="M379">
        <f>_xlfn.IFNA(VLOOKUP(Imputar[[#This Row],[Categoría]],EIMI!C:T,9,0),0)</f>
        <v>0</v>
      </c>
      <c r="N379">
        <f>_xlfn.IFNA(VLOOKUP(Imputar[[#This Row],[Categoría]],EIMI!C:T,10,0),0)</f>
        <v>0</v>
      </c>
    </row>
    <row r="380" spans="1:14" hidden="1" x14ac:dyDescent="0.25">
      <c r="A380" s="210">
        <f>Indice!$I$11</f>
        <v>0</v>
      </c>
      <c r="B380" t="s">
        <v>1127</v>
      </c>
      <c r="C380" s="39">
        <f>Indice!$I$12</f>
        <v>45992</v>
      </c>
      <c r="E380">
        <f>ROUND(SUMIFS(CATEGORIAS[[#All],[TOTAL PRODUCCION
ACTUAL]],CATEGORIAS[[#All],[CATEGORIA2]],Imputar[[#This Row],[Categoría]]),0)</f>
        <v>0</v>
      </c>
      <c r="F380">
        <v>0</v>
      </c>
      <c r="G380">
        <f>ROUND(SUMIFS(CATEGORIAS[[#All],[PROYECCION
DE INGRESO
DEL SALDO]],CATEGORIAS[[#All],[CATEGORIA2]],Imputar[[#This Row],[Categoría]]),0)</f>
        <v>0</v>
      </c>
      <c r="H380">
        <f>ROUND(SUMIFS(CATEGORIAS[[#All],[CAMBIO DE
CATEGORIA]],CATEGORIAS[[#All],[CATEGORIA2]],Imputar[[#This Row],[Categoría]]),0)</f>
        <v>0</v>
      </c>
      <c r="I3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0">
        <f>+ROUND(SUMIFS(CATEGORIAS[[#All],[PROYECCION
TOTAL DE COSTO]],CATEGORIAS[[#All],[CATEGORIA2]],Imputar[[#This Row],[Categoría]]),0)
-Imputar[[#This Row],[Inventario]]
-Imputar[[#This Row],[Pedidos no Rec]]</f>
        <v>0</v>
      </c>
      <c r="K3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0">
        <f>_xlfn.IFNA(VLOOKUP(Imputar[[#This Row],[Categoría]],EIMI!C:T,8,0),0)</f>
        <v>0</v>
      </c>
      <c r="M380">
        <f>_xlfn.IFNA(VLOOKUP(Imputar[[#This Row],[Categoría]],EIMI!C:T,9,0),0)</f>
        <v>0</v>
      </c>
      <c r="N380">
        <f>_xlfn.IFNA(VLOOKUP(Imputar[[#This Row],[Categoría]],EIMI!C:T,10,0),0)</f>
        <v>0</v>
      </c>
    </row>
    <row r="381" spans="1:14" hidden="1" x14ac:dyDescent="0.25">
      <c r="A381" s="210">
        <f>Indice!$I$11</f>
        <v>0</v>
      </c>
      <c r="B381" t="s">
        <v>1129</v>
      </c>
      <c r="C381" s="39">
        <f>Indice!$I$12</f>
        <v>45992</v>
      </c>
      <c r="E381">
        <f>ROUND(SUMIFS(CATEGORIAS[[#All],[TOTAL PRODUCCION
ACTUAL]],CATEGORIAS[[#All],[CATEGORIA2]],Imputar[[#This Row],[Categoría]]),0)</f>
        <v>0</v>
      </c>
      <c r="F381">
        <v>0</v>
      </c>
      <c r="G381">
        <f>ROUND(SUMIFS(CATEGORIAS[[#All],[PROYECCION
DE INGRESO
DEL SALDO]],CATEGORIAS[[#All],[CATEGORIA2]],Imputar[[#This Row],[Categoría]]),0)</f>
        <v>0</v>
      </c>
      <c r="H381">
        <f>ROUND(SUMIFS(CATEGORIAS[[#All],[CAMBIO DE
CATEGORIA]],CATEGORIAS[[#All],[CATEGORIA2]],Imputar[[#This Row],[Categoría]]),0)</f>
        <v>0</v>
      </c>
      <c r="I3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1">
        <f>+ROUND(SUMIFS(CATEGORIAS[[#All],[PROYECCION
TOTAL DE COSTO]],CATEGORIAS[[#All],[CATEGORIA2]],Imputar[[#This Row],[Categoría]]),0)
-Imputar[[#This Row],[Inventario]]
-Imputar[[#This Row],[Pedidos no Rec]]</f>
        <v>0</v>
      </c>
      <c r="K3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1">
        <f>_xlfn.IFNA(VLOOKUP(Imputar[[#This Row],[Categoría]],EIMI!C:T,8,0),0)</f>
        <v>0</v>
      </c>
      <c r="M381">
        <f>_xlfn.IFNA(VLOOKUP(Imputar[[#This Row],[Categoría]],EIMI!C:T,9,0),0)</f>
        <v>0</v>
      </c>
      <c r="N381">
        <f>_xlfn.IFNA(VLOOKUP(Imputar[[#This Row],[Categoría]],EIMI!C:T,10,0),0)</f>
        <v>0</v>
      </c>
    </row>
    <row r="382" spans="1:14" hidden="1" x14ac:dyDescent="0.25">
      <c r="A382" s="210">
        <f>Indice!$I$11</f>
        <v>0</v>
      </c>
      <c r="B382" t="s">
        <v>1131</v>
      </c>
      <c r="C382" s="39">
        <f>Indice!$I$12</f>
        <v>45992</v>
      </c>
      <c r="E382">
        <f>ROUND(SUMIFS(CATEGORIAS[[#All],[TOTAL PRODUCCION
ACTUAL]],CATEGORIAS[[#All],[CATEGORIA2]],Imputar[[#This Row],[Categoría]]),0)</f>
        <v>0</v>
      </c>
      <c r="F382">
        <v>0</v>
      </c>
      <c r="G382">
        <f>ROUND(SUMIFS(CATEGORIAS[[#All],[PROYECCION
DE INGRESO
DEL SALDO]],CATEGORIAS[[#All],[CATEGORIA2]],Imputar[[#This Row],[Categoría]]),0)</f>
        <v>0</v>
      </c>
      <c r="H382">
        <f>ROUND(SUMIFS(CATEGORIAS[[#All],[CAMBIO DE
CATEGORIA]],CATEGORIAS[[#All],[CATEGORIA2]],Imputar[[#This Row],[Categoría]]),0)</f>
        <v>0</v>
      </c>
      <c r="I3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2">
        <f>+ROUND(SUMIFS(CATEGORIAS[[#All],[PROYECCION
TOTAL DE COSTO]],CATEGORIAS[[#All],[CATEGORIA2]],Imputar[[#This Row],[Categoría]]),0)
-Imputar[[#This Row],[Inventario]]
-Imputar[[#This Row],[Pedidos no Rec]]</f>
        <v>0</v>
      </c>
      <c r="K3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2">
        <f>_xlfn.IFNA(VLOOKUP(Imputar[[#This Row],[Categoría]],EIMI!C:T,8,0),0)</f>
        <v>0</v>
      </c>
      <c r="M382">
        <f>_xlfn.IFNA(VLOOKUP(Imputar[[#This Row],[Categoría]],EIMI!C:T,9,0),0)</f>
        <v>0</v>
      </c>
      <c r="N382">
        <f>_xlfn.IFNA(VLOOKUP(Imputar[[#This Row],[Categoría]],EIMI!C:T,10,0),0)</f>
        <v>0</v>
      </c>
    </row>
    <row r="383" spans="1:14" x14ac:dyDescent="0.25">
      <c r="A383" s="210">
        <f>Indice!$I$11</f>
        <v>0</v>
      </c>
      <c r="B383" t="s">
        <v>1133</v>
      </c>
      <c r="C383" s="39">
        <f>Indice!$I$12</f>
        <v>45992</v>
      </c>
      <c r="E383">
        <f>ROUND(SUMIFS(CATEGORIAS[[#All],[TOTAL PRODUCCION
ACTUAL]],CATEGORIAS[[#All],[CATEGORIA2]],Imputar[[#This Row],[Categoría]]),0)</f>
        <v>0</v>
      </c>
      <c r="F383">
        <v>0</v>
      </c>
      <c r="G383">
        <f>ROUND(SUMIFS(CATEGORIAS[[#All],[PROYECCION
DE INGRESO
DEL SALDO]],CATEGORIAS[[#All],[CATEGORIA2]],Imputar[[#This Row],[Categoría]]),0)</f>
        <v>0</v>
      </c>
      <c r="H383">
        <f>ROUND(SUMIFS(CATEGORIAS[[#All],[CAMBIO DE
CATEGORIA]],CATEGORIAS[[#All],[CATEGORIA2]],Imputar[[#This Row],[Categoría]]),0)</f>
        <v>0</v>
      </c>
      <c r="I3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-1565391</v>
      </c>
      <c r="J383">
        <f>+ROUND(SUMIFS(CATEGORIAS[[#All],[PROYECCION
TOTAL DE COSTO]],CATEGORIAS[[#All],[CATEGORIA2]],Imputar[[#This Row],[Categoría]]),0)
-Imputar[[#This Row],[Inventario]]
-Imputar[[#This Row],[Pedidos no Rec]]</f>
        <v>0</v>
      </c>
      <c r="K38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3">
        <f>_xlfn.IFNA(VLOOKUP(Imputar[[#This Row],[Categoría]],EIMI!C:T,8,0),0)</f>
        <v>1565391</v>
      </c>
      <c r="M383">
        <f>_xlfn.IFNA(VLOOKUP(Imputar[[#This Row],[Categoría]],EIMI!C:T,9,0),0)</f>
        <v>0</v>
      </c>
      <c r="N383">
        <f>_xlfn.IFNA(VLOOKUP(Imputar[[#This Row],[Categoría]],EIMI!C:T,10,0),0)</f>
        <v>0</v>
      </c>
    </row>
    <row r="384" spans="1:14" x14ac:dyDescent="0.25">
      <c r="A384" s="210">
        <f>Indice!$I$11</f>
        <v>0</v>
      </c>
      <c r="B384" t="s">
        <v>1135</v>
      </c>
      <c r="C384" s="39">
        <f>Indice!$I$12</f>
        <v>45992</v>
      </c>
      <c r="E384">
        <f>ROUND(SUMIFS(CATEGORIAS[[#All],[TOTAL PRODUCCION
ACTUAL]],CATEGORIAS[[#All],[CATEGORIA2]],Imputar[[#This Row],[Categoría]]),0)</f>
        <v>0</v>
      </c>
      <c r="F384">
        <v>0</v>
      </c>
      <c r="G384">
        <f>ROUND(SUMIFS(CATEGORIAS[[#All],[PROYECCION
DE INGRESO
DEL SALDO]],CATEGORIAS[[#All],[CATEGORIA2]],Imputar[[#This Row],[Categoría]]),0)</f>
        <v>0</v>
      </c>
      <c r="H384">
        <f>ROUND(SUMIFS(CATEGORIAS[[#All],[CAMBIO DE
CATEGORIA]],CATEGORIAS[[#All],[CATEGORIA2]],Imputar[[#This Row],[Categoría]]),0)</f>
        <v>0</v>
      </c>
      <c r="I3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-7053446</v>
      </c>
      <c r="J384">
        <f>+ROUND(SUMIFS(CATEGORIAS[[#All],[PROYECCION
TOTAL DE COSTO]],CATEGORIAS[[#All],[CATEGORIA2]],Imputar[[#This Row],[Categoría]]),0)
-Imputar[[#This Row],[Inventario]]
-Imputar[[#This Row],[Pedidos no Rec]]</f>
        <v>0</v>
      </c>
      <c r="K38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4">
        <f>_xlfn.IFNA(VLOOKUP(Imputar[[#This Row],[Categoría]],EIMI!C:T,8,0),0)</f>
        <v>7053446</v>
      </c>
      <c r="M384">
        <f>_xlfn.IFNA(VLOOKUP(Imputar[[#This Row],[Categoría]],EIMI!C:T,9,0),0)</f>
        <v>0</v>
      </c>
      <c r="N384">
        <f>_xlfn.IFNA(VLOOKUP(Imputar[[#This Row],[Categoría]],EIMI!C:T,10,0),0)</f>
        <v>0</v>
      </c>
    </row>
    <row r="385" spans="1:14" hidden="1" x14ac:dyDescent="0.25">
      <c r="A385" s="210">
        <f>Indice!$I$11</f>
        <v>0</v>
      </c>
      <c r="B385" t="s">
        <v>1137</v>
      </c>
      <c r="C385" s="39">
        <f>Indice!$I$12</f>
        <v>45992</v>
      </c>
      <c r="E385">
        <f>ROUND(SUMIFS(CATEGORIAS[[#All],[TOTAL PRODUCCION
ACTUAL]],CATEGORIAS[[#All],[CATEGORIA2]],Imputar[[#This Row],[Categoría]]),0)</f>
        <v>0</v>
      </c>
      <c r="F385">
        <v>0</v>
      </c>
      <c r="G385">
        <f>ROUND(SUMIFS(CATEGORIAS[[#All],[PROYECCION
DE INGRESO
DEL SALDO]],CATEGORIAS[[#All],[CATEGORIA2]],Imputar[[#This Row],[Categoría]]),0)</f>
        <v>0</v>
      </c>
      <c r="H385">
        <f>ROUND(SUMIFS(CATEGORIAS[[#All],[CAMBIO DE
CATEGORIA]],CATEGORIAS[[#All],[CATEGORIA2]],Imputar[[#This Row],[Categoría]]),0)</f>
        <v>0</v>
      </c>
      <c r="I3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5">
        <f>+ROUND(SUMIFS(CATEGORIAS[[#All],[PROYECCION
TOTAL DE COSTO]],CATEGORIAS[[#All],[CATEGORIA2]],Imputar[[#This Row],[Categoría]]),0)
-Imputar[[#This Row],[Inventario]]
-Imputar[[#This Row],[Pedidos no Rec]]</f>
        <v>0</v>
      </c>
      <c r="K3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5">
        <f>_xlfn.IFNA(VLOOKUP(Imputar[[#This Row],[Categoría]],EIMI!C:T,8,0),0)</f>
        <v>0</v>
      </c>
      <c r="M385">
        <f>_xlfn.IFNA(VLOOKUP(Imputar[[#This Row],[Categoría]],EIMI!C:T,9,0),0)</f>
        <v>0</v>
      </c>
      <c r="N385">
        <f>_xlfn.IFNA(VLOOKUP(Imputar[[#This Row],[Categoría]],EIMI!C:T,10,0),0)</f>
        <v>0</v>
      </c>
    </row>
    <row r="386" spans="1:14" hidden="1" x14ac:dyDescent="0.25">
      <c r="A386" s="210">
        <f>Indice!$I$11</f>
        <v>0</v>
      </c>
      <c r="B386" t="s">
        <v>1139</v>
      </c>
      <c r="C386" s="39">
        <f>Indice!$I$12</f>
        <v>45992</v>
      </c>
      <c r="E386">
        <f>ROUND(SUMIFS(CATEGORIAS[[#All],[TOTAL PRODUCCION
ACTUAL]],CATEGORIAS[[#All],[CATEGORIA2]],Imputar[[#This Row],[Categoría]]),0)</f>
        <v>0</v>
      </c>
      <c r="F386">
        <v>0</v>
      </c>
      <c r="G386">
        <f>ROUND(SUMIFS(CATEGORIAS[[#All],[PROYECCION
DE INGRESO
DEL SALDO]],CATEGORIAS[[#All],[CATEGORIA2]],Imputar[[#This Row],[Categoría]]),0)</f>
        <v>0</v>
      </c>
      <c r="H386">
        <f>ROUND(SUMIFS(CATEGORIAS[[#All],[CAMBIO DE
CATEGORIA]],CATEGORIAS[[#All],[CATEGORIA2]],Imputar[[#This Row],[Categoría]]),0)</f>
        <v>0</v>
      </c>
      <c r="I3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6">
        <f>+ROUND(SUMIFS(CATEGORIAS[[#All],[PROYECCION
TOTAL DE COSTO]],CATEGORIAS[[#All],[CATEGORIA2]],Imputar[[#This Row],[Categoría]]),0)
-Imputar[[#This Row],[Inventario]]
-Imputar[[#This Row],[Pedidos no Rec]]</f>
        <v>0</v>
      </c>
      <c r="K3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6">
        <f>_xlfn.IFNA(VLOOKUP(Imputar[[#This Row],[Categoría]],EIMI!C:T,8,0),0)</f>
        <v>0</v>
      </c>
      <c r="M386">
        <f>_xlfn.IFNA(VLOOKUP(Imputar[[#This Row],[Categoría]],EIMI!C:T,9,0),0)</f>
        <v>0</v>
      </c>
      <c r="N386">
        <f>_xlfn.IFNA(VLOOKUP(Imputar[[#This Row],[Categoría]],EIMI!C:T,10,0),0)</f>
        <v>0</v>
      </c>
    </row>
    <row r="387" spans="1:14" hidden="1" x14ac:dyDescent="0.25">
      <c r="A387" s="210">
        <f>Indice!$I$11</f>
        <v>0</v>
      </c>
      <c r="B387" t="s">
        <v>1143</v>
      </c>
      <c r="C387" s="39">
        <f>Indice!$I$12</f>
        <v>45992</v>
      </c>
      <c r="E387">
        <f>ROUND(SUMIFS(CATEGORIAS[[#All],[TOTAL PRODUCCION
ACTUAL]],CATEGORIAS[[#All],[CATEGORIA2]],Imputar[[#This Row],[Categoría]]),0)</f>
        <v>0</v>
      </c>
      <c r="F387">
        <v>0</v>
      </c>
      <c r="G387">
        <f>ROUND(SUMIFS(CATEGORIAS[[#All],[PROYECCION
DE INGRESO
DEL SALDO]],CATEGORIAS[[#All],[CATEGORIA2]],Imputar[[#This Row],[Categoría]]),0)</f>
        <v>0</v>
      </c>
      <c r="H387">
        <f>ROUND(SUMIFS(CATEGORIAS[[#All],[CAMBIO DE
CATEGORIA]],CATEGORIAS[[#All],[CATEGORIA2]],Imputar[[#This Row],[Categoría]]),0)</f>
        <v>0</v>
      </c>
      <c r="I3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7">
        <f>+ROUND(SUMIFS(CATEGORIAS[[#All],[PROYECCION
TOTAL DE COSTO]],CATEGORIAS[[#All],[CATEGORIA2]],Imputar[[#This Row],[Categoría]]),0)
-Imputar[[#This Row],[Inventario]]
-Imputar[[#This Row],[Pedidos no Rec]]</f>
        <v>0</v>
      </c>
      <c r="K3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7">
        <f>_xlfn.IFNA(VLOOKUP(Imputar[[#This Row],[Categoría]],EIMI!C:T,8,0),0)</f>
        <v>0</v>
      </c>
      <c r="M387">
        <f>_xlfn.IFNA(VLOOKUP(Imputar[[#This Row],[Categoría]],EIMI!C:T,9,0),0)</f>
        <v>0</v>
      </c>
      <c r="N387">
        <f>_xlfn.IFNA(VLOOKUP(Imputar[[#This Row],[Categoría]],EIMI!C:T,10,0),0)</f>
        <v>0</v>
      </c>
    </row>
    <row r="388" spans="1:14" hidden="1" x14ac:dyDescent="0.25">
      <c r="A388" s="210">
        <f>Indice!$I$11</f>
        <v>0</v>
      </c>
      <c r="B388" t="s">
        <v>1145</v>
      </c>
      <c r="C388" s="39">
        <f>Indice!$I$12</f>
        <v>45992</v>
      </c>
      <c r="E388">
        <f>ROUND(SUMIFS(CATEGORIAS[[#All],[TOTAL PRODUCCION
ACTUAL]],CATEGORIAS[[#All],[CATEGORIA2]],Imputar[[#This Row],[Categoría]]),0)</f>
        <v>0</v>
      </c>
      <c r="F388">
        <v>0</v>
      </c>
      <c r="G388">
        <f>ROUND(SUMIFS(CATEGORIAS[[#All],[PROYECCION
DE INGRESO
DEL SALDO]],CATEGORIAS[[#All],[CATEGORIA2]],Imputar[[#This Row],[Categoría]]),0)</f>
        <v>0</v>
      </c>
      <c r="H388">
        <f>ROUND(SUMIFS(CATEGORIAS[[#All],[CAMBIO DE
CATEGORIA]],CATEGORIAS[[#All],[CATEGORIA2]],Imputar[[#This Row],[Categoría]]),0)</f>
        <v>0</v>
      </c>
      <c r="I3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8">
        <f>+ROUND(SUMIFS(CATEGORIAS[[#All],[PROYECCION
TOTAL DE COSTO]],CATEGORIAS[[#All],[CATEGORIA2]],Imputar[[#This Row],[Categoría]]),0)
-Imputar[[#This Row],[Inventario]]
-Imputar[[#This Row],[Pedidos no Rec]]</f>
        <v>0</v>
      </c>
      <c r="K3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8">
        <f>_xlfn.IFNA(VLOOKUP(Imputar[[#This Row],[Categoría]],EIMI!C:T,8,0),0)</f>
        <v>0</v>
      </c>
      <c r="M388">
        <f>_xlfn.IFNA(VLOOKUP(Imputar[[#This Row],[Categoría]],EIMI!C:T,9,0),0)</f>
        <v>0</v>
      </c>
      <c r="N388">
        <f>_xlfn.IFNA(VLOOKUP(Imputar[[#This Row],[Categoría]],EIMI!C:T,10,0),0)</f>
        <v>0</v>
      </c>
    </row>
    <row r="389" spans="1:14" hidden="1" x14ac:dyDescent="0.25">
      <c r="A389" s="210">
        <f>Indice!$I$11</f>
        <v>0</v>
      </c>
      <c r="B389" t="s">
        <v>1147</v>
      </c>
      <c r="C389" s="39">
        <f>Indice!$I$12</f>
        <v>45992</v>
      </c>
      <c r="E389">
        <f>ROUND(SUMIFS(CATEGORIAS[[#All],[TOTAL PRODUCCION
ACTUAL]],CATEGORIAS[[#All],[CATEGORIA2]],Imputar[[#This Row],[Categoría]]),0)</f>
        <v>0</v>
      </c>
      <c r="F389">
        <v>0</v>
      </c>
      <c r="G389">
        <f>ROUND(SUMIFS(CATEGORIAS[[#All],[PROYECCION
DE INGRESO
DEL SALDO]],CATEGORIAS[[#All],[CATEGORIA2]],Imputar[[#This Row],[Categoría]]),0)</f>
        <v>0</v>
      </c>
      <c r="H389">
        <f>ROUND(SUMIFS(CATEGORIAS[[#All],[CAMBIO DE
CATEGORIA]],CATEGORIAS[[#All],[CATEGORIA2]],Imputar[[#This Row],[Categoría]]),0)</f>
        <v>0</v>
      </c>
      <c r="I3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9">
        <f>+ROUND(SUMIFS(CATEGORIAS[[#All],[PROYECCION
TOTAL DE COSTO]],CATEGORIAS[[#All],[CATEGORIA2]],Imputar[[#This Row],[Categoría]]),0)
-Imputar[[#This Row],[Inventario]]
-Imputar[[#This Row],[Pedidos no Rec]]</f>
        <v>0</v>
      </c>
      <c r="K3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9">
        <f>_xlfn.IFNA(VLOOKUP(Imputar[[#This Row],[Categoría]],EIMI!C:T,8,0),0)</f>
        <v>0</v>
      </c>
      <c r="M389">
        <f>_xlfn.IFNA(VLOOKUP(Imputar[[#This Row],[Categoría]],EIMI!C:T,9,0),0)</f>
        <v>0</v>
      </c>
      <c r="N389">
        <f>_xlfn.IFNA(VLOOKUP(Imputar[[#This Row],[Categoría]],EIMI!C:T,10,0),0)</f>
        <v>0</v>
      </c>
    </row>
    <row r="390" spans="1:14" hidden="1" x14ac:dyDescent="0.25">
      <c r="A390" s="210">
        <f>Indice!$I$11</f>
        <v>0</v>
      </c>
      <c r="B390" t="s">
        <v>1149</v>
      </c>
      <c r="C390" s="39">
        <f>Indice!$I$12</f>
        <v>45992</v>
      </c>
      <c r="E390">
        <f>ROUND(SUMIFS(CATEGORIAS[[#All],[TOTAL PRODUCCION
ACTUAL]],CATEGORIAS[[#All],[CATEGORIA2]],Imputar[[#This Row],[Categoría]]),0)</f>
        <v>0</v>
      </c>
      <c r="F390">
        <v>0</v>
      </c>
      <c r="G390">
        <f>ROUND(SUMIFS(CATEGORIAS[[#All],[PROYECCION
DE INGRESO
DEL SALDO]],CATEGORIAS[[#All],[CATEGORIA2]],Imputar[[#This Row],[Categoría]]),0)</f>
        <v>0</v>
      </c>
      <c r="H390">
        <f>ROUND(SUMIFS(CATEGORIAS[[#All],[CAMBIO DE
CATEGORIA]],CATEGORIAS[[#All],[CATEGORIA2]],Imputar[[#This Row],[Categoría]]),0)</f>
        <v>0</v>
      </c>
      <c r="I3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0">
        <f>+ROUND(SUMIFS(CATEGORIAS[[#All],[PROYECCION
TOTAL DE COSTO]],CATEGORIAS[[#All],[CATEGORIA2]],Imputar[[#This Row],[Categoría]]),0)
-Imputar[[#This Row],[Inventario]]
-Imputar[[#This Row],[Pedidos no Rec]]</f>
        <v>0</v>
      </c>
      <c r="K3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0">
        <f>_xlfn.IFNA(VLOOKUP(Imputar[[#This Row],[Categoría]],EIMI!C:T,8,0),0)</f>
        <v>0</v>
      </c>
      <c r="M390">
        <f>_xlfn.IFNA(VLOOKUP(Imputar[[#This Row],[Categoría]],EIMI!C:T,9,0),0)</f>
        <v>0</v>
      </c>
      <c r="N390">
        <f>_xlfn.IFNA(VLOOKUP(Imputar[[#This Row],[Categoría]],EIMI!C:T,10,0),0)</f>
        <v>0</v>
      </c>
    </row>
    <row r="391" spans="1:14" hidden="1" x14ac:dyDescent="0.25">
      <c r="A391" s="210">
        <f>Indice!$I$11</f>
        <v>0</v>
      </c>
      <c r="B391" t="s">
        <v>1151</v>
      </c>
      <c r="C391" s="39">
        <f>Indice!$I$12</f>
        <v>45992</v>
      </c>
      <c r="E391">
        <f>ROUND(SUMIFS(CATEGORIAS[[#All],[TOTAL PRODUCCION
ACTUAL]],CATEGORIAS[[#All],[CATEGORIA2]],Imputar[[#This Row],[Categoría]]),0)</f>
        <v>0</v>
      </c>
      <c r="F391">
        <v>0</v>
      </c>
      <c r="G391">
        <f>ROUND(SUMIFS(CATEGORIAS[[#All],[PROYECCION
DE INGRESO
DEL SALDO]],CATEGORIAS[[#All],[CATEGORIA2]],Imputar[[#This Row],[Categoría]]),0)</f>
        <v>0</v>
      </c>
      <c r="H391">
        <f>ROUND(SUMIFS(CATEGORIAS[[#All],[CAMBIO DE
CATEGORIA]],CATEGORIAS[[#All],[CATEGORIA2]],Imputar[[#This Row],[Categoría]]),0)</f>
        <v>0</v>
      </c>
      <c r="I3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1">
        <f>+ROUND(SUMIFS(CATEGORIAS[[#All],[PROYECCION
TOTAL DE COSTO]],CATEGORIAS[[#All],[CATEGORIA2]],Imputar[[#This Row],[Categoría]]),0)
-Imputar[[#This Row],[Inventario]]
-Imputar[[#This Row],[Pedidos no Rec]]</f>
        <v>0</v>
      </c>
      <c r="K3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1">
        <f>_xlfn.IFNA(VLOOKUP(Imputar[[#This Row],[Categoría]],EIMI!C:T,8,0),0)</f>
        <v>0</v>
      </c>
      <c r="M391">
        <f>_xlfn.IFNA(VLOOKUP(Imputar[[#This Row],[Categoría]],EIMI!C:T,9,0),0)</f>
        <v>0</v>
      </c>
      <c r="N391">
        <f>_xlfn.IFNA(VLOOKUP(Imputar[[#This Row],[Categoría]],EIMI!C:T,10,0),0)</f>
        <v>0</v>
      </c>
    </row>
    <row r="392" spans="1:14" hidden="1" x14ac:dyDescent="0.25">
      <c r="A392" s="210">
        <f>Indice!$I$11</f>
        <v>0</v>
      </c>
      <c r="B392" t="s">
        <v>1153</v>
      </c>
      <c r="C392" s="39">
        <f>Indice!$I$12</f>
        <v>45992</v>
      </c>
      <c r="E392">
        <f>ROUND(SUMIFS(CATEGORIAS[[#All],[TOTAL PRODUCCION
ACTUAL]],CATEGORIAS[[#All],[CATEGORIA2]],Imputar[[#This Row],[Categoría]]),0)</f>
        <v>0</v>
      </c>
      <c r="F392">
        <v>0</v>
      </c>
      <c r="G392">
        <f>ROUND(SUMIFS(CATEGORIAS[[#All],[PROYECCION
DE INGRESO
DEL SALDO]],CATEGORIAS[[#All],[CATEGORIA2]],Imputar[[#This Row],[Categoría]]),0)</f>
        <v>0</v>
      </c>
      <c r="H392">
        <f>ROUND(SUMIFS(CATEGORIAS[[#All],[CAMBIO DE
CATEGORIA]],CATEGORIAS[[#All],[CATEGORIA2]],Imputar[[#This Row],[Categoría]]),0)</f>
        <v>0</v>
      </c>
      <c r="I3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2">
        <f>+ROUND(SUMIFS(CATEGORIAS[[#All],[PROYECCION
TOTAL DE COSTO]],CATEGORIAS[[#All],[CATEGORIA2]],Imputar[[#This Row],[Categoría]]),0)
-Imputar[[#This Row],[Inventario]]
-Imputar[[#This Row],[Pedidos no Rec]]</f>
        <v>0</v>
      </c>
      <c r="K3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2">
        <f>_xlfn.IFNA(VLOOKUP(Imputar[[#This Row],[Categoría]],EIMI!C:T,8,0),0)</f>
        <v>0</v>
      </c>
      <c r="M392">
        <f>_xlfn.IFNA(VLOOKUP(Imputar[[#This Row],[Categoría]],EIMI!C:T,9,0),0)</f>
        <v>0</v>
      </c>
      <c r="N392">
        <f>_xlfn.IFNA(VLOOKUP(Imputar[[#This Row],[Categoría]],EIMI!C:T,10,0),0)</f>
        <v>0</v>
      </c>
    </row>
    <row r="393" spans="1:14" hidden="1" x14ac:dyDescent="0.25">
      <c r="A393" s="210">
        <f>Indice!$I$11</f>
        <v>0</v>
      </c>
      <c r="B393" t="s">
        <v>1155</v>
      </c>
      <c r="C393" s="39">
        <f>Indice!$I$12</f>
        <v>45992</v>
      </c>
      <c r="E393">
        <f>ROUND(SUMIFS(CATEGORIAS[[#All],[TOTAL PRODUCCION
ACTUAL]],CATEGORIAS[[#All],[CATEGORIA2]],Imputar[[#This Row],[Categoría]]),0)</f>
        <v>0</v>
      </c>
      <c r="F393">
        <v>0</v>
      </c>
      <c r="G393">
        <f>ROUND(SUMIFS(CATEGORIAS[[#All],[PROYECCION
DE INGRESO
DEL SALDO]],CATEGORIAS[[#All],[CATEGORIA2]],Imputar[[#This Row],[Categoría]]),0)</f>
        <v>0</v>
      </c>
      <c r="H393">
        <f>ROUND(SUMIFS(CATEGORIAS[[#All],[CAMBIO DE
CATEGORIA]],CATEGORIAS[[#All],[CATEGORIA2]],Imputar[[#This Row],[Categoría]]),0)</f>
        <v>0</v>
      </c>
      <c r="I3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3">
        <f>+ROUND(SUMIFS(CATEGORIAS[[#All],[PROYECCION
TOTAL DE COSTO]],CATEGORIAS[[#All],[CATEGORIA2]],Imputar[[#This Row],[Categoría]]),0)
-Imputar[[#This Row],[Inventario]]
-Imputar[[#This Row],[Pedidos no Rec]]</f>
        <v>0</v>
      </c>
      <c r="K3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3">
        <f>_xlfn.IFNA(VLOOKUP(Imputar[[#This Row],[Categoría]],EIMI!C:T,8,0),0)</f>
        <v>0</v>
      </c>
      <c r="M393">
        <f>_xlfn.IFNA(VLOOKUP(Imputar[[#This Row],[Categoría]],EIMI!C:T,9,0),0)</f>
        <v>0</v>
      </c>
      <c r="N393">
        <f>_xlfn.IFNA(VLOOKUP(Imputar[[#This Row],[Categoría]],EIMI!C:T,10,0),0)</f>
        <v>0</v>
      </c>
    </row>
    <row r="394" spans="1:14" hidden="1" x14ac:dyDescent="0.25">
      <c r="A394" s="210">
        <f>Indice!$I$11</f>
        <v>0</v>
      </c>
      <c r="B394" t="s">
        <v>1157</v>
      </c>
      <c r="C394" s="39">
        <f>Indice!$I$12</f>
        <v>45992</v>
      </c>
      <c r="E394">
        <f>ROUND(SUMIFS(CATEGORIAS[[#All],[TOTAL PRODUCCION
ACTUAL]],CATEGORIAS[[#All],[CATEGORIA2]],Imputar[[#This Row],[Categoría]]),0)</f>
        <v>0</v>
      </c>
      <c r="F394">
        <v>0</v>
      </c>
      <c r="G394">
        <f>ROUND(SUMIFS(CATEGORIAS[[#All],[PROYECCION
DE INGRESO
DEL SALDO]],CATEGORIAS[[#All],[CATEGORIA2]],Imputar[[#This Row],[Categoría]]),0)</f>
        <v>0</v>
      </c>
      <c r="H394">
        <f>ROUND(SUMIFS(CATEGORIAS[[#All],[CAMBIO DE
CATEGORIA]],CATEGORIAS[[#All],[CATEGORIA2]],Imputar[[#This Row],[Categoría]]),0)</f>
        <v>0</v>
      </c>
      <c r="I3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4">
        <f>+ROUND(SUMIFS(CATEGORIAS[[#All],[PROYECCION
TOTAL DE COSTO]],CATEGORIAS[[#All],[CATEGORIA2]],Imputar[[#This Row],[Categoría]]),0)
-Imputar[[#This Row],[Inventario]]
-Imputar[[#This Row],[Pedidos no Rec]]</f>
        <v>0</v>
      </c>
      <c r="K3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4">
        <f>_xlfn.IFNA(VLOOKUP(Imputar[[#This Row],[Categoría]],EIMI!C:T,8,0),0)</f>
        <v>0</v>
      </c>
      <c r="M394">
        <f>_xlfn.IFNA(VLOOKUP(Imputar[[#This Row],[Categoría]],EIMI!C:T,9,0),0)</f>
        <v>0</v>
      </c>
      <c r="N394">
        <f>_xlfn.IFNA(VLOOKUP(Imputar[[#This Row],[Categoría]],EIMI!C:T,10,0),0)</f>
        <v>0</v>
      </c>
    </row>
    <row r="395" spans="1:14" hidden="1" x14ac:dyDescent="0.25">
      <c r="A395" s="210">
        <f>Indice!$I$11</f>
        <v>0</v>
      </c>
      <c r="B395" t="s">
        <v>1159</v>
      </c>
      <c r="C395" s="39">
        <f>Indice!$I$12</f>
        <v>45992</v>
      </c>
      <c r="E395">
        <f>ROUND(SUMIFS(CATEGORIAS[[#All],[TOTAL PRODUCCION
ACTUAL]],CATEGORIAS[[#All],[CATEGORIA2]],Imputar[[#This Row],[Categoría]]),0)</f>
        <v>0</v>
      </c>
      <c r="F395">
        <v>0</v>
      </c>
      <c r="G395">
        <f>ROUND(SUMIFS(CATEGORIAS[[#All],[PROYECCION
DE INGRESO
DEL SALDO]],CATEGORIAS[[#All],[CATEGORIA2]],Imputar[[#This Row],[Categoría]]),0)</f>
        <v>0</v>
      </c>
      <c r="H395">
        <f>ROUND(SUMIFS(CATEGORIAS[[#All],[CAMBIO DE
CATEGORIA]],CATEGORIAS[[#All],[CATEGORIA2]],Imputar[[#This Row],[Categoría]]),0)</f>
        <v>0</v>
      </c>
      <c r="I3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5">
        <f>+ROUND(SUMIFS(CATEGORIAS[[#All],[PROYECCION
TOTAL DE COSTO]],CATEGORIAS[[#All],[CATEGORIA2]],Imputar[[#This Row],[Categoría]]),0)
-Imputar[[#This Row],[Inventario]]
-Imputar[[#This Row],[Pedidos no Rec]]</f>
        <v>0</v>
      </c>
      <c r="K3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5">
        <f>_xlfn.IFNA(VLOOKUP(Imputar[[#This Row],[Categoría]],EIMI!C:T,8,0),0)</f>
        <v>0</v>
      </c>
      <c r="M395">
        <f>_xlfn.IFNA(VLOOKUP(Imputar[[#This Row],[Categoría]],EIMI!C:T,9,0),0)</f>
        <v>0</v>
      </c>
      <c r="N395">
        <f>_xlfn.IFNA(VLOOKUP(Imputar[[#This Row],[Categoría]],EIMI!C:T,10,0),0)</f>
        <v>0</v>
      </c>
    </row>
    <row r="396" spans="1:14" hidden="1" x14ac:dyDescent="0.25">
      <c r="A396" s="210">
        <f>Indice!$I$11</f>
        <v>0</v>
      </c>
      <c r="B396" t="s">
        <v>1161</v>
      </c>
      <c r="C396" s="39">
        <f>Indice!$I$12</f>
        <v>45992</v>
      </c>
      <c r="E396">
        <f>ROUND(SUMIFS(CATEGORIAS[[#All],[TOTAL PRODUCCION
ACTUAL]],CATEGORIAS[[#All],[CATEGORIA2]],Imputar[[#This Row],[Categoría]]),0)</f>
        <v>0</v>
      </c>
      <c r="F396">
        <v>0</v>
      </c>
      <c r="G396">
        <f>ROUND(SUMIFS(CATEGORIAS[[#All],[PROYECCION
DE INGRESO
DEL SALDO]],CATEGORIAS[[#All],[CATEGORIA2]],Imputar[[#This Row],[Categoría]]),0)</f>
        <v>0</v>
      </c>
      <c r="H396">
        <f>ROUND(SUMIFS(CATEGORIAS[[#All],[CAMBIO DE
CATEGORIA]],CATEGORIAS[[#All],[CATEGORIA2]],Imputar[[#This Row],[Categoría]]),0)</f>
        <v>0</v>
      </c>
      <c r="I3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6">
        <f>+ROUND(SUMIFS(CATEGORIAS[[#All],[PROYECCION
TOTAL DE COSTO]],CATEGORIAS[[#All],[CATEGORIA2]],Imputar[[#This Row],[Categoría]]),0)
-Imputar[[#This Row],[Inventario]]
-Imputar[[#This Row],[Pedidos no Rec]]</f>
        <v>0</v>
      </c>
      <c r="K3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6">
        <f>_xlfn.IFNA(VLOOKUP(Imputar[[#This Row],[Categoría]],EIMI!C:T,8,0),0)</f>
        <v>0</v>
      </c>
      <c r="M396">
        <f>_xlfn.IFNA(VLOOKUP(Imputar[[#This Row],[Categoría]],EIMI!C:T,9,0),0)</f>
        <v>0</v>
      </c>
      <c r="N396">
        <f>_xlfn.IFNA(VLOOKUP(Imputar[[#This Row],[Categoría]],EIMI!C:T,10,0),0)</f>
        <v>0</v>
      </c>
    </row>
    <row r="397" spans="1:14" hidden="1" x14ac:dyDescent="0.25">
      <c r="A397" s="210">
        <f>Indice!$I$11</f>
        <v>0</v>
      </c>
      <c r="B397" t="s">
        <v>1166</v>
      </c>
      <c r="C397" s="39">
        <f>Indice!$I$12</f>
        <v>45992</v>
      </c>
      <c r="E397">
        <f>ROUND(SUMIFS(CATEGORIAS[[#All],[TOTAL PRODUCCION
ACTUAL]],CATEGORIAS[[#All],[CATEGORIA2]],Imputar[[#This Row],[Categoría]]),0)</f>
        <v>0</v>
      </c>
      <c r="F397">
        <v>0</v>
      </c>
      <c r="G397">
        <f>ROUND(SUMIFS(CATEGORIAS[[#All],[PROYECCION
DE INGRESO
DEL SALDO]],CATEGORIAS[[#All],[CATEGORIA2]],Imputar[[#This Row],[Categoría]]),0)</f>
        <v>0</v>
      </c>
      <c r="H397">
        <f>ROUND(SUMIFS(CATEGORIAS[[#All],[CAMBIO DE
CATEGORIA]],CATEGORIAS[[#All],[CATEGORIA2]],Imputar[[#This Row],[Categoría]]),0)</f>
        <v>0</v>
      </c>
      <c r="I3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7">
        <f>+ROUND(SUMIFS(CATEGORIAS[[#All],[PROYECCION
TOTAL DE COSTO]],CATEGORIAS[[#All],[CATEGORIA2]],Imputar[[#This Row],[Categoría]]),0)
-Imputar[[#This Row],[Inventario]]
-Imputar[[#This Row],[Pedidos no Rec]]</f>
        <v>0</v>
      </c>
      <c r="K3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7">
        <f>_xlfn.IFNA(VLOOKUP(Imputar[[#This Row],[Categoría]],EIMI!C:T,8,0),0)</f>
        <v>0</v>
      </c>
      <c r="M397">
        <f>_xlfn.IFNA(VLOOKUP(Imputar[[#This Row],[Categoría]],EIMI!C:T,9,0),0)</f>
        <v>0</v>
      </c>
      <c r="N397">
        <f>_xlfn.IFNA(VLOOKUP(Imputar[[#This Row],[Categoría]],EIMI!C:T,10,0),0)</f>
        <v>0</v>
      </c>
    </row>
    <row r="398" spans="1:14" hidden="1" x14ac:dyDescent="0.25">
      <c r="A398" s="210">
        <f>Indice!$I$11</f>
        <v>0</v>
      </c>
      <c r="B398" t="s">
        <v>1168</v>
      </c>
      <c r="C398" s="39">
        <f>Indice!$I$12</f>
        <v>45992</v>
      </c>
      <c r="E398">
        <f>ROUND(SUMIFS(CATEGORIAS[[#All],[TOTAL PRODUCCION
ACTUAL]],CATEGORIAS[[#All],[CATEGORIA2]],Imputar[[#This Row],[Categoría]]),0)</f>
        <v>0</v>
      </c>
      <c r="F398">
        <v>0</v>
      </c>
      <c r="G398">
        <f>ROUND(SUMIFS(CATEGORIAS[[#All],[PROYECCION
DE INGRESO
DEL SALDO]],CATEGORIAS[[#All],[CATEGORIA2]],Imputar[[#This Row],[Categoría]]),0)</f>
        <v>0</v>
      </c>
      <c r="H398">
        <f>ROUND(SUMIFS(CATEGORIAS[[#All],[CAMBIO DE
CATEGORIA]],CATEGORIAS[[#All],[CATEGORIA2]],Imputar[[#This Row],[Categoría]]),0)</f>
        <v>0</v>
      </c>
      <c r="I3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8">
        <f>+ROUND(SUMIFS(CATEGORIAS[[#All],[PROYECCION
TOTAL DE COSTO]],CATEGORIAS[[#All],[CATEGORIA2]],Imputar[[#This Row],[Categoría]]),0)
-Imputar[[#This Row],[Inventario]]
-Imputar[[#This Row],[Pedidos no Rec]]</f>
        <v>0</v>
      </c>
      <c r="K3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8">
        <f>_xlfn.IFNA(VLOOKUP(Imputar[[#This Row],[Categoría]],EIMI!C:T,8,0),0)</f>
        <v>0</v>
      </c>
      <c r="M398">
        <f>_xlfn.IFNA(VLOOKUP(Imputar[[#This Row],[Categoría]],EIMI!C:T,9,0),0)</f>
        <v>0</v>
      </c>
      <c r="N398">
        <f>_xlfn.IFNA(VLOOKUP(Imputar[[#This Row],[Categoría]],EIMI!C:T,10,0),0)</f>
        <v>0</v>
      </c>
    </row>
    <row r="399" spans="1:14" hidden="1" x14ac:dyDescent="0.25">
      <c r="A399" s="210">
        <f>Indice!$I$11</f>
        <v>0</v>
      </c>
      <c r="B399" t="s">
        <v>1170</v>
      </c>
      <c r="C399" s="39">
        <f>Indice!$I$12</f>
        <v>45992</v>
      </c>
      <c r="E399">
        <f>ROUND(SUMIFS(CATEGORIAS[[#All],[TOTAL PRODUCCION
ACTUAL]],CATEGORIAS[[#All],[CATEGORIA2]],Imputar[[#This Row],[Categoría]]),0)</f>
        <v>0</v>
      </c>
      <c r="F399">
        <v>0</v>
      </c>
      <c r="G399">
        <f>ROUND(SUMIFS(CATEGORIAS[[#All],[PROYECCION
DE INGRESO
DEL SALDO]],CATEGORIAS[[#All],[CATEGORIA2]],Imputar[[#This Row],[Categoría]]),0)</f>
        <v>0</v>
      </c>
      <c r="H399">
        <f>ROUND(SUMIFS(CATEGORIAS[[#All],[CAMBIO DE
CATEGORIA]],CATEGORIAS[[#All],[CATEGORIA2]],Imputar[[#This Row],[Categoría]]),0)</f>
        <v>0</v>
      </c>
      <c r="I3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9">
        <f>+ROUND(SUMIFS(CATEGORIAS[[#All],[PROYECCION
TOTAL DE COSTO]],CATEGORIAS[[#All],[CATEGORIA2]],Imputar[[#This Row],[Categoría]]),0)
-Imputar[[#This Row],[Inventario]]
-Imputar[[#This Row],[Pedidos no Rec]]</f>
        <v>0</v>
      </c>
      <c r="K3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9">
        <f>_xlfn.IFNA(VLOOKUP(Imputar[[#This Row],[Categoría]],EIMI!C:T,8,0),0)</f>
        <v>0</v>
      </c>
      <c r="M399">
        <f>_xlfn.IFNA(VLOOKUP(Imputar[[#This Row],[Categoría]],EIMI!C:T,9,0),0)</f>
        <v>0</v>
      </c>
      <c r="N399">
        <f>_xlfn.IFNA(VLOOKUP(Imputar[[#This Row],[Categoría]],EIMI!C:T,10,0),0)</f>
        <v>0</v>
      </c>
    </row>
    <row r="400" spans="1:14" hidden="1" x14ac:dyDescent="0.25">
      <c r="A400" s="210">
        <f>Indice!$I$11</f>
        <v>0</v>
      </c>
      <c r="B400" t="s">
        <v>1172</v>
      </c>
      <c r="C400" s="39">
        <f>Indice!$I$12</f>
        <v>45992</v>
      </c>
      <c r="E400">
        <f>ROUND(SUMIFS(CATEGORIAS[[#All],[TOTAL PRODUCCION
ACTUAL]],CATEGORIAS[[#All],[CATEGORIA2]],Imputar[[#This Row],[Categoría]]),0)</f>
        <v>0</v>
      </c>
      <c r="F400">
        <v>0</v>
      </c>
      <c r="G400">
        <f>ROUND(SUMIFS(CATEGORIAS[[#All],[PROYECCION
DE INGRESO
DEL SALDO]],CATEGORIAS[[#All],[CATEGORIA2]],Imputar[[#This Row],[Categoría]]),0)</f>
        <v>0</v>
      </c>
      <c r="H400">
        <f>ROUND(SUMIFS(CATEGORIAS[[#All],[CAMBIO DE
CATEGORIA]],CATEGORIAS[[#All],[CATEGORIA2]],Imputar[[#This Row],[Categoría]]),0)</f>
        <v>0</v>
      </c>
      <c r="I4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0">
        <f>+ROUND(SUMIFS(CATEGORIAS[[#All],[PROYECCION
TOTAL DE COSTO]],CATEGORIAS[[#All],[CATEGORIA2]],Imputar[[#This Row],[Categoría]]),0)
-Imputar[[#This Row],[Inventario]]
-Imputar[[#This Row],[Pedidos no Rec]]</f>
        <v>0</v>
      </c>
      <c r="K4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0">
        <f>_xlfn.IFNA(VLOOKUP(Imputar[[#This Row],[Categoría]],EIMI!C:T,8,0),0)</f>
        <v>0</v>
      </c>
      <c r="M400">
        <f>_xlfn.IFNA(VLOOKUP(Imputar[[#This Row],[Categoría]],EIMI!C:T,9,0),0)</f>
        <v>0</v>
      </c>
      <c r="N400">
        <f>_xlfn.IFNA(VLOOKUP(Imputar[[#This Row],[Categoría]],EIMI!C:T,10,0),0)</f>
        <v>0</v>
      </c>
    </row>
    <row r="401" spans="1:14" hidden="1" x14ac:dyDescent="0.25">
      <c r="A401" s="210">
        <f>Indice!$I$11</f>
        <v>0</v>
      </c>
      <c r="B401" t="s">
        <v>1177</v>
      </c>
      <c r="C401" s="39">
        <f>Indice!$I$12</f>
        <v>45992</v>
      </c>
      <c r="E401">
        <f>ROUND(SUMIFS(CATEGORIAS[[#All],[TOTAL PRODUCCION
ACTUAL]],CATEGORIAS[[#All],[CATEGORIA2]],Imputar[[#This Row],[Categoría]]),0)</f>
        <v>0</v>
      </c>
      <c r="F401">
        <v>0</v>
      </c>
      <c r="G401">
        <f>ROUND(SUMIFS(CATEGORIAS[[#All],[PROYECCION
DE INGRESO
DEL SALDO]],CATEGORIAS[[#All],[CATEGORIA2]],Imputar[[#This Row],[Categoría]]),0)</f>
        <v>0</v>
      </c>
      <c r="H401">
        <f>ROUND(SUMIFS(CATEGORIAS[[#All],[CAMBIO DE
CATEGORIA]],CATEGORIAS[[#All],[CATEGORIA2]],Imputar[[#This Row],[Categoría]]),0)</f>
        <v>0</v>
      </c>
      <c r="I4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1">
        <f>+ROUND(SUMIFS(CATEGORIAS[[#All],[PROYECCION
TOTAL DE COSTO]],CATEGORIAS[[#All],[CATEGORIA2]],Imputar[[#This Row],[Categoría]]),0)
-Imputar[[#This Row],[Inventario]]
-Imputar[[#This Row],[Pedidos no Rec]]</f>
        <v>0</v>
      </c>
      <c r="K4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1">
        <f>_xlfn.IFNA(VLOOKUP(Imputar[[#This Row],[Categoría]],EIMI!C:T,8,0),0)</f>
        <v>0</v>
      </c>
      <c r="M401">
        <f>_xlfn.IFNA(VLOOKUP(Imputar[[#This Row],[Categoría]],EIMI!C:T,9,0),0)</f>
        <v>0</v>
      </c>
      <c r="N401">
        <f>_xlfn.IFNA(VLOOKUP(Imputar[[#This Row],[Categoría]],EIMI!C:T,10,0),0)</f>
        <v>0</v>
      </c>
    </row>
    <row r="402" spans="1:14" hidden="1" x14ac:dyDescent="0.25">
      <c r="A402" s="210">
        <f>Indice!$I$11</f>
        <v>0</v>
      </c>
      <c r="B402" t="s">
        <v>1179</v>
      </c>
      <c r="C402" s="39">
        <f>Indice!$I$12</f>
        <v>45992</v>
      </c>
      <c r="E402">
        <f>ROUND(SUMIFS(CATEGORIAS[[#All],[TOTAL PRODUCCION
ACTUAL]],CATEGORIAS[[#All],[CATEGORIA2]],Imputar[[#This Row],[Categoría]]),0)</f>
        <v>0</v>
      </c>
      <c r="F402">
        <v>0</v>
      </c>
      <c r="G402">
        <f>ROUND(SUMIFS(CATEGORIAS[[#All],[PROYECCION
DE INGRESO
DEL SALDO]],CATEGORIAS[[#All],[CATEGORIA2]],Imputar[[#This Row],[Categoría]]),0)</f>
        <v>0</v>
      </c>
      <c r="H402">
        <f>ROUND(SUMIFS(CATEGORIAS[[#All],[CAMBIO DE
CATEGORIA]],CATEGORIAS[[#All],[CATEGORIA2]],Imputar[[#This Row],[Categoría]]),0)</f>
        <v>0</v>
      </c>
      <c r="I4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2">
        <f>+ROUND(SUMIFS(CATEGORIAS[[#All],[PROYECCION
TOTAL DE COSTO]],CATEGORIAS[[#All],[CATEGORIA2]],Imputar[[#This Row],[Categoría]]),0)
-Imputar[[#This Row],[Inventario]]
-Imputar[[#This Row],[Pedidos no Rec]]</f>
        <v>0</v>
      </c>
      <c r="K4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2">
        <f>_xlfn.IFNA(VLOOKUP(Imputar[[#This Row],[Categoría]],EIMI!C:T,8,0),0)</f>
        <v>0</v>
      </c>
      <c r="M402">
        <f>_xlfn.IFNA(VLOOKUP(Imputar[[#This Row],[Categoría]],EIMI!C:T,9,0),0)</f>
        <v>0</v>
      </c>
      <c r="N402">
        <f>_xlfn.IFNA(VLOOKUP(Imputar[[#This Row],[Categoría]],EIMI!C:T,10,0),0)</f>
        <v>0</v>
      </c>
    </row>
    <row r="403" spans="1:14" x14ac:dyDescent="0.25">
      <c r="A403" s="210">
        <f>Indice!$I$11</f>
        <v>0</v>
      </c>
      <c r="B403" t="s">
        <v>1182</v>
      </c>
      <c r="C403" s="39">
        <f>Indice!$I$12</f>
        <v>45992</v>
      </c>
      <c r="E403">
        <f>ROUND(SUMIFS(CATEGORIAS[[#All],[TOTAL PRODUCCION
ACTUAL]],CATEGORIAS[[#All],[CATEGORIA2]],Imputar[[#This Row],[Categoría]]),0)</f>
        <v>0</v>
      </c>
      <c r="F403">
        <v>0</v>
      </c>
      <c r="G403">
        <f>ROUND(SUMIFS(CATEGORIAS[[#All],[PROYECCION
DE INGRESO
DEL SALDO]],CATEGORIAS[[#All],[CATEGORIA2]],Imputar[[#This Row],[Categoría]]),0)</f>
        <v>0</v>
      </c>
      <c r="H403">
        <f>ROUND(SUMIFS(CATEGORIAS[[#All],[CAMBIO DE
CATEGORIA]],CATEGORIAS[[#All],[CATEGORIA2]],Imputar[[#This Row],[Categoría]]),0)</f>
        <v>0</v>
      </c>
      <c r="I4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-15700682</v>
      </c>
      <c r="J403">
        <f>+ROUND(SUMIFS(CATEGORIAS[[#All],[PROYECCION
TOTAL DE COSTO]],CATEGORIAS[[#All],[CATEGORIA2]],Imputar[[#This Row],[Categoría]]),0)
-Imputar[[#This Row],[Inventario]]
-Imputar[[#This Row],[Pedidos no Rec]]</f>
        <v>-187791664</v>
      </c>
      <c r="K40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3">
        <f>_xlfn.IFNA(VLOOKUP(Imputar[[#This Row],[Categoría]],EIMI!C:T,8,0),0)</f>
        <v>15700682</v>
      </c>
      <c r="M403">
        <f>_xlfn.IFNA(VLOOKUP(Imputar[[#This Row],[Categoría]],EIMI!C:T,9,0),0)</f>
        <v>176733744</v>
      </c>
      <c r="N403">
        <f>_xlfn.IFNA(VLOOKUP(Imputar[[#This Row],[Categoría]],EIMI!C:T,10,0),0)</f>
        <v>11057920</v>
      </c>
    </row>
    <row r="404" spans="1:14" hidden="1" x14ac:dyDescent="0.25">
      <c r="A404" s="210">
        <f>Indice!$I$11</f>
        <v>0</v>
      </c>
      <c r="B404" t="s">
        <v>1184</v>
      </c>
      <c r="C404" s="39">
        <f>Indice!$I$12</f>
        <v>45992</v>
      </c>
      <c r="E404">
        <f>ROUND(SUMIFS(CATEGORIAS[[#All],[TOTAL PRODUCCION
ACTUAL]],CATEGORIAS[[#All],[CATEGORIA2]],Imputar[[#This Row],[Categoría]]),0)</f>
        <v>0</v>
      </c>
      <c r="F404">
        <v>0</v>
      </c>
      <c r="G404">
        <f>ROUND(SUMIFS(CATEGORIAS[[#All],[PROYECCION
DE INGRESO
DEL SALDO]],CATEGORIAS[[#All],[CATEGORIA2]],Imputar[[#This Row],[Categoría]]),0)</f>
        <v>0</v>
      </c>
      <c r="H404">
        <f>ROUND(SUMIFS(CATEGORIAS[[#All],[CAMBIO DE
CATEGORIA]],CATEGORIAS[[#All],[CATEGORIA2]],Imputar[[#This Row],[Categoría]]),0)</f>
        <v>0</v>
      </c>
      <c r="I4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4">
        <f>+ROUND(SUMIFS(CATEGORIAS[[#All],[PROYECCION
TOTAL DE COSTO]],CATEGORIAS[[#All],[CATEGORIA2]],Imputar[[#This Row],[Categoría]]),0)
-Imputar[[#This Row],[Inventario]]
-Imputar[[#This Row],[Pedidos no Rec]]</f>
        <v>0</v>
      </c>
      <c r="K4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4">
        <f>_xlfn.IFNA(VLOOKUP(Imputar[[#This Row],[Categoría]],EIMI!C:T,8,0),0)</f>
        <v>0</v>
      </c>
      <c r="M404">
        <f>_xlfn.IFNA(VLOOKUP(Imputar[[#This Row],[Categoría]],EIMI!C:T,9,0),0)</f>
        <v>0</v>
      </c>
      <c r="N404">
        <f>_xlfn.IFNA(VLOOKUP(Imputar[[#This Row],[Categoría]],EIMI!C:T,10,0),0)</f>
        <v>0</v>
      </c>
    </row>
    <row r="405" spans="1:14" x14ac:dyDescent="0.25">
      <c r="A405" s="210">
        <f>Indice!$I$11</f>
        <v>0</v>
      </c>
      <c r="B405" t="s">
        <v>1189</v>
      </c>
      <c r="C405" s="39">
        <f>Indice!$I$12</f>
        <v>45992</v>
      </c>
      <c r="E405">
        <f>ROUND(SUMIFS(CATEGORIAS[[#All],[TOTAL PRODUCCION
ACTUAL]],CATEGORIAS[[#All],[CATEGORIA2]],Imputar[[#This Row],[Categoría]]),0)</f>
        <v>0</v>
      </c>
      <c r="F405">
        <v>0</v>
      </c>
      <c r="G405">
        <f>ROUND(SUMIFS(CATEGORIAS[[#All],[PROYECCION
DE INGRESO
DEL SALDO]],CATEGORIAS[[#All],[CATEGORIA2]],Imputar[[#This Row],[Categoría]]),0)</f>
        <v>0</v>
      </c>
      <c r="H405">
        <f>ROUND(SUMIFS(CATEGORIAS[[#All],[CAMBIO DE
CATEGORIA]],CATEGORIAS[[#All],[CATEGORIA2]],Imputar[[#This Row],[Categoría]]),0)</f>
        <v>0</v>
      </c>
      <c r="I4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-165500</v>
      </c>
      <c r="J405">
        <f>+ROUND(SUMIFS(CATEGORIAS[[#All],[PROYECCION
TOTAL DE COSTO]],CATEGORIAS[[#All],[CATEGORIA2]],Imputar[[#This Row],[Categoría]]),0)
-Imputar[[#This Row],[Inventario]]
-Imputar[[#This Row],[Pedidos no Rec]]</f>
        <v>-20214945</v>
      </c>
      <c r="K40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5">
        <f>_xlfn.IFNA(VLOOKUP(Imputar[[#This Row],[Categoría]],EIMI!C:T,8,0),0)</f>
        <v>165500</v>
      </c>
      <c r="M405">
        <f>_xlfn.IFNA(VLOOKUP(Imputar[[#This Row],[Categoría]],EIMI!C:T,9,0),0)</f>
        <v>10395865</v>
      </c>
      <c r="N405">
        <f>_xlfn.IFNA(VLOOKUP(Imputar[[#This Row],[Categoría]],EIMI!C:T,10,0),0)</f>
        <v>9819080</v>
      </c>
    </row>
    <row r="406" spans="1:14" hidden="1" x14ac:dyDescent="0.25">
      <c r="A406" s="210">
        <f>Indice!$I$11</f>
        <v>0</v>
      </c>
      <c r="B406" t="s">
        <v>1191</v>
      </c>
      <c r="C406" s="39">
        <f>Indice!$I$12</f>
        <v>45992</v>
      </c>
      <c r="E406">
        <f>ROUND(SUMIFS(CATEGORIAS[[#All],[TOTAL PRODUCCION
ACTUAL]],CATEGORIAS[[#All],[CATEGORIA2]],Imputar[[#This Row],[Categoría]]),0)</f>
        <v>0</v>
      </c>
      <c r="F406">
        <v>0</v>
      </c>
      <c r="G406">
        <f>ROUND(SUMIFS(CATEGORIAS[[#All],[PROYECCION
DE INGRESO
DEL SALDO]],CATEGORIAS[[#All],[CATEGORIA2]],Imputar[[#This Row],[Categoría]]),0)</f>
        <v>0</v>
      </c>
      <c r="H406">
        <f>ROUND(SUMIFS(CATEGORIAS[[#All],[CAMBIO DE
CATEGORIA]],CATEGORIAS[[#All],[CATEGORIA2]],Imputar[[#This Row],[Categoría]]),0)</f>
        <v>0</v>
      </c>
      <c r="I4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6">
        <f>+ROUND(SUMIFS(CATEGORIAS[[#All],[PROYECCION
TOTAL DE COSTO]],CATEGORIAS[[#All],[CATEGORIA2]],Imputar[[#This Row],[Categoría]]),0)
-Imputar[[#This Row],[Inventario]]
-Imputar[[#This Row],[Pedidos no Rec]]</f>
        <v>0</v>
      </c>
      <c r="K4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6">
        <f>_xlfn.IFNA(VLOOKUP(Imputar[[#This Row],[Categoría]],EIMI!C:T,8,0),0)</f>
        <v>0</v>
      </c>
      <c r="M406">
        <f>_xlfn.IFNA(VLOOKUP(Imputar[[#This Row],[Categoría]],EIMI!C:T,9,0),0)</f>
        <v>0</v>
      </c>
      <c r="N406">
        <f>_xlfn.IFNA(VLOOKUP(Imputar[[#This Row],[Categoría]],EIMI!C:T,10,0),0)</f>
        <v>0</v>
      </c>
    </row>
    <row r="407" spans="1:14" x14ac:dyDescent="0.25">
      <c r="A407" s="210">
        <f>Indice!$I$11</f>
        <v>0</v>
      </c>
      <c r="B407" t="s">
        <v>1196</v>
      </c>
      <c r="C407" s="39">
        <f>Indice!$I$12</f>
        <v>45992</v>
      </c>
      <c r="E407">
        <f>ROUND(SUMIFS(CATEGORIAS[[#All],[TOTAL PRODUCCION
ACTUAL]],CATEGORIAS[[#All],[CATEGORIA2]],Imputar[[#This Row],[Categoría]]),0)</f>
        <v>0</v>
      </c>
      <c r="F407">
        <v>0</v>
      </c>
      <c r="G407">
        <f>ROUND(SUMIFS(CATEGORIAS[[#All],[PROYECCION
DE INGRESO
DEL SALDO]],CATEGORIAS[[#All],[CATEGORIA2]],Imputar[[#This Row],[Categoría]]),0)</f>
        <v>0</v>
      </c>
      <c r="H407">
        <f>ROUND(SUMIFS(CATEGORIAS[[#All],[CAMBIO DE
CATEGORIA]],CATEGORIAS[[#All],[CATEGORIA2]],Imputar[[#This Row],[Categoría]]),0)</f>
        <v>0</v>
      </c>
      <c r="I4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-4300</v>
      </c>
      <c r="J407">
        <f>+ROUND(SUMIFS(CATEGORIAS[[#All],[PROYECCION
TOTAL DE COSTO]],CATEGORIAS[[#All],[CATEGORIA2]],Imputar[[#This Row],[Categoría]]),0)
-Imputar[[#This Row],[Inventario]]
-Imputar[[#This Row],[Pedidos no Rec]]</f>
        <v>-38730966</v>
      </c>
      <c r="K40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7">
        <f>_xlfn.IFNA(VLOOKUP(Imputar[[#This Row],[Categoría]],EIMI!C:T,8,0),0)</f>
        <v>4300</v>
      </c>
      <c r="M407">
        <f>_xlfn.IFNA(VLOOKUP(Imputar[[#This Row],[Categoría]],EIMI!C:T,9,0),0)</f>
        <v>37828353</v>
      </c>
      <c r="N407">
        <f>_xlfn.IFNA(VLOOKUP(Imputar[[#This Row],[Categoría]],EIMI!C:T,10,0),0)</f>
        <v>902613</v>
      </c>
    </row>
    <row r="408" spans="1:14" hidden="1" x14ac:dyDescent="0.25">
      <c r="A408" s="210">
        <f>Indice!$I$11</f>
        <v>0</v>
      </c>
      <c r="B408" t="s">
        <v>1198</v>
      </c>
      <c r="C408" s="39">
        <f>Indice!$I$12</f>
        <v>45992</v>
      </c>
      <c r="E408">
        <f>ROUND(SUMIFS(CATEGORIAS[[#All],[TOTAL PRODUCCION
ACTUAL]],CATEGORIAS[[#All],[CATEGORIA2]],Imputar[[#This Row],[Categoría]]),0)</f>
        <v>0</v>
      </c>
      <c r="F408">
        <v>0</v>
      </c>
      <c r="G408">
        <f>ROUND(SUMIFS(CATEGORIAS[[#All],[PROYECCION
DE INGRESO
DEL SALDO]],CATEGORIAS[[#All],[CATEGORIA2]],Imputar[[#This Row],[Categoría]]),0)</f>
        <v>0</v>
      </c>
      <c r="H408">
        <f>ROUND(SUMIFS(CATEGORIAS[[#All],[CAMBIO DE
CATEGORIA]],CATEGORIAS[[#All],[CATEGORIA2]],Imputar[[#This Row],[Categoría]]),0)</f>
        <v>0</v>
      </c>
      <c r="I4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8">
        <f>+ROUND(SUMIFS(CATEGORIAS[[#All],[PROYECCION
TOTAL DE COSTO]],CATEGORIAS[[#All],[CATEGORIA2]],Imputar[[#This Row],[Categoría]]),0)
-Imputar[[#This Row],[Inventario]]
-Imputar[[#This Row],[Pedidos no Rec]]</f>
        <v>0</v>
      </c>
      <c r="K4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8">
        <f>_xlfn.IFNA(VLOOKUP(Imputar[[#This Row],[Categoría]],EIMI!C:T,8,0),0)</f>
        <v>0</v>
      </c>
      <c r="M408">
        <f>_xlfn.IFNA(VLOOKUP(Imputar[[#This Row],[Categoría]],EIMI!C:T,9,0),0)</f>
        <v>0</v>
      </c>
      <c r="N408">
        <f>_xlfn.IFNA(VLOOKUP(Imputar[[#This Row],[Categoría]],EIMI!C:T,10,0),0)</f>
        <v>0</v>
      </c>
    </row>
    <row r="409" spans="1:14" x14ac:dyDescent="0.25">
      <c r="A409" s="210">
        <f>Indice!$I$11</f>
        <v>0</v>
      </c>
      <c r="B409" t="s">
        <v>283</v>
      </c>
      <c r="C409" s="39">
        <f>Indice!$I$12</f>
        <v>45992</v>
      </c>
      <c r="E409">
        <f>ROUND(SUMIFS(CATEGORIAS[[#All],[TOTAL PRODUCCION
ACTUAL]],CATEGORIAS[[#All],[CATEGORIA2]],Imputar[[#This Row],[Categoría]]),0)</f>
        <v>0</v>
      </c>
      <c r="F409">
        <v>0</v>
      </c>
      <c r="G409">
        <f>ROUND(SUMIFS(CATEGORIAS[[#All],[PROYECCION
DE INGRESO
DEL SALDO]],CATEGORIAS[[#All],[CATEGORIA2]],Imputar[[#This Row],[Categoría]]),0)</f>
        <v>0</v>
      </c>
      <c r="H409">
        <f>ROUND(SUMIFS(CATEGORIAS[[#All],[CAMBIO DE
CATEGORIA]],CATEGORIAS[[#All],[CATEGORIA2]],Imputar[[#This Row],[Categoría]]),0)</f>
        <v>0</v>
      </c>
      <c r="I4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-1382596</v>
      </c>
      <c r="J409">
        <f>+ROUND(SUMIFS(CATEGORIAS[[#All],[PROYECCION
TOTAL DE COSTO]],CATEGORIAS[[#All],[CATEGORIA2]],Imputar[[#This Row],[Categoría]]),0)
-Imputar[[#This Row],[Inventario]]
-Imputar[[#This Row],[Pedidos no Rec]]</f>
        <v>0</v>
      </c>
      <c r="K40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9">
        <f>_xlfn.IFNA(VLOOKUP(Imputar[[#This Row],[Categoría]],EIMI!C:T,8,0),0)</f>
        <v>1382596</v>
      </c>
      <c r="M409">
        <f>_xlfn.IFNA(VLOOKUP(Imputar[[#This Row],[Categoría]],EIMI!C:T,9,0),0)</f>
        <v>0</v>
      </c>
      <c r="N409">
        <f>_xlfn.IFNA(VLOOKUP(Imputar[[#This Row],[Categoría]],EIMI!C:T,10,0),0)</f>
        <v>0</v>
      </c>
    </row>
    <row r="410" spans="1:14" hidden="1" x14ac:dyDescent="0.25">
      <c r="A410" s="210">
        <f>Indice!$I$11</f>
        <v>0</v>
      </c>
      <c r="B410" t="s">
        <v>1204</v>
      </c>
      <c r="C410" s="39">
        <f>Indice!$I$12</f>
        <v>45992</v>
      </c>
      <c r="E410">
        <f>ROUND(SUMIFS(CATEGORIAS[[#All],[TOTAL PRODUCCION
ACTUAL]],CATEGORIAS[[#All],[CATEGORIA2]],Imputar[[#This Row],[Categoría]]),0)</f>
        <v>0</v>
      </c>
      <c r="F410">
        <v>0</v>
      </c>
      <c r="G410">
        <f>ROUND(SUMIFS(CATEGORIAS[[#All],[PROYECCION
DE INGRESO
DEL SALDO]],CATEGORIAS[[#All],[CATEGORIA2]],Imputar[[#This Row],[Categoría]]),0)</f>
        <v>0</v>
      </c>
      <c r="H410">
        <f>ROUND(SUMIFS(CATEGORIAS[[#All],[CAMBIO DE
CATEGORIA]],CATEGORIAS[[#All],[CATEGORIA2]],Imputar[[#This Row],[Categoría]]),0)</f>
        <v>0</v>
      </c>
      <c r="I4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0">
        <f>+ROUND(SUMIFS(CATEGORIAS[[#All],[PROYECCION
TOTAL DE COSTO]],CATEGORIAS[[#All],[CATEGORIA2]],Imputar[[#This Row],[Categoría]]),0)
-Imputar[[#This Row],[Inventario]]
-Imputar[[#This Row],[Pedidos no Rec]]</f>
        <v>0</v>
      </c>
      <c r="K4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0">
        <f>_xlfn.IFNA(VLOOKUP(Imputar[[#This Row],[Categoría]],EIMI!C:T,8,0),0)</f>
        <v>0</v>
      </c>
      <c r="M410">
        <f>_xlfn.IFNA(VLOOKUP(Imputar[[#This Row],[Categoría]],EIMI!C:T,9,0),0)</f>
        <v>0</v>
      </c>
      <c r="N410">
        <f>_xlfn.IFNA(VLOOKUP(Imputar[[#This Row],[Categoría]],EIMI!C:T,10,0),0)</f>
        <v>0</v>
      </c>
    </row>
    <row r="411" spans="1:14" hidden="1" x14ac:dyDescent="0.25">
      <c r="A411" s="210">
        <f>Indice!$I$11</f>
        <v>0</v>
      </c>
      <c r="B411" t="s">
        <v>1209</v>
      </c>
      <c r="C411" s="39">
        <f>Indice!$I$12</f>
        <v>45992</v>
      </c>
      <c r="E411">
        <f>ROUND(SUMIFS(CATEGORIAS[[#All],[TOTAL PRODUCCION
ACTUAL]],CATEGORIAS[[#All],[CATEGORIA2]],Imputar[[#This Row],[Categoría]]),0)</f>
        <v>0</v>
      </c>
      <c r="F411">
        <v>0</v>
      </c>
      <c r="G411">
        <f>ROUND(SUMIFS(CATEGORIAS[[#All],[PROYECCION
DE INGRESO
DEL SALDO]],CATEGORIAS[[#All],[CATEGORIA2]],Imputar[[#This Row],[Categoría]]),0)</f>
        <v>0</v>
      </c>
      <c r="H411">
        <f>ROUND(SUMIFS(CATEGORIAS[[#All],[CAMBIO DE
CATEGORIA]],CATEGORIAS[[#All],[CATEGORIA2]],Imputar[[#This Row],[Categoría]]),0)</f>
        <v>0</v>
      </c>
      <c r="I4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1">
        <f>+ROUND(SUMIFS(CATEGORIAS[[#All],[PROYECCION
TOTAL DE COSTO]],CATEGORIAS[[#All],[CATEGORIA2]],Imputar[[#This Row],[Categoría]]),0)
-Imputar[[#This Row],[Inventario]]
-Imputar[[#This Row],[Pedidos no Rec]]</f>
        <v>0</v>
      </c>
      <c r="K4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1">
        <f>_xlfn.IFNA(VLOOKUP(Imputar[[#This Row],[Categoría]],EIMI!C:T,8,0),0)</f>
        <v>0</v>
      </c>
      <c r="M411">
        <f>_xlfn.IFNA(VLOOKUP(Imputar[[#This Row],[Categoría]],EIMI!C:T,9,0),0)</f>
        <v>0</v>
      </c>
      <c r="N411">
        <f>_xlfn.IFNA(VLOOKUP(Imputar[[#This Row],[Categoría]],EIMI!C:T,10,0),0)</f>
        <v>0</v>
      </c>
    </row>
    <row r="412" spans="1:14" hidden="1" x14ac:dyDescent="0.25">
      <c r="A412" s="210">
        <f>Indice!$I$11</f>
        <v>0</v>
      </c>
      <c r="B412" t="s">
        <v>1211</v>
      </c>
      <c r="C412" s="39">
        <f>Indice!$I$12</f>
        <v>45992</v>
      </c>
      <c r="E412">
        <f>ROUND(SUMIFS(CATEGORIAS[[#All],[TOTAL PRODUCCION
ACTUAL]],CATEGORIAS[[#All],[CATEGORIA2]],Imputar[[#This Row],[Categoría]]),0)</f>
        <v>0</v>
      </c>
      <c r="F412">
        <v>0</v>
      </c>
      <c r="G412">
        <f>ROUND(SUMIFS(CATEGORIAS[[#All],[PROYECCION
DE INGRESO
DEL SALDO]],CATEGORIAS[[#All],[CATEGORIA2]],Imputar[[#This Row],[Categoría]]),0)</f>
        <v>0</v>
      </c>
      <c r="H412">
        <f>ROUND(SUMIFS(CATEGORIAS[[#All],[CAMBIO DE
CATEGORIA]],CATEGORIAS[[#All],[CATEGORIA2]],Imputar[[#This Row],[Categoría]]),0)</f>
        <v>0</v>
      </c>
      <c r="I4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2">
        <f>+ROUND(SUMIFS(CATEGORIAS[[#All],[PROYECCION
TOTAL DE COSTO]],CATEGORIAS[[#All],[CATEGORIA2]],Imputar[[#This Row],[Categoría]]),0)
-Imputar[[#This Row],[Inventario]]
-Imputar[[#This Row],[Pedidos no Rec]]</f>
        <v>0</v>
      </c>
      <c r="K4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2">
        <f>_xlfn.IFNA(VLOOKUP(Imputar[[#This Row],[Categoría]],EIMI!C:T,8,0),0)</f>
        <v>0</v>
      </c>
      <c r="M412">
        <f>_xlfn.IFNA(VLOOKUP(Imputar[[#This Row],[Categoría]],EIMI!C:T,9,0),0)</f>
        <v>0</v>
      </c>
      <c r="N412">
        <f>_xlfn.IFNA(VLOOKUP(Imputar[[#This Row],[Categoría]],EIMI!C:T,10,0),0)</f>
        <v>0</v>
      </c>
    </row>
    <row r="413" spans="1:14" x14ac:dyDescent="0.25">
      <c r="A413" s="210">
        <f>Indice!$I$11</f>
        <v>0</v>
      </c>
      <c r="B413" t="s">
        <v>287</v>
      </c>
      <c r="C413" s="39">
        <f>Indice!$I$12</f>
        <v>45992</v>
      </c>
      <c r="E413">
        <f>ROUND(SUMIFS(CATEGORIAS[[#All],[TOTAL PRODUCCION
ACTUAL]],CATEGORIAS[[#All],[CATEGORIA2]],Imputar[[#This Row],[Categoría]]),0)</f>
        <v>0</v>
      </c>
      <c r="F413">
        <v>0</v>
      </c>
      <c r="G413">
        <f>ROUND(SUMIFS(CATEGORIAS[[#All],[PROYECCION
DE INGRESO
DEL SALDO]],CATEGORIAS[[#All],[CATEGORIA2]],Imputar[[#This Row],[Categoría]]),0)</f>
        <v>0</v>
      </c>
      <c r="H413">
        <f>ROUND(SUMIFS(CATEGORIAS[[#All],[CAMBIO DE
CATEGORIA]],CATEGORIAS[[#All],[CATEGORIA2]],Imputar[[#This Row],[Categoría]]),0)</f>
        <v>0</v>
      </c>
      <c r="I4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3">
        <f>+ROUND(SUMIFS(CATEGORIAS[[#All],[PROYECCION
TOTAL DE COSTO]],CATEGORIAS[[#All],[CATEGORIA2]],Imputar[[#This Row],[Categoría]]),0)
-Imputar[[#This Row],[Inventario]]
-Imputar[[#This Row],[Pedidos no Rec]]</f>
        <v>-179690</v>
      </c>
      <c r="K41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13">
        <f>_xlfn.IFNA(VLOOKUP(Imputar[[#This Row],[Categoría]],EIMI!C:T,8,0),0)</f>
        <v>0</v>
      </c>
      <c r="M413">
        <f>_xlfn.IFNA(VLOOKUP(Imputar[[#This Row],[Categoría]],EIMI!C:T,9,0),0)</f>
        <v>179690</v>
      </c>
      <c r="N413">
        <f>_xlfn.IFNA(VLOOKUP(Imputar[[#This Row],[Categoría]],EIMI!C:T,10,0),0)</f>
        <v>0</v>
      </c>
    </row>
    <row r="414" spans="1:14" hidden="1" x14ac:dyDescent="0.25">
      <c r="A414" s="210">
        <f>Indice!$I$11</f>
        <v>0</v>
      </c>
      <c r="B414" t="s">
        <v>1213</v>
      </c>
      <c r="C414" s="39">
        <f>Indice!$I$12</f>
        <v>45992</v>
      </c>
      <c r="E414">
        <f>ROUND(SUMIFS(CATEGORIAS[[#All],[TOTAL PRODUCCION
ACTUAL]],CATEGORIAS[[#All],[CATEGORIA2]],Imputar[[#This Row],[Categoría]]),0)</f>
        <v>0</v>
      </c>
      <c r="F414">
        <v>0</v>
      </c>
      <c r="G414">
        <f>ROUND(SUMIFS(CATEGORIAS[[#All],[PROYECCION
DE INGRESO
DEL SALDO]],CATEGORIAS[[#All],[CATEGORIA2]],Imputar[[#This Row],[Categoría]]),0)</f>
        <v>0</v>
      </c>
      <c r="H414">
        <f>ROUND(SUMIFS(CATEGORIAS[[#All],[CAMBIO DE
CATEGORIA]],CATEGORIAS[[#All],[CATEGORIA2]],Imputar[[#This Row],[Categoría]]),0)</f>
        <v>0</v>
      </c>
      <c r="I4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4">
        <f>+ROUND(SUMIFS(CATEGORIAS[[#All],[PROYECCION
TOTAL DE COSTO]],CATEGORIAS[[#All],[CATEGORIA2]],Imputar[[#This Row],[Categoría]]),0)
-Imputar[[#This Row],[Inventario]]
-Imputar[[#This Row],[Pedidos no Rec]]</f>
        <v>0</v>
      </c>
      <c r="K4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4">
        <f>_xlfn.IFNA(VLOOKUP(Imputar[[#This Row],[Categoría]],EIMI!C:T,8,0),0)</f>
        <v>0</v>
      </c>
      <c r="M414">
        <f>_xlfn.IFNA(VLOOKUP(Imputar[[#This Row],[Categoría]],EIMI!C:T,9,0),0)</f>
        <v>0</v>
      </c>
      <c r="N414">
        <f>_xlfn.IFNA(VLOOKUP(Imputar[[#This Row],[Categoría]],EIMI!C:T,10,0),0)</f>
        <v>0</v>
      </c>
    </row>
    <row r="415" spans="1:14" hidden="1" x14ac:dyDescent="0.25">
      <c r="A415" s="210">
        <f>Indice!$I$11</f>
        <v>0</v>
      </c>
      <c r="B415" t="s">
        <v>1218</v>
      </c>
      <c r="C415" s="39">
        <f>Indice!$I$12</f>
        <v>45992</v>
      </c>
      <c r="E415">
        <f>ROUND(SUMIFS(CATEGORIAS[[#All],[TOTAL PRODUCCION
ACTUAL]],CATEGORIAS[[#All],[CATEGORIA2]],Imputar[[#This Row],[Categoría]]),0)</f>
        <v>0</v>
      </c>
      <c r="F415">
        <v>0</v>
      </c>
      <c r="G415">
        <f>ROUND(SUMIFS(CATEGORIAS[[#All],[PROYECCION
DE INGRESO
DEL SALDO]],CATEGORIAS[[#All],[CATEGORIA2]],Imputar[[#This Row],[Categoría]]),0)</f>
        <v>0</v>
      </c>
      <c r="H415">
        <f>ROUND(SUMIFS(CATEGORIAS[[#All],[CAMBIO DE
CATEGORIA]],CATEGORIAS[[#All],[CATEGORIA2]],Imputar[[#This Row],[Categoría]]),0)</f>
        <v>0</v>
      </c>
      <c r="I4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5">
        <f>+ROUND(SUMIFS(CATEGORIAS[[#All],[PROYECCION
TOTAL DE COSTO]],CATEGORIAS[[#All],[CATEGORIA2]],Imputar[[#This Row],[Categoría]]),0)
-Imputar[[#This Row],[Inventario]]
-Imputar[[#This Row],[Pedidos no Rec]]</f>
        <v>0</v>
      </c>
      <c r="K4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5">
        <f>_xlfn.IFNA(VLOOKUP(Imputar[[#This Row],[Categoría]],EIMI!C:T,8,0),0)</f>
        <v>0</v>
      </c>
      <c r="M415">
        <f>_xlfn.IFNA(VLOOKUP(Imputar[[#This Row],[Categoría]],EIMI!C:T,9,0),0)</f>
        <v>0</v>
      </c>
      <c r="N415">
        <f>_xlfn.IFNA(VLOOKUP(Imputar[[#This Row],[Categoría]],EIMI!C:T,10,0),0)</f>
        <v>0</v>
      </c>
    </row>
    <row r="416" spans="1:14" hidden="1" x14ac:dyDescent="0.25">
      <c r="A416" s="210">
        <f>Indice!$I$11</f>
        <v>0</v>
      </c>
      <c r="B416" t="s">
        <v>1220</v>
      </c>
      <c r="C416" s="39">
        <f>Indice!$I$12</f>
        <v>45992</v>
      </c>
      <c r="E416">
        <f>ROUND(SUMIFS(CATEGORIAS[[#All],[TOTAL PRODUCCION
ACTUAL]],CATEGORIAS[[#All],[CATEGORIA2]],Imputar[[#This Row],[Categoría]]),0)</f>
        <v>0</v>
      </c>
      <c r="F416">
        <v>0</v>
      </c>
      <c r="G416">
        <f>ROUND(SUMIFS(CATEGORIAS[[#All],[PROYECCION
DE INGRESO
DEL SALDO]],CATEGORIAS[[#All],[CATEGORIA2]],Imputar[[#This Row],[Categoría]]),0)</f>
        <v>0</v>
      </c>
      <c r="H416">
        <f>ROUND(SUMIFS(CATEGORIAS[[#All],[CAMBIO DE
CATEGORIA]],CATEGORIAS[[#All],[CATEGORIA2]],Imputar[[#This Row],[Categoría]]),0)</f>
        <v>0</v>
      </c>
      <c r="I4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6">
        <f>+ROUND(SUMIFS(CATEGORIAS[[#All],[PROYECCION
TOTAL DE COSTO]],CATEGORIAS[[#All],[CATEGORIA2]],Imputar[[#This Row],[Categoría]]),0)
-Imputar[[#This Row],[Inventario]]
-Imputar[[#This Row],[Pedidos no Rec]]</f>
        <v>0</v>
      </c>
      <c r="K4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6">
        <f>_xlfn.IFNA(VLOOKUP(Imputar[[#This Row],[Categoría]],EIMI!C:T,8,0),0)</f>
        <v>0</v>
      </c>
      <c r="M416">
        <f>_xlfn.IFNA(VLOOKUP(Imputar[[#This Row],[Categoría]],EIMI!C:T,9,0),0)</f>
        <v>0</v>
      </c>
      <c r="N416">
        <f>_xlfn.IFNA(VLOOKUP(Imputar[[#This Row],[Categoría]],EIMI!C:T,10,0),0)</f>
        <v>0</v>
      </c>
    </row>
    <row r="417" spans="1:14" hidden="1" x14ac:dyDescent="0.25">
      <c r="A417" s="210">
        <f>Indice!$I$11</f>
        <v>0</v>
      </c>
      <c r="B417" t="s">
        <v>1225</v>
      </c>
      <c r="C417" s="39">
        <f>Indice!$I$12</f>
        <v>45992</v>
      </c>
      <c r="E417">
        <f>ROUND(SUMIFS(CATEGORIAS[[#All],[TOTAL PRODUCCION
ACTUAL]],CATEGORIAS[[#All],[CATEGORIA2]],Imputar[[#This Row],[Categoría]]),0)</f>
        <v>0</v>
      </c>
      <c r="F417">
        <v>0</v>
      </c>
      <c r="G417">
        <f>ROUND(SUMIFS(CATEGORIAS[[#All],[PROYECCION
DE INGRESO
DEL SALDO]],CATEGORIAS[[#All],[CATEGORIA2]],Imputar[[#This Row],[Categoría]]),0)</f>
        <v>0</v>
      </c>
      <c r="H417">
        <f>ROUND(SUMIFS(CATEGORIAS[[#All],[CAMBIO DE
CATEGORIA]],CATEGORIAS[[#All],[CATEGORIA2]],Imputar[[#This Row],[Categoría]]),0)</f>
        <v>0</v>
      </c>
      <c r="I4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7">
        <f>+ROUND(SUMIFS(CATEGORIAS[[#All],[PROYECCION
TOTAL DE COSTO]],CATEGORIAS[[#All],[CATEGORIA2]],Imputar[[#This Row],[Categoría]]),0)
-Imputar[[#This Row],[Inventario]]
-Imputar[[#This Row],[Pedidos no Rec]]</f>
        <v>0</v>
      </c>
      <c r="K4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7">
        <f>_xlfn.IFNA(VLOOKUP(Imputar[[#This Row],[Categoría]],EIMI!C:T,8,0),0)</f>
        <v>0</v>
      </c>
      <c r="M417">
        <f>_xlfn.IFNA(VLOOKUP(Imputar[[#This Row],[Categoría]],EIMI!C:T,9,0),0)</f>
        <v>0</v>
      </c>
      <c r="N417">
        <f>_xlfn.IFNA(VLOOKUP(Imputar[[#This Row],[Categoría]],EIMI!C:T,10,0),0)</f>
        <v>0</v>
      </c>
    </row>
    <row r="418" spans="1:14" hidden="1" x14ac:dyDescent="0.25">
      <c r="A418" s="210">
        <f>Indice!$I$11</f>
        <v>0</v>
      </c>
      <c r="B418" t="s">
        <v>1226</v>
      </c>
      <c r="C418" s="39">
        <f>Indice!$I$12</f>
        <v>45992</v>
      </c>
      <c r="E418">
        <f>ROUND(SUMIFS(CATEGORIAS[[#All],[TOTAL PRODUCCION
ACTUAL]],CATEGORIAS[[#All],[CATEGORIA2]],Imputar[[#This Row],[Categoría]]),0)</f>
        <v>0</v>
      </c>
      <c r="F418">
        <v>0</v>
      </c>
      <c r="G418">
        <f>ROUND(SUMIFS(CATEGORIAS[[#All],[PROYECCION
DE INGRESO
DEL SALDO]],CATEGORIAS[[#All],[CATEGORIA2]],Imputar[[#This Row],[Categoría]]),0)</f>
        <v>0</v>
      </c>
      <c r="H418">
        <f>ROUND(SUMIFS(CATEGORIAS[[#All],[CAMBIO DE
CATEGORIA]],CATEGORIAS[[#All],[CATEGORIA2]],Imputar[[#This Row],[Categoría]]),0)</f>
        <v>0</v>
      </c>
      <c r="I4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8">
        <f>+ROUND(SUMIFS(CATEGORIAS[[#All],[PROYECCION
TOTAL DE COSTO]],CATEGORIAS[[#All],[CATEGORIA2]],Imputar[[#This Row],[Categoría]]),0)
-Imputar[[#This Row],[Inventario]]
-Imputar[[#This Row],[Pedidos no Rec]]</f>
        <v>0</v>
      </c>
      <c r="K4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8">
        <f>_xlfn.IFNA(VLOOKUP(Imputar[[#This Row],[Categoría]],EIMI!C:T,8,0),0)</f>
        <v>0</v>
      </c>
      <c r="M418">
        <f>_xlfn.IFNA(VLOOKUP(Imputar[[#This Row],[Categoría]],EIMI!C:T,9,0),0)</f>
        <v>0</v>
      </c>
      <c r="N418">
        <f>_xlfn.IFNA(VLOOKUP(Imputar[[#This Row],[Categoría]],EIMI!C:T,10,0),0)</f>
        <v>0</v>
      </c>
    </row>
    <row r="419" spans="1:14" hidden="1" x14ac:dyDescent="0.25">
      <c r="A419" s="210">
        <f>Indice!$I$11</f>
        <v>0</v>
      </c>
      <c r="B419" t="s">
        <v>1227</v>
      </c>
      <c r="C419" s="39">
        <f>Indice!$I$12</f>
        <v>45992</v>
      </c>
      <c r="E419">
        <f>ROUND(SUMIFS(CATEGORIAS[[#All],[TOTAL PRODUCCION
ACTUAL]],CATEGORIAS[[#All],[CATEGORIA2]],Imputar[[#This Row],[Categoría]]),0)</f>
        <v>0</v>
      </c>
      <c r="F419">
        <v>0</v>
      </c>
      <c r="G419">
        <f>ROUND(SUMIFS(CATEGORIAS[[#All],[PROYECCION
DE INGRESO
DEL SALDO]],CATEGORIAS[[#All],[CATEGORIA2]],Imputar[[#This Row],[Categoría]]),0)</f>
        <v>0</v>
      </c>
      <c r="H419">
        <f>ROUND(SUMIFS(CATEGORIAS[[#All],[CAMBIO DE
CATEGORIA]],CATEGORIAS[[#All],[CATEGORIA2]],Imputar[[#This Row],[Categoría]]),0)</f>
        <v>0</v>
      </c>
      <c r="I4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9">
        <f>+ROUND(SUMIFS(CATEGORIAS[[#All],[PROYECCION
TOTAL DE COSTO]],CATEGORIAS[[#All],[CATEGORIA2]],Imputar[[#This Row],[Categoría]]),0)
-Imputar[[#This Row],[Inventario]]
-Imputar[[#This Row],[Pedidos no Rec]]</f>
        <v>0</v>
      </c>
      <c r="K4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9">
        <f>_xlfn.IFNA(VLOOKUP(Imputar[[#This Row],[Categoría]],EIMI!C:T,8,0),0)</f>
        <v>0</v>
      </c>
      <c r="M419">
        <f>_xlfn.IFNA(VLOOKUP(Imputar[[#This Row],[Categoría]],EIMI!C:T,9,0),0)</f>
        <v>0</v>
      </c>
      <c r="N419">
        <f>_xlfn.IFNA(VLOOKUP(Imputar[[#This Row],[Categoría]],EIMI!C:T,10,0),0)</f>
        <v>0</v>
      </c>
    </row>
    <row r="420" spans="1:14" hidden="1" x14ac:dyDescent="0.25">
      <c r="A420" s="210">
        <f>Indice!$I$11</f>
        <v>0</v>
      </c>
      <c r="B420" t="s">
        <v>1229</v>
      </c>
      <c r="C420" s="39">
        <f>Indice!$I$12</f>
        <v>45992</v>
      </c>
      <c r="E420">
        <f>ROUND(SUMIFS(CATEGORIAS[[#All],[TOTAL PRODUCCION
ACTUAL]],CATEGORIAS[[#All],[CATEGORIA2]],Imputar[[#This Row],[Categoría]]),0)</f>
        <v>0</v>
      </c>
      <c r="F420">
        <v>0</v>
      </c>
      <c r="G420">
        <f>ROUND(SUMIFS(CATEGORIAS[[#All],[PROYECCION
DE INGRESO
DEL SALDO]],CATEGORIAS[[#All],[CATEGORIA2]],Imputar[[#This Row],[Categoría]]),0)</f>
        <v>0</v>
      </c>
      <c r="H420">
        <f>ROUND(SUMIFS(CATEGORIAS[[#All],[CAMBIO DE
CATEGORIA]],CATEGORIAS[[#All],[CATEGORIA2]],Imputar[[#This Row],[Categoría]]),0)</f>
        <v>0</v>
      </c>
      <c r="I4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0">
        <f>+ROUND(SUMIFS(CATEGORIAS[[#All],[PROYECCION
TOTAL DE COSTO]],CATEGORIAS[[#All],[CATEGORIA2]],Imputar[[#This Row],[Categoría]]),0)
-Imputar[[#This Row],[Inventario]]
-Imputar[[#This Row],[Pedidos no Rec]]</f>
        <v>0</v>
      </c>
      <c r="K4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0">
        <f>_xlfn.IFNA(VLOOKUP(Imputar[[#This Row],[Categoría]],EIMI!C:T,8,0),0)</f>
        <v>0</v>
      </c>
      <c r="M420">
        <f>_xlfn.IFNA(VLOOKUP(Imputar[[#This Row],[Categoría]],EIMI!C:T,9,0),0)</f>
        <v>0</v>
      </c>
      <c r="N420">
        <f>_xlfn.IFNA(VLOOKUP(Imputar[[#This Row],[Categoría]],EIMI!C:T,10,0),0)</f>
        <v>0</v>
      </c>
    </row>
    <row r="421" spans="1:14" x14ac:dyDescent="0.25">
      <c r="A421" s="210">
        <f>Indice!$I$11</f>
        <v>0</v>
      </c>
      <c r="B421" t="s">
        <v>1231</v>
      </c>
      <c r="C421" s="39">
        <f>Indice!$I$12</f>
        <v>45992</v>
      </c>
      <c r="E421">
        <f>ROUND(SUMIFS(CATEGORIAS[[#All],[TOTAL PRODUCCION
ACTUAL]],CATEGORIAS[[#All],[CATEGORIA2]],Imputar[[#This Row],[Categoría]]),0)</f>
        <v>0</v>
      </c>
      <c r="F421">
        <v>0</v>
      </c>
      <c r="G421">
        <f>ROUND(SUMIFS(CATEGORIAS[[#All],[PROYECCION
DE INGRESO
DEL SALDO]],CATEGORIAS[[#All],[CATEGORIA2]],Imputar[[#This Row],[Categoría]]),0)</f>
        <v>0</v>
      </c>
      <c r="H421">
        <f>ROUND(SUMIFS(CATEGORIAS[[#All],[CAMBIO DE
CATEGORIA]],CATEGORIAS[[#All],[CATEGORIA2]],Imputar[[#This Row],[Categoría]]),0)</f>
        <v>0</v>
      </c>
      <c r="I4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1">
        <f>+ROUND(SUMIFS(CATEGORIAS[[#All],[PROYECCION
TOTAL DE COSTO]],CATEGORIAS[[#All],[CATEGORIA2]],Imputar[[#This Row],[Categoría]]),0)
-Imputar[[#This Row],[Inventario]]
-Imputar[[#This Row],[Pedidos no Rec]]</f>
        <v>-2540000</v>
      </c>
      <c r="K42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1">
        <f>_xlfn.IFNA(VLOOKUP(Imputar[[#This Row],[Categoría]],EIMI!C:T,8,0),0)</f>
        <v>0</v>
      </c>
      <c r="M421">
        <f>_xlfn.IFNA(VLOOKUP(Imputar[[#This Row],[Categoría]],EIMI!C:T,9,0),0)</f>
        <v>2540000</v>
      </c>
      <c r="N421">
        <f>_xlfn.IFNA(VLOOKUP(Imputar[[#This Row],[Categoría]],EIMI!C:T,10,0),0)</f>
        <v>0</v>
      </c>
    </row>
    <row r="422" spans="1:14" x14ac:dyDescent="0.25">
      <c r="A422" s="210">
        <f>Indice!$I$11</f>
        <v>0</v>
      </c>
      <c r="B422" t="s">
        <v>291</v>
      </c>
      <c r="C422" s="39">
        <f>Indice!$I$12</f>
        <v>45992</v>
      </c>
      <c r="E422">
        <f>ROUND(SUMIFS(CATEGORIAS[[#All],[TOTAL PRODUCCION
ACTUAL]],CATEGORIAS[[#All],[CATEGORIA2]],Imputar[[#This Row],[Categoría]]),0)</f>
        <v>0</v>
      </c>
      <c r="F422">
        <v>0</v>
      </c>
      <c r="G422">
        <f>ROUND(SUMIFS(CATEGORIAS[[#All],[PROYECCION
DE INGRESO
DEL SALDO]],CATEGORIAS[[#All],[CATEGORIA2]],Imputar[[#This Row],[Categoría]]),0)</f>
        <v>0</v>
      </c>
      <c r="H422">
        <f>ROUND(SUMIFS(CATEGORIAS[[#All],[CAMBIO DE
CATEGORIA]],CATEGORIAS[[#All],[CATEGORIA2]],Imputar[[#This Row],[Categoría]]),0)</f>
        <v>0</v>
      </c>
      <c r="I4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2">
        <f>+ROUND(SUMIFS(CATEGORIAS[[#All],[PROYECCION
TOTAL DE COSTO]],CATEGORIAS[[#All],[CATEGORIA2]],Imputar[[#This Row],[Categoría]]),0)
-Imputar[[#This Row],[Inventario]]
-Imputar[[#This Row],[Pedidos no Rec]]</f>
        <v>0</v>
      </c>
      <c r="K4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2">
        <f>_xlfn.IFNA(VLOOKUP(Imputar[[#This Row],[Categoría]],EIMI!C:T,8,0),0)</f>
        <v>0</v>
      </c>
      <c r="M422">
        <f>_xlfn.IFNA(VLOOKUP(Imputar[[#This Row],[Categoría]],EIMI!C:T,9,0),0)</f>
        <v>0</v>
      </c>
      <c r="N422">
        <f>_xlfn.IFNA(VLOOKUP(Imputar[[#This Row],[Categoría]],EIMI!C:T,10,0),0)</f>
        <v>0</v>
      </c>
    </row>
    <row r="423" spans="1:14" x14ac:dyDescent="0.25">
      <c r="A423" s="210">
        <f>Indice!$I$11</f>
        <v>0</v>
      </c>
      <c r="B423" t="s">
        <v>1234</v>
      </c>
      <c r="C423" s="39">
        <f>Indice!$I$12</f>
        <v>45992</v>
      </c>
      <c r="E423">
        <f>ROUND(SUMIFS(CATEGORIAS[[#All],[TOTAL PRODUCCION
ACTUAL]],CATEGORIAS[[#All],[CATEGORIA2]],Imputar[[#This Row],[Categoría]]),0)</f>
        <v>0</v>
      </c>
      <c r="F423">
        <v>0</v>
      </c>
      <c r="G423">
        <f>ROUND(SUMIFS(CATEGORIAS[[#All],[PROYECCION
DE INGRESO
DEL SALDO]],CATEGORIAS[[#All],[CATEGORIA2]],Imputar[[#This Row],[Categoría]]),0)</f>
        <v>0</v>
      </c>
      <c r="H423">
        <f>ROUND(SUMIFS(CATEGORIAS[[#All],[CAMBIO DE
CATEGORIA]],CATEGORIAS[[#All],[CATEGORIA2]],Imputar[[#This Row],[Categoría]]),0)</f>
        <v>0</v>
      </c>
      <c r="I4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3">
        <f>+ROUND(SUMIFS(CATEGORIAS[[#All],[PROYECCION
TOTAL DE COSTO]],CATEGORIAS[[#All],[CATEGORIA2]],Imputar[[#This Row],[Categoría]]),0)
-Imputar[[#This Row],[Inventario]]
-Imputar[[#This Row],[Pedidos no Rec]]</f>
        <v>0</v>
      </c>
      <c r="K4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3">
        <f>_xlfn.IFNA(VLOOKUP(Imputar[[#This Row],[Categoría]],EIMI!C:T,8,0),0)</f>
        <v>0</v>
      </c>
      <c r="M423">
        <f>_xlfn.IFNA(VLOOKUP(Imputar[[#This Row],[Categoría]],EIMI!C:T,9,0),0)</f>
        <v>0</v>
      </c>
      <c r="N423">
        <f>_xlfn.IFNA(VLOOKUP(Imputar[[#This Row],[Categoría]],EIMI!C:T,10,0),0)</f>
        <v>0</v>
      </c>
    </row>
    <row r="424" spans="1:14" hidden="1" x14ac:dyDescent="0.25">
      <c r="A424" s="210">
        <f>Indice!$I$11</f>
        <v>0</v>
      </c>
      <c r="B424" t="s">
        <v>1236</v>
      </c>
      <c r="C424" s="39">
        <f>Indice!$I$12</f>
        <v>45992</v>
      </c>
      <c r="E424">
        <f>ROUND(SUMIFS(CATEGORIAS[[#All],[TOTAL PRODUCCION
ACTUAL]],CATEGORIAS[[#All],[CATEGORIA2]],Imputar[[#This Row],[Categoría]]),0)</f>
        <v>0</v>
      </c>
      <c r="F424">
        <v>0</v>
      </c>
      <c r="G424">
        <f>ROUND(SUMIFS(CATEGORIAS[[#All],[PROYECCION
DE INGRESO
DEL SALDO]],CATEGORIAS[[#All],[CATEGORIA2]],Imputar[[#This Row],[Categoría]]),0)</f>
        <v>0</v>
      </c>
      <c r="H424">
        <f>ROUND(SUMIFS(CATEGORIAS[[#All],[CAMBIO DE
CATEGORIA]],CATEGORIAS[[#All],[CATEGORIA2]],Imputar[[#This Row],[Categoría]]),0)</f>
        <v>0</v>
      </c>
      <c r="I4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4">
        <f>+ROUND(SUMIFS(CATEGORIAS[[#All],[PROYECCION
TOTAL DE COSTO]],CATEGORIAS[[#All],[CATEGORIA2]],Imputar[[#This Row],[Categoría]]),0)
-Imputar[[#This Row],[Inventario]]
-Imputar[[#This Row],[Pedidos no Rec]]</f>
        <v>0</v>
      </c>
      <c r="K4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4">
        <f>_xlfn.IFNA(VLOOKUP(Imputar[[#This Row],[Categoría]],EIMI!C:T,8,0),0)</f>
        <v>0</v>
      </c>
      <c r="M424">
        <f>_xlfn.IFNA(VLOOKUP(Imputar[[#This Row],[Categoría]],EIMI!C:T,9,0),0)</f>
        <v>0</v>
      </c>
      <c r="N424">
        <f>_xlfn.IFNA(VLOOKUP(Imputar[[#This Row],[Categoría]],EIMI!C:T,10,0),0)</f>
        <v>0</v>
      </c>
    </row>
    <row r="425" spans="1:14" x14ac:dyDescent="0.25">
      <c r="A425" s="210">
        <f>Indice!$I$11</f>
        <v>0</v>
      </c>
      <c r="B425" t="s">
        <v>293</v>
      </c>
      <c r="C425" s="39">
        <f>Indice!$I$12</f>
        <v>45992</v>
      </c>
      <c r="E425">
        <f>ROUND(SUMIFS(CATEGORIAS[[#All],[TOTAL PRODUCCION
ACTUAL]],CATEGORIAS[[#All],[CATEGORIA2]],Imputar[[#This Row],[Categoría]]),0)</f>
        <v>0</v>
      </c>
      <c r="F425">
        <v>0</v>
      </c>
      <c r="G425">
        <f>ROUND(SUMIFS(CATEGORIAS[[#All],[PROYECCION
DE INGRESO
DEL SALDO]],CATEGORIAS[[#All],[CATEGORIA2]],Imputar[[#This Row],[Categoría]]),0)</f>
        <v>0</v>
      </c>
      <c r="H425">
        <f>ROUND(SUMIFS(CATEGORIAS[[#All],[CAMBIO DE
CATEGORIA]],CATEGORIAS[[#All],[CATEGORIA2]],Imputar[[#This Row],[Categoría]]),0)</f>
        <v>0</v>
      </c>
      <c r="I4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5">
        <f>+ROUND(SUMIFS(CATEGORIAS[[#All],[PROYECCION
TOTAL DE COSTO]],CATEGORIAS[[#All],[CATEGORIA2]],Imputar[[#This Row],[Categoría]]),0)
-Imputar[[#This Row],[Inventario]]
-Imputar[[#This Row],[Pedidos no Rec]]</f>
        <v>-13056427.6</v>
      </c>
      <c r="K42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5">
        <f>_xlfn.IFNA(VLOOKUP(Imputar[[#This Row],[Categoría]],EIMI!C:T,8,0),0)</f>
        <v>0</v>
      </c>
      <c r="M425">
        <f>_xlfn.IFNA(VLOOKUP(Imputar[[#This Row],[Categoría]],EIMI!C:T,9,0),0)</f>
        <v>11687190</v>
      </c>
      <c r="N425">
        <f>_xlfn.IFNA(VLOOKUP(Imputar[[#This Row],[Categoría]],EIMI!C:T,10,0),0)</f>
        <v>1369237.6</v>
      </c>
    </row>
    <row r="426" spans="1:14" hidden="1" x14ac:dyDescent="0.25">
      <c r="A426" s="210">
        <f>Indice!$I$11</f>
        <v>0</v>
      </c>
      <c r="B426" t="s">
        <v>1237</v>
      </c>
      <c r="C426" s="39">
        <f>Indice!$I$12</f>
        <v>45992</v>
      </c>
      <c r="E426">
        <f>ROUND(SUMIFS(CATEGORIAS[[#All],[TOTAL PRODUCCION
ACTUAL]],CATEGORIAS[[#All],[CATEGORIA2]],Imputar[[#This Row],[Categoría]]),0)</f>
        <v>0</v>
      </c>
      <c r="F426">
        <v>0</v>
      </c>
      <c r="G426">
        <f>ROUND(SUMIFS(CATEGORIAS[[#All],[PROYECCION
DE INGRESO
DEL SALDO]],CATEGORIAS[[#All],[CATEGORIA2]],Imputar[[#This Row],[Categoría]]),0)</f>
        <v>0</v>
      </c>
      <c r="H426">
        <f>ROUND(SUMIFS(CATEGORIAS[[#All],[CAMBIO DE
CATEGORIA]],CATEGORIAS[[#All],[CATEGORIA2]],Imputar[[#This Row],[Categoría]]),0)</f>
        <v>0</v>
      </c>
      <c r="I4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6">
        <f>+ROUND(SUMIFS(CATEGORIAS[[#All],[PROYECCION
TOTAL DE COSTO]],CATEGORIAS[[#All],[CATEGORIA2]],Imputar[[#This Row],[Categoría]]),0)
-Imputar[[#This Row],[Inventario]]
-Imputar[[#This Row],[Pedidos no Rec]]</f>
        <v>0</v>
      </c>
      <c r="K4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6">
        <f>_xlfn.IFNA(VLOOKUP(Imputar[[#This Row],[Categoría]],EIMI!C:T,8,0),0)</f>
        <v>0</v>
      </c>
      <c r="M426">
        <f>_xlfn.IFNA(VLOOKUP(Imputar[[#This Row],[Categoría]],EIMI!C:T,9,0),0)</f>
        <v>0</v>
      </c>
      <c r="N426">
        <f>_xlfn.IFNA(VLOOKUP(Imputar[[#This Row],[Categoría]],EIMI!C:T,10,0),0)</f>
        <v>0</v>
      </c>
    </row>
    <row r="427" spans="1:14" x14ac:dyDescent="0.25">
      <c r="A427" s="210">
        <f>Indice!$I$11</f>
        <v>0</v>
      </c>
      <c r="B427" t="s">
        <v>1239</v>
      </c>
      <c r="C427" s="39">
        <f>Indice!$I$12</f>
        <v>45992</v>
      </c>
      <c r="E427">
        <f>ROUND(SUMIFS(CATEGORIAS[[#All],[TOTAL PRODUCCION
ACTUAL]],CATEGORIAS[[#All],[CATEGORIA2]],Imputar[[#This Row],[Categoría]]),0)</f>
        <v>0</v>
      </c>
      <c r="F427">
        <v>0</v>
      </c>
      <c r="G427">
        <f>ROUND(SUMIFS(CATEGORIAS[[#All],[PROYECCION
DE INGRESO
DEL SALDO]],CATEGORIAS[[#All],[CATEGORIA2]],Imputar[[#This Row],[Categoría]]),0)</f>
        <v>0</v>
      </c>
      <c r="H427">
        <f>ROUND(SUMIFS(CATEGORIAS[[#All],[CAMBIO DE
CATEGORIA]],CATEGORIAS[[#All],[CATEGORIA2]],Imputar[[#This Row],[Categoría]]),0)</f>
        <v>0</v>
      </c>
      <c r="I4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7">
        <f>+ROUND(SUMIFS(CATEGORIAS[[#All],[PROYECCION
TOTAL DE COSTO]],CATEGORIAS[[#All],[CATEGORIA2]],Imputar[[#This Row],[Categoría]]),0)
-Imputar[[#This Row],[Inventario]]
-Imputar[[#This Row],[Pedidos no Rec]]</f>
        <v>-47537982.060000002</v>
      </c>
      <c r="K4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7">
        <f>_xlfn.IFNA(VLOOKUP(Imputar[[#This Row],[Categoría]],EIMI!C:T,8,0),0)</f>
        <v>0</v>
      </c>
      <c r="M427">
        <f>_xlfn.IFNA(VLOOKUP(Imputar[[#This Row],[Categoría]],EIMI!C:T,9,0),0)</f>
        <v>23903025</v>
      </c>
      <c r="N427">
        <f>_xlfn.IFNA(VLOOKUP(Imputar[[#This Row],[Categoría]],EIMI!C:T,10,0),0)</f>
        <v>23634957.059999999</v>
      </c>
    </row>
    <row r="428" spans="1:14" x14ac:dyDescent="0.25">
      <c r="A428" s="210">
        <f>Indice!$I$11</f>
        <v>0</v>
      </c>
      <c r="B428" t="s">
        <v>1241</v>
      </c>
      <c r="C428" s="39">
        <f>Indice!$I$12</f>
        <v>45992</v>
      </c>
      <c r="E428">
        <f>ROUND(SUMIFS(CATEGORIAS[[#All],[TOTAL PRODUCCION
ACTUAL]],CATEGORIAS[[#All],[CATEGORIA2]],Imputar[[#This Row],[Categoría]]),0)</f>
        <v>0</v>
      </c>
      <c r="F428">
        <v>0</v>
      </c>
      <c r="G428">
        <f>ROUND(SUMIFS(CATEGORIAS[[#All],[PROYECCION
DE INGRESO
DEL SALDO]],CATEGORIAS[[#All],[CATEGORIA2]],Imputar[[#This Row],[Categoría]]),0)</f>
        <v>0</v>
      </c>
      <c r="H428">
        <f>ROUND(SUMIFS(CATEGORIAS[[#All],[CAMBIO DE
CATEGORIA]],CATEGORIAS[[#All],[CATEGORIA2]],Imputar[[#This Row],[Categoría]]),0)</f>
        <v>0</v>
      </c>
      <c r="I4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-8096872</v>
      </c>
      <c r="J428">
        <f>+ROUND(SUMIFS(CATEGORIAS[[#All],[PROYECCION
TOTAL DE COSTO]],CATEGORIAS[[#All],[CATEGORIA2]],Imputar[[#This Row],[Categoría]]),0)
-Imputar[[#This Row],[Inventario]]
-Imputar[[#This Row],[Pedidos no Rec]]</f>
        <v>0</v>
      </c>
      <c r="K42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8">
        <f>_xlfn.IFNA(VLOOKUP(Imputar[[#This Row],[Categoría]],EIMI!C:T,8,0),0)</f>
        <v>8096872</v>
      </c>
      <c r="M428">
        <f>_xlfn.IFNA(VLOOKUP(Imputar[[#This Row],[Categoría]],EIMI!C:T,9,0),0)</f>
        <v>0</v>
      </c>
      <c r="N428">
        <f>_xlfn.IFNA(VLOOKUP(Imputar[[#This Row],[Categoría]],EIMI!C:T,10,0),0)</f>
        <v>0</v>
      </c>
    </row>
    <row r="429" spans="1:14" hidden="1" x14ac:dyDescent="0.25">
      <c r="A429" s="210">
        <f>Indice!$I$11</f>
        <v>0</v>
      </c>
      <c r="B429" t="s">
        <v>1243</v>
      </c>
      <c r="C429" s="39">
        <f>Indice!$I$12</f>
        <v>45992</v>
      </c>
      <c r="E429">
        <f>ROUND(SUMIFS(CATEGORIAS[[#All],[TOTAL PRODUCCION
ACTUAL]],CATEGORIAS[[#All],[CATEGORIA2]],Imputar[[#This Row],[Categoría]]),0)</f>
        <v>0</v>
      </c>
      <c r="F429">
        <v>0</v>
      </c>
      <c r="G429">
        <f>ROUND(SUMIFS(CATEGORIAS[[#All],[PROYECCION
DE INGRESO
DEL SALDO]],CATEGORIAS[[#All],[CATEGORIA2]],Imputar[[#This Row],[Categoría]]),0)</f>
        <v>0</v>
      </c>
      <c r="H429">
        <f>ROUND(SUMIFS(CATEGORIAS[[#All],[CAMBIO DE
CATEGORIA]],CATEGORIAS[[#All],[CATEGORIA2]],Imputar[[#This Row],[Categoría]]),0)</f>
        <v>0</v>
      </c>
      <c r="I4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9">
        <f>+ROUND(SUMIFS(CATEGORIAS[[#All],[PROYECCION
TOTAL DE COSTO]],CATEGORIAS[[#All],[CATEGORIA2]],Imputar[[#This Row],[Categoría]]),0)
-Imputar[[#This Row],[Inventario]]
-Imputar[[#This Row],[Pedidos no Rec]]</f>
        <v>0</v>
      </c>
      <c r="K4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9">
        <f>_xlfn.IFNA(VLOOKUP(Imputar[[#This Row],[Categoría]],EIMI!C:T,8,0),0)</f>
        <v>0</v>
      </c>
      <c r="M429">
        <f>_xlfn.IFNA(VLOOKUP(Imputar[[#This Row],[Categoría]],EIMI!C:T,9,0),0)</f>
        <v>0</v>
      </c>
      <c r="N429">
        <f>_xlfn.IFNA(VLOOKUP(Imputar[[#This Row],[Categoría]],EIMI!C:T,10,0),0)</f>
        <v>0</v>
      </c>
    </row>
    <row r="430" spans="1:14" hidden="1" x14ac:dyDescent="0.25">
      <c r="A430" s="210">
        <f>Indice!$I$11</f>
        <v>0</v>
      </c>
      <c r="B430" t="s">
        <v>1245</v>
      </c>
      <c r="C430" s="39">
        <f>Indice!$I$12</f>
        <v>45992</v>
      </c>
      <c r="E430">
        <f>ROUND(SUMIFS(CATEGORIAS[[#All],[TOTAL PRODUCCION
ACTUAL]],CATEGORIAS[[#All],[CATEGORIA2]],Imputar[[#This Row],[Categoría]]),0)</f>
        <v>0</v>
      </c>
      <c r="F430">
        <v>0</v>
      </c>
      <c r="G430">
        <f>ROUND(SUMIFS(CATEGORIAS[[#All],[PROYECCION
DE INGRESO
DEL SALDO]],CATEGORIAS[[#All],[CATEGORIA2]],Imputar[[#This Row],[Categoría]]),0)</f>
        <v>0</v>
      </c>
      <c r="H430">
        <f>ROUND(SUMIFS(CATEGORIAS[[#All],[CAMBIO DE
CATEGORIA]],CATEGORIAS[[#All],[CATEGORIA2]],Imputar[[#This Row],[Categoría]]),0)</f>
        <v>0</v>
      </c>
      <c r="I4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0">
        <f>+ROUND(SUMIFS(CATEGORIAS[[#All],[PROYECCION
TOTAL DE COSTO]],CATEGORIAS[[#All],[CATEGORIA2]],Imputar[[#This Row],[Categoría]]),0)
-Imputar[[#This Row],[Inventario]]
-Imputar[[#This Row],[Pedidos no Rec]]</f>
        <v>0</v>
      </c>
      <c r="K4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0">
        <f>_xlfn.IFNA(VLOOKUP(Imputar[[#This Row],[Categoría]],EIMI!C:T,8,0),0)</f>
        <v>0</v>
      </c>
      <c r="M430">
        <f>_xlfn.IFNA(VLOOKUP(Imputar[[#This Row],[Categoría]],EIMI!C:T,9,0),0)</f>
        <v>0</v>
      </c>
      <c r="N430">
        <f>_xlfn.IFNA(VLOOKUP(Imputar[[#This Row],[Categoría]],EIMI!C:T,10,0),0)</f>
        <v>0</v>
      </c>
    </row>
    <row r="431" spans="1:14" hidden="1" x14ac:dyDescent="0.25">
      <c r="A431" s="210">
        <f>Indice!$I$11</f>
        <v>0</v>
      </c>
      <c r="B431" t="s">
        <v>1247</v>
      </c>
      <c r="C431" s="39">
        <f>Indice!$I$12</f>
        <v>45992</v>
      </c>
      <c r="E431">
        <f>ROUND(SUMIFS(CATEGORIAS[[#All],[TOTAL PRODUCCION
ACTUAL]],CATEGORIAS[[#All],[CATEGORIA2]],Imputar[[#This Row],[Categoría]]),0)</f>
        <v>0</v>
      </c>
      <c r="F431">
        <v>0</v>
      </c>
      <c r="G431">
        <f>ROUND(SUMIFS(CATEGORIAS[[#All],[PROYECCION
DE INGRESO
DEL SALDO]],CATEGORIAS[[#All],[CATEGORIA2]],Imputar[[#This Row],[Categoría]]),0)</f>
        <v>0</v>
      </c>
      <c r="H431">
        <f>ROUND(SUMIFS(CATEGORIAS[[#All],[CAMBIO DE
CATEGORIA]],CATEGORIAS[[#All],[CATEGORIA2]],Imputar[[#This Row],[Categoría]]),0)</f>
        <v>0</v>
      </c>
      <c r="I4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1">
        <f>+ROUND(SUMIFS(CATEGORIAS[[#All],[PROYECCION
TOTAL DE COSTO]],CATEGORIAS[[#All],[CATEGORIA2]],Imputar[[#This Row],[Categoría]]),0)
-Imputar[[#This Row],[Inventario]]
-Imputar[[#This Row],[Pedidos no Rec]]</f>
        <v>0</v>
      </c>
      <c r="K4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1">
        <f>_xlfn.IFNA(VLOOKUP(Imputar[[#This Row],[Categoría]],EIMI!C:T,8,0),0)</f>
        <v>0</v>
      </c>
      <c r="M431">
        <f>_xlfn.IFNA(VLOOKUP(Imputar[[#This Row],[Categoría]],EIMI!C:T,9,0),0)</f>
        <v>0</v>
      </c>
      <c r="N431">
        <f>_xlfn.IFNA(VLOOKUP(Imputar[[#This Row],[Categoría]],EIMI!C:T,10,0),0)</f>
        <v>0</v>
      </c>
    </row>
    <row r="432" spans="1:14" hidden="1" x14ac:dyDescent="0.25">
      <c r="A432" s="210">
        <f>Indice!$I$11</f>
        <v>0</v>
      </c>
      <c r="B432" t="s">
        <v>1249</v>
      </c>
      <c r="C432" s="39">
        <f>Indice!$I$12</f>
        <v>45992</v>
      </c>
      <c r="E432">
        <f>ROUND(SUMIFS(CATEGORIAS[[#All],[TOTAL PRODUCCION
ACTUAL]],CATEGORIAS[[#All],[CATEGORIA2]],Imputar[[#This Row],[Categoría]]),0)</f>
        <v>0</v>
      </c>
      <c r="F432">
        <v>0</v>
      </c>
      <c r="G432">
        <f>ROUND(SUMIFS(CATEGORIAS[[#All],[PROYECCION
DE INGRESO
DEL SALDO]],CATEGORIAS[[#All],[CATEGORIA2]],Imputar[[#This Row],[Categoría]]),0)</f>
        <v>0</v>
      </c>
      <c r="H432">
        <f>ROUND(SUMIFS(CATEGORIAS[[#All],[CAMBIO DE
CATEGORIA]],CATEGORIAS[[#All],[CATEGORIA2]],Imputar[[#This Row],[Categoría]]),0)</f>
        <v>0</v>
      </c>
      <c r="I4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2">
        <f>+ROUND(SUMIFS(CATEGORIAS[[#All],[PROYECCION
TOTAL DE COSTO]],CATEGORIAS[[#All],[CATEGORIA2]],Imputar[[#This Row],[Categoría]]),0)
-Imputar[[#This Row],[Inventario]]
-Imputar[[#This Row],[Pedidos no Rec]]</f>
        <v>0</v>
      </c>
      <c r="K4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2">
        <f>_xlfn.IFNA(VLOOKUP(Imputar[[#This Row],[Categoría]],EIMI!C:T,8,0),0)</f>
        <v>0</v>
      </c>
      <c r="M432">
        <f>_xlfn.IFNA(VLOOKUP(Imputar[[#This Row],[Categoría]],EIMI!C:T,9,0),0)</f>
        <v>0</v>
      </c>
      <c r="N432">
        <f>_xlfn.IFNA(VLOOKUP(Imputar[[#This Row],[Categoría]],EIMI!C:T,10,0),0)</f>
        <v>0</v>
      </c>
    </row>
    <row r="433" spans="1:14" x14ac:dyDescent="0.25">
      <c r="A433" s="210">
        <f>Indice!$I$11</f>
        <v>0</v>
      </c>
      <c r="B433" t="s">
        <v>1251</v>
      </c>
      <c r="C433" s="39">
        <f>Indice!$I$12</f>
        <v>45992</v>
      </c>
      <c r="E433">
        <f>ROUND(SUMIFS(CATEGORIAS[[#All],[TOTAL PRODUCCION
ACTUAL]],CATEGORIAS[[#All],[CATEGORIA2]],Imputar[[#This Row],[Categoría]]),0)</f>
        <v>0</v>
      </c>
      <c r="F433">
        <v>0</v>
      </c>
      <c r="G433">
        <f>ROUND(SUMIFS(CATEGORIAS[[#All],[PROYECCION
DE INGRESO
DEL SALDO]],CATEGORIAS[[#All],[CATEGORIA2]],Imputar[[#This Row],[Categoría]]),0)</f>
        <v>0</v>
      </c>
      <c r="H433">
        <f>ROUND(SUMIFS(CATEGORIAS[[#All],[CAMBIO DE
CATEGORIA]],CATEGORIAS[[#All],[CATEGORIA2]],Imputar[[#This Row],[Categoría]]),0)</f>
        <v>0</v>
      </c>
      <c r="I4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-581430</v>
      </c>
      <c r="J433">
        <f>+ROUND(SUMIFS(CATEGORIAS[[#All],[PROYECCION
TOTAL DE COSTO]],CATEGORIAS[[#All],[CATEGORIA2]],Imputar[[#This Row],[Categoría]]),0)
-Imputar[[#This Row],[Inventario]]
-Imputar[[#This Row],[Pedidos no Rec]]</f>
        <v>-98023364.989999995</v>
      </c>
      <c r="K43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3">
        <f>_xlfn.IFNA(VLOOKUP(Imputar[[#This Row],[Categoría]],EIMI!C:T,8,0),0)</f>
        <v>581430</v>
      </c>
      <c r="M433">
        <f>_xlfn.IFNA(VLOOKUP(Imputar[[#This Row],[Categoría]],EIMI!C:T,9,0),0)</f>
        <v>8307134</v>
      </c>
      <c r="N433">
        <f>_xlfn.IFNA(VLOOKUP(Imputar[[#This Row],[Categoría]],EIMI!C:T,10,0),0)</f>
        <v>89716230.989999995</v>
      </c>
    </row>
    <row r="434" spans="1:14" hidden="1" x14ac:dyDescent="0.25">
      <c r="A434" s="210">
        <f>Indice!$I$11</f>
        <v>0</v>
      </c>
      <c r="B434" t="s">
        <v>1253</v>
      </c>
      <c r="C434" s="39">
        <f>Indice!$I$12</f>
        <v>45992</v>
      </c>
      <c r="E434">
        <f>ROUND(SUMIFS(CATEGORIAS[[#All],[TOTAL PRODUCCION
ACTUAL]],CATEGORIAS[[#All],[CATEGORIA2]],Imputar[[#This Row],[Categoría]]),0)</f>
        <v>0</v>
      </c>
      <c r="F434">
        <v>0</v>
      </c>
      <c r="G434">
        <f>ROUND(SUMIFS(CATEGORIAS[[#All],[PROYECCION
DE INGRESO
DEL SALDO]],CATEGORIAS[[#All],[CATEGORIA2]],Imputar[[#This Row],[Categoría]]),0)</f>
        <v>0</v>
      </c>
      <c r="H434">
        <f>ROUND(SUMIFS(CATEGORIAS[[#All],[CAMBIO DE
CATEGORIA]],CATEGORIAS[[#All],[CATEGORIA2]],Imputar[[#This Row],[Categoría]]),0)</f>
        <v>0</v>
      </c>
      <c r="I4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4">
        <f>+ROUND(SUMIFS(CATEGORIAS[[#All],[PROYECCION
TOTAL DE COSTO]],CATEGORIAS[[#All],[CATEGORIA2]],Imputar[[#This Row],[Categoría]]),0)
-Imputar[[#This Row],[Inventario]]
-Imputar[[#This Row],[Pedidos no Rec]]</f>
        <v>0</v>
      </c>
      <c r="K4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4">
        <f>_xlfn.IFNA(VLOOKUP(Imputar[[#This Row],[Categoría]],EIMI!C:T,8,0),0)</f>
        <v>0</v>
      </c>
      <c r="M434">
        <f>_xlfn.IFNA(VLOOKUP(Imputar[[#This Row],[Categoría]],EIMI!C:T,9,0),0)</f>
        <v>0</v>
      </c>
      <c r="N434">
        <f>_xlfn.IFNA(VLOOKUP(Imputar[[#This Row],[Categoría]],EIMI!C:T,10,0),0)</f>
        <v>0</v>
      </c>
    </row>
    <row r="435" spans="1:14" hidden="1" x14ac:dyDescent="0.25">
      <c r="A435" s="210">
        <f>Indice!$I$11</f>
        <v>0</v>
      </c>
      <c r="B435" t="s">
        <v>1255</v>
      </c>
      <c r="C435" s="39">
        <f>Indice!$I$12</f>
        <v>45992</v>
      </c>
      <c r="E435">
        <f>ROUND(SUMIFS(CATEGORIAS[[#All],[TOTAL PRODUCCION
ACTUAL]],CATEGORIAS[[#All],[CATEGORIA2]],Imputar[[#This Row],[Categoría]]),0)</f>
        <v>0</v>
      </c>
      <c r="F435">
        <v>0</v>
      </c>
      <c r="G435">
        <f>ROUND(SUMIFS(CATEGORIAS[[#All],[PROYECCION
DE INGRESO
DEL SALDO]],CATEGORIAS[[#All],[CATEGORIA2]],Imputar[[#This Row],[Categoría]]),0)</f>
        <v>0</v>
      </c>
      <c r="H435">
        <f>ROUND(SUMIFS(CATEGORIAS[[#All],[CAMBIO DE
CATEGORIA]],CATEGORIAS[[#All],[CATEGORIA2]],Imputar[[#This Row],[Categoría]]),0)</f>
        <v>0</v>
      </c>
      <c r="I4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5">
        <f>+ROUND(SUMIFS(CATEGORIAS[[#All],[PROYECCION
TOTAL DE COSTO]],CATEGORIAS[[#All],[CATEGORIA2]],Imputar[[#This Row],[Categoría]]),0)
-Imputar[[#This Row],[Inventario]]
-Imputar[[#This Row],[Pedidos no Rec]]</f>
        <v>0</v>
      </c>
      <c r="K4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5">
        <f>_xlfn.IFNA(VLOOKUP(Imputar[[#This Row],[Categoría]],EIMI!C:T,8,0),0)</f>
        <v>0</v>
      </c>
      <c r="M435">
        <f>_xlfn.IFNA(VLOOKUP(Imputar[[#This Row],[Categoría]],EIMI!C:T,9,0),0)</f>
        <v>0</v>
      </c>
      <c r="N435">
        <f>_xlfn.IFNA(VLOOKUP(Imputar[[#This Row],[Categoría]],EIMI!C:T,10,0),0)</f>
        <v>0</v>
      </c>
    </row>
    <row r="436" spans="1:14" hidden="1" x14ac:dyDescent="0.25">
      <c r="A436" s="210">
        <f>Indice!$I$11</f>
        <v>0</v>
      </c>
      <c r="B436" t="s">
        <v>1257</v>
      </c>
      <c r="C436" s="39">
        <f>Indice!$I$12</f>
        <v>45992</v>
      </c>
      <c r="E436">
        <f>ROUND(SUMIFS(CATEGORIAS[[#All],[TOTAL PRODUCCION
ACTUAL]],CATEGORIAS[[#All],[CATEGORIA2]],Imputar[[#This Row],[Categoría]]),0)</f>
        <v>0</v>
      </c>
      <c r="F436">
        <v>0</v>
      </c>
      <c r="G436">
        <f>ROUND(SUMIFS(CATEGORIAS[[#All],[PROYECCION
DE INGRESO
DEL SALDO]],CATEGORIAS[[#All],[CATEGORIA2]],Imputar[[#This Row],[Categoría]]),0)</f>
        <v>0</v>
      </c>
      <c r="H436">
        <f>ROUND(SUMIFS(CATEGORIAS[[#All],[CAMBIO DE
CATEGORIA]],CATEGORIAS[[#All],[CATEGORIA2]],Imputar[[#This Row],[Categoría]]),0)</f>
        <v>0</v>
      </c>
      <c r="I4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6">
        <f>+ROUND(SUMIFS(CATEGORIAS[[#All],[PROYECCION
TOTAL DE COSTO]],CATEGORIAS[[#All],[CATEGORIA2]],Imputar[[#This Row],[Categoría]]),0)
-Imputar[[#This Row],[Inventario]]
-Imputar[[#This Row],[Pedidos no Rec]]</f>
        <v>0</v>
      </c>
      <c r="K4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6">
        <f>_xlfn.IFNA(VLOOKUP(Imputar[[#This Row],[Categoría]],EIMI!C:T,8,0),0)</f>
        <v>0</v>
      </c>
      <c r="M436">
        <f>_xlfn.IFNA(VLOOKUP(Imputar[[#This Row],[Categoría]],EIMI!C:T,9,0),0)</f>
        <v>0</v>
      </c>
      <c r="N436">
        <f>_xlfn.IFNA(VLOOKUP(Imputar[[#This Row],[Categoría]],EIMI!C:T,10,0),0)</f>
        <v>0</v>
      </c>
    </row>
    <row r="437" spans="1:14" hidden="1" x14ac:dyDescent="0.25">
      <c r="A437" s="210">
        <f>Indice!$I$11</f>
        <v>0</v>
      </c>
      <c r="B437" t="s">
        <v>1259</v>
      </c>
      <c r="C437" s="39">
        <f>Indice!$I$12</f>
        <v>45992</v>
      </c>
      <c r="E437">
        <f>ROUND(SUMIFS(CATEGORIAS[[#All],[TOTAL PRODUCCION
ACTUAL]],CATEGORIAS[[#All],[CATEGORIA2]],Imputar[[#This Row],[Categoría]]),0)</f>
        <v>0</v>
      </c>
      <c r="F437">
        <v>0</v>
      </c>
      <c r="G437">
        <f>ROUND(SUMIFS(CATEGORIAS[[#All],[PROYECCION
DE INGRESO
DEL SALDO]],CATEGORIAS[[#All],[CATEGORIA2]],Imputar[[#This Row],[Categoría]]),0)</f>
        <v>0</v>
      </c>
      <c r="H437">
        <f>ROUND(SUMIFS(CATEGORIAS[[#All],[CAMBIO DE
CATEGORIA]],CATEGORIAS[[#All],[CATEGORIA2]],Imputar[[#This Row],[Categoría]]),0)</f>
        <v>0</v>
      </c>
      <c r="I4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7">
        <f>+ROUND(SUMIFS(CATEGORIAS[[#All],[PROYECCION
TOTAL DE COSTO]],CATEGORIAS[[#All],[CATEGORIA2]],Imputar[[#This Row],[Categoría]]),0)
-Imputar[[#This Row],[Inventario]]
-Imputar[[#This Row],[Pedidos no Rec]]</f>
        <v>0</v>
      </c>
      <c r="K4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7">
        <f>_xlfn.IFNA(VLOOKUP(Imputar[[#This Row],[Categoría]],EIMI!C:T,8,0),0)</f>
        <v>0</v>
      </c>
      <c r="M437">
        <f>_xlfn.IFNA(VLOOKUP(Imputar[[#This Row],[Categoría]],EIMI!C:T,9,0),0)</f>
        <v>0</v>
      </c>
      <c r="N437">
        <f>_xlfn.IFNA(VLOOKUP(Imputar[[#This Row],[Categoría]],EIMI!C:T,10,0),0)</f>
        <v>0</v>
      </c>
    </row>
    <row r="438" spans="1:14" hidden="1" x14ac:dyDescent="0.25">
      <c r="A438" s="210">
        <f>Indice!$I$11</f>
        <v>0</v>
      </c>
      <c r="B438" t="s">
        <v>1261</v>
      </c>
      <c r="C438" s="39">
        <f>Indice!$I$12</f>
        <v>45992</v>
      </c>
      <c r="E438">
        <f>ROUND(SUMIFS(CATEGORIAS[[#All],[TOTAL PRODUCCION
ACTUAL]],CATEGORIAS[[#All],[CATEGORIA2]],Imputar[[#This Row],[Categoría]]),0)</f>
        <v>0</v>
      </c>
      <c r="F438">
        <v>0</v>
      </c>
      <c r="G438">
        <f>ROUND(SUMIFS(CATEGORIAS[[#All],[PROYECCION
DE INGRESO
DEL SALDO]],CATEGORIAS[[#All],[CATEGORIA2]],Imputar[[#This Row],[Categoría]]),0)</f>
        <v>0</v>
      </c>
      <c r="H438">
        <f>ROUND(SUMIFS(CATEGORIAS[[#All],[CAMBIO DE
CATEGORIA]],CATEGORIAS[[#All],[CATEGORIA2]],Imputar[[#This Row],[Categoría]]),0)</f>
        <v>0</v>
      </c>
      <c r="I4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8">
        <f>+ROUND(SUMIFS(CATEGORIAS[[#All],[PROYECCION
TOTAL DE COSTO]],CATEGORIAS[[#All],[CATEGORIA2]],Imputar[[#This Row],[Categoría]]),0)
-Imputar[[#This Row],[Inventario]]
-Imputar[[#This Row],[Pedidos no Rec]]</f>
        <v>0</v>
      </c>
      <c r="K4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8">
        <f>_xlfn.IFNA(VLOOKUP(Imputar[[#This Row],[Categoría]],EIMI!C:T,8,0),0)</f>
        <v>0</v>
      </c>
      <c r="M438">
        <f>_xlfn.IFNA(VLOOKUP(Imputar[[#This Row],[Categoría]],EIMI!C:T,9,0),0)</f>
        <v>0</v>
      </c>
      <c r="N438">
        <f>_xlfn.IFNA(VLOOKUP(Imputar[[#This Row],[Categoría]],EIMI!C:T,10,0),0)</f>
        <v>0</v>
      </c>
    </row>
    <row r="439" spans="1:14" x14ac:dyDescent="0.25">
      <c r="A439" s="210">
        <f>Indice!$I$11</f>
        <v>0</v>
      </c>
      <c r="B439" t="s">
        <v>1263</v>
      </c>
      <c r="C439" s="39">
        <f>Indice!$I$12</f>
        <v>45992</v>
      </c>
      <c r="E439">
        <f>ROUND(SUMIFS(CATEGORIAS[[#All],[TOTAL PRODUCCION
ACTUAL]],CATEGORIAS[[#All],[CATEGORIA2]],Imputar[[#This Row],[Categoría]]),0)</f>
        <v>0</v>
      </c>
      <c r="F439">
        <v>0</v>
      </c>
      <c r="G439">
        <f>ROUND(SUMIFS(CATEGORIAS[[#All],[PROYECCION
DE INGRESO
DEL SALDO]],CATEGORIAS[[#All],[CATEGORIA2]],Imputar[[#This Row],[Categoría]]),0)</f>
        <v>0</v>
      </c>
      <c r="H439">
        <f>ROUND(SUMIFS(CATEGORIAS[[#All],[CAMBIO DE
CATEGORIA]],CATEGORIAS[[#All],[CATEGORIA2]],Imputar[[#This Row],[Categoría]]),0)</f>
        <v>0</v>
      </c>
      <c r="I4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-29960</v>
      </c>
      <c r="J439">
        <f>+ROUND(SUMIFS(CATEGORIAS[[#All],[PROYECCION
TOTAL DE COSTO]],CATEGORIAS[[#All],[CATEGORIA2]],Imputar[[#This Row],[Categoría]]),0)
-Imputar[[#This Row],[Inventario]]
-Imputar[[#This Row],[Pedidos no Rec]]</f>
        <v>-139192324</v>
      </c>
      <c r="K43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9">
        <f>_xlfn.IFNA(VLOOKUP(Imputar[[#This Row],[Categoría]],EIMI!C:T,8,0),0)</f>
        <v>29960</v>
      </c>
      <c r="M439">
        <f>_xlfn.IFNA(VLOOKUP(Imputar[[#This Row],[Categoría]],EIMI!C:T,9,0),0)</f>
        <v>139035380</v>
      </c>
      <c r="N439">
        <f>_xlfn.IFNA(VLOOKUP(Imputar[[#This Row],[Categoría]],EIMI!C:T,10,0),0)</f>
        <v>156944</v>
      </c>
    </row>
    <row r="440" spans="1:14" hidden="1" x14ac:dyDescent="0.25">
      <c r="A440" s="210">
        <f>Indice!$I$11</f>
        <v>0</v>
      </c>
      <c r="B440" t="s">
        <v>1265</v>
      </c>
      <c r="C440" s="39">
        <f>Indice!$I$12</f>
        <v>45992</v>
      </c>
      <c r="E440">
        <f>ROUND(SUMIFS(CATEGORIAS[[#All],[TOTAL PRODUCCION
ACTUAL]],CATEGORIAS[[#All],[CATEGORIA2]],Imputar[[#This Row],[Categoría]]),0)</f>
        <v>0</v>
      </c>
      <c r="F440">
        <v>0</v>
      </c>
      <c r="G440">
        <f>ROUND(SUMIFS(CATEGORIAS[[#All],[PROYECCION
DE INGRESO
DEL SALDO]],CATEGORIAS[[#All],[CATEGORIA2]],Imputar[[#This Row],[Categoría]]),0)</f>
        <v>0</v>
      </c>
      <c r="H440">
        <f>ROUND(SUMIFS(CATEGORIAS[[#All],[CAMBIO DE
CATEGORIA]],CATEGORIAS[[#All],[CATEGORIA2]],Imputar[[#This Row],[Categoría]]),0)</f>
        <v>0</v>
      </c>
      <c r="I4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0">
        <f>+ROUND(SUMIFS(CATEGORIAS[[#All],[PROYECCION
TOTAL DE COSTO]],CATEGORIAS[[#All],[CATEGORIA2]],Imputar[[#This Row],[Categoría]]),0)
-Imputar[[#This Row],[Inventario]]
-Imputar[[#This Row],[Pedidos no Rec]]</f>
        <v>0</v>
      </c>
      <c r="K4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0">
        <f>_xlfn.IFNA(VLOOKUP(Imputar[[#This Row],[Categoría]],EIMI!C:T,8,0),0)</f>
        <v>0</v>
      </c>
      <c r="M440">
        <f>_xlfn.IFNA(VLOOKUP(Imputar[[#This Row],[Categoría]],EIMI!C:T,9,0),0)</f>
        <v>0</v>
      </c>
      <c r="N440">
        <f>_xlfn.IFNA(VLOOKUP(Imputar[[#This Row],[Categoría]],EIMI!C:T,10,0),0)</f>
        <v>0</v>
      </c>
    </row>
    <row r="441" spans="1:14" x14ac:dyDescent="0.25">
      <c r="A441" s="210">
        <f>Indice!$I$11</f>
        <v>0</v>
      </c>
      <c r="B441" t="s">
        <v>1267</v>
      </c>
      <c r="C441" s="39">
        <f>Indice!$I$12</f>
        <v>45992</v>
      </c>
      <c r="E441">
        <f>ROUND(SUMIFS(CATEGORIAS[[#All],[TOTAL PRODUCCION
ACTUAL]],CATEGORIAS[[#All],[CATEGORIA2]],Imputar[[#This Row],[Categoría]]),0)</f>
        <v>0</v>
      </c>
      <c r="F441">
        <v>0</v>
      </c>
      <c r="G441">
        <f>ROUND(SUMIFS(CATEGORIAS[[#All],[PROYECCION
DE INGRESO
DEL SALDO]],CATEGORIAS[[#All],[CATEGORIA2]],Imputar[[#This Row],[Categoría]]),0)</f>
        <v>0</v>
      </c>
      <c r="H441">
        <f>ROUND(SUMIFS(CATEGORIAS[[#All],[CAMBIO DE
CATEGORIA]],CATEGORIAS[[#All],[CATEGORIA2]],Imputar[[#This Row],[Categoría]]),0)</f>
        <v>0</v>
      </c>
      <c r="I4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1">
        <f>+ROUND(SUMIFS(CATEGORIAS[[#All],[PROYECCION
TOTAL DE COSTO]],CATEGORIAS[[#All],[CATEGORIA2]],Imputar[[#This Row],[Categoría]]),0)
-Imputar[[#This Row],[Inventario]]
-Imputar[[#This Row],[Pedidos no Rec]]</f>
        <v>-6719940</v>
      </c>
      <c r="K44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41">
        <f>_xlfn.IFNA(VLOOKUP(Imputar[[#This Row],[Categoría]],EIMI!C:T,8,0),0)</f>
        <v>0</v>
      </c>
      <c r="M441">
        <f>_xlfn.IFNA(VLOOKUP(Imputar[[#This Row],[Categoría]],EIMI!C:T,9,0),0)</f>
        <v>363940</v>
      </c>
      <c r="N441">
        <f>_xlfn.IFNA(VLOOKUP(Imputar[[#This Row],[Categoría]],EIMI!C:T,10,0),0)</f>
        <v>6356000</v>
      </c>
    </row>
    <row r="442" spans="1:14" hidden="1" x14ac:dyDescent="0.25">
      <c r="A442" s="210">
        <f>Indice!$I$11</f>
        <v>0</v>
      </c>
      <c r="B442" t="s">
        <v>1269</v>
      </c>
      <c r="C442" s="39">
        <f>Indice!$I$12</f>
        <v>45992</v>
      </c>
      <c r="E442">
        <f>ROUND(SUMIFS(CATEGORIAS[[#All],[TOTAL PRODUCCION
ACTUAL]],CATEGORIAS[[#All],[CATEGORIA2]],Imputar[[#This Row],[Categoría]]),0)</f>
        <v>0</v>
      </c>
      <c r="F442">
        <v>0</v>
      </c>
      <c r="G442">
        <f>ROUND(SUMIFS(CATEGORIAS[[#All],[PROYECCION
DE INGRESO
DEL SALDO]],CATEGORIAS[[#All],[CATEGORIA2]],Imputar[[#This Row],[Categoría]]),0)</f>
        <v>0</v>
      </c>
      <c r="H442">
        <f>ROUND(SUMIFS(CATEGORIAS[[#All],[CAMBIO DE
CATEGORIA]],CATEGORIAS[[#All],[CATEGORIA2]],Imputar[[#This Row],[Categoría]]),0)</f>
        <v>0</v>
      </c>
      <c r="I4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2">
        <f>+ROUND(SUMIFS(CATEGORIAS[[#All],[PROYECCION
TOTAL DE COSTO]],CATEGORIAS[[#All],[CATEGORIA2]],Imputar[[#This Row],[Categoría]]),0)
-Imputar[[#This Row],[Inventario]]
-Imputar[[#This Row],[Pedidos no Rec]]</f>
        <v>0</v>
      </c>
      <c r="K4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2">
        <f>_xlfn.IFNA(VLOOKUP(Imputar[[#This Row],[Categoría]],EIMI!C:T,8,0),0)</f>
        <v>0</v>
      </c>
      <c r="M442">
        <f>_xlfn.IFNA(VLOOKUP(Imputar[[#This Row],[Categoría]],EIMI!C:T,9,0),0)</f>
        <v>0</v>
      </c>
      <c r="N442">
        <f>_xlfn.IFNA(VLOOKUP(Imputar[[#This Row],[Categoría]],EIMI!C:T,10,0),0)</f>
        <v>0</v>
      </c>
    </row>
    <row r="443" spans="1:14" hidden="1" x14ac:dyDescent="0.25">
      <c r="A443" s="210">
        <f>Indice!$I$11</f>
        <v>0</v>
      </c>
      <c r="B443" t="s">
        <v>1271</v>
      </c>
      <c r="C443" s="39">
        <f>Indice!$I$12</f>
        <v>45992</v>
      </c>
      <c r="E443">
        <f>ROUND(SUMIFS(CATEGORIAS[[#All],[TOTAL PRODUCCION
ACTUAL]],CATEGORIAS[[#All],[CATEGORIA2]],Imputar[[#This Row],[Categoría]]),0)</f>
        <v>0</v>
      </c>
      <c r="F443">
        <v>0</v>
      </c>
      <c r="G443">
        <f>ROUND(SUMIFS(CATEGORIAS[[#All],[PROYECCION
DE INGRESO
DEL SALDO]],CATEGORIAS[[#All],[CATEGORIA2]],Imputar[[#This Row],[Categoría]]),0)</f>
        <v>0</v>
      </c>
      <c r="H443">
        <f>ROUND(SUMIFS(CATEGORIAS[[#All],[CAMBIO DE
CATEGORIA]],CATEGORIAS[[#All],[CATEGORIA2]],Imputar[[#This Row],[Categoría]]),0)</f>
        <v>0</v>
      </c>
      <c r="I4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3">
        <f>+ROUND(SUMIFS(CATEGORIAS[[#All],[PROYECCION
TOTAL DE COSTO]],CATEGORIAS[[#All],[CATEGORIA2]],Imputar[[#This Row],[Categoría]]),0)
-Imputar[[#This Row],[Inventario]]
-Imputar[[#This Row],[Pedidos no Rec]]</f>
        <v>0</v>
      </c>
      <c r="K4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3">
        <f>_xlfn.IFNA(VLOOKUP(Imputar[[#This Row],[Categoría]],EIMI!C:T,8,0),0)</f>
        <v>0</v>
      </c>
      <c r="M443">
        <f>_xlfn.IFNA(VLOOKUP(Imputar[[#This Row],[Categoría]],EIMI!C:T,9,0),0)</f>
        <v>0</v>
      </c>
      <c r="N443">
        <f>_xlfn.IFNA(VLOOKUP(Imputar[[#This Row],[Categoría]],EIMI!C:T,10,0),0)</f>
        <v>0</v>
      </c>
    </row>
    <row r="444" spans="1:14" hidden="1" x14ac:dyDescent="0.25">
      <c r="A444" s="210">
        <f>Indice!$I$11</f>
        <v>0</v>
      </c>
      <c r="B444" t="s">
        <v>1273</v>
      </c>
      <c r="C444" s="39">
        <f>Indice!$I$12</f>
        <v>45992</v>
      </c>
      <c r="E444">
        <f>ROUND(SUMIFS(CATEGORIAS[[#All],[TOTAL PRODUCCION
ACTUAL]],CATEGORIAS[[#All],[CATEGORIA2]],Imputar[[#This Row],[Categoría]]),0)</f>
        <v>0</v>
      </c>
      <c r="F444">
        <v>0</v>
      </c>
      <c r="G444">
        <f>ROUND(SUMIFS(CATEGORIAS[[#All],[PROYECCION
DE INGRESO
DEL SALDO]],CATEGORIAS[[#All],[CATEGORIA2]],Imputar[[#This Row],[Categoría]]),0)</f>
        <v>0</v>
      </c>
      <c r="H444">
        <f>ROUND(SUMIFS(CATEGORIAS[[#All],[CAMBIO DE
CATEGORIA]],CATEGORIAS[[#All],[CATEGORIA2]],Imputar[[#This Row],[Categoría]]),0)</f>
        <v>0</v>
      </c>
      <c r="I4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4">
        <f>+ROUND(SUMIFS(CATEGORIAS[[#All],[PROYECCION
TOTAL DE COSTO]],CATEGORIAS[[#All],[CATEGORIA2]],Imputar[[#This Row],[Categoría]]),0)
-Imputar[[#This Row],[Inventario]]
-Imputar[[#This Row],[Pedidos no Rec]]</f>
        <v>0</v>
      </c>
      <c r="K4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4">
        <f>_xlfn.IFNA(VLOOKUP(Imputar[[#This Row],[Categoría]],EIMI!C:T,8,0),0)</f>
        <v>0</v>
      </c>
      <c r="M444">
        <f>_xlfn.IFNA(VLOOKUP(Imputar[[#This Row],[Categoría]],EIMI!C:T,9,0),0)</f>
        <v>0</v>
      </c>
      <c r="N444">
        <f>_xlfn.IFNA(VLOOKUP(Imputar[[#This Row],[Categoría]],EIMI!C:T,10,0),0)</f>
        <v>0</v>
      </c>
    </row>
    <row r="445" spans="1:14" hidden="1" x14ac:dyDescent="0.25">
      <c r="A445" s="210">
        <f>Indice!$I$11</f>
        <v>0</v>
      </c>
      <c r="B445" t="s">
        <v>1275</v>
      </c>
      <c r="C445" s="39">
        <f>Indice!$I$12</f>
        <v>45992</v>
      </c>
      <c r="E445">
        <f>ROUND(SUMIFS(CATEGORIAS[[#All],[TOTAL PRODUCCION
ACTUAL]],CATEGORIAS[[#All],[CATEGORIA2]],Imputar[[#This Row],[Categoría]]),0)</f>
        <v>0</v>
      </c>
      <c r="F445">
        <v>0</v>
      </c>
      <c r="G445">
        <f>ROUND(SUMIFS(CATEGORIAS[[#All],[PROYECCION
DE INGRESO
DEL SALDO]],CATEGORIAS[[#All],[CATEGORIA2]],Imputar[[#This Row],[Categoría]]),0)</f>
        <v>0</v>
      </c>
      <c r="H445">
        <f>ROUND(SUMIFS(CATEGORIAS[[#All],[CAMBIO DE
CATEGORIA]],CATEGORIAS[[#All],[CATEGORIA2]],Imputar[[#This Row],[Categoría]]),0)</f>
        <v>0</v>
      </c>
      <c r="I4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5">
        <f>+ROUND(SUMIFS(CATEGORIAS[[#All],[PROYECCION
TOTAL DE COSTO]],CATEGORIAS[[#All],[CATEGORIA2]],Imputar[[#This Row],[Categoría]]),0)
-Imputar[[#This Row],[Inventario]]
-Imputar[[#This Row],[Pedidos no Rec]]</f>
        <v>0</v>
      </c>
      <c r="K4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5">
        <f>_xlfn.IFNA(VLOOKUP(Imputar[[#This Row],[Categoría]],EIMI!C:T,8,0),0)</f>
        <v>0</v>
      </c>
      <c r="M445">
        <f>_xlfn.IFNA(VLOOKUP(Imputar[[#This Row],[Categoría]],EIMI!C:T,9,0),0)</f>
        <v>0</v>
      </c>
      <c r="N445">
        <f>_xlfn.IFNA(VLOOKUP(Imputar[[#This Row],[Categoría]],EIMI!C:T,10,0),0)</f>
        <v>0</v>
      </c>
    </row>
    <row r="446" spans="1:14" hidden="1" x14ac:dyDescent="0.25">
      <c r="A446" s="210">
        <f>Indice!$I$11</f>
        <v>0</v>
      </c>
      <c r="B446" t="s">
        <v>1277</v>
      </c>
      <c r="C446" s="39">
        <f>Indice!$I$12</f>
        <v>45992</v>
      </c>
      <c r="E446">
        <f>ROUND(SUMIFS(CATEGORIAS[[#All],[TOTAL PRODUCCION
ACTUAL]],CATEGORIAS[[#All],[CATEGORIA2]],Imputar[[#This Row],[Categoría]]),0)</f>
        <v>0</v>
      </c>
      <c r="F446">
        <v>0</v>
      </c>
      <c r="G446">
        <f>ROUND(SUMIFS(CATEGORIAS[[#All],[PROYECCION
DE INGRESO
DEL SALDO]],CATEGORIAS[[#All],[CATEGORIA2]],Imputar[[#This Row],[Categoría]]),0)</f>
        <v>0</v>
      </c>
      <c r="H446">
        <f>ROUND(SUMIFS(CATEGORIAS[[#All],[CAMBIO DE
CATEGORIA]],CATEGORIAS[[#All],[CATEGORIA2]],Imputar[[#This Row],[Categoría]]),0)</f>
        <v>0</v>
      </c>
      <c r="I4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6">
        <f>+ROUND(SUMIFS(CATEGORIAS[[#All],[PROYECCION
TOTAL DE COSTO]],CATEGORIAS[[#All],[CATEGORIA2]],Imputar[[#This Row],[Categoría]]),0)
-Imputar[[#This Row],[Inventario]]
-Imputar[[#This Row],[Pedidos no Rec]]</f>
        <v>0</v>
      </c>
      <c r="K4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6">
        <f>_xlfn.IFNA(VLOOKUP(Imputar[[#This Row],[Categoría]],EIMI!C:T,8,0),0)</f>
        <v>0</v>
      </c>
      <c r="M446">
        <f>_xlfn.IFNA(VLOOKUP(Imputar[[#This Row],[Categoría]],EIMI!C:T,9,0),0)</f>
        <v>0</v>
      </c>
      <c r="N446">
        <f>_xlfn.IFNA(VLOOKUP(Imputar[[#This Row],[Categoría]],EIMI!C:T,10,0),0)</f>
        <v>0</v>
      </c>
    </row>
    <row r="447" spans="1:14" hidden="1" x14ac:dyDescent="0.25">
      <c r="A447" s="210">
        <f>Indice!$I$11</f>
        <v>0</v>
      </c>
      <c r="B447" t="s">
        <v>1279</v>
      </c>
      <c r="C447" s="39">
        <f>Indice!$I$12</f>
        <v>45992</v>
      </c>
      <c r="E447">
        <f>ROUND(SUMIFS(CATEGORIAS[[#All],[TOTAL PRODUCCION
ACTUAL]],CATEGORIAS[[#All],[CATEGORIA2]],Imputar[[#This Row],[Categoría]]),0)</f>
        <v>0</v>
      </c>
      <c r="F447">
        <v>0</v>
      </c>
      <c r="G447">
        <f>ROUND(SUMIFS(CATEGORIAS[[#All],[PROYECCION
DE INGRESO
DEL SALDO]],CATEGORIAS[[#All],[CATEGORIA2]],Imputar[[#This Row],[Categoría]]),0)</f>
        <v>0</v>
      </c>
      <c r="H447">
        <f>ROUND(SUMIFS(CATEGORIAS[[#All],[CAMBIO DE
CATEGORIA]],CATEGORIAS[[#All],[CATEGORIA2]],Imputar[[#This Row],[Categoría]]),0)</f>
        <v>0</v>
      </c>
      <c r="I4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7">
        <f>+ROUND(SUMIFS(CATEGORIAS[[#All],[PROYECCION
TOTAL DE COSTO]],CATEGORIAS[[#All],[CATEGORIA2]],Imputar[[#This Row],[Categoría]]),0)
-Imputar[[#This Row],[Inventario]]
-Imputar[[#This Row],[Pedidos no Rec]]</f>
        <v>0</v>
      </c>
      <c r="K4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7">
        <f>_xlfn.IFNA(VLOOKUP(Imputar[[#This Row],[Categoría]],EIMI!C:T,8,0),0)</f>
        <v>0</v>
      </c>
      <c r="M447">
        <f>_xlfn.IFNA(VLOOKUP(Imputar[[#This Row],[Categoría]],EIMI!C:T,9,0),0)</f>
        <v>0</v>
      </c>
      <c r="N447">
        <f>_xlfn.IFNA(VLOOKUP(Imputar[[#This Row],[Categoría]],EIMI!C:T,10,0),0)</f>
        <v>0</v>
      </c>
    </row>
    <row r="448" spans="1:14" hidden="1" x14ac:dyDescent="0.25">
      <c r="A448" s="210">
        <f>Indice!$I$11</f>
        <v>0</v>
      </c>
      <c r="B448" t="s">
        <v>1281</v>
      </c>
      <c r="C448" s="39">
        <f>Indice!$I$12</f>
        <v>45992</v>
      </c>
      <c r="E448">
        <f>ROUND(SUMIFS(CATEGORIAS[[#All],[TOTAL PRODUCCION
ACTUAL]],CATEGORIAS[[#All],[CATEGORIA2]],Imputar[[#This Row],[Categoría]]),0)</f>
        <v>0</v>
      </c>
      <c r="F448">
        <v>0</v>
      </c>
      <c r="G448">
        <f>ROUND(SUMIFS(CATEGORIAS[[#All],[PROYECCION
DE INGRESO
DEL SALDO]],CATEGORIAS[[#All],[CATEGORIA2]],Imputar[[#This Row],[Categoría]]),0)</f>
        <v>0</v>
      </c>
      <c r="H448">
        <f>ROUND(SUMIFS(CATEGORIAS[[#All],[CAMBIO DE
CATEGORIA]],CATEGORIAS[[#All],[CATEGORIA2]],Imputar[[#This Row],[Categoría]]),0)</f>
        <v>0</v>
      </c>
      <c r="I4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8">
        <f>+ROUND(SUMIFS(CATEGORIAS[[#All],[PROYECCION
TOTAL DE COSTO]],CATEGORIAS[[#All],[CATEGORIA2]],Imputar[[#This Row],[Categoría]]),0)
-Imputar[[#This Row],[Inventario]]
-Imputar[[#This Row],[Pedidos no Rec]]</f>
        <v>0</v>
      </c>
      <c r="K4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8">
        <f>_xlfn.IFNA(VLOOKUP(Imputar[[#This Row],[Categoría]],EIMI!C:T,8,0),0)</f>
        <v>0</v>
      </c>
      <c r="M448">
        <f>_xlfn.IFNA(VLOOKUP(Imputar[[#This Row],[Categoría]],EIMI!C:T,9,0),0)</f>
        <v>0</v>
      </c>
      <c r="N448">
        <f>_xlfn.IFNA(VLOOKUP(Imputar[[#This Row],[Categoría]],EIMI!C:T,10,0),0)</f>
        <v>0</v>
      </c>
    </row>
    <row r="449" spans="1:14" hidden="1" x14ac:dyDescent="0.25">
      <c r="A449" s="210">
        <f>Indice!$I$11</f>
        <v>0</v>
      </c>
      <c r="B449" t="s">
        <v>1290</v>
      </c>
      <c r="C449" s="39">
        <f>Indice!$I$12</f>
        <v>45992</v>
      </c>
      <c r="E449">
        <f>ROUND(SUMIFS(CATEGORIAS[[#All],[TOTAL PRODUCCION
ACTUAL]],CATEGORIAS[[#All],[CATEGORIA2]],Imputar[[#This Row],[Categoría]]),0)</f>
        <v>0</v>
      </c>
      <c r="F449">
        <v>0</v>
      </c>
      <c r="G449">
        <f>ROUND(SUMIFS(CATEGORIAS[[#All],[PROYECCION
DE INGRESO
DEL SALDO]],CATEGORIAS[[#All],[CATEGORIA2]],Imputar[[#This Row],[Categoría]]),0)</f>
        <v>0</v>
      </c>
      <c r="H449">
        <f>ROUND(SUMIFS(CATEGORIAS[[#All],[CAMBIO DE
CATEGORIA]],CATEGORIAS[[#All],[CATEGORIA2]],Imputar[[#This Row],[Categoría]]),0)</f>
        <v>0</v>
      </c>
      <c r="I4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9">
        <f>+ROUND(SUMIFS(CATEGORIAS[[#All],[PROYECCION
TOTAL DE COSTO]],CATEGORIAS[[#All],[CATEGORIA2]],Imputar[[#This Row],[Categoría]]),0)
-Imputar[[#This Row],[Inventario]]
-Imputar[[#This Row],[Pedidos no Rec]]</f>
        <v>0</v>
      </c>
      <c r="K4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9">
        <f>_xlfn.IFNA(VLOOKUP(Imputar[[#This Row],[Categoría]],EIMI!C:T,8,0),0)</f>
        <v>0</v>
      </c>
      <c r="M449">
        <f>_xlfn.IFNA(VLOOKUP(Imputar[[#This Row],[Categoría]],EIMI!C:T,9,0),0)</f>
        <v>0</v>
      </c>
      <c r="N449">
        <f>_xlfn.IFNA(VLOOKUP(Imputar[[#This Row],[Categoría]],EIMI!C:T,10,0),0)</f>
        <v>0</v>
      </c>
    </row>
    <row r="450" spans="1:14" hidden="1" x14ac:dyDescent="0.25">
      <c r="A450" s="210">
        <f>Indice!$I$11</f>
        <v>0</v>
      </c>
      <c r="B450" t="s">
        <v>1292</v>
      </c>
      <c r="C450" s="39">
        <f>Indice!$I$12</f>
        <v>45992</v>
      </c>
      <c r="E450">
        <f>ROUND(SUMIFS(CATEGORIAS[[#All],[TOTAL PRODUCCION
ACTUAL]],CATEGORIAS[[#All],[CATEGORIA2]],Imputar[[#This Row],[Categoría]]),0)</f>
        <v>0</v>
      </c>
      <c r="F450">
        <v>0</v>
      </c>
      <c r="G450">
        <f>ROUND(SUMIFS(CATEGORIAS[[#All],[PROYECCION
DE INGRESO
DEL SALDO]],CATEGORIAS[[#All],[CATEGORIA2]],Imputar[[#This Row],[Categoría]]),0)</f>
        <v>0</v>
      </c>
      <c r="H450">
        <f>ROUND(SUMIFS(CATEGORIAS[[#All],[CAMBIO DE
CATEGORIA]],CATEGORIAS[[#All],[CATEGORIA2]],Imputar[[#This Row],[Categoría]]),0)</f>
        <v>0</v>
      </c>
      <c r="I4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0">
        <f>+ROUND(SUMIFS(CATEGORIAS[[#All],[PROYECCION
TOTAL DE COSTO]],CATEGORIAS[[#All],[CATEGORIA2]],Imputar[[#This Row],[Categoría]]),0)
-Imputar[[#This Row],[Inventario]]
-Imputar[[#This Row],[Pedidos no Rec]]</f>
        <v>0</v>
      </c>
      <c r="K4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0">
        <f>_xlfn.IFNA(VLOOKUP(Imputar[[#This Row],[Categoría]],EIMI!C:T,8,0),0)</f>
        <v>0</v>
      </c>
      <c r="M450">
        <f>_xlfn.IFNA(VLOOKUP(Imputar[[#This Row],[Categoría]],EIMI!C:T,9,0),0)</f>
        <v>0</v>
      </c>
      <c r="N450">
        <f>_xlfn.IFNA(VLOOKUP(Imputar[[#This Row],[Categoría]],EIMI!C:T,10,0),0)</f>
        <v>0</v>
      </c>
    </row>
    <row r="451" spans="1:14" x14ac:dyDescent="0.25">
      <c r="A451" s="210">
        <f>Indice!$I$11</f>
        <v>0</v>
      </c>
      <c r="B451" t="s">
        <v>1294</v>
      </c>
      <c r="C451" s="39">
        <f>Indice!$I$12</f>
        <v>45992</v>
      </c>
      <c r="E451">
        <f>ROUND(SUMIFS(CATEGORIAS[[#All],[TOTAL PRODUCCION
ACTUAL]],CATEGORIAS[[#All],[CATEGORIA2]],Imputar[[#This Row],[Categoría]]),0)</f>
        <v>0</v>
      </c>
      <c r="F451">
        <v>0</v>
      </c>
      <c r="G451">
        <f>ROUND(SUMIFS(CATEGORIAS[[#All],[PROYECCION
DE INGRESO
DEL SALDO]],CATEGORIAS[[#All],[CATEGORIA2]],Imputar[[#This Row],[Categoría]]),0)</f>
        <v>0</v>
      </c>
      <c r="H451">
        <f>ROUND(SUMIFS(CATEGORIAS[[#All],[CAMBIO DE
CATEGORIA]],CATEGORIAS[[#All],[CATEGORIA2]],Imputar[[#This Row],[Categoría]]),0)</f>
        <v>0</v>
      </c>
      <c r="I4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-1518045</v>
      </c>
      <c r="J451">
        <f>+ROUND(SUMIFS(CATEGORIAS[[#All],[PROYECCION
TOTAL DE COSTO]],CATEGORIAS[[#All],[CATEGORIA2]],Imputar[[#This Row],[Categoría]]),0)
-Imputar[[#This Row],[Inventario]]
-Imputar[[#This Row],[Pedidos no Rec]]</f>
        <v>-925139</v>
      </c>
      <c r="K45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1">
        <f>_xlfn.IFNA(VLOOKUP(Imputar[[#This Row],[Categoría]],EIMI!C:T,8,0),0)</f>
        <v>1518045</v>
      </c>
      <c r="M451">
        <f>_xlfn.IFNA(VLOOKUP(Imputar[[#This Row],[Categoría]],EIMI!C:T,9,0),0)</f>
        <v>925139</v>
      </c>
      <c r="N451">
        <f>_xlfn.IFNA(VLOOKUP(Imputar[[#This Row],[Categoría]],EIMI!C:T,10,0),0)</f>
        <v>0</v>
      </c>
    </row>
    <row r="452" spans="1:14" x14ac:dyDescent="0.25">
      <c r="A452" s="210">
        <f>Indice!$I$11</f>
        <v>0</v>
      </c>
      <c r="B452" t="s">
        <v>1296</v>
      </c>
      <c r="C452" s="39">
        <f>Indice!$I$12</f>
        <v>45992</v>
      </c>
      <c r="E452">
        <f>ROUND(SUMIFS(CATEGORIAS[[#All],[TOTAL PRODUCCION
ACTUAL]],CATEGORIAS[[#All],[CATEGORIA2]],Imputar[[#This Row],[Categoría]]),0)</f>
        <v>0</v>
      </c>
      <c r="F452">
        <v>0</v>
      </c>
      <c r="G452">
        <f>ROUND(SUMIFS(CATEGORIAS[[#All],[PROYECCION
DE INGRESO
DEL SALDO]],CATEGORIAS[[#All],[CATEGORIA2]],Imputar[[#This Row],[Categoría]]),0)</f>
        <v>0</v>
      </c>
      <c r="H452">
        <f>ROUND(SUMIFS(CATEGORIAS[[#All],[CAMBIO DE
CATEGORIA]],CATEGORIAS[[#All],[CATEGORIA2]],Imputar[[#This Row],[Categoría]]),0)</f>
        <v>0</v>
      </c>
      <c r="I4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-2125769</v>
      </c>
      <c r="J452">
        <f>+ROUND(SUMIFS(CATEGORIAS[[#All],[PROYECCION
TOTAL DE COSTO]],CATEGORIAS[[#All],[CATEGORIA2]],Imputar[[#This Row],[Categoría]]),0)
-Imputar[[#This Row],[Inventario]]
-Imputar[[#This Row],[Pedidos no Rec]]</f>
        <v>0</v>
      </c>
      <c r="K45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2">
        <f>_xlfn.IFNA(VLOOKUP(Imputar[[#This Row],[Categoría]],EIMI!C:T,8,0),0)</f>
        <v>2125769</v>
      </c>
      <c r="M452">
        <f>_xlfn.IFNA(VLOOKUP(Imputar[[#This Row],[Categoría]],EIMI!C:T,9,0),0)</f>
        <v>0</v>
      </c>
      <c r="N452">
        <f>_xlfn.IFNA(VLOOKUP(Imputar[[#This Row],[Categoría]],EIMI!C:T,10,0),0)</f>
        <v>0</v>
      </c>
    </row>
    <row r="453" spans="1:14" x14ac:dyDescent="0.25">
      <c r="A453" s="210">
        <f>Indice!$I$11</f>
        <v>0</v>
      </c>
      <c r="B453" t="s">
        <v>294</v>
      </c>
      <c r="C453" s="39">
        <f>Indice!$I$12</f>
        <v>45992</v>
      </c>
      <c r="E453">
        <f>ROUND(SUMIFS(CATEGORIAS[[#All],[TOTAL PRODUCCION
ACTUAL]],CATEGORIAS[[#All],[CATEGORIA2]],Imputar[[#This Row],[Categoría]]),0)</f>
        <v>0</v>
      </c>
      <c r="F453">
        <v>0</v>
      </c>
      <c r="G453">
        <f>ROUND(SUMIFS(CATEGORIAS[[#All],[PROYECCION
DE INGRESO
DEL SALDO]],CATEGORIAS[[#All],[CATEGORIA2]],Imputar[[#This Row],[Categoría]]),0)</f>
        <v>0</v>
      </c>
      <c r="H453">
        <f>ROUND(SUMIFS(CATEGORIAS[[#All],[CAMBIO DE
CATEGORIA]],CATEGORIAS[[#All],[CATEGORIA2]],Imputar[[#This Row],[Categoría]]),0)</f>
        <v>0</v>
      </c>
      <c r="I4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3">
        <f>+ROUND(SUMIFS(CATEGORIAS[[#All],[PROYECCION
TOTAL DE COSTO]],CATEGORIAS[[#All],[CATEGORIA2]],Imputar[[#This Row],[Categoría]]),0)
-Imputar[[#This Row],[Inventario]]
-Imputar[[#This Row],[Pedidos no Rec]]</f>
        <v>0</v>
      </c>
      <c r="K4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3">
        <f>_xlfn.IFNA(VLOOKUP(Imputar[[#This Row],[Categoría]],EIMI!C:T,8,0),0)</f>
        <v>0</v>
      </c>
      <c r="M453">
        <f>_xlfn.IFNA(VLOOKUP(Imputar[[#This Row],[Categoría]],EIMI!C:T,9,0),0)</f>
        <v>0</v>
      </c>
      <c r="N453">
        <f>_xlfn.IFNA(VLOOKUP(Imputar[[#This Row],[Categoría]],EIMI!C:T,10,0),0)</f>
        <v>0</v>
      </c>
    </row>
    <row r="454" spans="1:14" hidden="1" x14ac:dyDescent="0.25">
      <c r="A454" s="210">
        <f>Indice!$I$11</f>
        <v>0</v>
      </c>
      <c r="B454" t="s">
        <v>1298</v>
      </c>
      <c r="C454" s="39">
        <f>Indice!$I$12</f>
        <v>45992</v>
      </c>
      <c r="E454">
        <f>ROUND(SUMIFS(CATEGORIAS[[#All],[TOTAL PRODUCCION
ACTUAL]],CATEGORIAS[[#All],[CATEGORIA2]],Imputar[[#This Row],[Categoría]]),0)</f>
        <v>0</v>
      </c>
      <c r="F454">
        <v>0</v>
      </c>
      <c r="G454">
        <f>ROUND(SUMIFS(CATEGORIAS[[#All],[PROYECCION
DE INGRESO
DEL SALDO]],CATEGORIAS[[#All],[CATEGORIA2]],Imputar[[#This Row],[Categoría]]),0)</f>
        <v>0</v>
      </c>
      <c r="H454">
        <f>ROUND(SUMIFS(CATEGORIAS[[#All],[CAMBIO DE
CATEGORIA]],CATEGORIAS[[#All],[CATEGORIA2]],Imputar[[#This Row],[Categoría]]),0)</f>
        <v>0</v>
      </c>
      <c r="I4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4">
        <f>+ROUND(SUMIFS(CATEGORIAS[[#All],[PROYECCION
TOTAL DE COSTO]],CATEGORIAS[[#All],[CATEGORIA2]],Imputar[[#This Row],[Categoría]]),0)
-Imputar[[#This Row],[Inventario]]
-Imputar[[#This Row],[Pedidos no Rec]]</f>
        <v>0</v>
      </c>
      <c r="K4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4">
        <f>_xlfn.IFNA(VLOOKUP(Imputar[[#This Row],[Categoría]],EIMI!C:T,8,0),0)</f>
        <v>0</v>
      </c>
      <c r="M454">
        <f>_xlfn.IFNA(VLOOKUP(Imputar[[#This Row],[Categoría]],EIMI!C:T,9,0),0)</f>
        <v>0</v>
      </c>
      <c r="N454">
        <f>_xlfn.IFNA(VLOOKUP(Imputar[[#This Row],[Categoría]],EIMI!C:T,10,0),0)</f>
        <v>0</v>
      </c>
    </row>
    <row r="455" spans="1:14" x14ac:dyDescent="0.25">
      <c r="A455" s="210">
        <f>Indice!$I$11</f>
        <v>0</v>
      </c>
      <c r="B455" t="s">
        <v>1300</v>
      </c>
      <c r="C455" s="39">
        <f>Indice!$I$12</f>
        <v>45992</v>
      </c>
      <c r="E455">
        <f>ROUND(SUMIFS(CATEGORIAS[[#All],[TOTAL PRODUCCION
ACTUAL]],CATEGORIAS[[#All],[CATEGORIA2]],Imputar[[#This Row],[Categoría]]),0)</f>
        <v>0</v>
      </c>
      <c r="F455">
        <v>0</v>
      </c>
      <c r="G455">
        <f>ROUND(SUMIFS(CATEGORIAS[[#All],[PROYECCION
DE INGRESO
DEL SALDO]],CATEGORIAS[[#All],[CATEGORIA2]],Imputar[[#This Row],[Categoría]]),0)</f>
        <v>0</v>
      </c>
      <c r="H455">
        <f>ROUND(SUMIFS(CATEGORIAS[[#All],[CAMBIO DE
CATEGORIA]],CATEGORIAS[[#All],[CATEGORIA2]],Imputar[[#This Row],[Categoría]]),0)</f>
        <v>0</v>
      </c>
      <c r="I4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-312000</v>
      </c>
      <c r="J455">
        <f>+ROUND(SUMIFS(CATEGORIAS[[#All],[PROYECCION
TOTAL DE COSTO]],CATEGORIAS[[#All],[CATEGORIA2]],Imputar[[#This Row],[Categoría]]),0)
-Imputar[[#This Row],[Inventario]]
-Imputar[[#This Row],[Pedidos no Rec]]</f>
        <v>0</v>
      </c>
      <c r="K45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5">
        <f>_xlfn.IFNA(VLOOKUP(Imputar[[#This Row],[Categoría]],EIMI!C:T,8,0),0)</f>
        <v>312000</v>
      </c>
      <c r="M455">
        <f>_xlfn.IFNA(VLOOKUP(Imputar[[#This Row],[Categoría]],EIMI!C:T,9,0),0)</f>
        <v>0</v>
      </c>
      <c r="N455">
        <f>_xlfn.IFNA(VLOOKUP(Imputar[[#This Row],[Categoría]],EIMI!C:T,10,0),0)</f>
        <v>0</v>
      </c>
    </row>
    <row r="456" spans="1:14" hidden="1" x14ac:dyDescent="0.25">
      <c r="A456" s="210">
        <f>Indice!$I$11</f>
        <v>0</v>
      </c>
      <c r="B456" t="s">
        <v>1302</v>
      </c>
      <c r="C456" s="39">
        <f>Indice!$I$12</f>
        <v>45992</v>
      </c>
      <c r="E456">
        <f>ROUND(SUMIFS(CATEGORIAS[[#All],[TOTAL PRODUCCION
ACTUAL]],CATEGORIAS[[#All],[CATEGORIA2]],Imputar[[#This Row],[Categoría]]),0)</f>
        <v>0</v>
      </c>
      <c r="F456">
        <v>0</v>
      </c>
      <c r="G456">
        <f>ROUND(SUMIFS(CATEGORIAS[[#All],[PROYECCION
DE INGRESO
DEL SALDO]],CATEGORIAS[[#All],[CATEGORIA2]],Imputar[[#This Row],[Categoría]]),0)</f>
        <v>0</v>
      </c>
      <c r="H456">
        <f>ROUND(SUMIFS(CATEGORIAS[[#All],[CAMBIO DE
CATEGORIA]],CATEGORIAS[[#All],[CATEGORIA2]],Imputar[[#This Row],[Categoría]]),0)</f>
        <v>0</v>
      </c>
      <c r="I4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6">
        <f>+ROUND(SUMIFS(CATEGORIAS[[#All],[PROYECCION
TOTAL DE COSTO]],CATEGORIAS[[#All],[CATEGORIA2]],Imputar[[#This Row],[Categoría]]),0)
-Imputar[[#This Row],[Inventario]]
-Imputar[[#This Row],[Pedidos no Rec]]</f>
        <v>0</v>
      </c>
      <c r="K4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6">
        <f>_xlfn.IFNA(VLOOKUP(Imputar[[#This Row],[Categoría]],EIMI!C:T,8,0),0)</f>
        <v>0</v>
      </c>
      <c r="M456">
        <f>_xlfn.IFNA(VLOOKUP(Imputar[[#This Row],[Categoría]],EIMI!C:T,9,0),0)</f>
        <v>0</v>
      </c>
      <c r="N456">
        <f>_xlfn.IFNA(VLOOKUP(Imputar[[#This Row],[Categoría]],EIMI!C:T,10,0),0)</f>
        <v>0</v>
      </c>
    </row>
    <row r="457" spans="1:14" x14ac:dyDescent="0.25">
      <c r="A457" s="210">
        <f>Indice!$I$11</f>
        <v>0</v>
      </c>
      <c r="B457" t="s">
        <v>300</v>
      </c>
      <c r="C457" s="39">
        <f>Indice!$I$12</f>
        <v>45992</v>
      </c>
      <c r="E457">
        <f>ROUND(SUMIFS(CATEGORIAS[[#All],[TOTAL PRODUCCION
ACTUAL]],CATEGORIAS[[#All],[CATEGORIA2]],Imputar[[#This Row],[Categoría]]),0)</f>
        <v>0</v>
      </c>
      <c r="F457">
        <v>0</v>
      </c>
      <c r="G457">
        <f>ROUND(SUMIFS(CATEGORIAS[[#All],[PROYECCION
DE INGRESO
DEL SALDO]],CATEGORIAS[[#All],[CATEGORIA2]],Imputar[[#This Row],[Categoría]]),0)</f>
        <v>0</v>
      </c>
      <c r="H457">
        <f>ROUND(SUMIFS(CATEGORIAS[[#All],[CAMBIO DE
CATEGORIA]],CATEGORIAS[[#All],[CATEGORIA2]],Imputar[[#This Row],[Categoría]]),0)</f>
        <v>0</v>
      </c>
      <c r="I4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7">
        <f>+ROUND(SUMIFS(CATEGORIAS[[#All],[PROYECCION
TOTAL DE COSTO]],CATEGORIAS[[#All],[CATEGORIA2]],Imputar[[#This Row],[Categoría]]),0)
-Imputar[[#This Row],[Inventario]]
-Imputar[[#This Row],[Pedidos no Rec]]</f>
        <v>-6044690</v>
      </c>
      <c r="K45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7">
        <f>_xlfn.IFNA(VLOOKUP(Imputar[[#This Row],[Categoría]],EIMI!C:T,8,0),0)</f>
        <v>0</v>
      </c>
      <c r="M457">
        <f>_xlfn.IFNA(VLOOKUP(Imputar[[#This Row],[Categoría]],EIMI!C:T,9,0),0)</f>
        <v>5589490</v>
      </c>
      <c r="N457">
        <f>_xlfn.IFNA(VLOOKUP(Imputar[[#This Row],[Categoría]],EIMI!C:T,10,0),0)</f>
        <v>455200</v>
      </c>
    </row>
    <row r="458" spans="1:14" x14ac:dyDescent="0.25">
      <c r="A458" s="210">
        <f>Indice!$I$11</f>
        <v>0</v>
      </c>
      <c r="B458" t="s">
        <v>1304</v>
      </c>
      <c r="C458" s="39">
        <f>Indice!$I$12</f>
        <v>45992</v>
      </c>
      <c r="E458">
        <f>ROUND(SUMIFS(CATEGORIAS[[#All],[TOTAL PRODUCCION
ACTUAL]],CATEGORIAS[[#All],[CATEGORIA2]],Imputar[[#This Row],[Categoría]]),0)</f>
        <v>0</v>
      </c>
      <c r="F458">
        <v>0</v>
      </c>
      <c r="G458">
        <f>ROUND(SUMIFS(CATEGORIAS[[#All],[PROYECCION
DE INGRESO
DEL SALDO]],CATEGORIAS[[#All],[CATEGORIA2]],Imputar[[#This Row],[Categoría]]),0)</f>
        <v>0</v>
      </c>
      <c r="H458">
        <f>ROUND(SUMIFS(CATEGORIAS[[#All],[CAMBIO DE
CATEGORIA]],CATEGORIAS[[#All],[CATEGORIA2]],Imputar[[#This Row],[Categoría]]),0)</f>
        <v>0</v>
      </c>
      <c r="I4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-567140</v>
      </c>
      <c r="J458">
        <f>+ROUND(SUMIFS(CATEGORIAS[[#All],[PROYECCION
TOTAL DE COSTO]],CATEGORIAS[[#All],[CATEGORIA2]],Imputar[[#This Row],[Categoría]]),0)
-Imputar[[#This Row],[Inventario]]
-Imputar[[#This Row],[Pedidos no Rec]]</f>
        <v>0</v>
      </c>
      <c r="K4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8">
        <f>_xlfn.IFNA(VLOOKUP(Imputar[[#This Row],[Categoría]],EIMI!C:T,8,0),0)</f>
        <v>567140</v>
      </c>
      <c r="M458">
        <f>_xlfn.IFNA(VLOOKUP(Imputar[[#This Row],[Categoría]],EIMI!C:T,9,0),0)</f>
        <v>0</v>
      </c>
      <c r="N458">
        <f>_xlfn.IFNA(VLOOKUP(Imputar[[#This Row],[Categoría]],EIMI!C:T,10,0),0)</f>
        <v>0</v>
      </c>
    </row>
    <row r="459" spans="1:14" x14ac:dyDescent="0.25">
      <c r="A459" s="210">
        <f>Indice!$I$11</f>
        <v>0</v>
      </c>
      <c r="B459" t="s">
        <v>1306</v>
      </c>
      <c r="C459" s="39">
        <f>Indice!$I$12</f>
        <v>45992</v>
      </c>
      <c r="E459">
        <f>ROUND(SUMIFS(CATEGORIAS[[#All],[TOTAL PRODUCCION
ACTUAL]],CATEGORIAS[[#All],[CATEGORIA2]],Imputar[[#This Row],[Categoría]]),0)</f>
        <v>0</v>
      </c>
      <c r="F459">
        <v>0</v>
      </c>
      <c r="G459">
        <f>ROUND(SUMIFS(CATEGORIAS[[#All],[PROYECCION
DE INGRESO
DEL SALDO]],CATEGORIAS[[#All],[CATEGORIA2]],Imputar[[#This Row],[Categoría]]),0)</f>
        <v>0</v>
      </c>
      <c r="H459">
        <f>ROUND(SUMIFS(CATEGORIAS[[#All],[CAMBIO DE
CATEGORIA]],CATEGORIAS[[#All],[CATEGORIA2]],Imputar[[#This Row],[Categoría]]),0)</f>
        <v>0</v>
      </c>
      <c r="I4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9">
        <f>+ROUND(SUMIFS(CATEGORIAS[[#All],[PROYECCION
TOTAL DE COSTO]],CATEGORIAS[[#All],[CATEGORIA2]],Imputar[[#This Row],[Categoría]]),0)
-Imputar[[#This Row],[Inventario]]
-Imputar[[#This Row],[Pedidos no Rec]]</f>
        <v>-307990</v>
      </c>
      <c r="K45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9">
        <f>_xlfn.IFNA(VLOOKUP(Imputar[[#This Row],[Categoría]],EIMI!C:T,8,0),0)</f>
        <v>0</v>
      </c>
      <c r="M459">
        <f>_xlfn.IFNA(VLOOKUP(Imputar[[#This Row],[Categoría]],EIMI!C:T,9,0),0)</f>
        <v>307990</v>
      </c>
      <c r="N459">
        <f>_xlfn.IFNA(VLOOKUP(Imputar[[#This Row],[Categoría]],EIMI!C:T,10,0),0)</f>
        <v>0</v>
      </c>
    </row>
    <row r="460" spans="1:14" hidden="1" x14ac:dyDescent="0.25">
      <c r="A460" s="210">
        <f>Indice!$I$11</f>
        <v>0</v>
      </c>
      <c r="B460" t="s">
        <v>1308</v>
      </c>
      <c r="C460" s="39">
        <f>Indice!$I$12</f>
        <v>45992</v>
      </c>
      <c r="E460">
        <f>ROUND(SUMIFS(CATEGORIAS[[#All],[TOTAL PRODUCCION
ACTUAL]],CATEGORIAS[[#All],[CATEGORIA2]],Imputar[[#This Row],[Categoría]]),0)</f>
        <v>0</v>
      </c>
      <c r="F460">
        <v>0</v>
      </c>
      <c r="G460">
        <f>ROUND(SUMIFS(CATEGORIAS[[#All],[PROYECCION
DE INGRESO
DEL SALDO]],CATEGORIAS[[#All],[CATEGORIA2]],Imputar[[#This Row],[Categoría]]),0)</f>
        <v>0</v>
      </c>
      <c r="H460">
        <f>ROUND(SUMIFS(CATEGORIAS[[#All],[CAMBIO DE
CATEGORIA]],CATEGORIAS[[#All],[CATEGORIA2]],Imputar[[#This Row],[Categoría]]),0)</f>
        <v>0</v>
      </c>
      <c r="I4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0">
        <f>+ROUND(SUMIFS(CATEGORIAS[[#All],[PROYECCION
TOTAL DE COSTO]],CATEGORIAS[[#All],[CATEGORIA2]],Imputar[[#This Row],[Categoría]]),0)
-Imputar[[#This Row],[Inventario]]
-Imputar[[#This Row],[Pedidos no Rec]]</f>
        <v>0</v>
      </c>
      <c r="K4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0">
        <f>_xlfn.IFNA(VLOOKUP(Imputar[[#This Row],[Categoría]],EIMI!C:T,8,0),0)</f>
        <v>0</v>
      </c>
      <c r="M460">
        <f>_xlfn.IFNA(VLOOKUP(Imputar[[#This Row],[Categoría]],EIMI!C:T,9,0),0)</f>
        <v>0</v>
      </c>
      <c r="N460">
        <f>_xlfn.IFNA(VLOOKUP(Imputar[[#This Row],[Categoría]],EIMI!C:T,10,0),0)</f>
        <v>0</v>
      </c>
    </row>
    <row r="461" spans="1:14" hidden="1" x14ac:dyDescent="0.25">
      <c r="A461" s="210">
        <f>Indice!$I$11</f>
        <v>0</v>
      </c>
      <c r="B461" t="s">
        <v>1310</v>
      </c>
      <c r="C461" s="39">
        <f>Indice!$I$12</f>
        <v>45992</v>
      </c>
      <c r="E461">
        <f>ROUND(SUMIFS(CATEGORIAS[[#All],[TOTAL PRODUCCION
ACTUAL]],CATEGORIAS[[#All],[CATEGORIA2]],Imputar[[#This Row],[Categoría]]),0)</f>
        <v>0</v>
      </c>
      <c r="F461">
        <v>0</v>
      </c>
      <c r="G461">
        <f>ROUND(SUMIFS(CATEGORIAS[[#All],[PROYECCION
DE INGRESO
DEL SALDO]],CATEGORIAS[[#All],[CATEGORIA2]],Imputar[[#This Row],[Categoría]]),0)</f>
        <v>0</v>
      </c>
      <c r="H461">
        <f>ROUND(SUMIFS(CATEGORIAS[[#All],[CAMBIO DE
CATEGORIA]],CATEGORIAS[[#All],[CATEGORIA2]],Imputar[[#This Row],[Categoría]]),0)</f>
        <v>0</v>
      </c>
      <c r="I4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1">
        <f>+ROUND(SUMIFS(CATEGORIAS[[#All],[PROYECCION
TOTAL DE COSTO]],CATEGORIAS[[#All],[CATEGORIA2]],Imputar[[#This Row],[Categoría]]),0)
-Imputar[[#This Row],[Inventario]]
-Imputar[[#This Row],[Pedidos no Rec]]</f>
        <v>0</v>
      </c>
      <c r="K4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1">
        <f>_xlfn.IFNA(VLOOKUP(Imputar[[#This Row],[Categoría]],EIMI!C:T,8,0),0)</f>
        <v>0</v>
      </c>
      <c r="M461">
        <f>_xlfn.IFNA(VLOOKUP(Imputar[[#This Row],[Categoría]],EIMI!C:T,9,0),0)</f>
        <v>0</v>
      </c>
      <c r="N461">
        <f>_xlfn.IFNA(VLOOKUP(Imputar[[#This Row],[Categoría]],EIMI!C:T,10,0),0)</f>
        <v>0</v>
      </c>
    </row>
    <row r="462" spans="1:14" hidden="1" x14ac:dyDescent="0.25">
      <c r="A462" s="210">
        <f>Indice!$I$11</f>
        <v>0</v>
      </c>
      <c r="B462" t="s">
        <v>1312</v>
      </c>
      <c r="C462" s="39">
        <f>Indice!$I$12</f>
        <v>45992</v>
      </c>
      <c r="E462">
        <f>ROUND(SUMIFS(CATEGORIAS[[#All],[TOTAL PRODUCCION
ACTUAL]],CATEGORIAS[[#All],[CATEGORIA2]],Imputar[[#This Row],[Categoría]]),0)</f>
        <v>0</v>
      </c>
      <c r="F462">
        <v>0</v>
      </c>
      <c r="G462">
        <f>ROUND(SUMIFS(CATEGORIAS[[#All],[PROYECCION
DE INGRESO
DEL SALDO]],CATEGORIAS[[#All],[CATEGORIA2]],Imputar[[#This Row],[Categoría]]),0)</f>
        <v>0</v>
      </c>
      <c r="H462">
        <f>ROUND(SUMIFS(CATEGORIAS[[#All],[CAMBIO DE
CATEGORIA]],CATEGORIAS[[#All],[CATEGORIA2]],Imputar[[#This Row],[Categoría]]),0)</f>
        <v>0</v>
      </c>
      <c r="I4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2">
        <f>+ROUND(SUMIFS(CATEGORIAS[[#All],[PROYECCION
TOTAL DE COSTO]],CATEGORIAS[[#All],[CATEGORIA2]],Imputar[[#This Row],[Categoría]]),0)
-Imputar[[#This Row],[Inventario]]
-Imputar[[#This Row],[Pedidos no Rec]]</f>
        <v>0</v>
      </c>
      <c r="K4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2">
        <f>_xlfn.IFNA(VLOOKUP(Imputar[[#This Row],[Categoría]],EIMI!C:T,8,0),0)</f>
        <v>0</v>
      </c>
      <c r="M462">
        <f>_xlfn.IFNA(VLOOKUP(Imputar[[#This Row],[Categoría]],EIMI!C:T,9,0),0)</f>
        <v>0</v>
      </c>
      <c r="N462">
        <f>_xlfn.IFNA(VLOOKUP(Imputar[[#This Row],[Categoría]],EIMI!C:T,10,0),0)</f>
        <v>0</v>
      </c>
    </row>
    <row r="463" spans="1:14" x14ac:dyDescent="0.25">
      <c r="A463" s="210">
        <f>Indice!$I$11</f>
        <v>0</v>
      </c>
      <c r="B463" t="s">
        <v>1314</v>
      </c>
      <c r="C463" s="39">
        <f>Indice!$I$12</f>
        <v>45992</v>
      </c>
      <c r="E463">
        <f>ROUND(SUMIFS(CATEGORIAS[[#All],[TOTAL PRODUCCION
ACTUAL]],CATEGORIAS[[#All],[CATEGORIA2]],Imputar[[#This Row],[Categoría]]),0)</f>
        <v>0</v>
      </c>
      <c r="F463">
        <v>0</v>
      </c>
      <c r="G463">
        <f>ROUND(SUMIFS(CATEGORIAS[[#All],[PROYECCION
DE INGRESO
DEL SALDO]],CATEGORIAS[[#All],[CATEGORIA2]],Imputar[[#This Row],[Categoría]]),0)</f>
        <v>0</v>
      </c>
      <c r="H463">
        <f>ROUND(SUMIFS(CATEGORIAS[[#All],[CAMBIO DE
CATEGORIA]],CATEGORIAS[[#All],[CATEGORIA2]],Imputar[[#This Row],[Categoría]]),0)</f>
        <v>0</v>
      </c>
      <c r="I4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-946348</v>
      </c>
      <c r="J463">
        <f>+ROUND(SUMIFS(CATEGORIAS[[#All],[PROYECCION
TOTAL DE COSTO]],CATEGORIAS[[#All],[CATEGORIA2]],Imputar[[#This Row],[Categoría]]),0)
-Imputar[[#This Row],[Inventario]]
-Imputar[[#This Row],[Pedidos no Rec]]</f>
        <v>-9052631.4000000004</v>
      </c>
      <c r="K46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3">
        <f>_xlfn.IFNA(VLOOKUP(Imputar[[#This Row],[Categoría]],EIMI!C:T,8,0),0)</f>
        <v>946348</v>
      </c>
      <c r="M463">
        <f>_xlfn.IFNA(VLOOKUP(Imputar[[#This Row],[Categoría]],EIMI!C:T,9,0),0)</f>
        <v>4444914</v>
      </c>
      <c r="N463">
        <f>_xlfn.IFNA(VLOOKUP(Imputar[[#This Row],[Categoría]],EIMI!C:T,10,0),0)</f>
        <v>4607717.4000000004</v>
      </c>
    </row>
    <row r="464" spans="1:14" hidden="1" x14ac:dyDescent="0.25">
      <c r="A464" s="210">
        <f>Indice!$I$11</f>
        <v>0</v>
      </c>
      <c r="B464" t="s">
        <v>1316</v>
      </c>
      <c r="C464" s="39">
        <f>Indice!$I$12</f>
        <v>45992</v>
      </c>
      <c r="E464">
        <f>ROUND(SUMIFS(CATEGORIAS[[#All],[TOTAL PRODUCCION
ACTUAL]],CATEGORIAS[[#All],[CATEGORIA2]],Imputar[[#This Row],[Categoría]]),0)</f>
        <v>0</v>
      </c>
      <c r="F464">
        <v>0</v>
      </c>
      <c r="G464">
        <f>ROUND(SUMIFS(CATEGORIAS[[#All],[PROYECCION
DE INGRESO
DEL SALDO]],CATEGORIAS[[#All],[CATEGORIA2]],Imputar[[#This Row],[Categoría]]),0)</f>
        <v>0</v>
      </c>
      <c r="H464">
        <f>ROUND(SUMIFS(CATEGORIAS[[#All],[CAMBIO DE
CATEGORIA]],CATEGORIAS[[#All],[CATEGORIA2]],Imputar[[#This Row],[Categoría]]),0)</f>
        <v>0</v>
      </c>
      <c r="I4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4">
        <f>+ROUND(SUMIFS(CATEGORIAS[[#All],[PROYECCION
TOTAL DE COSTO]],CATEGORIAS[[#All],[CATEGORIA2]],Imputar[[#This Row],[Categoría]]),0)
-Imputar[[#This Row],[Inventario]]
-Imputar[[#This Row],[Pedidos no Rec]]</f>
        <v>0</v>
      </c>
      <c r="K4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4">
        <f>_xlfn.IFNA(VLOOKUP(Imputar[[#This Row],[Categoría]],EIMI!C:T,8,0),0)</f>
        <v>0</v>
      </c>
      <c r="M464">
        <f>_xlfn.IFNA(VLOOKUP(Imputar[[#This Row],[Categoría]],EIMI!C:T,9,0),0)</f>
        <v>0</v>
      </c>
      <c r="N464">
        <f>_xlfn.IFNA(VLOOKUP(Imputar[[#This Row],[Categoría]],EIMI!C:T,10,0),0)</f>
        <v>0</v>
      </c>
    </row>
    <row r="465" spans="1:14" x14ac:dyDescent="0.25">
      <c r="A465" s="210">
        <f>Indice!$I$11</f>
        <v>0</v>
      </c>
      <c r="B465" t="s">
        <v>1317</v>
      </c>
      <c r="C465" s="39">
        <f>Indice!$I$12</f>
        <v>45992</v>
      </c>
      <c r="E465">
        <f>ROUND(SUMIFS(CATEGORIAS[[#All],[TOTAL PRODUCCION
ACTUAL]],CATEGORIAS[[#All],[CATEGORIA2]],Imputar[[#This Row],[Categoría]]),0)</f>
        <v>0</v>
      </c>
      <c r="F465">
        <v>0</v>
      </c>
      <c r="G465">
        <f>ROUND(SUMIFS(CATEGORIAS[[#All],[PROYECCION
DE INGRESO
DEL SALDO]],CATEGORIAS[[#All],[CATEGORIA2]],Imputar[[#This Row],[Categoría]]),0)</f>
        <v>0</v>
      </c>
      <c r="H465">
        <f>ROUND(SUMIFS(CATEGORIAS[[#All],[CAMBIO DE
CATEGORIA]],CATEGORIAS[[#All],[CATEGORIA2]],Imputar[[#This Row],[Categoría]]),0)</f>
        <v>0</v>
      </c>
      <c r="I4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-5037634</v>
      </c>
      <c r="J465">
        <f>+ROUND(SUMIFS(CATEGORIAS[[#All],[PROYECCION
TOTAL DE COSTO]],CATEGORIAS[[#All],[CATEGORIA2]],Imputar[[#This Row],[Categoría]]),0)
-Imputar[[#This Row],[Inventario]]
-Imputar[[#This Row],[Pedidos no Rec]]</f>
        <v>-1455299</v>
      </c>
      <c r="K46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5">
        <f>_xlfn.IFNA(VLOOKUP(Imputar[[#This Row],[Categoría]],EIMI!C:T,8,0),0)</f>
        <v>5037634</v>
      </c>
      <c r="M465">
        <f>_xlfn.IFNA(VLOOKUP(Imputar[[#This Row],[Categoría]],EIMI!C:T,9,0),0)</f>
        <v>1455299</v>
      </c>
      <c r="N465">
        <f>_xlfn.IFNA(VLOOKUP(Imputar[[#This Row],[Categoría]],EIMI!C:T,10,0),0)</f>
        <v>0</v>
      </c>
    </row>
    <row r="466" spans="1:14" hidden="1" x14ac:dyDescent="0.25">
      <c r="A466" s="210">
        <f>Indice!$I$11</f>
        <v>0</v>
      </c>
      <c r="B466" t="s">
        <v>1319</v>
      </c>
      <c r="C466" s="39">
        <f>Indice!$I$12</f>
        <v>45992</v>
      </c>
      <c r="E466">
        <f>ROUND(SUMIFS(CATEGORIAS[[#All],[TOTAL PRODUCCION
ACTUAL]],CATEGORIAS[[#All],[CATEGORIA2]],Imputar[[#This Row],[Categoría]]),0)</f>
        <v>0</v>
      </c>
      <c r="F466">
        <v>0</v>
      </c>
      <c r="G466">
        <f>ROUND(SUMIFS(CATEGORIAS[[#All],[PROYECCION
DE INGRESO
DEL SALDO]],CATEGORIAS[[#All],[CATEGORIA2]],Imputar[[#This Row],[Categoría]]),0)</f>
        <v>0</v>
      </c>
      <c r="H466">
        <f>ROUND(SUMIFS(CATEGORIAS[[#All],[CAMBIO DE
CATEGORIA]],CATEGORIAS[[#All],[CATEGORIA2]],Imputar[[#This Row],[Categoría]]),0)</f>
        <v>0</v>
      </c>
      <c r="I4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6">
        <f>+ROUND(SUMIFS(CATEGORIAS[[#All],[PROYECCION
TOTAL DE COSTO]],CATEGORIAS[[#All],[CATEGORIA2]],Imputar[[#This Row],[Categoría]]),0)
-Imputar[[#This Row],[Inventario]]
-Imputar[[#This Row],[Pedidos no Rec]]</f>
        <v>0</v>
      </c>
      <c r="K4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6">
        <f>_xlfn.IFNA(VLOOKUP(Imputar[[#This Row],[Categoría]],EIMI!C:T,8,0),0)</f>
        <v>0</v>
      </c>
      <c r="M466">
        <f>_xlfn.IFNA(VLOOKUP(Imputar[[#This Row],[Categoría]],EIMI!C:T,9,0),0)</f>
        <v>0</v>
      </c>
      <c r="N466">
        <f>_xlfn.IFNA(VLOOKUP(Imputar[[#This Row],[Categoría]],EIMI!C:T,10,0),0)</f>
        <v>0</v>
      </c>
    </row>
    <row r="467" spans="1:14" x14ac:dyDescent="0.25">
      <c r="A467" s="210">
        <f>Indice!$I$11</f>
        <v>0</v>
      </c>
      <c r="B467" t="s">
        <v>1321</v>
      </c>
      <c r="C467" s="39">
        <f>Indice!$I$12</f>
        <v>45992</v>
      </c>
      <c r="E467">
        <f>ROUND(SUMIFS(CATEGORIAS[[#All],[TOTAL PRODUCCION
ACTUAL]],CATEGORIAS[[#All],[CATEGORIA2]],Imputar[[#This Row],[Categoría]]),0)</f>
        <v>0</v>
      </c>
      <c r="F467">
        <v>0</v>
      </c>
      <c r="G467">
        <f>ROUND(SUMIFS(CATEGORIAS[[#All],[PROYECCION
DE INGRESO
DEL SALDO]],CATEGORIAS[[#All],[CATEGORIA2]],Imputar[[#This Row],[Categoría]]),0)</f>
        <v>0</v>
      </c>
      <c r="H467">
        <f>ROUND(SUMIFS(CATEGORIAS[[#All],[CAMBIO DE
CATEGORIA]],CATEGORIAS[[#All],[CATEGORIA2]],Imputar[[#This Row],[Categoría]]),0)</f>
        <v>0</v>
      </c>
      <c r="I4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7">
        <f>+ROUND(SUMIFS(CATEGORIAS[[#All],[PROYECCION
TOTAL DE COSTO]],CATEGORIAS[[#All],[CATEGORIA2]],Imputar[[#This Row],[Categoría]]),0)
-Imputar[[#This Row],[Inventario]]
-Imputar[[#This Row],[Pedidos no Rec]]</f>
        <v>-908157</v>
      </c>
      <c r="K46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7">
        <f>_xlfn.IFNA(VLOOKUP(Imputar[[#This Row],[Categoría]],EIMI!C:T,8,0),0)</f>
        <v>0</v>
      </c>
      <c r="M467">
        <f>_xlfn.IFNA(VLOOKUP(Imputar[[#This Row],[Categoría]],EIMI!C:T,9,0),0)</f>
        <v>905911</v>
      </c>
      <c r="N467">
        <f>_xlfn.IFNA(VLOOKUP(Imputar[[#This Row],[Categoría]],EIMI!C:T,10,0),0)</f>
        <v>2246</v>
      </c>
    </row>
    <row r="468" spans="1:14" hidden="1" x14ac:dyDescent="0.25">
      <c r="A468" s="210">
        <f>Indice!$I$11</f>
        <v>0</v>
      </c>
      <c r="B468" t="s">
        <v>1323</v>
      </c>
      <c r="C468" s="39">
        <f>Indice!$I$12</f>
        <v>45992</v>
      </c>
      <c r="E468">
        <f>ROUND(SUMIFS(CATEGORIAS[[#All],[TOTAL PRODUCCION
ACTUAL]],CATEGORIAS[[#All],[CATEGORIA2]],Imputar[[#This Row],[Categoría]]),0)</f>
        <v>0</v>
      </c>
      <c r="F468">
        <v>0</v>
      </c>
      <c r="G468">
        <f>ROUND(SUMIFS(CATEGORIAS[[#All],[PROYECCION
DE INGRESO
DEL SALDO]],CATEGORIAS[[#All],[CATEGORIA2]],Imputar[[#This Row],[Categoría]]),0)</f>
        <v>0</v>
      </c>
      <c r="H468">
        <f>ROUND(SUMIFS(CATEGORIAS[[#All],[CAMBIO DE
CATEGORIA]],CATEGORIAS[[#All],[CATEGORIA2]],Imputar[[#This Row],[Categoría]]),0)</f>
        <v>0</v>
      </c>
      <c r="I4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8">
        <f>+ROUND(SUMIFS(CATEGORIAS[[#All],[PROYECCION
TOTAL DE COSTO]],CATEGORIAS[[#All],[CATEGORIA2]],Imputar[[#This Row],[Categoría]]),0)
-Imputar[[#This Row],[Inventario]]
-Imputar[[#This Row],[Pedidos no Rec]]</f>
        <v>0</v>
      </c>
      <c r="K4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8">
        <f>_xlfn.IFNA(VLOOKUP(Imputar[[#This Row],[Categoría]],EIMI!C:T,8,0),0)</f>
        <v>0</v>
      </c>
      <c r="M468">
        <f>_xlfn.IFNA(VLOOKUP(Imputar[[#This Row],[Categoría]],EIMI!C:T,9,0),0)</f>
        <v>0</v>
      </c>
      <c r="N468">
        <f>_xlfn.IFNA(VLOOKUP(Imputar[[#This Row],[Categoría]],EIMI!C:T,10,0),0)</f>
        <v>0</v>
      </c>
    </row>
    <row r="469" spans="1:14" x14ac:dyDescent="0.25">
      <c r="A469" s="210">
        <f>Indice!$I$11</f>
        <v>0</v>
      </c>
      <c r="B469" t="s">
        <v>1324</v>
      </c>
      <c r="C469" s="39">
        <f>Indice!$I$12</f>
        <v>45992</v>
      </c>
      <c r="E469">
        <f>ROUND(SUMIFS(CATEGORIAS[[#All],[TOTAL PRODUCCION
ACTUAL]],CATEGORIAS[[#All],[CATEGORIA2]],Imputar[[#This Row],[Categoría]]),0)</f>
        <v>0</v>
      </c>
      <c r="F469">
        <v>0</v>
      </c>
      <c r="G469">
        <f>ROUND(SUMIFS(CATEGORIAS[[#All],[PROYECCION
DE INGRESO
DEL SALDO]],CATEGORIAS[[#All],[CATEGORIA2]],Imputar[[#This Row],[Categoría]]),0)</f>
        <v>0</v>
      </c>
      <c r="H469">
        <f>ROUND(SUMIFS(CATEGORIAS[[#All],[CAMBIO DE
CATEGORIA]],CATEGORIAS[[#All],[CATEGORIA2]],Imputar[[#This Row],[Categoría]]),0)</f>
        <v>0</v>
      </c>
      <c r="I4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9">
        <f>+ROUND(SUMIFS(CATEGORIAS[[#All],[PROYECCION
TOTAL DE COSTO]],CATEGORIAS[[#All],[CATEGORIA2]],Imputar[[#This Row],[Categoría]]),0)
-Imputar[[#This Row],[Inventario]]
-Imputar[[#This Row],[Pedidos no Rec]]</f>
        <v>-284784</v>
      </c>
      <c r="K46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9">
        <f>_xlfn.IFNA(VLOOKUP(Imputar[[#This Row],[Categoría]],EIMI!C:T,8,0),0)</f>
        <v>0</v>
      </c>
      <c r="M469">
        <f>_xlfn.IFNA(VLOOKUP(Imputar[[#This Row],[Categoría]],EIMI!C:T,9,0),0)</f>
        <v>224026</v>
      </c>
      <c r="N469">
        <f>_xlfn.IFNA(VLOOKUP(Imputar[[#This Row],[Categoría]],EIMI!C:T,10,0),0)</f>
        <v>60758</v>
      </c>
    </row>
    <row r="470" spans="1:14" hidden="1" x14ac:dyDescent="0.25">
      <c r="A470" s="210">
        <f>Indice!$I$11</f>
        <v>0</v>
      </c>
      <c r="B470" t="s">
        <v>1326</v>
      </c>
      <c r="C470" s="39">
        <f>Indice!$I$12</f>
        <v>45992</v>
      </c>
      <c r="E470">
        <f>ROUND(SUMIFS(CATEGORIAS[[#All],[TOTAL PRODUCCION
ACTUAL]],CATEGORIAS[[#All],[CATEGORIA2]],Imputar[[#This Row],[Categoría]]),0)</f>
        <v>0</v>
      </c>
      <c r="F470">
        <v>0</v>
      </c>
      <c r="G470">
        <f>ROUND(SUMIFS(CATEGORIAS[[#All],[PROYECCION
DE INGRESO
DEL SALDO]],CATEGORIAS[[#All],[CATEGORIA2]],Imputar[[#This Row],[Categoría]]),0)</f>
        <v>0</v>
      </c>
      <c r="H470">
        <f>ROUND(SUMIFS(CATEGORIAS[[#All],[CAMBIO DE
CATEGORIA]],CATEGORIAS[[#All],[CATEGORIA2]],Imputar[[#This Row],[Categoría]]),0)</f>
        <v>0</v>
      </c>
      <c r="I4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0">
        <f>+ROUND(SUMIFS(CATEGORIAS[[#All],[PROYECCION
TOTAL DE COSTO]],CATEGORIAS[[#All],[CATEGORIA2]],Imputar[[#This Row],[Categoría]]),0)
-Imputar[[#This Row],[Inventario]]
-Imputar[[#This Row],[Pedidos no Rec]]</f>
        <v>0</v>
      </c>
      <c r="K4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0">
        <f>_xlfn.IFNA(VLOOKUP(Imputar[[#This Row],[Categoría]],EIMI!C:T,8,0),0)</f>
        <v>0</v>
      </c>
      <c r="M470">
        <f>_xlfn.IFNA(VLOOKUP(Imputar[[#This Row],[Categoría]],EIMI!C:T,9,0),0)</f>
        <v>0</v>
      </c>
      <c r="N470">
        <f>_xlfn.IFNA(VLOOKUP(Imputar[[#This Row],[Categoría]],EIMI!C:T,10,0),0)</f>
        <v>0</v>
      </c>
    </row>
    <row r="471" spans="1:14" x14ac:dyDescent="0.25">
      <c r="A471" s="210">
        <f>Indice!$I$11</f>
        <v>0</v>
      </c>
      <c r="B471" t="s">
        <v>1328</v>
      </c>
      <c r="C471" s="39">
        <f>Indice!$I$12</f>
        <v>45992</v>
      </c>
      <c r="E471">
        <f>ROUND(SUMIFS(CATEGORIAS[[#All],[TOTAL PRODUCCION
ACTUAL]],CATEGORIAS[[#All],[CATEGORIA2]],Imputar[[#This Row],[Categoría]]),0)</f>
        <v>0</v>
      </c>
      <c r="F471">
        <v>0</v>
      </c>
      <c r="G471">
        <f>ROUND(SUMIFS(CATEGORIAS[[#All],[PROYECCION
DE INGRESO
DEL SALDO]],CATEGORIAS[[#All],[CATEGORIA2]],Imputar[[#This Row],[Categoría]]),0)</f>
        <v>0</v>
      </c>
      <c r="H471">
        <f>ROUND(SUMIFS(CATEGORIAS[[#All],[CAMBIO DE
CATEGORIA]],CATEGORIAS[[#All],[CATEGORIA2]],Imputar[[#This Row],[Categoría]]),0)</f>
        <v>0</v>
      </c>
      <c r="I4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-331660</v>
      </c>
      <c r="J471">
        <f>+ROUND(SUMIFS(CATEGORIAS[[#All],[PROYECCION
TOTAL DE COSTO]],CATEGORIAS[[#All],[CATEGORIA2]],Imputar[[#This Row],[Categoría]]),0)
-Imputar[[#This Row],[Inventario]]
-Imputar[[#This Row],[Pedidos no Rec]]</f>
        <v>5034</v>
      </c>
      <c r="K4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1">
        <f>_xlfn.IFNA(VLOOKUP(Imputar[[#This Row],[Categoría]],EIMI!C:T,8,0),0)</f>
        <v>331660</v>
      </c>
      <c r="M471">
        <f>_xlfn.IFNA(VLOOKUP(Imputar[[#This Row],[Categoría]],EIMI!C:T,9,0),0)</f>
        <v>-203930</v>
      </c>
      <c r="N471">
        <f>_xlfn.IFNA(VLOOKUP(Imputar[[#This Row],[Categoría]],EIMI!C:T,10,0),0)</f>
        <v>198896</v>
      </c>
    </row>
    <row r="472" spans="1:14" hidden="1" x14ac:dyDescent="0.25">
      <c r="A472" s="210">
        <f>Indice!$I$11</f>
        <v>0</v>
      </c>
      <c r="B472" t="s">
        <v>1330</v>
      </c>
      <c r="C472" s="39">
        <f>Indice!$I$12</f>
        <v>45992</v>
      </c>
      <c r="E472">
        <f>ROUND(SUMIFS(CATEGORIAS[[#All],[TOTAL PRODUCCION
ACTUAL]],CATEGORIAS[[#All],[CATEGORIA2]],Imputar[[#This Row],[Categoría]]),0)</f>
        <v>0</v>
      </c>
      <c r="F472">
        <v>0</v>
      </c>
      <c r="G472">
        <f>ROUND(SUMIFS(CATEGORIAS[[#All],[PROYECCION
DE INGRESO
DEL SALDO]],CATEGORIAS[[#All],[CATEGORIA2]],Imputar[[#This Row],[Categoría]]),0)</f>
        <v>0</v>
      </c>
      <c r="H472">
        <f>ROUND(SUMIFS(CATEGORIAS[[#All],[CAMBIO DE
CATEGORIA]],CATEGORIAS[[#All],[CATEGORIA2]],Imputar[[#This Row],[Categoría]]),0)</f>
        <v>0</v>
      </c>
      <c r="I4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2">
        <f>+ROUND(SUMIFS(CATEGORIAS[[#All],[PROYECCION
TOTAL DE COSTO]],CATEGORIAS[[#All],[CATEGORIA2]],Imputar[[#This Row],[Categoría]]),0)
-Imputar[[#This Row],[Inventario]]
-Imputar[[#This Row],[Pedidos no Rec]]</f>
        <v>0</v>
      </c>
      <c r="K4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2">
        <f>_xlfn.IFNA(VLOOKUP(Imputar[[#This Row],[Categoría]],EIMI!C:T,8,0),0)</f>
        <v>0</v>
      </c>
      <c r="M472">
        <f>_xlfn.IFNA(VLOOKUP(Imputar[[#This Row],[Categoría]],EIMI!C:T,9,0),0)</f>
        <v>0</v>
      </c>
      <c r="N472">
        <f>_xlfn.IFNA(VLOOKUP(Imputar[[#This Row],[Categoría]],EIMI!C:T,10,0),0)</f>
        <v>0</v>
      </c>
    </row>
    <row r="473" spans="1:14" x14ac:dyDescent="0.25">
      <c r="A473" s="210">
        <f>Indice!$I$11</f>
        <v>0</v>
      </c>
      <c r="B473" t="s">
        <v>1332</v>
      </c>
      <c r="C473" s="39">
        <f>Indice!$I$12</f>
        <v>45992</v>
      </c>
      <c r="E473">
        <f>ROUND(SUMIFS(CATEGORIAS[[#All],[TOTAL PRODUCCION
ACTUAL]],CATEGORIAS[[#All],[CATEGORIA2]],Imputar[[#This Row],[Categoría]]),0)</f>
        <v>0</v>
      </c>
      <c r="F473">
        <v>0</v>
      </c>
      <c r="G473">
        <f>ROUND(SUMIFS(CATEGORIAS[[#All],[PROYECCION
DE INGRESO
DEL SALDO]],CATEGORIAS[[#All],[CATEGORIA2]],Imputar[[#This Row],[Categoría]]),0)</f>
        <v>0</v>
      </c>
      <c r="H473">
        <f>ROUND(SUMIFS(CATEGORIAS[[#All],[CAMBIO DE
CATEGORIA]],CATEGORIAS[[#All],[CATEGORIA2]],Imputar[[#This Row],[Categoría]]),0)</f>
        <v>0</v>
      </c>
      <c r="I4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-852697</v>
      </c>
      <c r="J473">
        <f>+ROUND(SUMIFS(CATEGORIAS[[#All],[PROYECCION
TOTAL DE COSTO]],CATEGORIAS[[#All],[CATEGORIA2]],Imputar[[#This Row],[Categoría]]),0)
-Imputar[[#This Row],[Inventario]]
-Imputar[[#This Row],[Pedidos no Rec]]</f>
        <v>-4734151</v>
      </c>
      <c r="K47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3">
        <f>_xlfn.IFNA(VLOOKUP(Imputar[[#This Row],[Categoría]],EIMI!C:T,8,0),0)</f>
        <v>852697</v>
      </c>
      <c r="M473">
        <f>_xlfn.IFNA(VLOOKUP(Imputar[[#This Row],[Categoría]],EIMI!C:T,9,0),0)</f>
        <v>4629661</v>
      </c>
      <c r="N473">
        <f>_xlfn.IFNA(VLOOKUP(Imputar[[#This Row],[Categoría]],EIMI!C:T,10,0),0)</f>
        <v>104490</v>
      </c>
    </row>
    <row r="474" spans="1:14" hidden="1" x14ac:dyDescent="0.25">
      <c r="A474" s="210">
        <f>Indice!$I$11</f>
        <v>0</v>
      </c>
      <c r="B474" t="s">
        <v>1334</v>
      </c>
      <c r="C474" s="39">
        <f>Indice!$I$12</f>
        <v>45992</v>
      </c>
      <c r="E474">
        <f>ROUND(SUMIFS(CATEGORIAS[[#All],[TOTAL PRODUCCION
ACTUAL]],CATEGORIAS[[#All],[CATEGORIA2]],Imputar[[#This Row],[Categoría]]),0)</f>
        <v>0</v>
      </c>
      <c r="F474">
        <v>0</v>
      </c>
      <c r="G474">
        <f>ROUND(SUMIFS(CATEGORIAS[[#All],[PROYECCION
DE INGRESO
DEL SALDO]],CATEGORIAS[[#All],[CATEGORIA2]],Imputar[[#This Row],[Categoría]]),0)</f>
        <v>0</v>
      </c>
      <c r="H474">
        <f>ROUND(SUMIFS(CATEGORIAS[[#All],[CAMBIO DE
CATEGORIA]],CATEGORIAS[[#All],[CATEGORIA2]],Imputar[[#This Row],[Categoría]]),0)</f>
        <v>0</v>
      </c>
      <c r="I4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4">
        <f>+ROUND(SUMIFS(CATEGORIAS[[#All],[PROYECCION
TOTAL DE COSTO]],CATEGORIAS[[#All],[CATEGORIA2]],Imputar[[#This Row],[Categoría]]),0)
-Imputar[[#This Row],[Inventario]]
-Imputar[[#This Row],[Pedidos no Rec]]</f>
        <v>0</v>
      </c>
      <c r="K4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4">
        <f>_xlfn.IFNA(VLOOKUP(Imputar[[#This Row],[Categoría]],EIMI!C:T,8,0),0)</f>
        <v>0</v>
      </c>
      <c r="M474">
        <f>_xlfn.IFNA(VLOOKUP(Imputar[[#This Row],[Categoría]],EIMI!C:T,9,0),0)</f>
        <v>0</v>
      </c>
      <c r="N474">
        <f>_xlfn.IFNA(VLOOKUP(Imputar[[#This Row],[Categoría]],EIMI!C:T,10,0),0)</f>
        <v>0</v>
      </c>
    </row>
    <row r="475" spans="1:14" hidden="1" x14ac:dyDescent="0.25">
      <c r="A475" s="210">
        <f>Indice!$I$11</f>
        <v>0</v>
      </c>
      <c r="B475" t="s">
        <v>1336</v>
      </c>
      <c r="C475" s="39">
        <f>Indice!$I$12</f>
        <v>45992</v>
      </c>
      <c r="E475">
        <f>ROUND(SUMIFS(CATEGORIAS[[#All],[TOTAL PRODUCCION
ACTUAL]],CATEGORIAS[[#All],[CATEGORIA2]],Imputar[[#This Row],[Categoría]]),0)</f>
        <v>0</v>
      </c>
      <c r="F475">
        <v>0</v>
      </c>
      <c r="G475">
        <f>ROUND(SUMIFS(CATEGORIAS[[#All],[PROYECCION
DE INGRESO
DEL SALDO]],CATEGORIAS[[#All],[CATEGORIA2]],Imputar[[#This Row],[Categoría]]),0)</f>
        <v>0</v>
      </c>
      <c r="H475">
        <f>ROUND(SUMIFS(CATEGORIAS[[#All],[CAMBIO DE
CATEGORIA]],CATEGORIAS[[#All],[CATEGORIA2]],Imputar[[#This Row],[Categoría]]),0)</f>
        <v>0</v>
      </c>
      <c r="I4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5">
        <f>+ROUND(SUMIFS(CATEGORIAS[[#All],[PROYECCION
TOTAL DE COSTO]],CATEGORIAS[[#All],[CATEGORIA2]],Imputar[[#This Row],[Categoría]]),0)
-Imputar[[#This Row],[Inventario]]
-Imputar[[#This Row],[Pedidos no Rec]]</f>
        <v>0</v>
      </c>
      <c r="K4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5">
        <f>_xlfn.IFNA(VLOOKUP(Imputar[[#This Row],[Categoría]],EIMI!C:T,8,0),0)</f>
        <v>0</v>
      </c>
      <c r="M475">
        <f>_xlfn.IFNA(VLOOKUP(Imputar[[#This Row],[Categoría]],EIMI!C:T,9,0),0)</f>
        <v>0</v>
      </c>
      <c r="N475">
        <f>_xlfn.IFNA(VLOOKUP(Imputar[[#This Row],[Categoría]],EIMI!C:T,10,0),0)</f>
        <v>0</v>
      </c>
    </row>
    <row r="476" spans="1:14" hidden="1" x14ac:dyDescent="0.25">
      <c r="A476" s="210">
        <f>Indice!$I$11</f>
        <v>0</v>
      </c>
      <c r="B476" t="s">
        <v>1338</v>
      </c>
      <c r="C476" s="39">
        <f>Indice!$I$12</f>
        <v>45992</v>
      </c>
      <c r="E476">
        <f>ROUND(SUMIFS(CATEGORIAS[[#All],[TOTAL PRODUCCION
ACTUAL]],CATEGORIAS[[#All],[CATEGORIA2]],Imputar[[#This Row],[Categoría]]),0)</f>
        <v>0</v>
      </c>
      <c r="F476">
        <v>0</v>
      </c>
      <c r="G476">
        <f>ROUND(SUMIFS(CATEGORIAS[[#All],[PROYECCION
DE INGRESO
DEL SALDO]],CATEGORIAS[[#All],[CATEGORIA2]],Imputar[[#This Row],[Categoría]]),0)</f>
        <v>0</v>
      </c>
      <c r="H476">
        <f>ROUND(SUMIFS(CATEGORIAS[[#All],[CAMBIO DE
CATEGORIA]],CATEGORIAS[[#All],[CATEGORIA2]],Imputar[[#This Row],[Categoría]]),0)</f>
        <v>0</v>
      </c>
      <c r="I4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6">
        <f>+ROUND(SUMIFS(CATEGORIAS[[#All],[PROYECCION
TOTAL DE COSTO]],CATEGORIAS[[#All],[CATEGORIA2]],Imputar[[#This Row],[Categoría]]),0)
-Imputar[[#This Row],[Inventario]]
-Imputar[[#This Row],[Pedidos no Rec]]</f>
        <v>0</v>
      </c>
      <c r="K4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6">
        <f>_xlfn.IFNA(VLOOKUP(Imputar[[#This Row],[Categoría]],EIMI!C:T,8,0),0)</f>
        <v>0</v>
      </c>
      <c r="M476">
        <f>_xlfn.IFNA(VLOOKUP(Imputar[[#This Row],[Categoría]],EIMI!C:T,9,0),0)</f>
        <v>0</v>
      </c>
      <c r="N476">
        <f>_xlfn.IFNA(VLOOKUP(Imputar[[#This Row],[Categoría]],EIMI!C:T,10,0),0)</f>
        <v>0</v>
      </c>
    </row>
    <row r="477" spans="1:14" x14ac:dyDescent="0.25">
      <c r="A477" s="210">
        <f>Indice!$I$11</f>
        <v>0</v>
      </c>
      <c r="B477" t="s">
        <v>1340</v>
      </c>
      <c r="C477" s="39">
        <f>Indice!$I$12</f>
        <v>45992</v>
      </c>
      <c r="E477">
        <f>ROUND(SUMIFS(CATEGORIAS[[#All],[TOTAL PRODUCCION
ACTUAL]],CATEGORIAS[[#All],[CATEGORIA2]],Imputar[[#This Row],[Categoría]]),0)</f>
        <v>0</v>
      </c>
      <c r="F477">
        <v>0</v>
      </c>
      <c r="G477">
        <f>ROUND(SUMIFS(CATEGORIAS[[#All],[PROYECCION
DE INGRESO
DEL SALDO]],CATEGORIAS[[#All],[CATEGORIA2]],Imputar[[#This Row],[Categoría]]),0)</f>
        <v>0</v>
      </c>
      <c r="H477">
        <f>ROUND(SUMIFS(CATEGORIAS[[#All],[CAMBIO DE
CATEGORIA]],CATEGORIAS[[#All],[CATEGORIA2]],Imputar[[#This Row],[Categoría]]),0)</f>
        <v>0</v>
      </c>
      <c r="I4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-20085615</v>
      </c>
      <c r="J477">
        <f>+ROUND(SUMIFS(CATEGORIAS[[#All],[PROYECCION
TOTAL DE COSTO]],CATEGORIAS[[#All],[CATEGORIA2]],Imputar[[#This Row],[Categoría]]),0)
-Imputar[[#This Row],[Inventario]]
-Imputar[[#This Row],[Pedidos no Rec]]</f>
        <v>555090</v>
      </c>
      <c r="K47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7">
        <f>_xlfn.IFNA(VLOOKUP(Imputar[[#This Row],[Categoría]],EIMI!C:T,8,0),0)</f>
        <v>20085615</v>
      </c>
      <c r="M477">
        <f>_xlfn.IFNA(VLOOKUP(Imputar[[#This Row],[Categoría]],EIMI!C:T,9,0),0)</f>
        <v>-555090</v>
      </c>
      <c r="N477">
        <f>_xlfn.IFNA(VLOOKUP(Imputar[[#This Row],[Categoría]],EIMI!C:T,10,0),0)</f>
        <v>0</v>
      </c>
    </row>
    <row r="478" spans="1:14" x14ac:dyDescent="0.25">
      <c r="A478" s="210">
        <f>Indice!$I$11</f>
        <v>0</v>
      </c>
      <c r="B478" t="s">
        <v>1342</v>
      </c>
      <c r="C478" s="39">
        <f>Indice!$I$12</f>
        <v>45992</v>
      </c>
      <c r="E478">
        <f>ROUND(SUMIFS(CATEGORIAS[[#All],[TOTAL PRODUCCION
ACTUAL]],CATEGORIAS[[#All],[CATEGORIA2]],Imputar[[#This Row],[Categoría]]),0)</f>
        <v>0</v>
      </c>
      <c r="F478">
        <v>0</v>
      </c>
      <c r="G478">
        <f>ROUND(SUMIFS(CATEGORIAS[[#All],[PROYECCION
DE INGRESO
DEL SALDO]],CATEGORIAS[[#All],[CATEGORIA2]],Imputar[[#This Row],[Categoría]]),0)</f>
        <v>0</v>
      </c>
      <c r="H478">
        <f>ROUND(SUMIFS(CATEGORIAS[[#All],[CAMBIO DE
CATEGORIA]],CATEGORIAS[[#All],[CATEGORIA2]],Imputar[[#This Row],[Categoría]]),0)</f>
        <v>0</v>
      </c>
      <c r="I4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-15495</v>
      </c>
      <c r="J478">
        <f>+ROUND(SUMIFS(CATEGORIAS[[#All],[PROYECCION
TOTAL DE COSTO]],CATEGORIAS[[#All],[CATEGORIA2]],Imputar[[#This Row],[Categoría]]),0)
-Imputar[[#This Row],[Inventario]]
-Imputar[[#This Row],[Pedidos no Rec]]</f>
        <v>0</v>
      </c>
      <c r="K47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8">
        <f>_xlfn.IFNA(VLOOKUP(Imputar[[#This Row],[Categoría]],EIMI!C:T,8,0),0)</f>
        <v>15495</v>
      </c>
      <c r="M478">
        <f>_xlfn.IFNA(VLOOKUP(Imputar[[#This Row],[Categoría]],EIMI!C:T,9,0),0)</f>
        <v>0</v>
      </c>
      <c r="N478">
        <f>_xlfn.IFNA(VLOOKUP(Imputar[[#This Row],[Categoría]],EIMI!C:T,10,0),0)</f>
        <v>0</v>
      </c>
    </row>
    <row r="479" spans="1:14" hidden="1" x14ac:dyDescent="0.25">
      <c r="A479" s="210">
        <f>Indice!$I$11</f>
        <v>0</v>
      </c>
      <c r="B479" t="s">
        <v>1346</v>
      </c>
      <c r="C479" s="39">
        <f>Indice!$I$12</f>
        <v>45992</v>
      </c>
      <c r="E479">
        <f>ROUND(SUMIFS(CATEGORIAS[[#All],[TOTAL PRODUCCION
ACTUAL]],CATEGORIAS[[#All],[CATEGORIA2]],Imputar[[#This Row],[Categoría]]),0)</f>
        <v>0</v>
      </c>
      <c r="F479">
        <v>0</v>
      </c>
      <c r="G479">
        <f>ROUND(SUMIFS(CATEGORIAS[[#All],[PROYECCION
DE INGRESO
DEL SALDO]],CATEGORIAS[[#All],[CATEGORIA2]],Imputar[[#This Row],[Categoría]]),0)</f>
        <v>0</v>
      </c>
      <c r="H479">
        <f>ROUND(SUMIFS(CATEGORIAS[[#All],[CAMBIO DE
CATEGORIA]],CATEGORIAS[[#All],[CATEGORIA2]],Imputar[[#This Row],[Categoría]]),0)</f>
        <v>0</v>
      </c>
      <c r="I4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9">
        <f>+ROUND(SUMIFS(CATEGORIAS[[#All],[PROYECCION
TOTAL DE COSTO]],CATEGORIAS[[#All],[CATEGORIA2]],Imputar[[#This Row],[Categoría]]),0)
-Imputar[[#This Row],[Inventario]]
-Imputar[[#This Row],[Pedidos no Rec]]</f>
        <v>0</v>
      </c>
      <c r="K4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9">
        <f>_xlfn.IFNA(VLOOKUP(Imputar[[#This Row],[Categoría]],EIMI!C:T,8,0),0)</f>
        <v>0</v>
      </c>
      <c r="M479">
        <f>_xlfn.IFNA(VLOOKUP(Imputar[[#This Row],[Categoría]],EIMI!C:T,9,0),0)</f>
        <v>0</v>
      </c>
      <c r="N479">
        <f>_xlfn.IFNA(VLOOKUP(Imputar[[#This Row],[Categoría]],EIMI!C:T,10,0),0)</f>
        <v>0</v>
      </c>
    </row>
    <row r="480" spans="1:14" hidden="1" x14ac:dyDescent="0.25">
      <c r="A480" s="210">
        <f>Indice!$I$11</f>
        <v>0</v>
      </c>
      <c r="B480" t="s">
        <v>1348</v>
      </c>
      <c r="C480" s="39">
        <f>Indice!$I$12</f>
        <v>45992</v>
      </c>
      <c r="E480">
        <f>ROUND(SUMIFS(CATEGORIAS[[#All],[TOTAL PRODUCCION
ACTUAL]],CATEGORIAS[[#All],[CATEGORIA2]],Imputar[[#This Row],[Categoría]]),0)</f>
        <v>0</v>
      </c>
      <c r="F480">
        <v>0</v>
      </c>
      <c r="G480">
        <f>ROUND(SUMIFS(CATEGORIAS[[#All],[PROYECCION
DE INGRESO
DEL SALDO]],CATEGORIAS[[#All],[CATEGORIA2]],Imputar[[#This Row],[Categoría]]),0)</f>
        <v>0</v>
      </c>
      <c r="H480">
        <f>ROUND(SUMIFS(CATEGORIAS[[#All],[CAMBIO DE
CATEGORIA]],CATEGORIAS[[#All],[CATEGORIA2]],Imputar[[#This Row],[Categoría]]),0)</f>
        <v>0</v>
      </c>
      <c r="I4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0">
        <f>+ROUND(SUMIFS(CATEGORIAS[[#All],[PROYECCION
TOTAL DE COSTO]],CATEGORIAS[[#All],[CATEGORIA2]],Imputar[[#This Row],[Categoría]]),0)
-Imputar[[#This Row],[Inventario]]
-Imputar[[#This Row],[Pedidos no Rec]]</f>
        <v>0</v>
      </c>
      <c r="K4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0">
        <f>_xlfn.IFNA(VLOOKUP(Imputar[[#This Row],[Categoría]],EIMI!C:T,8,0),0)</f>
        <v>0</v>
      </c>
      <c r="M480">
        <f>_xlfn.IFNA(VLOOKUP(Imputar[[#This Row],[Categoría]],EIMI!C:T,9,0),0)</f>
        <v>0</v>
      </c>
      <c r="N480">
        <f>_xlfn.IFNA(VLOOKUP(Imputar[[#This Row],[Categoría]],EIMI!C:T,10,0),0)</f>
        <v>0</v>
      </c>
    </row>
    <row r="481" spans="1:14" x14ac:dyDescent="0.25">
      <c r="A481" s="210">
        <f>Indice!$I$11</f>
        <v>0</v>
      </c>
      <c r="B481" t="s">
        <v>288</v>
      </c>
      <c r="C481" s="39">
        <f>Indice!$I$12</f>
        <v>45992</v>
      </c>
      <c r="E481">
        <f>ROUND(SUMIFS(CATEGORIAS[[#All],[TOTAL PRODUCCION
ACTUAL]],CATEGORIAS[[#All],[CATEGORIA2]],Imputar[[#This Row],[Categoría]]),0)</f>
        <v>0</v>
      </c>
      <c r="F481">
        <v>0</v>
      </c>
      <c r="G481">
        <f>ROUND(SUMIFS(CATEGORIAS[[#All],[PROYECCION
DE INGRESO
DEL SALDO]],CATEGORIAS[[#All],[CATEGORIA2]],Imputar[[#This Row],[Categoría]]),0)</f>
        <v>0</v>
      </c>
      <c r="H481">
        <f>ROUND(SUMIFS(CATEGORIAS[[#All],[CAMBIO DE
CATEGORIA]],CATEGORIAS[[#All],[CATEGORIA2]],Imputar[[#This Row],[Categoría]]),0)</f>
        <v>0</v>
      </c>
      <c r="I4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-19160000</v>
      </c>
      <c r="J481">
        <f>+ROUND(SUMIFS(CATEGORIAS[[#All],[PROYECCION
TOTAL DE COSTO]],CATEGORIAS[[#All],[CATEGORIA2]],Imputar[[#This Row],[Categoría]]),0)
-Imputar[[#This Row],[Inventario]]
-Imputar[[#This Row],[Pedidos no Rec]]</f>
        <v>-51810000</v>
      </c>
      <c r="K48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81">
        <f>_xlfn.IFNA(VLOOKUP(Imputar[[#This Row],[Categoría]],EIMI!C:T,8,0),0)</f>
        <v>19160000</v>
      </c>
      <c r="M481">
        <f>_xlfn.IFNA(VLOOKUP(Imputar[[#This Row],[Categoría]],EIMI!C:T,9,0),0)</f>
        <v>0</v>
      </c>
      <c r="N481">
        <f>_xlfn.IFNA(VLOOKUP(Imputar[[#This Row],[Categoría]],EIMI!C:T,10,0),0)</f>
        <v>51810000</v>
      </c>
    </row>
    <row r="482" spans="1:14" hidden="1" x14ac:dyDescent="0.25">
      <c r="A482" s="210">
        <f>Indice!$I$11</f>
        <v>0</v>
      </c>
      <c r="B482" t="s">
        <v>1350</v>
      </c>
      <c r="C482" s="39">
        <f>Indice!$I$12</f>
        <v>45992</v>
      </c>
      <c r="E482">
        <f>ROUND(SUMIFS(CATEGORIAS[[#All],[TOTAL PRODUCCION
ACTUAL]],CATEGORIAS[[#All],[CATEGORIA2]],Imputar[[#This Row],[Categoría]]),0)</f>
        <v>0</v>
      </c>
      <c r="F482">
        <v>0</v>
      </c>
      <c r="G482">
        <f>ROUND(SUMIFS(CATEGORIAS[[#All],[PROYECCION
DE INGRESO
DEL SALDO]],CATEGORIAS[[#All],[CATEGORIA2]],Imputar[[#This Row],[Categoría]]),0)</f>
        <v>0</v>
      </c>
      <c r="H482">
        <f>ROUND(SUMIFS(CATEGORIAS[[#All],[CAMBIO DE
CATEGORIA]],CATEGORIAS[[#All],[CATEGORIA2]],Imputar[[#This Row],[Categoría]]),0)</f>
        <v>0</v>
      </c>
      <c r="I4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2">
        <f>+ROUND(SUMIFS(CATEGORIAS[[#All],[PROYECCION
TOTAL DE COSTO]],CATEGORIAS[[#All],[CATEGORIA2]],Imputar[[#This Row],[Categoría]]),0)
-Imputar[[#This Row],[Inventario]]
-Imputar[[#This Row],[Pedidos no Rec]]</f>
        <v>0</v>
      </c>
      <c r="K4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2">
        <f>_xlfn.IFNA(VLOOKUP(Imputar[[#This Row],[Categoría]],EIMI!C:T,8,0),0)</f>
        <v>0</v>
      </c>
      <c r="M482">
        <f>_xlfn.IFNA(VLOOKUP(Imputar[[#This Row],[Categoría]],EIMI!C:T,9,0),0)</f>
        <v>0</v>
      </c>
      <c r="N482">
        <f>_xlfn.IFNA(VLOOKUP(Imputar[[#This Row],[Categoría]],EIMI!C:T,10,0),0)</f>
        <v>0</v>
      </c>
    </row>
    <row r="483" spans="1:14" hidden="1" x14ac:dyDescent="0.25">
      <c r="A483" s="210">
        <f>Indice!$I$11</f>
        <v>0</v>
      </c>
      <c r="B483" t="s">
        <v>1352</v>
      </c>
      <c r="C483" s="39">
        <f>Indice!$I$12</f>
        <v>45992</v>
      </c>
      <c r="E483">
        <f>ROUND(SUMIFS(CATEGORIAS[[#All],[TOTAL PRODUCCION
ACTUAL]],CATEGORIAS[[#All],[CATEGORIA2]],Imputar[[#This Row],[Categoría]]),0)</f>
        <v>0</v>
      </c>
      <c r="F483">
        <v>0</v>
      </c>
      <c r="G483">
        <f>ROUND(SUMIFS(CATEGORIAS[[#All],[PROYECCION
DE INGRESO
DEL SALDO]],CATEGORIAS[[#All],[CATEGORIA2]],Imputar[[#This Row],[Categoría]]),0)</f>
        <v>0</v>
      </c>
      <c r="H483">
        <f>ROUND(SUMIFS(CATEGORIAS[[#All],[CAMBIO DE
CATEGORIA]],CATEGORIAS[[#All],[CATEGORIA2]],Imputar[[#This Row],[Categoría]]),0)</f>
        <v>0</v>
      </c>
      <c r="I4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3">
        <f>+ROUND(SUMIFS(CATEGORIAS[[#All],[PROYECCION
TOTAL DE COSTO]],CATEGORIAS[[#All],[CATEGORIA2]],Imputar[[#This Row],[Categoría]]),0)
-Imputar[[#This Row],[Inventario]]
-Imputar[[#This Row],[Pedidos no Rec]]</f>
        <v>0</v>
      </c>
      <c r="K4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3">
        <f>_xlfn.IFNA(VLOOKUP(Imputar[[#This Row],[Categoría]],EIMI!C:T,8,0),0)</f>
        <v>0</v>
      </c>
      <c r="M483">
        <f>_xlfn.IFNA(VLOOKUP(Imputar[[#This Row],[Categoría]],EIMI!C:T,9,0),0)</f>
        <v>0</v>
      </c>
      <c r="N483">
        <f>_xlfn.IFNA(VLOOKUP(Imputar[[#This Row],[Categoría]],EIMI!C:T,10,0),0)</f>
        <v>0</v>
      </c>
    </row>
    <row r="484" spans="1:14" hidden="1" x14ac:dyDescent="0.25">
      <c r="A484" s="210">
        <f>Indice!$I$11</f>
        <v>0</v>
      </c>
      <c r="B484" t="s">
        <v>1354</v>
      </c>
      <c r="C484" s="39">
        <f>Indice!$I$12</f>
        <v>45992</v>
      </c>
      <c r="E484">
        <f>ROUND(SUMIFS(CATEGORIAS[[#All],[TOTAL PRODUCCION
ACTUAL]],CATEGORIAS[[#All],[CATEGORIA2]],Imputar[[#This Row],[Categoría]]),0)</f>
        <v>0</v>
      </c>
      <c r="F484">
        <v>0</v>
      </c>
      <c r="G484">
        <f>ROUND(SUMIFS(CATEGORIAS[[#All],[PROYECCION
DE INGRESO
DEL SALDO]],CATEGORIAS[[#All],[CATEGORIA2]],Imputar[[#This Row],[Categoría]]),0)</f>
        <v>0</v>
      </c>
      <c r="H484">
        <f>ROUND(SUMIFS(CATEGORIAS[[#All],[CAMBIO DE
CATEGORIA]],CATEGORIAS[[#All],[CATEGORIA2]],Imputar[[#This Row],[Categoría]]),0)</f>
        <v>0</v>
      </c>
      <c r="I4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4">
        <f>+ROUND(SUMIFS(CATEGORIAS[[#All],[PROYECCION
TOTAL DE COSTO]],CATEGORIAS[[#All],[CATEGORIA2]],Imputar[[#This Row],[Categoría]]),0)
-Imputar[[#This Row],[Inventario]]
-Imputar[[#This Row],[Pedidos no Rec]]</f>
        <v>0</v>
      </c>
      <c r="K4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4">
        <f>_xlfn.IFNA(VLOOKUP(Imputar[[#This Row],[Categoría]],EIMI!C:T,8,0),0)</f>
        <v>0</v>
      </c>
      <c r="M484">
        <f>_xlfn.IFNA(VLOOKUP(Imputar[[#This Row],[Categoría]],EIMI!C:T,9,0),0)</f>
        <v>0</v>
      </c>
      <c r="N484">
        <f>_xlfn.IFNA(VLOOKUP(Imputar[[#This Row],[Categoría]],EIMI!C:T,10,0),0)</f>
        <v>0</v>
      </c>
    </row>
    <row r="485" spans="1:14" x14ac:dyDescent="0.25">
      <c r="A485" s="210">
        <f>Indice!$I$11</f>
        <v>0</v>
      </c>
      <c r="B485" t="s">
        <v>1356</v>
      </c>
      <c r="C485" s="39">
        <f>Indice!$I$12</f>
        <v>45992</v>
      </c>
      <c r="E485">
        <f>ROUND(SUMIFS(CATEGORIAS[[#All],[TOTAL PRODUCCION
ACTUAL]],CATEGORIAS[[#All],[CATEGORIA2]],Imputar[[#This Row],[Categoría]]),0)</f>
        <v>0</v>
      </c>
      <c r="F485">
        <v>0</v>
      </c>
      <c r="G485">
        <f>ROUND(SUMIFS(CATEGORIAS[[#All],[PROYECCION
DE INGRESO
DEL SALDO]],CATEGORIAS[[#All],[CATEGORIA2]],Imputar[[#This Row],[Categoría]]),0)</f>
        <v>0</v>
      </c>
      <c r="H485">
        <f>ROUND(SUMIFS(CATEGORIAS[[#All],[CAMBIO DE
CATEGORIA]],CATEGORIAS[[#All],[CATEGORIA2]],Imputar[[#This Row],[Categoría]]),0)</f>
        <v>0</v>
      </c>
      <c r="I4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5">
        <f>+ROUND(SUMIFS(CATEGORIAS[[#All],[PROYECCION
TOTAL DE COSTO]],CATEGORIAS[[#All],[CATEGORIA2]],Imputar[[#This Row],[Categoría]]),0)
-Imputar[[#This Row],[Inventario]]
-Imputar[[#This Row],[Pedidos no Rec]]</f>
        <v>0</v>
      </c>
      <c r="K4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5">
        <f>_xlfn.IFNA(VLOOKUP(Imputar[[#This Row],[Categoría]],EIMI!C:T,8,0),0)</f>
        <v>0</v>
      </c>
      <c r="M485">
        <f>_xlfn.IFNA(VLOOKUP(Imputar[[#This Row],[Categoría]],EIMI!C:T,9,0),0)</f>
        <v>0</v>
      </c>
      <c r="N485">
        <f>_xlfn.IFNA(VLOOKUP(Imputar[[#This Row],[Categoría]],EIMI!C:T,10,0),0)</f>
        <v>0</v>
      </c>
    </row>
    <row r="486" spans="1:14" hidden="1" x14ac:dyDescent="0.25">
      <c r="A486" s="210">
        <f>Indice!$I$11</f>
        <v>0</v>
      </c>
      <c r="B486" t="s">
        <v>1358</v>
      </c>
      <c r="C486" s="39">
        <f>Indice!$I$12</f>
        <v>45992</v>
      </c>
      <c r="E486">
        <f>ROUND(SUMIFS(CATEGORIAS[[#All],[TOTAL PRODUCCION
ACTUAL]],CATEGORIAS[[#All],[CATEGORIA2]],Imputar[[#This Row],[Categoría]]),0)</f>
        <v>0</v>
      </c>
      <c r="F486">
        <v>0</v>
      </c>
      <c r="G486">
        <f>ROUND(SUMIFS(CATEGORIAS[[#All],[PROYECCION
DE INGRESO
DEL SALDO]],CATEGORIAS[[#All],[CATEGORIA2]],Imputar[[#This Row],[Categoría]]),0)</f>
        <v>0</v>
      </c>
      <c r="H486">
        <f>ROUND(SUMIFS(CATEGORIAS[[#All],[CAMBIO DE
CATEGORIA]],CATEGORIAS[[#All],[CATEGORIA2]],Imputar[[#This Row],[Categoría]]),0)</f>
        <v>0</v>
      </c>
      <c r="I4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6">
        <f>+ROUND(SUMIFS(CATEGORIAS[[#All],[PROYECCION
TOTAL DE COSTO]],CATEGORIAS[[#All],[CATEGORIA2]],Imputar[[#This Row],[Categoría]]),0)
-Imputar[[#This Row],[Inventario]]
-Imputar[[#This Row],[Pedidos no Rec]]</f>
        <v>0</v>
      </c>
      <c r="K4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6">
        <f>_xlfn.IFNA(VLOOKUP(Imputar[[#This Row],[Categoría]],EIMI!C:T,8,0),0)</f>
        <v>0</v>
      </c>
      <c r="M486">
        <f>_xlfn.IFNA(VLOOKUP(Imputar[[#This Row],[Categoría]],EIMI!C:T,9,0),0)</f>
        <v>0</v>
      </c>
      <c r="N486">
        <f>_xlfn.IFNA(VLOOKUP(Imputar[[#This Row],[Categoría]],EIMI!C:T,10,0),0)</f>
        <v>0</v>
      </c>
    </row>
    <row r="487" spans="1:14" hidden="1" x14ac:dyDescent="0.25">
      <c r="A487" s="210">
        <f>Indice!$I$11</f>
        <v>0</v>
      </c>
      <c r="B487" t="s">
        <v>1360</v>
      </c>
      <c r="C487" s="39">
        <f>Indice!$I$12</f>
        <v>45992</v>
      </c>
      <c r="E487">
        <f>ROUND(SUMIFS(CATEGORIAS[[#All],[TOTAL PRODUCCION
ACTUAL]],CATEGORIAS[[#All],[CATEGORIA2]],Imputar[[#This Row],[Categoría]]),0)</f>
        <v>0</v>
      </c>
      <c r="F487">
        <v>0</v>
      </c>
      <c r="G487">
        <f>ROUND(SUMIFS(CATEGORIAS[[#All],[PROYECCION
DE INGRESO
DEL SALDO]],CATEGORIAS[[#All],[CATEGORIA2]],Imputar[[#This Row],[Categoría]]),0)</f>
        <v>0</v>
      </c>
      <c r="H487">
        <f>ROUND(SUMIFS(CATEGORIAS[[#All],[CAMBIO DE
CATEGORIA]],CATEGORIAS[[#All],[CATEGORIA2]],Imputar[[#This Row],[Categoría]]),0)</f>
        <v>0</v>
      </c>
      <c r="I4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7">
        <f>+ROUND(SUMIFS(CATEGORIAS[[#All],[PROYECCION
TOTAL DE COSTO]],CATEGORIAS[[#All],[CATEGORIA2]],Imputar[[#This Row],[Categoría]]),0)
-Imputar[[#This Row],[Inventario]]
-Imputar[[#This Row],[Pedidos no Rec]]</f>
        <v>0</v>
      </c>
      <c r="K4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7">
        <f>_xlfn.IFNA(VLOOKUP(Imputar[[#This Row],[Categoría]],EIMI!C:T,8,0),0)</f>
        <v>0</v>
      </c>
      <c r="M487">
        <f>_xlfn.IFNA(VLOOKUP(Imputar[[#This Row],[Categoría]],EIMI!C:T,9,0),0)</f>
        <v>0</v>
      </c>
      <c r="N487">
        <f>_xlfn.IFNA(VLOOKUP(Imputar[[#This Row],[Categoría]],EIMI!C:T,10,0),0)</f>
        <v>0</v>
      </c>
    </row>
    <row r="488" spans="1:14" hidden="1" x14ac:dyDescent="0.25">
      <c r="A488" s="210">
        <f>Indice!$I$11</f>
        <v>0</v>
      </c>
      <c r="B488" t="s">
        <v>1362</v>
      </c>
      <c r="C488" s="39">
        <f>Indice!$I$12</f>
        <v>45992</v>
      </c>
      <c r="E488">
        <f>ROUND(SUMIFS(CATEGORIAS[[#All],[TOTAL PRODUCCION
ACTUAL]],CATEGORIAS[[#All],[CATEGORIA2]],Imputar[[#This Row],[Categoría]]),0)</f>
        <v>0</v>
      </c>
      <c r="F488">
        <v>0</v>
      </c>
      <c r="G488">
        <f>ROUND(SUMIFS(CATEGORIAS[[#All],[PROYECCION
DE INGRESO
DEL SALDO]],CATEGORIAS[[#All],[CATEGORIA2]],Imputar[[#This Row],[Categoría]]),0)</f>
        <v>0</v>
      </c>
      <c r="H488">
        <f>ROUND(SUMIFS(CATEGORIAS[[#All],[CAMBIO DE
CATEGORIA]],CATEGORIAS[[#All],[CATEGORIA2]],Imputar[[#This Row],[Categoría]]),0)</f>
        <v>0</v>
      </c>
      <c r="I4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8">
        <f>+ROUND(SUMIFS(CATEGORIAS[[#All],[PROYECCION
TOTAL DE COSTO]],CATEGORIAS[[#All],[CATEGORIA2]],Imputar[[#This Row],[Categoría]]),0)
-Imputar[[#This Row],[Inventario]]
-Imputar[[#This Row],[Pedidos no Rec]]</f>
        <v>0</v>
      </c>
      <c r="K4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8">
        <f>_xlfn.IFNA(VLOOKUP(Imputar[[#This Row],[Categoría]],EIMI!C:T,8,0),0)</f>
        <v>0</v>
      </c>
      <c r="M488">
        <f>_xlfn.IFNA(VLOOKUP(Imputar[[#This Row],[Categoría]],EIMI!C:T,9,0),0)</f>
        <v>0</v>
      </c>
      <c r="N488">
        <f>_xlfn.IFNA(VLOOKUP(Imputar[[#This Row],[Categoría]],EIMI!C:T,10,0),0)</f>
        <v>0</v>
      </c>
    </row>
    <row r="489" spans="1:14" hidden="1" x14ac:dyDescent="0.25">
      <c r="A489" s="210">
        <f>Indice!$I$11</f>
        <v>0</v>
      </c>
      <c r="B489" t="s">
        <v>1364</v>
      </c>
      <c r="C489" s="39">
        <f>Indice!$I$12</f>
        <v>45992</v>
      </c>
      <c r="E489">
        <f>ROUND(SUMIFS(CATEGORIAS[[#All],[TOTAL PRODUCCION
ACTUAL]],CATEGORIAS[[#All],[CATEGORIA2]],Imputar[[#This Row],[Categoría]]),0)</f>
        <v>0</v>
      </c>
      <c r="F489">
        <v>0</v>
      </c>
      <c r="G489">
        <f>ROUND(SUMIFS(CATEGORIAS[[#All],[PROYECCION
DE INGRESO
DEL SALDO]],CATEGORIAS[[#All],[CATEGORIA2]],Imputar[[#This Row],[Categoría]]),0)</f>
        <v>0</v>
      </c>
      <c r="H489">
        <f>ROUND(SUMIFS(CATEGORIAS[[#All],[CAMBIO DE
CATEGORIA]],CATEGORIAS[[#All],[CATEGORIA2]],Imputar[[#This Row],[Categoría]]),0)</f>
        <v>0</v>
      </c>
      <c r="I4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9">
        <f>+ROUND(SUMIFS(CATEGORIAS[[#All],[PROYECCION
TOTAL DE COSTO]],CATEGORIAS[[#All],[CATEGORIA2]],Imputar[[#This Row],[Categoría]]),0)
-Imputar[[#This Row],[Inventario]]
-Imputar[[#This Row],[Pedidos no Rec]]</f>
        <v>0</v>
      </c>
      <c r="K4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9">
        <f>_xlfn.IFNA(VLOOKUP(Imputar[[#This Row],[Categoría]],EIMI!C:T,8,0),0)</f>
        <v>0</v>
      </c>
      <c r="M489">
        <f>_xlfn.IFNA(VLOOKUP(Imputar[[#This Row],[Categoría]],EIMI!C:T,9,0),0)</f>
        <v>0</v>
      </c>
      <c r="N489">
        <f>_xlfn.IFNA(VLOOKUP(Imputar[[#This Row],[Categoría]],EIMI!C:T,10,0),0)</f>
        <v>0</v>
      </c>
    </row>
    <row r="490" spans="1:14" hidden="1" x14ac:dyDescent="0.25">
      <c r="A490" s="210">
        <f>Indice!$I$11</f>
        <v>0</v>
      </c>
      <c r="B490" t="s">
        <v>1366</v>
      </c>
      <c r="C490" s="39">
        <f>Indice!$I$12</f>
        <v>45992</v>
      </c>
      <c r="E490">
        <f>ROUND(SUMIFS(CATEGORIAS[[#All],[TOTAL PRODUCCION
ACTUAL]],CATEGORIAS[[#All],[CATEGORIA2]],Imputar[[#This Row],[Categoría]]),0)</f>
        <v>0</v>
      </c>
      <c r="F490">
        <v>0</v>
      </c>
      <c r="G490">
        <f>ROUND(SUMIFS(CATEGORIAS[[#All],[PROYECCION
DE INGRESO
DEL SALDO]],CATEGORIAS[[#All],[CATEGORIA2]],Imputar[[#This Row],[Categoría]]),0)</f>
        <v>0</v>
      </c>
      <c r="H490">
        <f>ROUND(SUMIFS(CATEGORIAS[[#All],[CAMBIO DE
CATEGORIA]],CATEGORIAS[[#All],[CATEGORIA2]],Imputar[[#This Row],[Categoría]]),0)</f>
        <v>0</v>
      </c>
      <c r="I4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0">
        <f>+ROUND(SUMIFS(CATEGORIAS[[#All],[PROYECCION
TOTAL DE COSTO]],CATEGORIAS[[#All],[CATEGORIA2]],Imputar[[#This Row],[Categoría]]),0)
-Imputar[[#This Row],[Inventario]]
-Imputar[[#This Row],[Pedidos no Rec]]</f>
        <v>0</v>
      </c>
      <c r="K4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0">
        <f>_xlfn.IFNA(VLOOKUP(Imputar[[#This Row],[Categoría]],EIMI!C:T,8,0),0)</f>
        <v>0</v>
      </c>
      <c r="M490">
        <f>_xlfn.IFNA(VLOOKUP(Imputar[[#This Row],[Categoría]],EIMI!C:T,9,0),0)</f>
        <v>0</v>
      </c>
      <c r="N490">
        <f>_xlfn.IFNA(VLOOKUP(Imputar[[#This Row],[Categoría]],EIMI!C:T,10,0),0)</f>
        <v>0</v>
      </c>
    </row>
    <row r="491" spans="1:14" hidden="1" x14ac:dyDescent="0.25">
      <c r="A491" s="210">
        <f>Indice!$I$11</f>
        <v>0</v>
      </c>
      <c r="B491" t="s">
        <v>1368</v>
      </c>
      <c r="C491" s="39">
        <f>Indice!$I$12</f>
        <v>45992</v>
      </c>
      <c r="E491">
        <f>ROUND(SUMIFS(CATEGORIAS[[#All],[TOTAL PRODUCCION
ACTUAL]],CATEGORIAS[[#All],[CATEGORIA2]],Imputar[[#This Row],[Categoría]]),0)</f>
        <v>0</v>
      </c>
      <c r="F491">
        <v>0</v>
      </c>
      <c r="G491">
        <f>ROUND(SUMIFS(CATEGORIAS[[#All],[PROYECCION
DE INGRESO
DEL SALDO]],CATEGORIAS[[#All],[CATEGORIA2]],Imputar[[#This Row],[Categoría]]),0)</f>
        <v>0</v>
      </c>
      <c r="H491">
        <f>ROUND(SUMIFS(CATEGORIAS[[#All],[CAMBIO DE
CATEGORIA]],CATEGORIAS[[#All],[CATEGORIA2]],Imputar[[#This Row],[Categoría]]),0)</f>
        <v>0</v>
      </c>
      <c r="I4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1">
        <f>+ROUND(SUMIFS(CATEGORIAS[[#All],[PROYECCION
TOTAL DE COSTO]],CATEGORIAS[[#All],[CATEGORIA2]],Imputar[[#This Row],[Categoría]]),0)
-Imputar[[#This Row],[Inventario]]
-Imputar[[#This Row],[Pedidos no Rec]]</f>
        <v>0</v>
      </c>
      <c r="K4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1">
        <f>_xlfn.IFNA(VLOOKUP(Imputar[[#This Row],[Categoría]],EIMI!C:T,8,0),0)</f>
        <v>0</v>
      </c>
      <c r="M491">
        <f>_xlfn.IFNA(VLOOKUP(Imputar[[#This Row],[Categoría]],EIMI!C:T,9,0),0)</f>
        <v>0</v>
      </c>
      <c r="N491">
        <f>_xlfn.IFNA(VLOOKUP(Imputar[[#This Row],[Categoría]],EIMI!C:T,10,0),0)</f>
        <v>0</v>
      </c>
    </row>
    <row r="492" spans="1:14" hidden="1" x14ac:dyDescent="0.25">
      <c r="A492" s="210">
        <f>Indice!$I$11</f>
        <v>0</v>
      </c>
      <c r="B492" t="s">
        <v>1370</v>
      </c>
      <c r="C492" s="39">
        <f>Indice!$I$12</f>
        <v>45992</v>
      </c>
      <c r="E492">
        <f>ROUND(SUMIFS(CATEGORIAS[[#All],[TOTAL PRODUCCION
ACTUAL]],CATEGORIAS[[#All],[CATEGORIA2]],Imputar[[#This Row],[Categoría]]),0)</f>
        <v>0</v>
      </c>
      <c r="F492">
        <v>0</v>
      </c>
      <c r="G492">
        <f>ROUND(SUMIFS(CATEGORIAS[[#All],[PROYECCION
DE INGRESO
DEL SALDO]],CATEGORIAS[[#All],[CATEGORIA2]],Imputar[[#This Row],[Categoría]]),0)</f>
        <v>0</v>
      </c>
      <c r="H492">
        <f>ROUND(SUMIFS(CATEGORIAS[[#All],[CAMBIO DE
CATEGORIA]],CATEGORIAS[[#All],[CATEGORIA2]],Imputar[[#This Row],[Categoría]]),0)</f>
        <v>0</v>
      </c>
      <c r="I4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2">
        <f>+ROUND(SUMIFS(CATEGORIAS[[#All],[PROYECCION
TOTAL DE COSTO]],CATEGORIAS[[#All],[CATEGORIA2]],Imputar[[#This Row],[Categoría]]),0)
-Imputar[[#This Row],[Inventario]]
-Imputar[[#This Row],[Pedidos no Rec]]</f>
        <v>0</v>
      </c>
      <c r="K4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2">
        <f>_xlfn.IFNA(VLOOKUP(Imputar[[#This Row],[Categoría]],EIMI!C:T,8,0),0)</f>
        <v>0</v>
      </c>
      <c r="M492">
        <f>_xlfn.IFNA(VLOOKUP(Imputar[[#This Row],[Categoría]],EIMI!C:T,9,0),0)</f>
        <v>0</v>
      </c>
      <c r="N492">
        <f>_xlfn.IFNA(VLOOKUP(Imputar[[#This Row],[Categoría]],EIMI!C:T,10,0),0)</f>
        <v>0</v>
      </c>
    </row>
    <row r="493" spans="1:14" x14ac:dyDescent="0.25">
      <c r="A493" s="210">
        <f>Indice!$I$11</f>
        <v>0</v>
      </c>
      <c r="B493" t="s">
        <v>1372</v>
      </c>
      <c r="C493" s="39">
        <f>Indice!$I$12</f>
        <v>45992</v>
      </c>
      <c r="E493">
        <f>ROUND(SUMIFS(CATEGORIAS[[#All],[TOTAL PRODUCCION
ACTUAL]],CATEGORIAS[[#All],[CATEGORIA2]],Imputar[[#This Row],[Categoría]]),0)</f>
        <v>0</v>
      </c>
      <c r="F493">
        <v>0</v>
      </c>
      <c r="G493">
        <f>ROUND(SUMIFS(CATEGORIAS[[#All],[PROYECCION
DE INGRESO
DEL SALDO]],CATEGORIAS[[#All],[CATEGORIA2]],Imputar[[#This Row],[Categoría]]),0)</f>
        <v>0</v>
      </c>
      <c r="H493">
        <f>ROUND(SUMIFS(CATEGORIAS[[#All],[CAMBIO DE
CATEGORIA]],CATEGORIAS[[#All],[CATEGORIA2]],Imputar[[#This Row],[Categoría]]),0)</f>
        <v>0</v>
      </c>
      <c r="I4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-17933154</v>
      </c>
      <c r="J493">
        <f>+ROUND(SUMIFS(CATEGORIAS[[#All],[PROYECCION
TOTAL DE COSTO]],CATEGORIAS[[#All],[CATEGORIA2]],Imputar[[#This Row],[Categoría]]),0)
-Imputar[[#This Row],[Inventario]]
-Imputar[[#This Row],[Pedidos no Rec]]</f>
        <v>-643160</v>
      </c>
      <c r="K49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3">
        <f>_xlfn.IFNA(VLOOKUP(Imputar[[#This Row],[Categoría]],EIMI!C:T,8,0),0)</f>
        <v>17933154</v>
      </c>
      <c r="M493">
        <f>_xlfn.IFNA(VLOOKUP(Imputar[[#This Row],[Categoría]],EIMI!C:T,9,0),0)</f>
        <v>363160</v>
      </c>
      <c r="N493">
        <f>_xlfn.IFNA(VLOOKUP(Imputar[[#This Row],[Categoría]],EIMI!C:T,10,0),0)</f>
        <v>280000</v>
      </c>
    </row>
    <row r="494" spans="1:14" x14ac:dyDescent="0.25">
      <c r="A494" s="210">
        <f>Indice!$I$11</f>
        <v>0</v>
      </c>
      <c r="B494" t="s">
        <v>1374</v>
      </c>
      <c r="C494" s="39">
        <f>Indice!$I$12</f>
        <v>45992</v>
      </c>
      <c r="E494">
        <f>ROUND(SUMIFS(CATEGORIAS[[#All],[TOTAL PRODUCCION
ACTUAL]],CATEGORIAS[[#All],[CATEGORIA2]],Imputar[[#This Row],[Categoría]]),0)</f>
        <v>0</v>
      </c>
      <c r="F494">
        <v>0</v>
      </c>
      <c r="G494">
        <f>ROUND(SUMIFS(CATEGORIAS[[#All],[PROYECCION
DE INGRESO
DEL SALDO]],CATEGORIAS[[#All],[CATEGORIA2]],Imputar[[#This Row],[Categoría]]),0)</f>
        <v>0</v>
      </c>
      <c r="H494">
        <f>ROUND(SUMIFS(CATEGORIAS[[#All],[CAMBIO DE
CATEGORIA]],CATEGORIAS[[#All],[CATEGORIA2]],Imputar[[#This Row],[Categoría]]),0)</f>
        <v>0</v>
      </c>
      <c r="I4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-5021588</v>
      </c>
      <c r="J494">
        <f>+ROUND(SUMIFS(CATEGORIAS[[#All],[PROYECCION
TOTAL DE COSTO]],CATEGORIAS[[#All],[CATEGORIA2]],Imputar[[#This Row],[Categoría]]),0)
-Imputar[[#This Row],[Inventario]]
-Imputar[[#This Row],[Pedidos no Rec]]</f>
        <v>0</v>
      </c>
      <c r="K49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4">
        <f>_xlfn.IFNA(VLOOKUP(Imputar[[#This Row],[Categoría]],EIMI!C:T,8,0),0)</f>
        <v>5021588</v>
      </c>
      <c r="M494">
        <f>_xlfn.IFNA(VLOOKUP(Imputar[[#This Row],[Categoría]],EIMI!C:T,9,0),0)</f>
        <v>0</v>
      </c>
      <c r="N494">
        <f>_xlfn.IFNA(VLOOKUP(Imputar[[#This Row],[Categoría]],EIMI!C:T,10,0),0)</f>
        <v>0</v>
      </c>
    </row>
    <row r="495" spans="1:14" hidden="1" x14ac:dyDescent="0.25">
      <c r="A495" s="210">
        <f>Indice!$I$11</f>
        <v>0</v>
      </c>
      <c r="B495" t="s">
        <v>1446</v>
      </c>
      <c r="C495" s="39">
        <f>Indice!$I$12</f>
        <v>45992</v>
      </c>
      <c r="E495">
        <f>ROUND(SUMIFS(CATEGORIAS[[#All],[TOTAL PRODUCCION
ACTUAL]],CATEGORIAS[[#All],[CATEGORIA2]],Imputar[[#This Row],[Categoría]]),0)</f>
        <v>0</v>
      </c>
      <c r="F495">
        <v>0</v>
      </c>
      <c r="G495">
        <f>ROUND(SUMIFS(CATEGORIAS[[#All],[PROYECCION
DE INGRESO
DEL SALDO]],CATEGORIAS[[#All],[CATEGORIA2]],Imputar[[#This Row],[Categoría]]),0)</f>
        <v>0</v>
      </c>
      <c r="H495">
        <f>ROUND(SUMIFS(CATEGORIAS[[#All],[CAMBIO DE
CATEGORIA]],CATEGORIAS[[#All],[CATEGORIA2]],Imputar[[#This Row],[Categoría]]),0)</f>
        <v>0</v>
      </c>
      <c r="I4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5">
        <f>+ROUND(SUMIFS(CATEGORIAS[[#All],[PROYECCION
TOTAL DE COSTO]],CATEGORIAS[[#All],[CATEGORIA2]],Imputar[[#This Row],[Categoría]]),0)
-Imputar[[#This Row],[Inventario]]
-Imputar[[#This Row],[Pedidos no Rec]]</f>
        <v>0</v>
      </c>
      <c r="K4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5">
        <f>_xlfn.IFNA(VLOOKUP(Imputar[[#This Row],[Categoría]],EIMI!C:T,8,0),0)</f>
        <v>0</v>
      </c>
      <c r="M495">
        <f>_xlfn.IFNA(VLOOKUP(Imputar[[#This Row],[Categoría]],EIMI!C:T,9,0),0)</f>
        <v>0</v>
      </c>
      <c r="N495">
        <f>_xlfn.IFNA(VLOOKUP(Imputar[[#This Row],[Categoría]],EIMI!C:T,10,0),0)</f>
        <v>0</v>
      </c>
    </row>
    <row r="496" spans="1:14" hidden="1" x14ac:dyDescent="0.25">
      <c r="A496" s="210">
        <f>Indice!$I$11</f>
        <v>0</v>
      </c>
      <c r="B496" t="s">
        <v>1447</v>
      </c>
      <c r="C496" s="39">
        <f>Indice!$I$12</f>
        <v>45992</v>
      </c>
      <c r="E496">
        <f>ROUND(SUMIFS(CATEGORIAS[[#All],[TOTAL PRODUCCION
ACTUAL]],CATEGORIAS[[#All],[CATEGORIA2]],Imputar[[#This Row],[Categoría]]),0)</f>
        <v>0</v>
      </c>
      <c r="F496">
        <v>0</v>
      </c>
      <c r="G496">
        <f>ROUND(SUMIFS(CATEGORIAS[[#All],[PROYECCION
DE INGRESO
DEL SALDO]],CATEGORIAS[[#All],[CATEGORIA2]],Imputar[[#This Row],[Categoría]]),0)</f>
        <v>0</v>
      </c>
      <c r="H496">
        <f>ROUND(SUMIFS(CATEGORIAS[[#All],[CAMBIO DE
CATEGORIA]],CATEGORIAS[[#All],[CATEGORIA2]],Imputar[[#This Row],[Categoría]]),0)</f>
        <v>0</v>
      </c>
      <c r="I4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6">
        <f>+ROUND(SUMIFS(CATEGORIAS[[#All],[PROYECCION
TOTAL DE COSTO]],CATEGORIAS[[#All],[CATEGORIA2]],Imputar[[#This Row],[Categoría]]),0)
-Imputar[[#This Row],[Inventario]]
-Imputar[[#This Row],[Pedidos no Rec]]</f>
        <v>0</v>
      </c>
      <c r="K4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6">
        <f>_xlfn.IFNA(VLOOKUP(Imputar[[#This Row],[Categoría]],EIMI!C:T,8,0),0)</f>
        <v>0</v>
      </c>
      <c r="M496">
        <f>_xlfn.IFNA(VLOOKUP(Imputar[[#This Row],[Categoría]],EIMI!C:T,9,0),0)</f>
        <v>0</v>
      </c>
      <c r="N496">
        <f>_xlfn.IFNA(VLOOKUP(Imputar[[#This Row],[Categoría]],EIMI!C:T,10,0),0)</f>
        <v>0</v>
      </c>
    </row>
    <row r="497" spans="1:14" hidden="1" x14ac:dyDescent="0.25">
      <c r="A497" s="210">
        <f>Indice!$I$11</f>
        <v>0</v>
      </c>
      <c r="B497" t="s">
        <v>1448</v>
      </c>
      <c r="C497" s="39">
        <f>Indice!$I$12</f>
        <v>45992</v>
      </c>
      <c r="E497">
        <f>ROUND(SUMIFS(CATEGORIAS[[#All],[TOTAL PRODUCCION
ACTUAL]],CATEGORIAS[[#All],[CATEGORIA2]],Imputar[[#This Row],[Categoría]]),0)</f>
        <v>0</v>
      </c>
      <c r="F497">
        <v>0</v>
      </c>
      <c r="G497">
        <f>ROUND(SUMIFS(CATEGORIAS[[#All],[PROYECCION
DE INGRESO
DEL SALDO]],CATEGORIAS[[#All],[CATEGORIA2]],Imputar[[#This Row],[Categoría]]),0)</f>
        <v>0</v>
      </c>
      <c r="H497">
        <f>ROUND(SUMIFS(CATEGORIAS[[#All],[CAMBIO DE
CATEGORIA]],CATEGORIAS[[#All],[CATEGORIA2]],Imputar[[#This Row],[Categoría]]),0)</f>
        <v>0</v>
      </c>
      <c r="I4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7">
        <f>+ROUND(SUMIFS(CATEGORIAS[[#All],[PROYECCION
TOTAL DE COSTO]],CATEGORIAS[[#All],[CATEGORIA2]],Imputar[[#This Row],[Categoría]]),0)
-Imputar[[#This Row],[Inventario]]
-Imputar[[#This Row],[Pedidos no Rec]]</f>
        <v>0</v>
      </c>
      <c r="K4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7">
        <f>_xlfn.IFNA(VLOOKUP(Imputar[[#This Row],[Categoría]],EIMI!C:T,8,0),0)</f>
        <v>0</v>
      </c>
      <c r="M497">
        <f>_xlfn.IFNA(VLOOKUP(Imputar[[#This Row],[Categoría]],EIMI!C:T,9,0),0)</f>
        <v>0</v>
      </c>
      <c r="N497">
        <f>_xlfn.IFNA(VLOOKUP(Imputar[[#This Row],[Categoría]],EIMI!C:T,10,0),0)</f>
        <v>0</v>
      </c>
    </row>
    <row r="498" spans="1:14" hidden="1" x14ac:dyDescent="0.25">
      <c r="A498" s="210">
        <f>Indice!$I$11</f>
        <v>0</v>
      </c>
      <c r="B498" t="s">
        <v>1449</v>
      </c>
      <c r="C498" s="39">
        <f>Indice!$I$12</f>
        <v>45992</v>
      </c>
      <c r="E498">
        <f>ROUND(SUMIFS(CATEGORIAS[[#All],[TOTAL PRODUCCION
ACTUAL]],CATEGORIAS[[#All],[CATEGORIA2]],Imputar[[#This Row],[Categoría]]),0)</f>
        <v>0</v>
      </c>
      <c r="F498">
        <v>0</v>
      </c>
      <c r="G498">
        <f>ROUND(SUMIFS(CATEGORIAS[[#All],[PROYECCION
DE INGRESO
DEL SALDO]],CATEGORIAS[[#All],[CATEGORIA2]],Imputar[[#This Row],[Categoría]]),0)</f>
        <v>0</v>
      </c>
      <c r="H498">
        <f>ROUND(SUMIFS(CATEGORIAS[[#All],[CAMBIO DE
CATEGORIA]],CATEGORIAS[[#All],[CATEGORIA2]],Imputar[[#This Row],[Categoría]]),0)</f>
        <v>0</v>
      </c>
      <c r="I4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8">
        <f>+ROUND(SUMIFS(CATEGORIAS[[#All],[PROYECCION
TOTAL DE COSTO]],CATEGORIAS[[#All],[CATEGORIA2]],Imputar[[#This Row],[Categoría]]),0)
-Imputar[[#This Row],[Inventario]]
-Imputar[[#This Row],[Pedidos no Rec]]</f>
        <v>0</v>
      </c>
      <c r="K4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8">
        <f>_xlfn.IFNA(VLOOKUP(Imputar[[#This Row],[Categoría]],EIMI!C:T,8,0),0)</f>
        <v>0</v>
      </c>
      <c r="M498">
        <f>_xlfn.IFNA(VLOOKUP(Imputar[[#This Row],[Categoría]],EIMI!C:T,9,0),0)</f>
        <v>0</v>
      </c>
      <c r="N498">
        <f>_xlfn.IFNA(VLOOKUP(Imputar[[#This Row],[Categoría]],EIMI!C:T,10,0),0)</f>
        <v>0</v>
      </c>
    </row>
    <row r="499" spans="1:14" hidden="1" x14ac:dyDescent="0.25">
      <c r="A499" s="210">
        <f>Indice!$I$11</f>
        <v>0</v>
      </c>
      <c r="B499" t="s">
        <v>1450</v>
      </c>
      <c r="C499" s="39">
        <f>Indice!$I$12</f>
        <v>45992</v>
      </c>
      <c r="E499">
        <f>ROUND(SUMIFS(CATEGORIAS[[#All],[TOTAL PRODUCCION
ACTUAL]],CATEGORIAS[[#All],[CATEGORIA2]],Imputar[[#This Row],[Categoría]]),0)</f>
        <v>0</v>
      </c>
      <c r="F499">
        <v>0</v>
      </c>
      <c r="G499">
        <f>ROUND(SUMIFS(CATEGORIAS[[#All],[PROYECCION
DE INGRESO
DEL SALDO]],CATEGORIAS[[#All],[CATEGORIA2]],Imputar[[#This Row],[Categoría]]),0)</f>
        <v>0</v>
      </c>
      <c r="H499">
        <f>ROUND(SUMIFS(CATEGORIAS[[#All],[CAMBIO DE
CATEGORIA]],CATEGORIAS[[#All],[CATEGORIA2]],Imputar[[#This Row],[Categoría]]),0)</f>
        <v>0</v>
      </c>
      <c r="I4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9">
        <f>+ROUND(SUMIFS(CATEGORIAS[[#All],[PROYECCION
TOTAL DE COSTO]],CATEGORIAS[[#All],[CATEGORIA2]],Imputar[[#This Row],[Categoría]]),0)
-Imputar[[#This Row],[Inventario]]
-Imputar[[#This Row],[Pedidos no Rec]]</f>
        <v>0</v>
      </c>
      <c r="K4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9">
        <f>_xlfn.IFNA(VLOOKUP(Imputar[[#This Row],[Categoría]],EIMI!C:T,8,0),0)</f>
        <v>0</v>
      </c>
      <c r="M499">
        <f>_xlfn.IFNA(VLOOKUP(Imputar[[#This Row],[Categoría]],EIMI!C:T,9,0),0)</f>
        <v>0</v>
      </c>
      <c r="N499">
        <f>_xlfn.IFNA(VLOOKUP(Imputar[[#This Row],[Categoría]],EIMI!C:T,10,0),0)</f>
        <v>0</v>
      </c>
    </row>
    <row r="500" spans="1:14" hidden="1" x14ac:dyDescent="0.25">
      <c r="A500" s="210">
        <f>Indice!$I$11</f>
        <v>0</v>
      </c>
      <c r="B500" t="s">
        <v>1377</v>
      </c>
      <c r="C500" s="39">
        <f>Indice!$I$12</f>
        <v>45992</v>
      </c>
      <c r="E500">
        <f>ROUND(SUMIFS(CATEGORIAS[[#All],[TOTAL PRODUCCION
ACTUAL]],CATEGORIAS[[#All],[CATEGORIA2]],Imputar[[#This Row],[Categoría]]),0)</f>
        <v>0</v>
      </c>
      <c r="F500">
        <v>0</v>
      </c>
      <c r="G500">
        <f>ROUND(SUMIFS(CATEGORIAS[[#All],[PROYECCION
DE INGRESO
DEL SALDO]],CATEGORIAS[[#All],[CATEGORIA2]],Imputar[[#This Row],[Categoría]]),0)</f>
        <v>0</v>
      </c>
      <c r="H500">
        <f>ROUND(SUMIFS(CATEGORIAS[[#All],[CAMBIO DE
CATEGORIA]],CATEGORIAS[[#All],[CATEGORIA2]],Imputar[[#This Row],[Categoría]]),0)</f>
        <v>0</v>
      </c>
      <c r="I5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0">
        <f>+ROUND(SUMIFS(CATEGORIAS[[#All],[PROYECCION
TOTAL DE COSTO]],CATEGORIAS[[#All],[CATEGORIA2]],Imputar[[#This Row],[Categoría]]),0)
-Imputar[[#This Row],[Inventario]]
-Imputar[[#This Row],[Pedidos no Rec]]</f>
        <v>0</v>
      </c>
      <c r="K5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0">
        <f>_xlfn.IFNA(VLOOKUP(Imputar[[#This Row],[Categoría]],EIMI!C:T,8,0),0)</f>
        <v>0</v>
      </c>
      <c r="M500">
        <f>_xlfn.IFNA(VLOOKUP(Imputar[[#This Row],[Categoría]],EIMI!C:T,9,0),0)</f>
        <v>0</v>
      </c>
      <c r="N500">
        <f>_xlfn.IFNA(VLOOKUP(Imputar[[#This Row],[Categoría]],EIMI!C:T,10,0),0)</f>
        <v>0</v>
      </c>
    </row>
    <row r="501" spans="1:14" hidden="1" x14ac:dyDescent="0.25">
      <c r="A501" s="210">
        <f>Indice!$I$11</f>
        <v>0</v>
      </c>
      <c r="B501" t="s">
        <v>1389</v>
      </c>
      <c r="C501" s="39">
        <f>Indice!$I$12</f>
        <v>45992</v>
      </c>
      <c r="E501">
        <f>ROUND(SUMIFS(CATEGORIAS[[#All],[TOTAL PRODUCCION
ACTUAL]],CATEGORIAS[[#All],[CATEGORIA2]],Imputar[[#This Row],[Categoría]]),0)</f>
        <v>0</v>
      </c>
      <c r="F501">
        <v>0</v>
      </c>
      <c r="G501">
        <f>ROUND(SUMIFS(CATEGORIAS[[#All],[PROYECCION
DE INGRESO
DEL SALDO]],CATEGORIAS[[#All],[CATEGORIA2]],Imputar[[#This Row],[Categoría]]),0)</f>
        <v>0</v>
      </c>
      <c r="H501">
        <f>ROUND(SUMIFS(CATEGORIAS[[#All],[CAMBIO DE
CATEGORIA]],CATEGORIAS[[#All],[CATEGORIA2]],Imputar[[#This Row],[Categoría]]),0)</f>
        <v>0</v>
      </c>
      <c r="I5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1">
        <f>+ROUND(SUMIFS(CATEGORIAS[[#All],[PROYECCION
TOTAL DE COSTO]],CATEGORIAS[[#All],[CATEGORIA2]],Imputar[[#This Row],[Categoría]]),0)
-Imputar[[#This Row],[Inventario]]
-Imputar[[#This Row],[Pedidos no Rec]]</f>
        <v>0</v>
      </c>
      <c r="K5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1">
        <f>_xlfn.IFNA(VLOOKUP(Imputar[[#This Row],[Categoría]],EIMI!C:T,8,0),0)</f>
        <v>0</v>
      </c>
      <c r="M501">
        <f>_xlfn.IFNA(VLOOKUP(Imputar[[#This Row],[Categoría]],EIMI!C:T,9,0),0)</f>
        <v>0</v>
      </c>
      <c r="N501">
        <f>_xlfn.IFNA(VLOOKUP(Imputar[[#This Row],[Categoría]],EIMI!C:T,10,0),0)</f>
        <v>0</v>
      </c>
    </row>
    <row r="502" spans="1:14" x14ac:dyDescent="0.25">
      <c r="A502" s="210">
        <f>Indice!$I$11</f>
        <v>0</v>
      </c>
      <c r="B502" t="s">
        <v>1390</v>
      </c>
      <c r="C502" s="39">
        <f>Indice!$I$12</f>
        <v>45992</v>
      </c>
      <c r="E502">
        <f>ROUND(SUMIFS(CATEGORIAS[[#All],[TOTAL PRODUCCION
ACTUAL]],CATEGORIAS[[#All],[CATEGORIA2]],Imputar[[#This Row],[Categoría]]),0)</f>
        <v>0</v>
      </c>
      <c r="F502">
        <v>0</v>
      </c>
      <c r="G502">
        <f>ROUND(SUMIFS(CATEGORIAS[[#All],[PROYECCION
DE INGRESO
DEL SALDO]],CATEGORIAS[[#All],[CATEGORIA2]],Imputar[[#This Row],[Categoría]]),0)</f>
        <v>0</v>
      </c>
      <c r="H502">
        <f>ROUND(SUMIFS(CATEGORIAS[[#All],[CAMBIO DE
CATEGORIA]],CATEGORIAS[[#All],[CATEGORIA2]],Imputar[[#This Row],[Categoría]]),0)</f>
        <v>0</v>
      </c>
      <c r="I5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2">
        <f>+ROUND(SUMIFS(CATEGORIAS[[#All],[PROYECCION
TOTAL DE COSTO]],CATEGORIAS[[#All],[CATEGORIA2]],Imputar[[#This Row],[Categoría]]),0)
-Imputar[[#This Row],[Inventario]]
-Imputar[[#This Row],[Pedidos no Rec]]</f>
        <v>0</v>
      </c>
      <c r="K5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2">
        <f>_xlfn.IFNA(VLOOKUP(Imputar[[#This Row],[Categoría]],EIMI!C:T,8,0),0)</f>
        <v>0</v>
      </c>
      <c r="M502">
        <f>_xlfn.IFNA(VLOOKUP(Imputar[[#This Row],[Categoría]],EIMI!C:T,9,0),0)</f>
        <v>0</v>
      </c>
      <c r="N502">
        <f>_xlfn.IFNA(VLOOKUP(Imputar[[#This Row],[Categoría]],EIMI!C:T,10,0),0)</f>
        <v>0</v>
      </c>
    </row>
    <row r="503" spans="1:14" hidden="1" x14ac:dyDescent="0.25">
      <c r="A503" s="210">
        <f>Indice!$I$11</f>
        <v>0</v>
      </c>
      <c r="B503" t="s">
        <v>1394</v>
      </c>
      <c r="C503" s="39">
        <f>Indice!$I$12</f>
        <v>45992</v>
      </c>
      <c r="E503">
        <f>ROUND(SUMIFS(CATEGORIAS[[#All],[TOTAL PRODUCCION
ACTUAL]],CATEGORIAS[[#All],[CATEGORIA2]],Imputar[[#This Row],[Categoría]]),0)</f>
        <v>0</v>
      </c>
      <c r="F503">
        <v>0</v>
      </c>
      <c r="G503">
        <f>ROUND(SUMIFS(CATEGORIAS[[#All],[PROYECCION
DE INGRESO
DEL SALDO]],CATEGORIAS[[#All],[CATEGORIA2]],Imputar[[#This Row],[Categoría]]),0)</f>
        <v>0</v>
      </c>
      <c r="H503">
        <f>ROUND(SUMIFS(CATEGORIAS[[#All],[CAMBIO DE
CATEGORIA]],CATEGORIAS[[#All],[CATEGORIA2]],Imputar[[#This Row],[Categoría]]),0)</f>
        <v>0</v>
      </c>
      <c r="I5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3">
        <f>+ROUND(SUMIFS(CATEGORIAS[[#All],[PROYECCION
TOTAL DE COSTO]],CATEGORIAS[[#All],[CATEGORIA2]],Imputar[[#This Row],[Categoría]]),0)
-Imputar[[#This Row],[Inventario]]
-Imputar[[#This Row],[Pedidos no Rec]]</f>
        <v>0</v>
      </c>
      <c r="K5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3">
        <f>_xlfn.IFNA(VLOOKUP(Imputar[[#This Row],[Categoría]],EIMI!C:T,8,0),0)</f>
        <v>0</v>
      </c>
      <c r="M503">
        <f>_xlfn.IFNA(VLOOKUP(Imputar[[#This Row],[Categoría]],EIMI!C:T,9,0),0)</f>
        <v>0</v>
      </c>
      <c r="N503">
        <f>_xlfn.IFNA(VLOOKUP(Imputar[[#This Row],[Categoría]],EIMI!C:T,10,0),0)</f>
        <v>0</v>
      </c>
    </row>
    <row r="504" spans="1:14" x14ac:dyDescent="0.25">
      <c r="A504" s="210">
        <f>Indice!$I$11</f>
        <v>0</v>
      </c>
      <c r="B504" t="s">
        <v>1395</v>
      </c>
      <c r="C504" s="39">
        <f>Indice!$I$12</f>
        <v>45992</v>
      </c>
      <c r="E504">
        <f>ROUND(SUMIFS(CATEGORIAS[[#All],[TOTAL PRODUCCION
ACTUAL]],CATEGORIAS[[#All],[CATEGORIA2]],Imputar[[#This Row],[Categoría]]),0)</f>
        <v>0</v>
      </c>
      <c r="F504">
        <v>0</v>
      </c>
      <c r="G504">
        <f>ROUND(SUMIFS(CATEGORIAS[[#All],[PROYECCION
DE INGRESO
DEL SALDO]],CATEGORIAS[[#All],[CATEGORIA2]],Imputar[[#This Row],[Categoría]]),0)</f>
        <v>0</v>
      </c>
      <c r="H504">
        <f>ROUND(SUMIFS(CATEGORIAS[[#All],[CAMBIO DE
CATEGORIA]],CATEGORIAS[[#All],[CATEGORIA2]],Imputar[[#This Row],[Categoría]]),0)</f>
        <v>0</v>
      </c>
      <c r="I5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4">
        <f>+ROUND(SUMIFS(CATEGORIAS[[#All],[PROYECCION
TOTAL DE COSTO]],CATEGORIAS[[#All],[CATEGORIA2]],Imputar[[#This Row],[Categoría]]),0)
-Imputar[[#This Row],[Inventario]]
-Imputar[[#This Row],[Pedidos no Rec]]</f>
        <v>0</v>
      </c>
      <c r="K5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4">
        <f>_xlfn.IFNA(VLOOKUP(Imputar[[#This Row],[Categoría]],EIMI!C:T,8,0),0)</f>
        <v>0</v>
      </c>
      <c r="M504">
        <f>_xlfn.IFNA(VLOOKUP(Imputar[[#This Row],[Categoría]],EIMI!C:T,9,0),0)</f>
        <v>0</v>
      </c>
      <c r="N504">
        <f>_xlfn.IFNA(VLOOKUP(Imputar[[#This Row],[Categoría]],EIMI!C:T,10,0),0)</f>
        <v>0</v>
      </c>
    </row>
    <row r="505" spans="1:14" hidden="1" x14ac:dyDescent="0.25">
      <c r="A505" s="210">
        <f>Indice!$I$11</f>
        <v>0</v>
      </c>
      <c r="B505" t="s">
        <v>1397</v>
      </c>
      <c r="C505" s="39">
        <f>Indice!$I$12</f>
        <v>45992</v>
      </c>
      <c r="E505">
        <f>ROUND(SUMIFS(CATEGORIAS[[#All],[TOTAL PRODUCCION
ACTUAL]],CATEGORIAS[[#All],[CATEGORIA2]],Imputar[[#This Row],[Categoría]]),0)</f>
        <v>0</v>
      </c>
      <c r="F505">
        <v>0</v>
      </c>
      <c r="G505">
        <f>ROUND(SUMIFS(CATEGORIAS[[#All],[PROYECCION
DE INGRESO
DEL SALDO]],CATEGORIAS[[#All],[CATEGORIA2]],Imputar[[#This Row],[Categoría]]),0)</f>
        <v>0</v>
      </c>
      <c r="H505">
        <f>ROUND(SUMIFS(CATEGORIAS[[#All],[CAMBIO DE
CATEGORIA]],CATEGORIAS[[#All],[CATEGORIA2]],Imputar[[#This Row],[Categoría]]),0)</f>
        <v>0</v>
      </c>
      <c r="I5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5">
        <f>+ROUND(SUMIFS(CATEGORIAS[[#All],[PROYECCION
TOTAL DE COSTO]],CATEGORIAS[[#All],[CATEGORIA2]],Imputar[[#This Row],[Categoría]]),0)
-Imputar[[#This Row],[Inventario]]
-Imputar[[#This Row],[Pedidos no Rec]]</f>
        <v>0</v>
      </c>
      <c r="K5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5">
        <f>_xlfn.IFNA(VLOOKUP(Imputar[[#This Row],[Categoría]],EIMI!C:T,8,0),0)</f>
        <v>0</v>
      </c>
      <c r="M505">
        <f>_xlfn.IFNA(VLOOKUP(Imputar[[#This Row],[Categoría]],EIMI!C:T,9,0),0)</f>
        <v>0</v>
      </c>
      <c r="N505">
        <f>_xlfn.IFNA(VLOOKUP(Imputar[[#This Row],[Categoría]],EIMI!C:T,10,0),0)</f>
        <v>0</v>
      </c>
    </row>
    <row r="506" spans="1:14" x14ac:dyDescent="0.25">
      <c r="A506" s="210">
        <f>Indice!$I$11</f>
        <v>0</v>
      </c>
      <c r="B506" t="s">
        <v>1399</v>
      </c>
      <c r="C506" s="39">
        <f>Indice!$I$12</f>
        <v>45992</v>
      </c>
      <c r="E506">
        <f>ROUND(SUMIFS(CATEGORIAS[[#All],[TOTAL PRODUCCION
ACTUAL]],CATEGORIAS[[#All],[CATEGORIA2]],Imputar[[#This Row],[Categoría]]),0)</f>
        <v>0</v>
      </c>
      <c r="F506">
        <v>0</v>
      </c>
      <c r="G506">
        <f>ROUND(SUMIFS(CATEGORIAS[[#All],[PROYECCION
DE INGRESO
DEL SALDO]],CATEGORIAS[[#All],[CATEGORIA2]],Imputar[[#This Row],[Categoría]]),0)</f>
        <v>0</v>
      </c>
      <c r="H506">
        <f>ROUND(SUMIFS(CATEGORIAS[[#All],[CAMBIO DE
CATEGORIA]],CATEGORIAS[[#All],[CATEGORIA2]],Imputar[[#This Row],[Categoría]]),0)</f>
        <v>0</v>
      </c>
      <c r="I5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-31272430</v>
      </c>
      <c r="J506">
        <f>+ROUND(SUMIFS(CATEGORIAS[[#All],[PROYECCION
TOTAL DE COSTO]],CATEGORIAS[[#All],[CATEGORIA2]],Imputar[[#This Row],[Categoría]]),0)
-Imputar[[#This Row],[Inventario]]
-Imputar[[#This Row],[Pedidos no Rec]]</f>
        <v>0</v>
      </c>
      <c r="K50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06">
        <f>_xlfn.IFNA(VLOOKUP(Imputar[[#This Row],[Categoría]],EIMI!C:T,8,0),0)</f>
        <v>31272430</v>
      </c>
      <c r="M506">
        <f>_xlfn.IFNA(VLOOKUP(Imputar[[#This Row],[Categoría]],EIMI!C:T,9,0),0)</f>
        <v>0</v>
      </c>
      <c r="N506">
        <f>_xlfn.IFNA(VLOOKUP(Imputar[[#This Row],[Categoría]],EIMI!C:T,10,0),0)</f>
        <v>0</v>
      </c>
    </row>
    <row r="507" spans="1:14" hidden="1" x14ac:dyDescent="0.25">
      <c r="A507" s="210">
        <f>Indice!$I$11</f>
        <v>0</v>
      </c>
      <c r="B507" t="s">
        <v>1401</v>
      </c>
      <c r="C507" s="39">
        <f>Indice!$I$12</f>
        <v>45992</v>
      </c>
      <c r="E507">
        <f>ROUND(SUMIFS(CATEGORIAS[[#All],[TOTAL PRODUCCION
ACTUAL]],CATEGORIAS[[#All],[CATEGORIA2]],Imputar[[#This Row],[Categoría]]),0)</f>
        <v>0</v>
      </c>
      <c r="F507">
        <v>0</v>
      </c>
      <c r="G507">
        <f>ROUND(SUMIFS(CATEGORIAS[[#All],[PROYECCION
DE INGRESO
DEL SALDO]],CATEGORIAS[[#All],[CATEGORIA2]],Imputar[[#This Row],[Categoría]]),0)</f>
        <v>0</v>
      </c>
      <c r="H507">
        <f>ROUND(SUMIFS(CATEGORIAS[[#All],[CAMBIO DE
CATEGORIA]],CATEGORIAS[[#All],[CATEGORIA2]],Imputar[[#This Row],[Categoría]]),0)</f>
        <v>0</v>
      </c>
      <c r="I5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7">
        <f>+ROUND(SUMIFS(CATEGORIAS[[#All],[PROYECCION
TOTAL DE COSTO]],CATEGORIAS[[#All],[CATEGORIA2]],Imputar[[#This Row],[Categoría]]),0)
-Imputar[[#This Row],[Inventario]]
-Imputar[[#This Row],[Pedidos no Rec]]</f>
        <v>0</v>
      </c>
      <c r="K5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7">
        <f>_xlfn.IFNA(VLOOKUP(Imputar[[#This Row],[Categoría]],EIMI!C:T,8,0),0)</f>
        <v>0</v>
      </c>
      <c r="M507">
        <f>_xlfn.IFNA(VLOOKUP(Imputar[[#This Row],[Categoría]],EIMI!C:T,9,0),0)</f>
        <v>0</v>
      </c>
      <c r="N507">
        <f>_xlfn.IFNA(VLOOKUP(Imputar[[#This Row],[Categoría]],EIMI!C:T,10,0),0)</f>
        <v>0</v>
      </c>
    </row>
    <row r="508" spans="1:14" x14ac:dyDescent="0.25">
      <c r="A508" s="210">
        <f>Indice!$I$11</f>
        <v>0</v>
      </c>
      <c r="B508" t="s">
        <v>1403</v>
      </c>
      <c r="C508" s="39">
        <f>Indice!$I$12</f>
        <v>45992</v>
      </c>
      <c r="E508">
        <f>ROUND(SUMIFS(CATEGORIAS[[#All],[TOTAL PRODUCCION
ACTUAL]],CATEGORIAS[[#All],[CATEGORIA2]],Imputar[[#This Row],[Categoría]]),0)</f>
        <v>0</v>
      </c>
      <c r="F508">
        <v>0</v>
      </c>
      <c r="G508">
        <f>ROUND(SUMIFS(CATEGORIAS[[#All],[PROYECCION
DE INGRESO
DEL SALDO]],CATEGORIAS[[#All],[CATEGORIA2]],Imputar[[#This Row],[Categoría]]),0)</f>
        <v>0</v>
      </c>
      <c r="H508">
        <f>ROUND(SUMIFS(CATEGORIAS[[#All],[CAMBIO DE
CATEGORIA]],CATEGORIAS[[#All],[CATEGORIA2]],Imputar[[#This Row],[Categoría]]),0)</f>
        <v>0</v>
      </c>
      <c r="I5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8">
        <f>+ROUND(SUMIFS(CATEGORIAS[[#All],[PROYECCION
TOTAL DE COSTO]],CATEGORIAS[[#All],[CATEGORIA2]],Imputar[[#This Row],[Categoría]]),0)
-Imputar[[#This Row],[Inventario]]
-Imputar[[#This Row],[Pedidos no Rec]]</f>
        <v>0</v>
      </c>
      <c r="K5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8">
        <f>_xlfn.IFNA(VLOOKUP(Imputar[[#This Row],[Categoría]],EIMI!C:T,8,0),0)</f>
        <v>0</v>
      </c>
      <c r="M508">
        <f>_xlfn.IFNA(VLOOKUP(Imputar[[#This Row],[Categoría]],EIMI!C:T,9,0),0)</f>
        <v>0</v>
      </c>
      <c r="N508">
        <f>_xlfn.IFNA(VLOOKUP(Imputar[[#This Row],[Categoría]],EIMI!C:T,10,0),0)</f>
        <v>0</v>
      </c>
    </row>
    <row r="509" spans="1:14" hidden="1" x14ac:dyDescent="0.25">
      <c r="A509" s="210">
        <f>Indice!$I$11</f>
        <v>0</v>
      </c>
      <c r="B509" t="s">
        <v>1405</v>
      </c>
      <c r="C509" s="39">
        <f>Indice!$I$12</f>
        <v>45992</v>
      </c>
      <c r="E509">
        <f>ROUND(SUMIFS(CATEGORIAS[[#All],[TOTAL PRODUCCION
ACTUAL]],CATEGORIAS[[#All],[CATEGORIA2]],Imputar[[#This Row],[Categoría]]),0)</f>
        <v>0</v>
      </c>
      <c r="F509">
        <v>0</v>
      </c>
      <c r="G509">
        <f>ROUND(SUMIFS(CATEGORIAS[[#All],[PROYECCION
DE INGRESO
DEL SALDO]],CATEGORIAS[[#All],[CATEGORIA2]],Imputar[[#This Row],[Categoría]]),0)</f>
        <v>0</v>
      </c>
      <c r="H509">
        <f>ROUND(SUMIFS(CATEGORIAS[[#All],[CAMBIO DE
CATEGORIA]],CATEGORIAS[[#All],[CATEGORIA2]],Imputar[[#This Row],[Categoría]]),0)</f>
        <v>0</v>
      </c>
      <c r="I5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9">
        <f>+ROUND(SUMIFS(CATEGORIAS[[#All],[PROYECCION
TOTAL DE COSTO]],CATEGORIAS[[#All],[CATEGORIA2]],Imputar[[#This Row],[Categoría]]),0)
-Imputar[[#This Row],[Inventario]]
-Imputar[[#This Row],[Pedidos no Rec]]</f>
        <v>0</v>
      </c>
      <c r="K5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9">
        <f>_xlfn.IFNA(VLOOKUP(Imputar[[#This Row],[Categoría]],EIMI!C:T,8,0),0)</f>
        <v>0</v>
      </c>
      <c r="M509">
        <f>_xlfn.IFNA(VLOOKUP(Imputar[[#This Row],[Categoría]],EIMI!C:T,9,0),0)</f>
        <v>0</v>
      </c>
      <c r="N509">
        <f>_xlfn.IFNA(VLOOKUP(Imputar[[#This Row],[Categoría]],EIMI!C:T,10,0),0)</f>
        <v>0</v>
      </c>
    </row>
    <row r="510" spans="1:14" x14ac:dyDescent="0.25">
      <c r="A510" s="210">
        <f>Indice!$I$11</f>
        <v>0</v>
      </c>
      <c r="B510" t="s">
        <v>1407</v>
      </c>
      <c r="C510" s="39">
        <f>Indice!$I$12</f>
        <v>45992</v>
      </c>
      <c r="E510">
        <f>ROUND(SUMIFS(CATEGORIAS[[#All],[TOTAL PRODUCCION
ACTUAL]],CATEGORIAS[[#All],[CATEGORIA2]],Imputar[[#This Row],[Categoría]]),0)</f>
        <v>0</v>
      </c>
      <c r="F510">
        <v>0</v>
      </c>
      <c r="G510">
        <f>ROUND(SUMIFS(CATEGORIAS[[#All],[PROYECCION
DE INGRESO
DEL SALDO]],CATEGORIAS[[#All],[CATEGORIA2]],Imputar[[#This Row],[Categoría]]),0)</f>
        <v>0</v>
      </c>
      <c r="H510">
        <f>ROUND(SUMIFS(CATEGORIAS[[#All],[CAMBIO DE
CATEGORIA]],CATEGORIAS[[#All],[CATEGORIA2]],Imputar[[#This Row],[Categoría]]),0)</f>
        <v>0</v>
      </c>
      <c r="I5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0">
        <f>+ROUND(SUMIFS(CATEGORIAS[[#All],[PROYECCION
TOTAL DE COSTO]],CATEGORIAS[[#All],[CATEGORIA2]],Imputar[[#This Row],[Categoría]]),0)
-Imputar[[#This Row],[Inventario]]
-Imputar[[#This Row],[Pedidos no Rec]]</f>
        <v>0</v>
      </c>
      <c r="K5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0">
        <f>_xlfn.IFNA(VLOOKUP(Imputar[[#This Row],[Categoría]],EIMI!C:T,8,0),0)</f>
        <v>0</v>
      </c>
      <c r="M510">
        <f>_xlfn.IFNA(VLOOKUP(Imputar[[#This Row],[Categoría]],EIMI!C:T,9,0),0)</f>
        <v>0</v>
      </c>
      <c r="N510">
        <f>_xlfn.IFNA(VLOOKUP(Imputar[[#This Row],[Categoría]],EIMI!C:T,10,0),0)</f>
        <v>0</v>
      </c>
    </row>
    <row r="511" spans="1:14" hidden="1" x14ac:dyDescent="0.25">
      <c r="A511" s="210">
        <f>Indice!$I$11</f>
        <v>0</v>
      </c>
      <c r="B511" t="s">
        <v>1409</v>
      </c>
      <c r="C511" s="39">
        <f>Indice!$I$12</f>
        <v>45992</v>
      </c>
      <c r="E511">
        <f>ROUND(SUMIFS(CATEGORIAS[[#All],[TOTAL PRODUCCION
ACTUAL]],CATEGORIAS[[#All],[CATEGORIA2]],Imputar[[#This Row],[Categoría]]),0)</f>
        <v>0</v>
      </c>
      <c r="F511">
        <v>0</v>
      </c>
      <c r="G511">
        <f>ROUND(SUMIFS(CATEGORIAS[[#All],[PROYECCION
DE INGRESO
DEL SALDO]],CATEGORIAS[[#All],[CATEGORIA2]],Imputar[[#This Row],[Categoría]]),0)</f>
        <v>0</v>
      </c>
      <c r="H511">
        <f>ROUND(SUMIFS(CATEGORIAS[[#All],[CAMBIO DE
CATEGORIA]],CATEGORIAS[[#All],[CATEGORIA2]],Imputar[[#This Row],[Categoría]]),0)</f>
        <v>0</v>
      </c>
      <c r="I5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1">
        <f>+ROUND(SUMIFS(CATEGORIAS[[#All],[PROYECCION
TOTAL DE COSTO]],CATEGORIAS[[#All],[CATEGORIA2]],Imputar[[#This Row],[Categoría]]),0)
-Imputar[[#This Row],[Inventario]]
-Imputar[[#This Row],[Pedidos no Rec]]</f>
        <v>0</v>
      </c>
      <c r="K5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1">
        <f>_xlfn.IFNA(VLOOKUP(Imputar[[#This Row],[Categoría]],EIMI!C:T,8,0),0)</f>
        <v>0</v>
      </c>
      <c r="M511">
        <f>_xlfn.IFNA(VLOOKUP(Imputar[[#This Row],[Categoría]],EIMI!C:T,9,0),0)</f>
        <v>0</v>
      </c>
      <c r="N511">
        <f>_xlfn.IFNA(VLOOKUP(Imputar[[#This Row],[Categoría]],EIMI!C:T,10,0),0)</f>
        <v>0</v>
      </c>
    </row>
    <row r="512" spans="1:14" x14ac:dyDescent="0.25">
      <c r="A512" s="210">
        <f>Indice!$I$11</f>
        <v>0</v>
      </c>
      <c r="B512" t="s">
        <v>1411</v>
      </c>
      <c r="C512" s="39">
        <f>Indice!$I$12</f>
        <v>45992</v>
      </c>
      <c r="E512">
        <f>ROUND(SUMIFS(CATEGORIAS[[#All],[TOTAL PRODUCCION
ACTUAL]],CATEGORIAS[[#All],[CATEGORIA2]],Imputar[[#This Row],[Categoría]]),0)</f>
        <v>0</v>
      </c>
      <c r="F512">
        <v>0</v>
      </c>
      <c r="G512">
        <f>ROUND(SUMIFS(CATEGORIAS[[#All],[PROYECCION
DE INGRESO
DEL SALDO]],CATEGORIAS[[#All],[CATEGORIA2]],Imputar[[#This Row],[Categoría]]),0)</f>
        <v>0</v>
      </c>
      <c r="H512">
        <f>ROUND(SUMIFS(CATEGORIAS[[#All],[CAMBIO DE
CATEGORIA]],CATEGORIAS[[#All],[CATEGORIA2]],Imputar[[#This Row],[Categoría]]),0)</f>
        <v>0</v>
      </c>
      <c r="I5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2">
        <f>+ROUND(SUMIFS(CATEGORIAS[[#All],[PROYECCION
TOTAL DE COSTO]],CATEGORIAS[[#All],[CATEGORIA2]],Imputar[[#This Row],[Categoría]]),0)
-Imputar[[#This Row],[Inventario]]
-Imputar[[#This Row],[Pedidos no Rec]]</f>
        <v>0</v>
      </c>
      <c r="K5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2">
        <f>_xlfn.IFNA(VLOOKUP(Imputar[[#This Row],[Categoría]],EIMI!C:T,8,0),0)</f>
        <v>0</v>
      </c>
      <c r="M512">
        <f>_xlfn.IFNA(VLOOKUP(Imputar[[#This Row],[Categoría]],EIMI!C:T,9,0),0)</f>
        <v>0</v>
      </c>
      <c r="N512">
        <f>_xlfn.IFNA(VLOOKUP(Imputar[[#This Row],[Categoría]],EIMI!C:T,10,0),0)</f>
        <v>0</v>
      </c>
    </row>
    <row r="513" spans="1:14" hidden="1" x14ac:dyDescent="0.25">
      <c r="A513" s="210">
        <f>Indice!$I$11</f>
        <v>0</v>
      </c>
      <c r="B513" t="s">
        <v>415</v>
      </c>
      <c r="C513" s="39">
        <f>Indice!$I$12</f>
        <v>45992</v>
      </c>
      <c r="E513">
        <f>ROUND(SUMIFS(CATEGORIAS[[#All],[TOTAL PRODUCCION
ACTUAL]],CATEGORIAS[[#All],[CATEGORIA2]],Imputar[[#This Row],[Categoría]]),0)</f>
        <v>0</v>
      </c>
      <c r="F513">
        <v>0</v>
      </c>
      <c r="G513">
        <f>ROUND(SUMIFS(CATEGORIAS[[#All],[PROYECCION
DE INGRESO
DEL SALDO]],CATEGORIAS[[#All],[CATEGORIA2]],Imputar[[#This Row],[Categoría]]),0)</f>
        <v>0</v>
      </c>
      <c r="H513">
        <f>ROUND(SUMIFS(CATEGORIAS[[#All],[CAMBIO DE
CATEGORIA]],CATEGORIAS[[#All],[CATEGORIA2]],Imputar[[#This Row],[Categoría]]),0)</f>
        <v>0</v>
      </c>
      <c r="I5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3">
        <f>+ROUND(SUMIFS(CATEGORIAS[[#All],[PROYECCION
TOTAL DE COSTO]],CATEGORIAS[[#All],[CATEGORIA2]],Imputar[[#This Row],[Categoría]]),0)
-Imputar[[#This Row],[Inventario]]
-Imputar[[#This Row],[Pedidos no Rec]]</f>
        <v>0</v>
      </c>
      <c r="K5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3">
        <f>_xlfn.IFNA(VLOOKUP(Imputar[[#This Row],[Categoría]],EIMI!C:T,8,0),0)</f>
        <v>0</v>
      </c>
      <c r="M513">
        <f>_xlfn.IFNA(VLOOKUP(Imputar[[#This Row],[Categoría]],EIMI!C:T,9,0),0)</f>
        <v>0</v>
      </c>
      <c r="N513">
        <f>_xlfn.IFNA(VLOOKUP(Imputar[[#This Row],[Categoría]],EIMI!C:T,10,0),0)</f>
        <v>0</v>
      </c>
    </row>
    <row r="514" spans="1:14" hidden="1" x14ac:dyDescent="0.25">
      <c r="A514" s="210">
        <f>Indice!$I$11</f>
        <v>0</v>
      </c>
      <c r="B514" t="s">
        <v>417</v>
      </c>
      <c r="C514" s="39">
        <f>Indice!$I$12</f>
        <v>45992</v>
      </c>
      <c r="E514">
        <f>ROUND(SUMIFS(CATEGORIAS[[#All],[TOTAL PRODUCCION
ACTUAL]],CATEGORIAS[[#All],[CATEGORIA2]],Imputar[[#This Row],[Categoría]]),0)</f>
        <v>0</v>
      </c>
      <c r="F514">
        <v>0</v>
      </c>
      <c r="G514">
        <f>ROUND(SUMIFS(CATEGORIAS[[#All],[PROYECCION
DE INGRESO
DEL SALDO]],CATEGORIAS[[#All],[CATEGORIA2]],Imputar[[#This Row],[Categoría]]),0)</f>
        <v>0</v>
      </c>
      <c r="H514">
        <f>ROUND(SUMIFS(CATEGORIAS[[#All],[CAMBIO DE
CATEGORIA]],CATEGORIAS[[#All],[CATEGORIA2]],Imputar[[#This Row],[Categoría]]),0)</f>
        <v>0</v>
      </c>
      <c r="I5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4">
        <f>+ROUND(SUMIFS(CATEGORIAS[[#All],[PROYECCION
TOTAL DE COSTO]],CATEGORIAS[[#All],[CATEGORIA2]],Imputar[[#This Row],[Categoría]]),0)
-Imputar[[#This Row],[Inventario]]
-Imputar[[#This Row],[Pedidos no Rec]]</f>
        <v>0</v>
      </c>
      <c r="K5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4">
        <f>_xlfn.IFNA(VLOOKUP(Imputar[[#This Row],[Categoría]],EIMI!C:T,8,0),0)</f>
        <v>0</v>
      </c>
      <c r="M514">
        <f>_xlfn.IFNA(VLOOKUP(Imputar[[#This Row],[Categoría]],EIMI!C:T,9,0),0)</f>
        <v>0</v>
      </c>
      <c r="N514">
        <f>_xlfn.IFNA(VLOOKUP(Imputar[[#This Row],[Categoría]],EIMI!C:T,10,0),0)</f>
        <v>0</v>
      </c>
    </row>
    <row r="515" spans="1:14" hidden="1" x14ac:dyDescent="0.25">
      <c r="A515" s="210">
        <f>Indice!$I$11</f>
        <v>0</v>
      </c>
      <c r="B515" t="s">
        <v>424</v>
      </c>
      <c r="C515" s="39">
        <f>Indice!$I$12</f>
        <v>45992</v>
      </c>
      <c r="E515">
        <f>ROUND(SUMIFS(CATEGORIAS[[#All],[TOTAL PRODUCCION
ACTUAL]],CATEGORIAS[[#All],[CATEGORIA2]],Imputar[[#This Row],[Categoría]]),0)</f>
        <v>0</v>
      </c>
      <c r="F515">
        <v>0</v>
      </c>
      <c r="G515">
        <f>ROUND(SUMIFS(CATEGORIAS[[#All],[PROYECCION
DE INGRESO
DEL SALDO]],CATEGORIAS[[#All],[CATEGORIA2]],Imputar[[#This Row],[Categoría]]),0)</f>
        <v>0</v>
      </c>
      <c r="H515">
        <f>ROUND(SUMIFS(CATEGORIAS[[#All],[CAMBIO DE
CATEGORIA]],CATEGORIAS[[#All],[CATEGORIA2]],Imputar[[#This Row],[Categoría]]),0)</f>
        <v>0</v>
      </c>
      <c r="I5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5">
        <f>+ROUND(SUMIFS(CATEGORIAS[[#All],[PROYECCION
TOTAL DE COSTO]],CATEGORIAS[[#All],[CATEGORIA2]],Imputar[[#This Row],[Categoría]]),0)
-Imputar[[#This Row],[Inventario]]
-Imputar[[#This Row],[Pedidos no Rec]]</f>
        <v>0</v>
      </c>
      <c r="K5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5">
        <f>_xlfn.IFNA(VLOOKUP(Imputar[[#This Row],[Categoría]],EIMI!C:T,8,0),0)</f>
        <v>0</v>
      </c>
      <c r="M515">
        <f>_xlfn.IFNA(VLOOKUP(Imputar[[#This Row],[Categoría]],EIMI!C:T,9,0),0)</f>
        <v>0</v>
      </c>
      <c r="N515">
        <f>_xlfn.IFNA(VLOOKUP(Imputar[[#This Row],[Categoría]],EIMI!C:T,10,0),0)</f>
        <v>0</v>
      </c>
    </row>
    <row r="516" spans="1:14" hidden="1" x14ac:dyDescent="0.25">
      <c r="A516" s="210">
        <f>Indice!$I$11</f>
        <v>0</v>
      </c>
      <c r="B516" t="s">
        <v>443</v>
      </c>
      <c r="C516" s="39">
        <f>Indice!$I$12</f>
        <v>45992</v>
      </c>
      <c r="E516">
        <f>ROUND(SUMIFS(CATEGORIAS[[#All],[TOTAL PRODUCCION
ACTUAL]],CATEGORIAS[[#All],[CATEGORIA2]],Imputar[[#This Row],[Categoría]]),0)</f>
        <v>0</v>
      </c>
      <c r="F516">
        <v>0</v>
      </c>
      <c r="G516">
        <f>ROUND(SUMIFS(CATEGORIAS[[#All],[PROYECCION
DE INGRESO
DEL SALDO]],CATEGORIAS[[#All],[CATEGORIA2]],Imputar[[#This Row],[Categoría]]),0)</f>
        <v>0</v>
      </c>
      <c r="H516">
        <f>ROUND(SUMIFS(CATEGORIAS[[#All],[CAMBIO DE
CATEGORIA]],CATEGORIAS[[#All],[CATEGORIA2]],Imputar[[#This Row],[Categoría]]),0)</f>
        <v>0</v>
      </c>
      <c r="I5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6">
        <f>+ROUND(SUMIFS(CATEGORIAS[[#All],[PROYECCION
TOTAL DE COSTO]],CATEGORIAS[[#All],[CATEGORIA2]],Imputar[[#This Row],[Categoría]]),0)
-Imputar[[#This Row],[Inventario]]
-Imputar[[#This Row],[Pedidos no Rec]]</f>
        <v>0</v>
      </c>
      <c r="K5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6">
        <f>_xlfn.IFNA(VLOOKUP(Imputar[[#This Row],[Categoría]],EIMI!C:T,8,0),0)</f>
        <v>0</v>
      </c>
      <c r="M516">
        <f>_xlfn.IFNA(VLOOKUP(Imputar[[#This Row],[Categoría]],EIMI!C:T,9,0),0)</f>
        <v>0</v>
      </c>
      <c r="N516">
        <f>_xlfn.IFNA(VLOOKUP(Imputar[[#This Row],[Categoría]],EIMI!C:T,10,0),0)</f>
        <v>0</v>
      </c>
    </row>
    <row r="517" spans="1:14" hidden="1" x14ac:dyDescent="0.25">
      <c r="A517" s="210">
        <f>Indice!$I$11</f>
        <v>0</v>
      </c>
      <c r="B517" t="s">
        <v>445</v>
      </c>
      <c r="C517" s="39">
        <f>Indice!$I$12</f>
        <v>45992</v>
      </c>
      <c r="E517">
        <f>ROUND(SUMIFS(CATEGORIAS[[#All],[TOTAL PRODUCCION
ACTUAL]],CATEGORIAS[[#All],[CATEGORIA2]],Imputar[[#This Row],[Categoría]]),0)</f>
        <v>0</v>
      </c>
      <c r="F517">
        <v>0</v>
      </c>
      <c r="G517">
        <f>ROUND(SUMIFS(CATEGORIAS[[#All],[PROYECCION
DE INGRESO
DEL SALDO]],CATEGORIAS[[#All],[CATEGORIA2]],Imputar[[#This Row],[Categoría]]),0)</f>
        <v>0</v>
      </c>
      <c r="H517">
        <f>ROUND(SUMIFS(CATEGORIAS[[#All],[CAMBIO DE
CATEGORIA]],CATEGORIAS[[#All],[CATEGORIA2]],Imputar[[#This Row],[Categoría]]),0)</f>
        <v>0</v>
      </c>
      <c r="I5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7">
        <f>+ROUND(SUMIFS(CATEGORIAS[[#All],[PROYECCION
TOTAL DE COSTO]],CATEGORIAS[[#All],[CATEGORIA2]],Imputar[[#This Row],[Categoría]]),0)
-Imputar[[#This Row],[Inventario]]
-Imputar[[#This Row],[Pedidos no Rec]]</f>
        <v>0</v>
      </c>
      <c r="K5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7">
        <f>_xlfn.IFNA(VLOOKUP(Imputar[[#This Row],[Categoría]],EIMI!C:T,8,0),0)</f>
        <v>0</v>
      </c>
      <c r="M517">
        <f>_xlfn.IFNA(VLOOKUP(Imputar[[#This Row],[Categoría]],EIMI!C:T,9,0),0)</f>
        <v>0</v>
      </c>
      <c r="N517">
        <f>_xlfn.IFNA(VLOOKUP(Imputar[[#This Row],[Categoría]],EIMI!C:T,10,0),0)</f>
        <v>0</v>
      </c>
    </row>
    <row r="518" spans="1:14" hidden="1" x14ac:dyDescent="0.25">
      <c r="A518" s="210">
        <f>Indice!$I$11</f>
        <v>0</v>
      </c>
      <c r="B518" t="s">
        <v>452</v>
      </c>
      <c r="C518" s="39">
        <f>Indice!$I$12</f>
        <v>45992</v>
      </c>
      <c r="E518">
        <f>ROUND(SUMIFS(CATEGORIAS[[#All],[TOTAL PRODUCCION
ACTUAL]],CATEGORIAS[[#All],[CATEGORIA2]],Imputar[[#This Row],[Categoría]]),0)</f>
        <v>0</v>
      </c>
      <c r="F518">
        <v>0</v>
      </c>
      <c r="G518">
        <f>ROUND(SUMIFS(CATEGORIAS[[#All],[PROYECCION
DE INGRESO
DEL SALDO]],CATEGORIAS[[#All],[CATEGORIA2]],Imputar[[#This Row],[Categoría]]),0)</f>
        <v>0</v>
      </c>
      <c r="H518">
        <f>ROUND(SUMIFS(CATEGORIAS[[#All],[CAMBIO DE
CATEGORIA]],CATEGORIAS[[#All],[CATEGORIA2]],Imputar[[#This Row],[Categoría]]),0)</f>
        <v>0</v>
      </c>
      <c r="I5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8">
        <f>+ROUND(SUMIFS(CATEGORIAS[[#All],[PROYECCION
TOTAL DE COSTO]],CATEGORIAS[[#All],[CATEGORIA2]],Imputar[[#This Row],[Categoría]]),0)
-Imputar[[#This Row],[Inventario]]
-Imputar[[#This Row],[Pedidos no Rec]]</f>
        <v>0</v>
      </c>
      <c r="K5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8">
        <f>_xlfn.IFNA(VLOOKUP(Imputar[[#This Row],[Categoría]],EIMI!C:T,8,0),0)</f>
        <v>0</v>
      </c>
      <c r="M518">
        <f>_xlfn.IFNA(VLOOKUP(Imputar[[#This Row],[Categoría]],EIMI!C:T,9,0),0)</f>
        <v>0</v>
      </c>
      <c r="N518">
        <f>_xlfn.IFNA(VLOOKUP(Imputar[[#This Row],[Categoría]],EIMI!C:T,10,0),0)</f>
        <v>0</v>
      </c>
    </row>
    <row r="519" spans="1:14" hidden="1" x14ac:dyDescent="0.25">
      <c r="A519" s="210">
        <f>Indice!$I$11</f>
        <v>0</v>
      </c>
      <c r="B519" t="s">
        <v>454</v>
      </c>
      <c r="C519" s="39">
        <f>Indice!$I$12</f>
        <v>45992</v>
      </c>
      <c r="E519">
        <f>ROUND(SUMIFS(CATEGORIAS[[#All],[TOTAL PRODUCCION
ACTUAL]],CATEGORIAS[[#All],[CATEGORIA2]],Imputar[[#This Row],[Categoría]]),0)</f>
        <v>0</v>
      </c>
      <c r="F519">
        <v>0</v>
      </c>
      <c r="G519">
        <f>ROUND(SUMIFS(CATEGORIAS[[#All],[PROYECCION
DE INGRESO
DEL SALDO]],CATEGORIAS[[#All],[CATEGORIA2]],Imputar[[#This Row],[Categoría]]),0)</f>
        <v>0</v>
      </c>
      <c r="H519">
        <f>ROUND(SUMIFS(CATEGORIAS[[#All],[CAMBIO DE
CATEGORIA]],CATEGORIAS[[#All],[CATEGORIA2]],Imputar[[#This Row],[Categoría]]),0)</f>
        <v>0</v>
      </c>
      <c r="I5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9">
        <f>+ROUND(SUMIFS(CATEGORIAS[[#All],[PROYECCION
TOTAL DE COSTO]],CATEGORIAS[[#All],[CATEGORIA2]],Imputar[[#This Row],[Categoría]]),0)
-Imputar[[#This Row],[Inventario]]
-Imputar[[#This Row],[Pedidos no Rec]]</f>
        <v>0</v>
      </c>
      <c r="K5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9">
        <f>_xlfn.IFNA(VLOOKUP(Imputar[[#This Row],[Categoría]],EIMI!C:T,8,0),0)</f>
        <v>0</v>
      </c>
      <c r="M519">
        <f>_xlfn.IFNA(VLOOKUP(Imputar[[#This Row],[Categoría]],EIMI!C:T,9,0),0)</f>
        <v>0</v>
      </c>
      <c r="N519">
        <f>_xlfn.IFNA(VLOOKUP(Imputar[[#This Row],[Categoría]],EIMI!C:T,10,0),0)</f>
        <v>0</v>
      </c>
    </row>
    <row r="520" spans="1:14" hidden="1" x14ac:dyDescent="0.25">
      <c r="A520" s="210">
        <f>Indice!$I$11</f>
        <v>0</v>
      </c>
      <c r="B520" t="s">
        <v>497</v>
      </c>
      <c r="C520" s="39">
        <f>Indice!$I$12</f>
        <v>45992</v>
      </c>
      <c r="E520">
        <f>ROUND(SUMIFS(CATEGORIAS[[#All],[TOTAL PRODUCCION
ACTUAL]],CATEGORIAS[[#All],[CATEGORIA2]],Imputar[[#This Row],[Categoría]]),0)</f>
        <v>0</v>
      </c>
      <c r="F520">
        <v>0</v>
      </c>
      <c r="G520">
        <f>ROUND(SUMIFS(CATEGORIAS[[#All],[PROYECCION
DE INGRESO
DEL SALDO]],CATEGORIAS[[#All],[CATEGORIA2]],Imputar[[#This Row],[Categoría]]),0)</f>
        <v>0</v>
      </c>
      <c r="H520">
        <f>ROUND(SUMIFS(CATEGORIAS[[#All],[CAMBIO DE
CATEGORIA]],CATEGORIAS[[#All],[CATEGORIA2]],Imputar[[#This Row],[Categoría]]),0)</f>
        <v>0</v>
      </c>
      <c r="I5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0">
        <f>+ROUND(SUMIFS(CATEGORIAS[[#All],[PROYECCION
TOTAL DE COSTO]],CATEGORIAS[[#All],[CATEGORIA2]],Imputar[[#This Row],[Categoría]]),0)
-Imputar[[#This Row],[Inventario]]
-Imputar[[#This Row],[Pedidos no Rec]]</f>
        <v>0</v>
      </c>
      <c r="K5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0">
        <f>_xlfn.IFNA(VLOOKUP(Imputar[[#This Row],[Categoría]],EIMI!C:T,8,0),0)</f>
        <v>0</v>
      </c>
      <c r="M520">
        <f>_xlfn.IFNA(VLOOKUP(Imputar[[#This Row],[Categoría]],EIMI!C:T,9,0),0)</f>
        <v>0</v>
      </c>
      <c r="N520">
        <f>_xlfn.IFNA(VLOOKUP(Imputar[[#This Row],[Categoría]],EIMI!C:T,10,0),0)</f>
        <v>0</v>
      </c>
    </row>
    <row r="521" spans="1:14" hidden="1" x14ac:dyDescent="0.25">
      <c r="A521" s="210">
        <f>Indice!$I$11</f>
        <v>0</v>
      </c>
      <c r="B521" t="s">
        <v>684</v>
      </c>
      <c r="C521" s="39">
        <f>Indice!$I$12</f>
        <v>45992</v>
      </c>
      <c r="E521">
        <f>ROUND(SUMIFS(CATEGORIAS[[#All],[TOTAL PRODUCCION
ACTUAL]],CATEGORIAS[[#All],[CATEGORIA2]],Imputar[[#This Row],[Categoría]]),0)</f>
        <v>0</v>
      </c>
      <c r="F521">
        <v>0</v>
      </c>
      <c r="G521">
        <f>ROUND(SUMIFS(CATEGORIAS[[#All],[PROYECCION
DE INGRESO
DEL SALDO]],CATEGORIAS[[#All],[CATEGORIA2]],Imputar[[#This Row],[Categoría]]),0)</f>
        <v>0</v>
      </c>
      <c r="H521">
        <f>ROUND(SUMIFS(CATEGORIAS[[#All],[CAMBIO DE
CATEGORIA]],CATEGORIAS[[#All],[CATEGORIA2]],Imputar[[#This Row],[Categoría]]),0)</f>
        <v>0</v>
      </c>
      <c r="I5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1">
        <f>+ROUND(SUMIFS(CATEGORIAS[[#All],[PROYECCION
TOTAL DE COSTO]],CATEGORIAS[[#All],[CATEGORIA2]],Imputar[[#This Row],[Categoría]]),0)
-Imputar[[#This Row],[Inventario]]
-Imputar[[#This Row],[Pedidos no Rec]]</f>
        <v>0</v>
      </c>
      <c r="K5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1">
        <f>_xlfn.IFNA(VLOOKUP(Imputar[[#This Row],[Categoría]],EIMI!C:T,8,0),0)</f>
        <v>0</v>
      </c>
      <c r="M521">
        <f>_xlfn.IFNA(VLOOKUP(Imputar[[#This Row],[Categoría]],EIMI!C:T,9,0),0)</f>
        <v>0</v>
      </c>
      <c r="N521">
        <f>_xlfn.IFNA(VLOOKUP(Imputar[[#This Row],[Categoría]],EIMI!C:T,10,0),0)</f>
        <v>0</v>
      </c>
    </row>
    <row r="522" spans="1:14" hidden="1" x14ac:dyDescent="0.25">
      <c r="A522" s="210">
        <f>Indice!$I$11</f>
        <v>0</v>
      </c>
      <c r="B522" t="s">
        <v>686</v>
      </c>
      <c r="C522" s="39">
        <f>Indice!$I$12</f>
        <v>45992</v>
      </c>
      <c r="E522">
        <f>ROUND(SUMIFS(CATEGORIAS[[#All],[TOTAL PRODUCCION
ACTUAL]],CATEGORIAS[[#All],[CATEGORIA2]],Imputar[[#This Row],[Categoría]]),0)</f>
        <v>0</v>
      </c>
      <c r="F522">
        <v>0</v>
      </c>
      <c r="G522">
        <f>ROUND(SUMIFS(CATEGORIAS[[#All],[PROYECCION
DE INGRESO
DEL SALDO]],CATEGORIAS[[#All],[CATEGORIA2]],Imputar[[#This Row],[Categoría]]),0)</f>
        <v>0</v>
      </c>
      <c r="H522">
        <f>ROUND(SUMIFS(CATEGORIAS[[#All],[CAMBIO DE
CATEGORIA]],CATEGORIAS[[#All],[CATEGORIA2]],Imputar[[#This Row],[Categoría]]),0)</f>
        <v>0</v>
      </c>
      <c r="I5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2">
        <f>+ROUND(SUMIFS(CATEGORIAS[[#All],[PROYECCION
TOTAL DE COSTO]],CATEGORIAS[[#All],[CATEGORIA2]],Imputar[[#This Row],[Categoría]]),0)
-Imputar[[#This Row],[Inventario]]
-Imputar[[#This Row],[Pedidos no Rec]]</f>
        <v>0</v>
      </c>
      <c r="K5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2">
        <f>_xlfn.IFNA(VLOOKUP(Imputar[[#This Row],[Categoría]],EIMI!C:T,8,0),0)</f>
        <v>0</v>
      </c>
      <c r="M522">
        <f>_xlfn.IFNA(VLOOKUP(Imputar[[#This Row],[Categoría]],EIMI!C:T,9,0),0)</f>
        <v>0</v>
      </c>
      <c r="N522">
        <f>_xlfn.IFNA(VLOOKUP(Imputar[[#This Row],[Categoría]],EIMI!C:T,10,0),0)</f>
        <v>0</v>
      </c>
    </row>
    <row r="523" spans="1:14" hidden="1" x14ac:dyDescent="0.25">
      <c r="A523" s="210">
        <f>Indice!$I$11</f>
        <v>0</v>
      </c>
      <c r="B523" t="s">
        <v>970</v>
      </c>
      <c r="C523" s="39">
        <f>Indice!$I$12</f>
        <v>45992</v>
      </c>
      <c r="E523">
        <f>ROUND(SUMIFS(CATEGORIAS[[#All],[TOTAL PRODUCCION
ACTUAL]],CATEGORIAS[[#All],[CATEGORIA2]],Imputar[[#This Row],[Categoría]]),0)</f>
        <v>0</v>
      </c>
      <c r="F523">
        <v>0</v>
      </c>
      <c r="G523">
        <f>ROUND(SUMIFS(CATEGORIAS[[#All],[PROYECCION
DE INGRESO
DEL SALDO]],CATEGORIAS[[#All],[CATEGORIA2]],Imputar[[#This Row],[Categoría]]),0)</f>
        <v>0</v>
      </c>
      <c r="H523">
        <f>ROUND(SUMIFS(CATEGORIAS[[#All],[CAMBIO DE
CATEGORIA]],CATEGORIAS[[#All],[CATEGORIA2]],Imputar[[#This Row],[Categoría]]),0)</f>
        <v>0</v>
      </c>
      <c r="I5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3">
        <f>+ROUND(SUMIFS(CATEGORIAS[[#All],[PROYECCION
TOTAL DE COSTO]],CATEGORIAS[[#All],[CATEGORIA2]],Imputar[[#This Row],[Categoría]]),0)
-Imputar[[#This Row],[Inventario]]
-Imputar[[#This Row],[Pedidos no Rec]]</f>
        <v>0</v>
      </c>
      <c r="K5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3">
        <f>_xlfn.IFNA(VLOOKUP(Imputar[[#This Row],[Categoría]],EIMI!C:T,8,0),0)</f>
        <v>0</v>
      </c>
      <c r="M523">
        <f>_xlfn.IFNA(VLOOKUP(Imputar[[#This Row],[Categoría]],EIMI!C:T,9,0),0)</f>
        <v>0</v>
      </c>
      <c r="N523">
        <f>_xlfn.IFNA(VLOOKUP(Imputar[[#This Row],[Categoría]],EIMI!C:T,10,0),0)</f>
        <v>0</v>
      </c>
    </row>
    <row r="524" spans="1:14" hidden="1" x14ac:dyDescent="0.25">
      <c r="A524" s="210">
        <f>Indice!$I$11</f>
        <v>0</v>
      </c>
      <c r="B524" t="s">
        <v>972</v>
      </c>
      <c r="C524" s="39">
        <f>Indice!$I$12</f>
        <v>45992</v>
      </c>
      <c r="E524">
        <f>ROUND(SUMIFS(CATEGORIAS[[#All],[TOTAL PRODUCCION
ACTUAL]],CATEGORIAS[[#All],[CATEGORIA2]],Imputar[[#This Row],[Categoría]]),0)</f>
        <v>0</v>
      </c>
      <c r="F524">
        <v>0</v>
      </c>
      <c r="G524">
        <f>ROUND(SUMIFS(CATEGORIAS[[#All],[PROYECCION
DE INGRESO
DEL SALDO]],CATEGORIAS[[#All],[CATEGORIA2]],Imputar[[#This Row],[Categoría]]),0)</f>
        <v>0</v>
      </c>
      <c r="H524">
        <f>ROUND(SUMIFS(CATEGORIAS[[#All],[CAMBIO DE
CATEGORIA]],CATEGORIAS[[#All],[CATEGORIA2]],Imputar[[#This Row],[Categoría]]),0)</f>
        <v>0</v>
      </c>
      <c r="I5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4">
        <f>+ROUND(SUMIFS(CATEGORIAS[[#All],[PROYECCION
TOTAL DE COSTO]],CATEGORIAS[[#All],[CATEGORIA2]],Imputar[[#This Row],[Categoría]]),0)
-Imputar[[#This Row],[Inventario]]
-Imputar[[#This Row],[Pedidos no Rec]]</f>
        <v>0</v>
      </c>
      <c r="K5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4">
        <f>_xlfn.IFNA(VLOOKUP(Imputar[[#This Row],[Categoría]],EIMI!C:T,8,0),0)</f>
        <v>0</v>
      </c>
      <c r="M524">
        <f>_xlfn.IFNA(VLOOKUP(Imputar[[#This Row],[Categoría]],EIMI!C:T,9,0),0)</f>
        <v>0</v>
      </c>
      <c r="N524">
        <f>_xlfn.IFNA(VLOOKUP(Imputar[[#This Row],[Categoría]],EIMI!C:T,10,0),0)</f>
        <v>0</v>
      </c>
    </row>
    <row r="525" spans="1:14" hidden="1" x14ac:dyDescent="0.25">
      <c r="A525" s="210">
        <f>Indice!$I$11</f>
        <v>0</v>
      </c>
      <c r="B525" t="s">
        <v>997</v>
      </c>
      <c r="C525" s="39">
        <f>Indice!$I$12</f>
        <v>45992</v>
      </c>
      <c r="E525">
        <f>ROUND(SUMIFS(CATEGORIAS[[#All],[TOTAL PRODUCCION
ACTUAL]],CATEGORIAS[[#All],[CATEGORIA2]],Imputar[[#This Row],[Categoría]]),0)</f>
        <v>0</v>
      </c>
      <c r="F525">
        <v>0</v>
      </c>
      <c r="G525">
        <f>ROUND(SUMIFS(CATEGORIAS[[#All],[PROYECCION
DE INGRESO
DEL SALDO]],CATEGORIAS[[#All],[CATEGORIA2]],Imputar[[#This Row],[Categoría]]),0)</f>
        <v>0</v>
      </c>
      <c r="H525">
        <f>ROUND(SUMIFS(CATEGORIAS[[#All],[CAMBIO DE
CATEGORIA]],CATEGORIAS[[#All],[CATEGORIA2]],Imputar[[#This Row],[Categoría]]),0)</f>
        <v>0</v>
      </c>
      <c r="I5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5">
        <f>+ROUND(SUMIFS(CATEGORIAS[[#All],[PROYECCION
TOTAL DE COSTO]],CATEGORIAS[[#All],[CATEGORIA2]],Imputar[[#This Row],[Categoría]]),0)
-Imputar[[#This Row],[Inventario]]
-Imputar[[#This Row],[Pedidos no Rec]]</f>
        <v>0</v>
      </c>
      <c r="K5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5">
        <f>_xlfn.IFNA(VLOOKUP(Imputar[[#This Row],[Categoría]],EIMI!C:T,8,0),0)</f>
        <v>0</v>
      </c>
      <c r="M525">
        <f>_xlfn.IFNA(VLOOKUP(Imputar[[#This Row],[Categoría]],EIMI!C:T,9,0),0)</f>
        <v>0</v>
      </c>
      <c r="N525">
        <f>_xlfn.IFNA(VLOOKUP(Imputar[[#This Row],[Categoría]],EIMI!C:T,10,0),0)</f>
        <v>0</v>
      </c>
    </row>
    <row r="526" spans="1:14" hidden="1" x14ac:dyDescent="0.25">
      <c r="A526" s="210">
        <f>Indice!$I$11</f>
        <v>0</v>
      </c>
      <c r="B526" t="s">
        <v>999</v>
      </c>
      <c r="C526" s="39">
        <f>Indice!$I$12</f>
        <v>45992</v>
      </c>
      <c r="E526">
        <f>ROUND(SUMIFS(CATEGORIAS[[#All],[TOTAL PRODUCCION
ACTUAL]],CATEGORIAS[[#All],[CATEGORIA2]],Imputar[[#This Row],[Categoría]]),0)</f>
        <v>0</v>
      </c>
      <c r="F526">
        <v>0</v>
      </c>
      <c r="G526">
        <f>ROUND(SUMIFS(CATEGORIAS[[#All],[PROYECCION
DE INGRESO
DEL SALDO]],CATEGORIAS[[#All],[CATEGORIA2]],Imputar[[#This Row],[Categoría]]),0)</f>
        <v>0</v>
      </c>
      <c r="H526">
        <f>ROUND(SUMIFS(CATEGORIAS[[#All],[CAMBIO DE
CATEGORIA]],CATEGORIAS[[#All],[CATEGORIA2]],Imputar[[#This Row],[Categoría]]),0)</f>
        <v>0</v>
      </c>
      <c r="I5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6">
        <f>+ROUND(SUMIFS(CATEGORIAS[[#All],[PROYECCION
TOTAL DE COSTO]],CATEGORIAS[[#All],[CATEGORIA2]],Imputar[[#This Row],[Categoría]]),0)
-Imputar[[#This Row],[Inventario]]
-Imputar[[#This Row],[Pedidos no Rec]]</f>
        <v>0</v>
      </c>
      <c r="K5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6">
        <f>_xlfn.IFNA(VLOOKUP(Imputar[[#This Row],[Categoría]],EIMI!C:T,8,0),0)</f>
        <v>0</v>
      </c>
      <c r="M526">
        <f>_xlfn.IFNA(VLOOKUP(Imputar[[#This Row],[Categoría]],EIMI!C:T,9,0),0)</f>
        <v>0</v>
      </c>
      <c r="N526">
        <f>_xlfn.IFNA(VLOOKUP(Imputar[[#This Row],[Categoría]],EIMI!C:T,10,0),0)</f>
        <v>0</v>
      </c>
    </row>
    <row r="527" spans="1:14" hidden="1" x14ac:dyDescent="0.25">
      <c r="A527" s="210">
        <f>Indice!$I$11</f>
        <v>0</v>
      </c>
      <c r="B527" t="s">
        <v>1108</v>
      </c>
      <c r="C527" s="39">
        <f>Indice!$I$12</f>
        <v>45992</v>
      </c>
      <c r="E527">
        <f>ROUND(SUMIFS(CATEGORIAS[[#All],[TOTAL PRODUCCION
ACTUAL]],CATEGORIAS[[#All],[CATEGORIA2]],Imputar[[#This Row],[Categoría]]),0)</f>
        <v>0</v>
      </c>
      <c r="F527">
        <v>0</v>
      </c>
      <c r="G527">
        <f>ROUND(SUMIFS(CATEGORIAS[[#All],[PROYECCION
DE INGRESO
DEL SALDO]],CATEGORIAS[[#All],[CATEGORIA2]],Imputar[[#This Row],[Categoría]]),0)</f>
        <v>0</v>
      </c>
      <c r="H527">
        <f>ROUND(SUMIFS(CATEGORIAS[[#All],[CAMBIO DE
CATEGORIA]],CATEGORIAS[[#All],[CATEGORIA2]],Imputar[[#This Row],[Categoría]]),0)</f>
        <v>0</v>
      </c>
      <c r="I5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7">
        <f>+ROUND(SUMIFS(CATEGORIAS[[#All],[PROYECCION
TOTAL DE COSTO]],CATEGORIAS[[#All],[CATEGORIA2]],Imputar[[#This Row],[Categoría]]),0)
-Imputar[[#This Row],[Inventario]]
-Imputar[[#This Row],[Pedidos no Rec]]</f>
        <v>0</v>
      </c>
      <c r="K5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7">
        <f>_xlfn.IFNA(VLOOKUP(Imputar[[#This Row],[Categoría]],EIMI!C:T,8,0),0)</f>
        <v>0</v>
      </c>
      <c r="M527">
        <f>_xlfn.IFNA(VLOOKUP(Imputar[[#This Row],[Categoría]],EIMI!C:T,9,0),0)</f>
        <v>0</v>
      </c>
      <c r="N527">
        <f>_xlfn.IFNA(VLOOKUP(Imputar[[#This Row],[Categoría]],EIMI!C:T,10,0),0)</f>
        <v>0</v>
      </c>
    </row>
    <row r="528" spans="1:14" hidden="1" x14ac:dyDescent="0.25">
      <c r="A528" s="210">
        <f>Indice!$I$11</f>
        <v>0</v>
      </c>
      <c r="B528" t="s">
        <v>1110</v>
      </c>
      <c r="C528" s="39">
        <f>Indice!$I$12</f>
        <v>45992</v>
      </c>
      <c r="E528">
        <f>ROUND(SUMIFS(CATEGORIAS[[#All],[TOTAL PRODUCCION
ACTUAL]],CATEGORIAS[[#All],[CATEGORIA2]],Imputar[[#This Row],[Categoría]]),0)</f>
        <v>0</v>
      </c>
      <c r="F528">
        <v>0</v>
      </c>
      <c r="G528">
        <f>ROUND(SUMIFS(CATEGORIAS[[#All],[PROYECCION
DE INGRESO
DEL SALDO]],CATEGORIAS[[#All],[CATEGORIA2]],Imputar[[#This Row],[Categoría]]),0)</f>
        <v>0</v>
      </c>
      <c r="H528">
        <f>ROUND(SUMIFS(CATEGORIAS[[#All],[CAMBIO DE
CATEGORIA]],CATEGORIAS[[#All],[CATEGORIA2]],Imputar[[#This Row],[Categoría]]),0)</f>
        <v>0</v>
      </c>
      <c r="I5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8">
        <f>+ROUND(SUMIFS(CATEGORIAS[[#All],[PROYECCION
TOTAL DE COSTO]],CATEGORIAS[[#All],[CATEGORIA2]],Imputar[[#This Row],[Categoría]]),0)
-Imputar[[#This Row],[Inventario]]
-Imputar[[#This Row],[Pedidos no Rec]]</f>
        <v>0</v>
      </c>
      <c r="K5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8">
        <f>_xlfn.IFNA(VLOOKUP(Imputar[[#This Row],[Categoría]],EIMI!C:T,8,0),0)</f>
        <v>0</v>
      </c>
      <c r="M528">
        <f>_xlfn.IFNA(VLOOKUP(Imputar[[#This Row],[Categoría]],EIMI!C:T,9,0),0)</f>
        <v>0</v>
      </c>
      <c r="N528">
        <f>_xlfn.IFNA(VLOOKUP(Imputar[[#This Row],[Categoría]],EIMI!C:T,10,0),0)</f>
        <v>0</v>
      </c>
    </row>
    <row r="529" spans="1:14" hidden="1" x14ac:dyDescent="0.25">
      <c r="A529" s="210">
        <f>Indice!$I$11</f>
        <v>0</v>
      </c>
      <c r="B529" t="s">
        <v>1163</v>
      </c>
      <c r="C529" s="39">
        <f>Indice!$I$12</f>
        <v>45992</v>
      </c>
      <c r="E529">
        <f>ROUND(SUMIFS(CATEGORIAS[[#All],[TOTAL PRODUCCION
ACTUAL]],CATEGORIAS[[#All],[CATEGORIA2]],Imputar[[#This Row],[Categoría]]),0)</f>
        <v>0</v>
      </c>
      <c r="F529">
        <v>0</v>
      </c>
      <c r="G529">
        <f>ROUND(SUMIFS(CATEGORIAS[[#All],[PROYECCION
DE INGRESO
DEL SALDO]],CATEGORIAS[[#All],[CATEGORIA2]],Imputar[[#This Row],[Categoría]]),0)</f>
        <v>0</v>
      </c>
      <c r="H529">
        <f>ROUND(SUMIFS(CATEGORIAS[[#All],[CAMBIO DE
CATEGORIA]],CATEGORIAS[[#All],[CATEGORIA2]],Imputar[[#This Row],[Categoría]]),0)</f>
        <v>0</v>
      </c>
      <c r="I5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9">
        <f>+ROUND(SUMIFS(CATEGORIAS[[#All],[PROYECCION
TOTAL DE COSTO]],CATEGORIAS[[#All],[CATEGORIA2]],Imputar[[#This Row],[Categoría]]),0)
-Imputar[[#This Row],[Inventario]]
-Imputar[[#This Row],[Pedidos no Rec]]</f>
        <v>0</v>
      </c>
      <c r="K5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9">
        <f>_xlfn.IFNA(VLOOKUP(Imputar[[#This Row],[Categoría]],EIMI!C:T,8,0),0)</f>
        <v>0</v>
      </c>
      <c r="M529">
        <f>_xlfn.IFNA(VLOOKUP(Imputar[[#This Row],[Categoría]],EIMI!C:T,9,0),0)</f>
        <v>0</v>
      </c>
      <c r="N529">
        <f>_xlfn.IFNA(VLOOKUP(Imputar[[#This Row],[Categoría]],EIMI!C:T,10,0),0)</f>
        <v>0</v>
      </c>
    </row>
    <row r="530" spans="1:14" hidden="1" x14ac:dyDescent="0.25">
      <c r="A530" s="210">
        <f>Indice!$I$11</f>
        <v>0</v>
      </c>
      <c r="B530" t="s">
        <v>1165</v>
      </c>
      <c r="C530" s="39">
        <f>Indice!$I$12</f>
        <v>45992</v>
      </c>
      <c r="E530">
        <f>ROUND(SUMIFS(CATEGORIAS[[#All],[TOTAL PRODUCCION
ACTUAL]],CATEGORIAS[[#All],[CATEGORIA2]],Imputar[[#This Row],[Categoría]]),0)</f>
        <v>0</v>
      </c>
      <c r="F530">
        <v>0</v>
      </c>
      <c r="G530">
        <f>ROUND(SUMIFS(CATEGORIAS[[#All],[PROYECCION
DE INGRESO
DEL SALDO]],CATEGORIAS[[#All],[CATEGORIA2]],Imputar[[#This Row],[Categoría]]),0)</f>
        <v>0</v>
      </c>
      <c r="H530">
        <f>ROUND(SUMIFS(CATEGORIAS[[#All],[CAMBIO DE
CATEGORIA]],CATEGORIAS[[#All],[CATEGORIA2]],Imputar[[#This Row],[Categoría]]),0)</f>
        <v>0</v>
      </c>
      <c r="I5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0">
        <f>+ROUND(SUMIFS(CATEGORIAS[[#All],[PROYECCION
TOTAL DE COSTO]],CATEGORIAS[[#All],[CATEGORIA2]],Imputar[[#This Row],[Categoría]]),0)
-Imputar[[#This Row],[Inventario]]
-Imputar[[#This Row],[Pedidos no Rec]]</f>
        <v>0</v>
      </c>
      <c r="K5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0">
        <f>_xlfn.IFNA(VLOOKUP(Imputar[[#This Row],[Categoría]],EIMI!C:T,8,0),0)</f>
        <v>0</v>
      </c>
      <c r="M530">
        <f>_xlfn.IFNA(VLOOKUP(Imputar[[#This Row],[Categoría]],EIMI!C:T,9,0),0)</f>
        <v>0</v>
      </c>
      <c r="N530">
        <f>_xlfn.IFNA(VLOOKUP(Imputar[[#This Row],[Categoría]],EIMI!C:T,10,0),0)</f>
        <v>0</v>
      </c>
    </row>
    <row r="531" spans="1:14" hidden="1" x14ac:dyDescent="0.25">
      <c r="A531" s="210">
        <f>Indice!$I$11</f>
        <v>0</v>
      </c>
      <c r="B531" t="s">
        <v>1174</v>
      </c>
      <c r="C531" s="39">
        <f>Indice!$I$12</f>
        <v>45992</v>
      </c>
      <c r="E531">
        <f>ROUND(SUMIFS(CATEGORIAS[[#All],[TOTAL PRODUCCION
ACTUAL]],CATEGORIAS[[#All],[CATEGORIA2]],Imputar[[#This Row],[Categoría]]),0)</f>
        <v>0</v>
      </c>
      <c r="F531">
        <v>0</v>
      </c>
      <c r="G531">
        <f>ROUND(SUMIFS(CATEGORIAS[[#All],[PROYECCION
DE INGRESO
DEL SALDO]],CATEGORIAS[[#All],[CATEGORIA2]],Imputar[[#This Row],[Categoría]]),0)</f>
        <v>0</v>
      </c>
      <c r="H531">
        <f>ROUND(SUMIFS(CATEGORIAS[[#All],[CAMBIO DE
CATEGORIA]],CATEGORIAS[[#All],[CATEGORIA2]],Imputar[[#This Row],[Categoría]]),0)</f>
        <v>0</v>
      </c>
      <c r="I5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1">
        <f>+ROUND(SUMIFS(CATEGORIAS[[#All],[PROYECCION
TOTAL DE COSTO]],CATEGORIAS[[#All],[CATEGORIA2]],Imputar[[#This Row],[Categoría]]),0)
-Imputar[[#This Row],[Inventario]]
-Imputar[[#This Row],[Pedidos no Rec]]</f>
        <v>0</v>
      </c>
      <c r="K5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1">
        <f>_xlfn.IFNA(VLOOKUP(Imputar[[#This Row],[Categoría]],EIMI!C:T,8,0),0)</f>
        <v>0</v>
      </c>
      <c r="M531">
        <f>_xlfn.IFNA(VLOOKUP(Imputar[[#This Row],[Categoría]],EIMI!C:T,9,0),0)</f>
        <v>0</v>
      </c>
      <c r="N531">
        <f>_xlfn.IFNA(VLOOKUP(Imputar[[#This Row],[Categoría]],EIMI!C:T,10,0),0)</f>
        <v>0</v>
      </c>
    </row>
    <row r="532" spans="1:14" hidden="1" x14ac:dyDescent="0.25">
      <c r="A532" s="210">
        <f>Indice!$I$11</f>
        <v>0</v>
      </c>
      <c r="B532" t="s">
        <v>1176</v>
      </c>
      <c r="C532" s="39">
        <f>Indice!$I$12</f>
        <v>45992</v>
      </c>
      <c r="E532">
        <f>ROUND(SUMIFS(CATEGORIAS[[#All],[TOTAL PRODUCCION
ACTUAL]],CATEGORIAS[[#All],[CATEGORIA2]],Imputar[[#This Row],[Categoría]]),0)</f>
        <v>0</v>
      </c>
      <c r="F532">
        <v>0</v>
      </c>
      <c r="G532">
        <f>ROUND(SUMIFS(CATEGORIAS[[#All],[PROYECCION
DE INGRESO
DEL SALDO]],CATEGORIAS[[#All],[CATEGORIA2]],Imputar[[#This Row],[Categoría]]),0)</f>
        <v>0</v>
      </c>
      <c r="H532">
        <f>ROUND(SUMIFS(CATEGORIAS[[#All],[CAMBIO DE
CATEGORIA]],CATEGORIAS[[#All],[CATEGORIA2]],Imputar[[#This Row],[Categoría]]),0)</f>
        <v>0</v>
      </c>
      <c r="I5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2">
        <f>+ROUND(SUMIFS(CATEGORIAS[[#All],[PROYECCION
TOTAL DE COSTO]],CATEGORIAS[[#All],[CATEGORIA2]],Imputar[[#This Row],[Categoría]]),0)
-Imputar[[#This Row],[Inventario]]
-Imputar[[#This Row],[Pedidos no Rec]]</f>
        <v>0</v>
      </c>
      <c r="K5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2">
        <f>_xlfn.IFNA(VLOOKUP(Imputar[[#This Row],[Categoría]],EIMI!C:T,8,0),0)</f>
        <v>0</v>
      </c>
      <c r="M532">
        <f>_xlfn.IFNA(VLOOKUP(Imputar[[#This Row],[Categoría]],EIMI!C:T,9,0),0)</f>
        <v>0</v>
      </c>
      <c r="N532">
        <f>_xlfn.IFNA(VLOOKUP(Imputar[[#This Row],[Categoría]],EIMI!C:T,10,0),0)</f>
        <v>0</v>
      </c>
    </row>
    <row r="533" spans="1:14" hidden="1" x14ac:dyDescent="0.25">
      <c r="A533" s="210">
        <f>Indice!$I$11</f>
        <v>0</v>
      </c>
      <c r="B533" t="s">
        <v>1181</v>
      </c>
      <c r="C533" s="39">
        <f>Indice!$I$12</f>
        <v>45992</v>
      </c>
      <c r="E533">
        <f>ROUND(SUMIFS(CATEGORIAS[[#All],[TOTAL PRODUCCION
ACTUAL]],CATEGORIAS[[#All],[CATEGORIA2]],Imputar[[#This Row],[Categoría]]),0)</f>
        <v>0</v>
      </c>
      <c r="F533">
        <v>0</v>
      </c>
      <c r="G533">
        <f>ROUND(SUMIFS(CATEGORIAS[[#All],[PROYECCION
DE INGRESO
DEL SALDO]],CATEGORIAS[[#All],[CATEGORIA2]],Imputar[[#This Row],[Categoría]]),0)</f>
        <v>0</v>
      </c>
      <c r="H533">
        <f>ROUND(SUMIFS(CATEGORIAS[[#All],[CAMBIO DE
CATEGORIA]],CATEGORIAS[[#All],[CATEGORIA2]],Imputar[[#This Row],[Categoría]]),0)</f>
        <v>0</v>
      </c>
      <c r="I5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3">
        <f>+ROUND(SUMIFS(CATEGORIAS[[#All],[PROYECCION
TOTAL DE COSTO]],CATEGORIAS[[#All],[CATEGORIA2]],Imputar[[#This Row],[Categoría]]),0)
-Imputar[[#This Row],[Inventario]]
-Imputar[[#This Row],[Pedidos no Rec]]</f>
        <v>0</v>
      </c>
      <c r="K5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3">
        <f>_xlfn.IFNA(VLOOKUP(Imputar[[#This Row],[Categoría]],EIMI!C:T,8,0),0)</f>
        <v>0</v>
      </c>
      <c r="M533">
        <f>_xlfn.IFNA(VLOOKUP(Imputar[[#This Row],[Categoría]],EIMI!C:T,9,0),0)</f>
        <v>0</v>
      </c>
      <c r="N533">
        <f>_xlfn.IFNA(VLOOKUP(Imputar[[#This Row],[Categoría]],EIMI!C:T,10,0),0)</f>
        <v>0</v>
      </c>
    </row>
    <row r="534" spans="1:14" hidden="1" x14ac:dyDescent="0.25">
      <c r="A534" s="210">
        <f>Indice!$I$11</f>
        <v>0</v>
      </c>
      <c r="B534" t="s">
        <v>1186</v>
      </c>
      <c r="C534" s="39">
        <f>Indice!$I$12</f>
        <v>45992</v>
      </c>
      <c r="E534">
        <f>ROUND(SUMIFS(CATEGORIAS[[#All],[TOTAL PRODUCCION
ACTUAL]],CATEGORIAS[[#All],[CATEGORIA2]],Imputar[[#This Row],[Categoría]]),0)</f>
        <v>0</v>
      </c>
      <c r="F534">
        <v>0</v>
      </c>
      <c r="G534">
        <f>ROUND(SUMIFS(CATEGORIAS[[#All],[PROYECCION
DE INGRESO
DEL SALDO]],CATEGORIAS[[#All],[CATEGORIA2]],Imputar[[#This Row],[Categoría]]),0)</f>
        <v>0</v>
      </c>
      <c r="H534">
        <f>ROUND(SUMIFS(CATEGORIAS[[#All],[CAMBIO DE
CATEGORIA]],CATEGORIAS[[#All],[CATEGORIA2]],Imputar[[#This Row],[Categoría]]),0)</f>
        <v>0</v>
      </c>
      <c r="I5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4">
        <f>+ROUND(SUMIFS(CATEGORIAS[[#All],[PROYECCION
TOTAL DE COSTO]],CATEGORIAS[[#All],[CATEGORIA2]],Imputar[[#This Row],[Categoría]]),0)
-Imputar[[#This Row],[Inventario]]
-Imputar[[#This Row],[Pedidos no Rec]]</f>
        <v>0</v>
      </c>
      <c r="K5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4">
        <f>_xlfn.IFNA(VLOOKUP(Imputar[[#This Row],[Categoría]],EIMI!C:T,8,0),0)</f>
        <v>0</v>
      </c>
      <c r="M534">
        <f>_xlfn.IFNA(VLOOKUP(Imputar[[#This Row],[Categoría]],EIMI!C:T,9,0),0)</f>
        <v>0</v>
      </c>
      <c r="N534">
        <f>_xlfn.IFNA(VLOOKUP(Imputar[[#This Row],[Categoría]],EIMI!C:T,10,0),0)</f>
        <v>0</v>
      </c>
    </row>
    <row r="535" spans="1:14" hidden="1" x14ac:dyDescent="0.25">
      <c r="A535" s="210">
        <f>Indice!$I$11</f>
        <v>0</v>
      </c>
      <c r="B535" t="s">
        <v>1188</v>
      </c>
      <c r="C535" s="39">
        <f>Indice!$I$12</f>
        <v>45992</v>
      </c>
      <c r="E535">
        <f>ROUND(SUMIFS(CATEGORIAS[[#All],[TOTAL PRODUCCION
ACTUAL]],CATEGORIAS[[#All],[CATEGORIA2]],Imputar[[#This Row],[Categoría]]),0)</f>
        <v>0</v>
      </c>
      <c r="F535">
        <v>0</v>
      </c>
      <c r="G535">
        <f>ROUND(SUMIFS(CATEGORIAS[[#All],[PROYECCION
DE INGRESO
DEL SALDO]],CATEGORIAS[[#All],[CATEGORIA2]],Imputar[[#This Row],[Categoría]]),0)</f>
        <v>0</v>
      </c>
      <c r="H535">
        <f>ROUND(SUMIFS(CATEGORIAS[[#All],[CAMBIO DE
CATEGORIA]],CATEGORIAS[[#All],[CATEGORIA2]],Imputar[[#This Row],[Categoría]]),0)</f>
        <v>0</v>
      </c>
      <c r="I5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5">
        <f>+ROUND(SUMIFS(CATEGORIAS[[#All],[PROYECCION
TOTAL DE COSTO]],CATEGORIAS[[#All],[CATEGORIA2]],Imputar[[#This Row],[Categoría]]),0)
-Imputar[[#This Row],[Inventario]]
-Imputar[[#This Row],[Pedidos no Rec]]</f>
        <v>0</v>
      </c>
      <c r="K5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5">
        <f>_xlfn.IFNA(VLOOKUP(Imputar[[#This Row],[Categoría]],EIMI!C:T,8,0),0)</f>
        <v>0</v>
      </c>
      <c r="M535">
        <f>_xlfn.IFNA(VLOOKUP(Imputar[[#This Row],[Categoría]],EIMI!C:T,9,0),0)</f>
        <v>0</v>
      </c>
      <c r="N535">
        <f>_xlfn.IFNA(VLOOKUP(Imputar[[#This Row],[Categoría]],EIMI!C:T,10,0),0)</f>
        <v>0</v>
      </c>
    </row>
    <row r="536" spans="1:14" hidden="1" x14ac:dyDescent="0.25">
      <c r="A536" s="210">
        <f>Indice!$I$11</f>
        <v>0</v>
      </c>
      <c r="B536" t="s">
        <v>1193</v>
      </c>
      <c r="C536" s="39">
        <f>Indice!$I$12</f>
        <v>45992</v>
      </c>
      <c r="E536">
        <f>ROUND(SUMIFS(CATEGORIAS[[#All],[TOTAL PRODUCCION
ACTUAL]],CATEGORIAS[[#All],[CATEGORIA2]],Imputar[[#This Row],[Categoría]]),0)</f>
        <v>0</v>
      </c>
      <c r="F536">
        <v>0</v>
      </c>
      <c r="G536">
        <f>ROUND(SUMIFS(CATEGORIAS[[#All],[PROYECCION
DE INGRESO
DEL SALDO]],CATEGORIAS[[#All],[CATEGORIA2]],Imputar[[#This Row],[Categoría]]),0)</f>
        <v>0</v>
      </c>
      <c r="H536">
        <f>ROUND(SUMIFS(CATEGORIAS[[#All],[CAMBIO DE
CATEGORIA]],CATEGORIAS[[#All],[CATEGORIA2]],Imputar[[#This Row],[Categoría]]),0)</f>
        <v>0</v>
      </c>
      <c r="I5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6">
        <f>+ROUND(SUMIFS(CATEGORIAS[[#All],[PROYECCION
TOTAL DE COSTO]],CATEGORIAS[[#All],[CATEGORIA2]],Imputar[[#This Row],[Categoría]]),0)
-Imputar[[#This Row],[Inventario]]
-Imputar[[#This Row],[Pedidos no Rec]]</f>
        <v>0</v>
      </c>
      <c r="K5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6">
        <f>_xlfn.IFNA(VLOOKUP(Imputar[[#This Row],[Categoría]],EIMI!C:T,8,0),0)</f>
        <v>0</v>
      </c>
      <c r="M536">
        <f>_xlfn.IFNA(VLOOKUP(Imputar[[#This Row],[Categoría]],EIMI!C:T,9,0),0)</f>
        <v>0</v>
      </c>
      <c r="N536">
        <f>_xlfn.IFNA(VLOOKUP(Imputar[[#This Row],[Categoría]],EIMI!C:T,10,0),0)</f>
        <v>0</v>
      </c>
    </row>
    <row r="537" spans="1:14" hidden="1" x14ac:dyDescent="0.25">
      <c r="A537" s="210">
        <f>Indice!$I$11</f>
        <v>0</v>
      </c>
      <c r="B537" t="s">
        <v>1195</v>
      </c>
      <c r="C537" s="39">
        <f>Indice!$I$12</f>
        <v>45992</v>
      </c>
      <c r="E537">
        <f>ROUND(SUMIFS(CATEGORIAS[[#All],[TOTAL PRODUCCION
ACTUAL]],CATEGORIAS[[#All],[CATEGORIA2]],Imputar[[#This Row],[Categoría]]),0)</f>
        <v>0</v>
      </c>
      <c r="F537">
        <v>0</v>
      </c>
      <c r="G537">
        <f>ROUND(SUMIFS(CATEGORIAS[[#All],[PROYECCION
DE INGRESO
DEL SALDO]],CATEGORIAS[[#All],[CATEGORIA2]],Imputar[[#This Row],[Categoría]]),0)</f>
        <v>0</v>
      </c>
      <c r="H537">
        <f>ROUND(SUMIFS(CATEGORIAS[[#All],[CAMBIO DE
CATEGORIA]],CATEGORIAS[[#All],[CATEGORIA2]],Imputar[[#This Row],[Categoría]]),0)</f>
        <v>0</v>
      </c>
      <c r="I5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7">
        <f>+ROUND(SUMIFS(CATEGORIAS[[#All],[PROYECCION
TOTAL DE COSTO]],CATEGORIAS[[#All],[CATEGORIA2]],Imputar[[#This Row],[Categoría]]),0)
-Imputar[[#This Row],[Inventario]]
-Imputar[[#This Row],[Pedidos no Rec]]</f>
        <v>0</v>
      </c>
      <c r="K5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7">
        <f>_xlfn.IFNA(VLOOKUP(Imputar[[#This Row],[Categoría]],EIMI!C:T,8,0),0)</f>
        <v>0</v>
      </c>
      <c r="M537">
        <f>_xlfn.IFNA(VLOOKUP(Imputar[[#This Row],[Categoría]],EIMI!C:T,9,0),0)</f>
        <v>0</v>
      </c>
      <c r="N537">
        <f>_xlfn.IFNA(VLOOKUP(Imputar[[#This Row],[Categoría]],EIMI!C:T,10,0),0)</f>
        <v>0</v>
      </c>
    </row>
    <row r="538" spans="1:14" hidden="1" x14ac:dyDescent="0.25">
      <c r="A538" s="210">
        <f>Indice!$I$11</f>
        <v>0</v>
      </c>
      <c r="B538" t="s">
        <v>1200</v>
      </c>
      <c r="C538" s="39">
        <f>Indice!$I$12</f>
        <v>45992</v>
      </c>
      <c r="E538">
        <f>ROUND(SUMIFS(CATEGORIAS[[#All],[TOTAL PRODUCCION
ACTUAL]],CATEGORIAS[[#All],[CATEGORIA2]],Imputar[[#This Row],[Categoría]]),0)</f>
        <v>0</v>
      </c>
      <c r="F538">
        <v>0</v>
      </c>
      <c r="G538">
        <f>ROUND(SUMIFS(CATEGORIAS[[#All],[PROYECCION
DE INGRESO
DEL SALDO]],CATEGORIAS[[#All],[CATEGORIA2]],Imputar[[#This Row],[Categoría]]),0)</f>
        <v>0</v>
      </c>
      <c r="H538">
        <f>ROUND(SUMIFS(CATEGORIAS[[#All],[CAMBIO DE
CATEGORIA]],CATEGORIAS[[#All],[CATEGORIA2]],Imputar[[#This Row],[Categoría]]),0)</f>
        <v>0</v>
      </c>
      <c r="I5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8">
        <f>+ROUND(SUMIFS(CATEGORIAS[[#All],[PROYECCION
TOTAL DE COSTO]],CATEGORIAS[[#All],[CATEGORIA2]],Imputar[[#This Row],[Categoría]]),0)
-Imputar[[#This Row],[Inventario]]
-Imputar[[#This Row],[Pedidos no Rec]]</f>
        <v>0</v>
      </c>
      <c r="K5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8">
        <f>_xlfn.IFNA(VLOOKUP(Imputar[[#This Row],[Categoría]],EIMI!C:T,8,0),0)</f>
        <v>0</v>
      </c>
      <c r="M538">
        <f>_xlfn.IFNA(VLOOKUP(Imputar[[#This Row],[Categoría]],EIMI!C:T,9,0),0)</f>
        <v>0</v>
      </c>
      <c r="N538">
        <f>_xlfn.IFNA(VLOOKUP(Imputar[[#This Row],[Categoría]],EIMI!C:T,10,0),0)</f>
        <v>0</v>
      </c>
    </row>
    <row r="539" spans="1:14" hidden="1" x14ac:dyDescent="0.25">
      <c r="A539" s="210">
        <f>Indice!$I$11</f>
        <v>0</v>
      </c>
      <c r="B539" t="s">
        <v>1202</v>
      </c>
      <c r="C539" s="39">
        <f>Indice!$I$12</f>
        <v>45992</v>
      </c>
      <c r="E539">
        <f>ROUND(SUMIFS(CATEGORIAS[[#All],[TOTAL PRODUCCION
ACTUAL]],CATEGORIAS[[#All],[CATEGORIA2]],Imputar[[#This Row],[Categoría]]),0)</f>
        <v>0</v>
      </c>
      <c r="F539">
        <v>0</v>
      </c>
      <c r="G539">
        <f>ROUND(SUMIFS(CATEGORIAS[[#All],[PROYECCION
DE INGRESO
DEL SALDO]],CATEGORIAS[[#All],[CATEGORIA2]],Imputar[[#This Row],[Categoría]]),0)</f>
        <v>0</v>
      </c>
      <c r="H539">
        <f>ROUND(SUMIFS(CATEGORIAS[[#All],[CAMBIO DE
CATEGORIA]],CATEGORIAS[[#All],[CATEGORIA2]],Imputar[[#This Row],[Categoría]]),0)</f>
        <v>0</v>
      </c>
      <c r="I5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9">
        <f>+ROUND(SUMIFS(CATEGORIAS[[#All],[PROYECCION
TOTAL DE COSTO]],CATEGORIAS[[#All],[CATEGORIA2]],Imputar[[#This Row],[Categoría]]),0)
-Imputar[[#This Row],[Inventario]]
-Imputar[[#This Row],[Pedidos no Rec]]</f>
        <v>0</v>
      </c>
      <c r="K5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9">
        <f>_xlfn.IFNA(VLOOKUP(Imputar[[#This Row],[Categoría]],EIMI!C:T,8,0),0)</f>
        <v>0</v>
      </c>
      <c r="M539">
        <f>_xlfn.IFNA(VLOOKUP(Imputar[[#This Row],[Categoría]],EIMI!C:T,9,0),0)</f>
        <v>0</v>
      </c>
      <c r="N539">
        <f>_xlfn.IFNA(VLOOKUP(Imputar[[#This Row],[Categoría]],EIMI!C:T,10,0),0)</f>
        <v>0</v>
      </c>
    </row>
    <row r="540" spans="1:14" hidden="1" x14ac:dyDescent="0.25">
      <c r="A540" s="210">
        <f>Indice!$I$11</f>
        <v>0</v>
      </c>
      <c r="B540" t="s">
        <v>1206</v>
      </c>
      <c r="C540" s="39">
        <f>Indice!$I$12</f>
        <v>45992</v>
      </c>
      <c r="E540">
        <f>ROUND(SUMIFS(CATEGORIAS[[#All],[TOTAL PRODUCCION
ACTUAL]],CATEGORIAS[[#All],[CATEGORIA2]],Imputar[[#This Row],[Categoría]]),0)</f>
        <v>0</v>
      </c>
      <c r="F540">
        <v>0</v>
      </c>
      <c r="G540">
        <f>ROUND(SUMIFS(CATEGORIAS[[#All],[PROYECCION
DE INGRESO
DEL SALDO]],CATEGORIAS[[#All],[CATEGORIA2]],Imputar[[#This Row],[Categoría]]),0)</f>
        <v>0</v>
      </c>
      <c r="H540">
        <f>ROUND(SUMIFS(CATEGORIAS[[#All],[CAMBIO DE
CATEGORIA]],CATEGORIAS[[#All],[CATEGORIA2]],Imputar[[#This Row],[Categoría]]),0)</f>
        <v>0</v>
      </c>
      <c r="I5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0">
        <f>+ROUND(SUMIFS(CATEGORIAS[[#All],[PROYECCION
TOTAL DE COSTO]],CATEGORIAS[[#All],[CATEGORIA2]],Imputar[[#This Row],[Categoría]]),0)
-Imputar[[#This Row],[Inventario]]
-Imputar[[#This Row],[Pedidos no Rec]]</f>
        <v>0</v>
      </c>
      <c r="K5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0">
        <f>_xlfn.IFNA(VLOOKUP(Imputar[[#This Row],[Categoría]],EIMI!C:T,8,0),0)</f>
        <v>0</v>
      </c>
      <c r="M540">
        <f>_xlfn.IFNA(VLOOKUP(Imputar[[#This Row],[Categoría]],EIMI!C:T,9,0),0)</f>
        <v>0</v>
      </c>
      <c r="N540">
        <f>_xlfn.IFNA(VLOOKUP(Imputar[[#This Row],[Categoría]],EIMI!C:T,10,0),0)</f>
        <v>0</v>
      </c>
    </row>
    <row r="541" spans="1:14" hidden="1" x14ac:dyDescent="0.25">
      <c r="A541" s="210">
        <f>Indice!$I$11</f>
        <v>0</v>
      </c>
      <c r="B541" t="s">
        <v>1208</v>
      </c>
      <c r="C541" s="39">
        <f>Indice!$I$12</f>
        <v>45992</v>
      </c>
      <c r="E541">
        <f>ROUND(SUMIFS(CATEGORIAS[[#All],[TOTAL PRODUCCION
ACTUAL]],CATEGORIAS[[#All],[CATEGORIA2]],Imputar[[#This Row],[Categoría]]),0)</f>
        <v>0</v>
      </c>
      <c r="F541">
        <v>0</v>
      </c>
      <c r="G541">
        <f>ROUND(SUMIFS(CATEGORIAS[[#All],[PROYECCION
DE INGRESO
DEL SALDO]],CATEGORIAS[[#All],[CATEGORIA2]],Imputar[[#This Row],[Categoría]]),0)</f>
        <v>0</v>
      </c>
      <c r="H541">
        <f>ROUND(SUMIFS(CATEGORIAS[[#All],[CAMBIO DE
CATEGORIA]],CATEGORIAS[[#All],[CATEGORIA2]],Imputar[[#This Row],[Categoría]]),0)</f>
        <v>0</v>
      </c>
      <c r="I5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1">
        <f>+ROUND(SUMIFS(CATEGORIAS[[#All],[PROYECCION
TOTAL DE COSTO]],CATEGORIAS[[#All],[CATEGORIA2]],Imputar[[#This Row],[Categoría]]),0)
-Imputar[[#This Row],[Inventario]]
-Imputar[[#This Row],[Pedidos no Rec]]</f>
        <v>0</v>
      </c>
      <c r="K5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1">
        <f>_xlfn.IFNA(VLOOKUP(Imputar[[#This Row],[Categoría]],EIMI!C:T,8,0),0)</f>
        <v>0</v>
      </c>
      <c r="M541">
        <f>_xlfn.IFNA(VLOOKUP(Imputar[[#This Row],[Categoría]],EIMI!C:T,9,0),0)</f>
        <v>0</v>
      </c>
      <c r="N541">
        <f>_xlfn.IFNA(VLOOKUP(Imputar[[#This Row],[Categoría]],EIMI!C:T,10,0),0)</f>
        <v>0</v>
      </c>
    </row>
    <row r="542" spans="1:14" hidden="1" x14ac:dyDescent="0.25">
      <c r="A542" s="210">
        <f>Indice!$I$11</f>
        <v>0</v>
      </c>
      <c r="B542" t="s">
        <v>1215</v>
      </c>
      <c r="C542" s="39">
        <f>Indice!$I$12</f>
        <v>45992</v>
      </c>
      <c r="E542">
        <f>ROUND(SUMIFS(CATEGORIAS[[#All],[TOTAL PRODUCCION
ACTUAL]],CATEGORIAS[[#All],[CATEGORIA2]],Imputar[[#This Row],[Categoría]]),0)</f>
        <v>0</v>
      </c>
      <c r="F542">
        <v>0</v>
      </c>
      <c r="G542">
        <f>ROUND(SUMIFS(CATEGORIAS[[#All],[PROYECCION
DE INGRESO
DEL SALDO]],CATEGORIAS[[#All],[CATEGORIA2]],Imputar[[#This Row],[Categoría]]),0)</f>
        <v>0</v>
      </c>
      <c r="H542">
        <f>ROUND(SUMIFS(CATEGORIAS[[#All],[CAMBIO DE
CATEGORIA]],CATEGORIAS[[#All],[CATEGORIA2]],Imputar[[#This Row],[Categoría]]),0)</f>
        <v>0</v>
      </c>
      <c r="I5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2">
        <f>+ROUND(SUMIFS(CATEGORIAS[[#All],[PROYECCION
TOTAL DE COSTO]],CATEGORIAS[[#All],[CATEGORIA2]],Imputar[[#This Row],[Categoría]]),0)
-Imputar[[#This Row],[Inventario]]
-Imputar[[#This Row],[Pedidos no Rec]]</f>
        <v>0</v>
      </c>
      <c r="K5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2">
        <f>_xlfn.IFNA(VLOOKUP(Imputar[[#This Row],[Categoría]],EIMI!C:T,8,0),0)</f>
        <v>0</v>
      </c>
      <c r="M542">
        <f>_xlfn.IFNA(VLOOKUP(Imputar[[#This Row],[Categoría]],EIMI!C:T,9,0),0)</f>
        <v>0</v>
      </c>
      <c r="N542">
        <f>_xlfn.IFNA(VLOOKUP(Imputar[[#This Row],[Categoría]],EIMI!C:T,10,0),0)</f>
        <v>0</v>
      </c>
    </row>
    <row r="543" spans="1:14" hidden="1" x14ac:dyDescent="0.25">
      <c r="A543" s="210">
        <f>Indice!$I$11</f>
        <v>0</v>
      </c>
      <c r="B543" t="s">
        <v>1217</v>
      </c>
      <c r="C543" s="39">
        <f>Indice!$I$12</f>
        <v>45992</v>
      </c>
      <c r="E543">
        <f>ROUND(SUMIFS(CATEGORIAS[[#All],[TOTAL PRODUCCION
ACTUAL]],CATEGORIAS[[#All],[CATEGORIA2]],Imputar[[#This Row],[Categoría]]),0)</f>
        <v>0</v>
      </c>
      <c r="F543">
        <v>0</v>
      </c>
      <c r="G543">
        <f>ROUND(SUMIFS(CATEGORIAS[[#All],[PROYECCION
DE INGRESO
DEL SALDO]],CATEGORIAS[[#All],[CATEGORIA2]],Imputar[[#This Row],[Categoría]]),0)</f>
        <v>0</v>
      </c>
      <c r="H543">
        <f>ROUND(SUMIFS(CATEGORIAS[[#All],[CAMBIO DE
CATEGORIA]],CATEGORIAS[[#All],[CATEGORIA2]],Imputar[[#This Row],[Categoría]]),0)</f>
        <v>0</v>
      </c>
      <c r="I5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3">
        <f>+ROUND(SUMIFS(CATEGORIAS[[#All],[PROYECCION
TOTAL DE COSTO]],CATEGORIAS[[#All],[CATEGORIA2]],Imputar[[#This Row],[Categoría]]),0)
-Imputar[[#This Row],[Inventario]]
-Imputar[[#This Row],[Pedidos no Rec]]</f>
        <v>0</v>
      </c>
      <c r="K5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3">
        <f>_xlfn.IFNA(VLOOKUP(Imputar[[#This Row],[Categoría]],EIMI!C:T,8,0),0)</f>
        <v>0</v>
      </c>
      <c r="M543">
        <f>_xlfn.IFNA(VLOOKUP(Imputar[[#This Row],[Categoría]],EIMI!C:T,9,0),0)</f>
        <v>0</v>
      </c>
      <c r="N543">
        <f>_xlfn.IFNA(VLOOKUP(Imputar[[#This Row],[Categoría]],EIMI!C:T,10,0),0)</f>
        <v>0</v>
      </c>
    </row>
    <row r="544" spans="1:14" hidden="1" x14ac:dyDescent="0.25">
      <c r="A544" s="210">
        <f>Indice!$I$11</f>
        <v>0</v>
      </c>
      <c r="B544" t="s">
        <v>1222</v>
      </c>
      <c r="C544" s="39">
        <f>Indice!$I$12</f>
        <v>45992</v>
      </c>
      <c r="E544">
        <f>ROUND(SUMIFS(CATEGORIAS[[#All],[TOTAL PRODUCCION
ACTUAL]],CATEGORIAS[[#All],[CATEGORIA2]],Imputar[[#This Row],[Categoría]]),0)</f>
        <v>0</v>
      </c>
      <c r="F544">
        <v>0</v>
      </c>
      <c r="G544">
        <f>ROUND(SUMIFS(CATEGORIAS[[#All],[PROYECCION
DE INGRESO
DEL SALDO]],CATEGORIAS[[#All],[CATEGORIA2]],Imputar[[#This Row],[Categoría]]),0)</f>
        <v>0</v>
      </c>
      <c r="H544">
        <f>ROUND(SUMIFS(CATEGORIAS[[#All],[CAMBIO DE
CATEGORIA]],CATEGORIAS[[#All],[CATEGORIA2]],Imputar[[#This Row],[Categoría]]),0)</f>
        <v>0</v>
      </c>
      <c r="I5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4">
        <f>+ROUND(SUMIFS(CATEGORIAS[[#All],[PROYECCION
TOTAL DE COSTO]],CATEGORIAS[[#All],[CATEGORIA2]],Imputar[[#This Row],[Categoría]]),0)
-Imputar[[#This Row],[Inventario]]
-Imputar[[#This Row],[Pedidos no Rec]]</f>
        <v>0</v>
      </c>
      <c r="K5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4">
        <f>_xlfn.IFNA(VLOOKUP(Imputar[[#This Row],[Categoría]],EIMI!C:T,8,0),0)</f>
        <v>0</v>
      </c>
      <c r="M544">
        <f>_xlfn.IFNA(VLOOKUP(Imputar[[#This Row],[Categoría]],EIMI!C:T,9,0),0)</f>
        <v>0</v>
      </c>
      <c r="N544">
        <f>_xlfn.IFNA(VLOOKUP(Imputar[[#This Row],[Categoría]],EIMI!C:T,10,0),0)</f>
        <v>0</v>
      </c>
    </row>
    <row r="545" spans="1:14" hidden="1" x14ac:dyDescent="0.25">
      <c r="A545" s="210">
        <f>Indice!$I$11</f>
        <v>0</v>
      </c>
      <c r="B545" t="s">
        <v>1224</v>
      </c>
      <c r="C545" s="39">
        <f>Indice!$I$12</f>
        <v>45992</v>
      </c>
      <c r="E545">
        <f>ROUND(SUMIFS(CATEGORIAS[[#All],[TOTAL PRODUCCION
ACTUAL]],CATEGORIAS[[#All],[CATEGORIA2]],Imputar[[#This Row],[Categoría]]),0)</f>
        <v>0</v>
      </c>
      <c r="F545">
        <v>0</v>
      </c>
      <c r="G545">
        <f>ROUND(SUMIFS(CATEGORIAS[[#All],[PROYECCION
DE INGRESO
DEL SALDO]],CATEGORIAS[[#All],[CATEGORIA2]],Imputar[[#This Row],[Categoría]]),0)</f>
        <v>0</v>
      </c>
      <c r="H545">
        <f>ROUND(SUMIFS(CATEGORIAS[[#All],[CAMBIO DE
CATEGORIA]],CATEGORIAS[[#All],[CATEGORIA2]],Imputar[[#This Row],[Categoría]]),0)</f>
        <v>0</v>
      </c>
      <c r="I5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5">
        <f>+ROUND(SUMIFS(CATEGORIAS[[#All],[PROYECCION
TOTAL DE COSTO]],CATEGORIAS[[#All],[CATEGORIA2]],Imputar[[#This Row],[Categoría]]),0)
-Imputar[[#This Row],[Inventario]]
-Imputar[[#This Row],[Pedidos no Rec]]</f>
        <v>0</v>
      </c>
      <c r="K5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5">
        <f>_xlfn.IFNA(VLOOKUP(Imputar[[#This Row],[Categoría]],EIMI!C:T,8,0),0)</f>
        <v>0</v>
      </c>
      <c r="M545">
        <f>_xlfn.IFNA(VLOOKUP(Imputar[[#This Row],[Categoría]],EIMI!C:T,9,0),0)</f>
        <v>0</v>
      </c>
      <c r="N545">
        <f>_xlfn.IFNA(VLOOKUP(Imputar[[#This Row],[Categoría]],EIMI!C:T,10,0),0)</f>
        <v>0</v>
      </c>
    </row>
    <row r="546" spans="1:14" hidden="1" x14ac:dyDescent="0.25">
      <c r="A546" s="210">
        <f>Indice!$I$11</f>
        <v>0</v>
      </c>
      <c r="B546" t="s">
        <v>1232</v>
      </c>
      <c r="C546" s="39">
        <f>Indice!$I$12</f>
        <v>45992</v>
      </c>
      <c r="E546">
        <f>ROUND(SUMIFS(CATEGORIAS[[#All],[TOTAL PRODUCCION
ACTUAL]],CATEGORIAS[[#All],[CATEGORIA2]],Imputar[[#This Row],[Categoría]]),0)</f>
        <v>0</v>
      </c>
      <c r="F546">
        <v>0</v>
      </c>
      <c r="G546">
        <f>ROUND(SUMIFS(CATEGORIAS[[#All],[PROYECCION
DE INGRESO
DEL SALDO]],CATEGORIAS[[#All],[CATEGORIA2]],Imputar[[#This Row],[Categoría]]),0)</f>
        <v>0</v>
      </c>
      <c r="H546">
        <f>ROUND(SUMIFS(CATEGORIAS[[#All],[CAMBIO DE
CATEGORIA]],CATEGORIAS[[#All],[CATEGORIA2]],Imputar[[#This Row],[Categoría]]),0)</f>
        <v>0</v>
      </c>
      <c r="I5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6">
        <f>+ROUND(SUMIFS(CATEGORIAS[[#All],[PROYECCION
TOTAL DE COSTO]],CATEGORIAS[[#All],[CATEGORIA2]],Imputar[[#This Row],[Categoría]]),0)
-Imputar[[#This Row],[Inventario]]
-Imputar[[#This Row],[Pedidos no Rec]]</f>
        <v>0</v>
      </c>
      <c r="K5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6">
        <f>_xlfn.IFNA(VLOOKUP(Imputar[[#This Row],[Categoría]],EIMI!C:T,8,0),0)</f>
        <v>0</v>
      </c>
      <c r="M546">
        <f>_xlfn.IFNA(VLOOKUP(Imputar[[#This Row],[Categoría]],EIMI!C:T,9,0),0)</f>
        <v>0</v>
      </c>
      <c r="N546">
        <f>_xlfn.IFNA(VLOOKUP(Imputar[[#This Row],[Categoría]],EIMI!C:T,10,0),0)</f>
        <v>0</v>
      </c>
    </row>
    <row r="547" spans="1:14" hidden="1" x14ac:dyDescent="0.25">
      <c r="A547" s="210">
        <f>Indice!$I$11</f>
        <v>0</v>
      </c>
      <c r="B547" t="s">
        <v>1233</v>
      </c>
      <c r="C547" s="39">
        <f>Indice!$I$12</f>
        <v>45992</v>
      </c>
      <c r="E547">
        <f>ROUND(SUMIFS(CATEGORIAS[[#All],[TOTAL PRODUCCION
ACTUAL]],CATEGORIAS[[#All],[CATEGORIA2]],Imputar[[#This Row],[Categoría]]),0)</f>
        <v>0</v>
      </c>
      <c r="F547">
        <v>0</v>
      </c>
      <c r="G547">
        <f>ROUND(SUMIFS(CATEGORIAS[[#All],[PROYECCION
DE INGRESO
DEL SALDO]],CATEGORIAS[[#All],[CATEGORIA2]],Imputar[[#This Row],[Categoría]]),0)</f>
        <v>0</v>
      </c>
      <c r="H547">
        <f>ROUND(SUMIFS(CATEGORIAS[[#All],[CAMBIO DE
CATEGORIA]],CATEGORIAS[[#All],[CATEGORIA2]],Imputar[[#This Row],[Categoría]]),0)</f>
        <v>0</v>
      </c>
      <c r="I5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7">
        <f>+ROUND(SUMIFS(CATEGORIAS[[#All],[PROYECCION
TOTAL DE COSTO]],CATEGORIAS[[#All],[CATEGORIA2]],Imputar[[#This Row],[Categoría]]),0)
-Imputar[[#This Row],[Inventario]]
-Imputar[[#This Row],[Pedidos no Rec]]</f>
        <v>0</v>
      </c>
      <c r="K5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7">
        <f>_xlfn.IFNA(VLOOKUP(Imputar[[#This Row],[Categoría]],EIMI!C:T,8,0),0)</f>
        <v>0</v>
      </c>
      <c r="M547">
        <f>_xlfn.IFNA(VLOOKUP(Imputar[[#This Row],[Categoría]],EIMI!C:T,9,0),0)</f>
        <v>0</v>
      </c>
      <c r="N547">
        <f>_xlfn.IFNA(VLOOKUP(Imputar[[#This Row],[Categoría]],EIMI!C:T,10,0),0)</f>
        <v>0</v>
      </c>
    </row>
    <row r="548" spans="1:14" hidden="1" x14ac:dyDescent="0.25">
      <c r="A548" s="210">
        <f>Indice!$I$11</f>
        <v>0</v>
      </c>
      <c r="B548" t="s">
        <v>1283</v>
      </c>
      <c r="C548" s="39">
        <f>Indice!$I$12</f>
        <v>45992</v>
      </c>
      <c r="E548">
        <f>ROUND(SUMIFS(CATEGORIAS[[#All],[TOTAL PRODUCCION
ACTUAL]],CATEGORIAS[[#All],[CATEGORIA2]],Imputar[[#This Row],[Categoría]]),0)</f>
        <v>0</v>
      </c>
      <c r="F548">
        <v>0</v>
      </c>
      <c r="G548">
        <f>ROUND(SUMIFS(CATEGORIAS[[#All],[PROYECCION
DE INGRESO
DEL SALDO]],CATEGORIAS[[#All],[CATEGORIA2]],Imputar[[#This Row],[Categoría]]),0)</f>
        <v>0</v>
      </c>
      <c r="H548">
        <f>ROUND(SUMIFS(CATEGORIAS[[#All],[CAMBIO DE
CATEGORIA]],CATEGORIAS[[#All],[CATEGORIA2]],Imputar[[#This Row],[Categoría]]),0)</f>
        <v>0</v>
      </c>
      <c r="I5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8">
        <f>+ROUND(SUMIFS(CATEGORIAS[[#All],[PROYECCION
TOTAL DE COSTO]],CATEGORIAS[[#All],[CATEGORIA2]],Imputar[[#This Row],[Categoría]]),0)
-Imputar[[#This Row],[Inventario]]
-Imputar[[#This Row],[Pedidos no Rec]]</f>
        <v>0</v>
      </c>
      <c r="K5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8">
        <f>_xlfn.IFNA(VLOOKUP(Imputar[[#This Row],[Categoría]],EIMI!C:T,8,0),0)</f>
        <v>0</v>
      </c>
      <c r="M548">
        <f>_xlfn.IFNA(VLOOKUP(Imputar[[#This Row],[Categoría]],EIMI!C:T,9,0),0)</f>
        <v>0</v>
      </c>
      <c r="N548">
        <f>_xlfn.IFNA(VLOOKUP(Imputar[[#This Row],[Categoría]],EIMI!C:T,10,0),0)</f>
        <v>0</v>
      </c>
    </row>
    <row r="549" spans="1:14" hidden="1" x14ac:dyDescent="0.25">
      <c r="A549" s="210">
        <f>Indice!$I$11</f>
        <v>0</v>
      </c>
      <c r="B549" t="s">
        <v>1284</v>
      </c>
      <c r="C549" s="39">
        <f>Indice!$I$12</f>
        <v>45992</v>
      </c>
      <c r="E549">
        <f>ROUND(SUMIFS(CATEGORIAS[[#All],[TOTAL PRODUCCION
ACTUAL]],CATEGORIAS[[#All],[CATEGORIA2]],Imputar[[#This Row],[Categoría]]),0)</f>
        <v>0</v>
      </c>
      <c r="F549">
        <v>0</v>
      </c>
      <c r="G549">
        <f>ROUND(SUMIFS(CATEGORIAS[[#All],[PROYECCION
DE INGRESO
DEL SALDO]],CATEGORIAS[[#All],[CATEGORIA2]],Imputar[[#This Row],[Categoría]]),0)</f>
        <v>0</v>
      </c>
      <c r="H549">
        <f>ROUND(SUMIFS(CATEGORIAS[[#All],[CAMBIO DE
CATEGORIA]],CATEGORIAS[[#All],[CATEGORIA2]],Imputar[[#This Row],[Categoría]]),0)</f>
        <v>0</v>
      </c>
      <c r="I5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9">
        <f>+ROUND(SUMIFS(CATEGORIAS[[#All],[PROYECCION
TOTAL DE COSTO]],CATEGORIAS[[#All],[CATEGORIA2]],Imputar[[#This Row],[Categoría]]),0)
-Imputar[[#This Row],[Inventario]]
-Imputar[[#This Row],[Pedidos no Rec]]</f>
        <v>0</v>
      </c>
      <c r="K5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9">
        <f>_xlfn.IFNA(VLOOKUP(Imputar[[#This Row],[Categoría]],EIMI!C:T,8,0),0)</f>
        <v>0</v>
      </c>
      <c r="M549">
        <f>_xlfn.IFNA(VLOOKUP(Imputar[[#This Row],[Categoría]],EIMI!C:T,9,0),0)</f>
        <v>0</v>
      </c>
      <c r="N549">
        <f>_xlfn.IFNA(VLOOKUP(Imputar[[#This Row],[Categoría]],EIMI!C:T,10,0),0)</f>
        <v>0</v>
      </c>
    </row>
    <row r="550" spans="1:14" hidden="1" x14ac:dyDescent="0.25">
      <c r="A550" s="210">
        <f>Indice!$I$11</f>
        <v>0</v>
      </c>
      <c r="B550" t="s">
        <v>1285</v>
      </c>
      <c r="C550" s="39">
        <f>Indice!$I$12</f>
        <v>45992</v>
      </c>
      <c r="E550">
        <f>ROUND(SUMIFS(CATEGORIAS[[#All],[TOTAL PRODUCCION
ACTUAL]],CATEGORIAS[[#All],[CATEGORIA2]],Imputar[[#This Row],[Categoría]]),0)</f>
        <v>0</v>
      </c>
      <c r="F550">
        <v>0</v>
      </c>
      <c r="G550">
        <f>ROUND(SUMIFS(CATEGORIAS[[#All],[PROYECCION
DE INGRESO
DEL SALDO]],CATEGORIAS[[#All],[CATEGORIA2]],Imputar[[#This Row],[Categoría]]),0)</f>
        <v>0</v>
      </c>
      <c r="H550">
        <f>ROUND(SUMIFS(CATEGORIAS[[#All],[CAMBIO DE
CATEGORIA]],CATEGORIAS[[#All],[CATEGORIA2]],Imputar[[#This Row],[Categoría]]),0)</f>
        <v>0</v>
      </c>
      <c r="I5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0">
        <f>+ROUND(SUMIFS(CATEGORIAS[[#All],[PROYECCION
TOTAL DE COSTO]],CATEGORIAS[[#All],[CATEGORIA2]],Imputar[[#This Row],[Categoría]]),0)
-Imputar[[#This Row],[Inventario]]
-Imputar[[#This Row],[Pedidos no Rec]]</f>
        <v>0</v>
      </c>
      <c r="K5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0">
        <f>_xlfn.IFNA(VLOOKUP(Imputar[[#This Row],[Categoría]],EIMI!C:T,8,0),0)</f>
        <v>0</v>
      </c>
      <c r="M550">
        <f>_xlfn.IFNA(VLOOKUP(Imputar[[#This Row],[Categoría]],EIMI!C:T,9,0),0)</f>
        <v>0</v>
      </c>
      <c r="N550">
        <f>_xlfn.IFNA(VLOOKUP(Imputar[[#This Row],[Categoría]],EIMI!C:T,10,0),0)</f>
        <v>0</v>
      </c>
    </row>
    <row r="551" spans="1:14" hidden="1" x14ac:dyDescent="0.25">
      <c r="A551" s="210">
        <f>Indice!$I$11</f>
        <v>0</v>
      </c>
      <c r="B551" t="s">
        <v>1286</v>
      </c>
      <c r="C551" s="39">
        <f>Indice!$I$12</f>
        <v>45992</v>
      </c>
      <c r="E551">
        <f>ROUND(SUMIFS(CATEGORIAS[[#All],[TOTAL PRODUCCION
ACTUAL]],CATEGORIAS[[#All],[CATEGORIA2]],Imputar[[#This Row],[Categoría]]),0)</f>
        <v>0</v>
      </c>
      <c r="F551">
        <v>0</v>
      </c>
      <c r="G551">
        <f>ROUND(SUMIFS(CATEGORIAS[[#All],[PROYECCION
DE INGRESO
DEL SALDO]],CATEGORIAS[[#All],[CATEGORIA2]],Imputar[[#This Row],[Categoría]]),0)</f>
        <v>0</v>
      </c>
      <c r="H551">
        <f>ROUND(SUMIFS(CATEGORIAS[[#All],[CAMBIO DE
CATEGORIA]],CATEGORIAS[[#All],[CATEGORIA2]],Imputar[[#This Row],[Categoría]]),0)</f>
        <v>0</v>
      </c>
      <c r="I5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1">
        <f>+ROUND(SUMIFS(CATEGORIAS[[#All],[PROYECCION
TOTAL DE COSTO]],CATEGORIAS[[#All],[CATEGORIA2]],Imputar[[#This Row],[Categoría]]),0)
-Imputar[[#This Row],[Inventario]]
-Imputar[[#This Row],[Pedidos no Rec]]</f>
        <v>0</v>
      </c>
      <c r="K5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1">
        <f>_xlfn.IFNA(VLOOKUP(Imputar[[#This Row],[Categoría]],EIMI!C:T,8,0),0)</f>
        <v>0</v>
      </c>
      <c r="M551">
        <f>_xlfn.IFNA(VLOOKUP(Imputar[[#This Row],[Categoría]],EIMI!C:T,9,0),0)</f>
        <v>0</v>
      </c>
      <c r="N551">
        <f>_xlfn.IFNA(VLOOKUP(Imputar[[#This Row],[Categoría]],EIMI!C:T,10,0),0)</f>
        <v>0</v>
      </c>
    </row>
    <row r="552" spans="1:14" hidden="1" x14ac:dyDescent="0.25">
      <c r="A552" s="210">
        <f>Indice!$I$11</f>
        <v>0</v>
      </c>
      <c r="B552" t="s">
        <v>1287</v>
      </c>
      <c r="C552" s="39">
        <f>Indice!$I$12</f>
        <v>45992</v>
      </c>
      <c r="E552">
        <f>ROUND(SUMIFS(CATEGORIAS[[#All],[TOTAL PRODUCCION
ACTUAL]],CATEGORIAS[[#All],[CATEGORIA2]],Imputar[[#This Row],[Categoría]]),0)</f>
        <v>0</v>
      </c>
      <c r="F552">
        <v>0</v>
      </c>
      <c r="G552">
        <f>ROUND(SUMIFS(CATEGORIAS[[#All],[PROYECCION
DE INGRESO
DEL SALDO]],CATEGORIAS[[#All],[CATEGORIA2]],Imputar[[#This Row],[Categoría]]),0)</f>
        <v>0</v>
      </c>
      <c r="H552">
        <f>ROUND(SUMIFS(CATEGORIAS[[#All],[CAMBIO DE
CATEGORIA]],CATEGORIAS[[#All],[CATEGORIA2]],Imputar[[#This Row],[Categoría]]),0)</f>
        <v>0</v>
      </c>
      <c r="I5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2">
        <f>+ROUND(SUMIFS(CATEGORIAS[[#All],[PROYECCION
TOTAL DE COSTO]],CATEGORIAS[[#All],[CATEGORIA2]],Imputar[[#This Row],[Categoría]]),0)
-Imputar[[#This Row],[Inventario]]
-Imputar[[#This Row],[Pedidos no Rec]]</f>
        <v>0</v>
      </c>
      <c r="K5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2">
        <f>_xlfn.IFNA(VLOOKUP(Imputar[[#This Row],[Categoría]],EIMI!C:T,8,0),0)</f>
        <v>0</v>
      </c>
      <c r="M552">
        <f>_xlfn.IFNA(VLOOKUP(Imputar[[#This Row],[Categoría]],EIMI!C:T,9,0),0)</f>
        <v>0</v>
      </c>
      <c r="N552">
        <f>_xlfn.IFNA(VLOOKUP(Imputar[[#This Row],[Categoría]],EIMI!C:T,10,0),0)</f>
        <v>0</v>
      </c>
    </row>
    <row r="553" spans="1:14" hidden="1" x14ac:dyDescent="0.25">
      <c r="A553" s="210">
        <f>Indice!$I$11</f>
        <v>0</v>
      </c>
      <c r="B553" t="s">
        <v>1288</v>
      </c>
      <c r="C553" s="39">
        <f>Indice!$I$12</f>
        <v>45992</v>
      </c>
      <c r="E553">
        <f>ROUND(SUMIFS(CATEGORIAS[[#All],[TOTAL PRODUCCION
ACTUAL]],CATEGORIAS[[#All],[CATEGORIA2]],Imputar[[#This Row],[Categoría]]),0)</f>
        <v>0</v>
      </c>
      <c r="F553">
        <v>0</v>
      </c>
      <c r="G553">
        <f>ROUND(SUMIFS(CATEGORIAS[[#All],[PROYECCION
DE INGRESO
DEL SALDO]],CATEGORIAS[[#All],[CATEGORIA2]],Imputar[[#This Row],[Categoría]]),0)</f>
        <v>0</v>
      </c>
      <c r="H553">
        <f>ROUND(SUMIFS(CATEGORIAS[[#All],[CAMBIO DE
CATEGORIA]],CATEGORIAS[[#All],[CATEGORIA2]],Imputar[[#This Row],[Categoría]]),0)</f>
        <v>0</v>
      </c>
      <c r="I5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3">
        <f>+ROUND(SUMIFS(CATEGORIAS[[#All],[PROYECCION
TOTAL DE COSTO]],CATEGORIAS[[#All],[CATEGORIA2]],Imputar[[#This Row],[Categoría]]),0)
-Imputar[[#This Row],[Inventario]]
-Imputar[[#This Row],[Pedidos no Rec]]</f>
        <v>0</v>
      </c>
      <c r="K5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3">
        <f>_xlfn.IFNA(VLOOKUP(Imputar[[#This Row],[Categoría]],EIMI!C:T,8,0),0)</f>
        <v>0</v>
      </c>
      <c r="M553">
        <f>_xlfn.IFNA(VLOOKUP(Imputar[[#This Row],[Categoría]],EIMI!C:T,9,0),0)</f>
        <v>0</v>
      </c>
      <c r="N553">
        <f>_xlfn.IFNA(VLOOKUP(Imputar[[#This Row],[Categoría]],EIMI!C:T,10,0),0)</f>
        <v>0</v>
      </c>
    </row>
    <row r="554" spans="1:14" hidden="1" x14ac:dyDescent="0.25">
      <c r="A554" s="210">
        <f>Indice!$I$11</f>
        <v>0</v>
      </c>
      <c r="B554" t="s">
        <v>1289</v>
      </c>
      <c r="C554" s="39">
        <f>Indice!$I$12</f>
        <v>45992</v>
      </c>
      <c r="E554">
        <f>ROUND(SUMIFS(CATEGORIAS[[#All],[TOTAL PRODUCCION
ACTUAL]],CATEGORIAS[[#All],[CATEGORIA2]],Imputar[[#This Row],[Categoría]]),0)</f>
        <v>0</v>
      </c>
      <c r="F554">
        <v>0</v>
      </c>
      <c r="G554">
        <f>ROUND(SUMIFS(CATEGORIAS[[#All],[PROYECCION
DE INGRESO
DEL SALDO]],CATEGORIAS[[#All],[CATEGORIA2]],Imputar[[#This Row],[Categoría]]),0)</f>
        <v>0</v>
      </c>
      <c r="H554">
        <f>ROUND(SUMIFS(CATEGORIAS[[#All],[CAMBIO DE
CATEGORIA]],CATEGORIAS[[#All],[CATEGORIA2]],Imputar[[#This Row],[Categoría]]),0)</f>
        <v>0</v>
      </c>
      <c r="I5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4">
        <f>+ROUND(SUMIFS(CATEGORIAS[[#All],[PROYECCION
TOTAL DE COSTO]],CATEGORIAS[[#All],[CATEGORIA2]],Imputar[[#This Row],[Categoría]]),0)
-Imputar[[#This Row],[Inventario]]
-Imputar[[#This Row],[Pedidos no Rec]]</f>
        <v>0</v>
      </c>
      <c r="K5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4">
        <f>_xlfn.IFNA(VLOOKUP(Imputar[[#This Row],[Categoría]],EIMI!C:T,8,0),0)</f>
        <v>0</v>
      </c>
      <c r="M554">
        <f>_xlfn.IFNA(VLOOKUP(Imputar[[#This Row],[Categoría]],EIMI!C:T,9,0),0)</f>
        <v>0</v>
      </c>
      <c r="N554">
        <f>_xlfn.IFNA(VLOOKUP(Imputar[[#This Row],[Categoría]],EIMI!C:T,10,0),0)</f>
        <v>0</v>
      </c>
    </row>
    <row r="555" spans="1:14" hidden="1" x14ac:dyDescent="0.25">
      <c r="A555" s="210">
        <f>Indice!$I$11</f>
        <v>0</v>
      </c>
      <c r="B555" t="s">
        <v>1344</v>
      </c>
      <c r="C555" s="39">
        <f>Indice!$I$12</f>
        <v>45992</v>
      </c>
      <c r="E555">
        <f>ROUND(SUMIFS(CATEGORIAS[[#All],[TOTAL PRODUCCION
ACTUAL]],CATEGORIAS[[#All],[CATEGORIA2]],Imputar[[#This Row],[Categoría]]),0)</f>
        <v>0</v>
      </c>
      <c r="F555">
        <v>0</v>
      </c>
      <c r="G555">
        <f>ROUND(SUMIFS(CATEGORIAS[[#All],[PROYECCION
DE INGRESO
DEL SALDO]],CATEGORIAS[[#All],[CATEGORIA2]],Imputar[[#This Row],[Categoría]]),0)</f>
        <v>0</v>
      </c>
      <c r="H555">
        <f>ROUND(SUMIFS(CATEGORIAS[[#All],[CAMBIO DE
CATEGORIA]],CATEGORIAS[[#All],[CATEGORIA2]],Imputar[[#This Row],[Categoría]]),0)</f>
        <v>0</v>
      </c>
      <c r="I5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5">
        <f>+ROUND(SUMIFS(CATEGORIAS[[#All],[PROYECCION
TOTAL DE COSTO]],CATEGORIAS[[#All],[CATEGORIA2]],Imputar[[#This Row],[Categoría]]),0)
-Imputar[[#This Row],[Inventario]]
-Imputar[[#This Row],[Pedidos no Rec]]</f>
        <v>0</v>
      </c>
      <c r="K5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5">
        <f>_xlfn.IFNA(VLOOKUP(Imputar[[#This Row],[Categoría]],EIMI!C:T,8,0),0)</f>
        <v>0</v>
      </c>
      <c r="M555">
        <f>_xlfn.IFNA(VLOOKUP(Imputar[[#This Row],[Categoría]],EIMI!C:T,9,0),0)</f>
        <v>0</v>
      </c>
      <c r="N555">
        <f>_xlfn.IFNA(VLOOKUP(Imputar[[#This Row],[Categoría]],EIMI!C:T,10,0),0)</f>
        <v>0</v>
      </c>
    </row>
    <row r="556" spans="1:14" hidden="1" x14ac:dyDescent="0.25">
      <c r="A556" s="210">
        <f>Indice!$I$11</f>
        <v>0</v>
      </c>
      <c r="B556" t="s">
        <v>1376</v>
      </c>
      <c r="C556" s="39">
        <f>Indice!$I$12</f>
        <v>45992</v>
      </c>
      <c r="E556">
        <f>ROUND(SUMIFS(CATEGORIAS[[#All],[TOTAL PRODUCCION
ACTUAL]],CATEGORIAS[[#All],[CATEGORIA2]],Imputar[[#This Row],[Categoría]]),0)</f>
        <v>0</v>
      </c>
      <c r="F556">
        <v>0</v>
      </c>
      <c r="G556">
        <f>ROUND(SUMIFS(CATEGORIAS[[#All],[PROYECCION
DE INGRESO
DEL SALDO]],CATEGORIAS[[#All],[CATEGORIA2]],Imputar[[#This Row],[Categoría]]),0)</f>
        <v>0</v>
      </c>
      <c r="H556">
        <f>ROUND(SUMIFS(CATEGORIAS[[#All],[CAMBIO DE
CATEGORIA]],CATEGORIAS[[#All],[CATEGORIA2]],Imputar[[#This Row],[Categoría]]),0)</f>
        <v>0</v>
      </c>
      <c r="I5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6">
        <f>+ROUND(SUMIFS(CATEGORIAS[[#All],[PROYECCION
TOTAL DE COSTO]],CATEGORIAS[[#All],[CATEGORIA2]],Imputar[[#This Row],[Categoría]]),0)
-Imputar[[#This Row],[Inventario]]
-Imputar[[#This Row],[Pedidos no Rec]]</f>
        <v>0</v>
      </c>
      <c r="K5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6">
        <f>_xlfn.IFNA(VLOOKUP(Imputar[[#This Row],[Categoría]],EIMI!C:T,8,0),0)</f>
        <v>0</v>
      </c>
      <c r="M556">
        <f>_xlfn.IFNA(VLOOKUP(Imputar[[#This Row],[Categoría]],EIMI!C:T,9,0),0)</f>
        <v>0</v>
      </c>
      <c r="N556">
        <f>_xlfn.IFNA(VLOOKUP(Imputar[[#This Row],[Categoría]],EIMI!C:T,10,0),0)</f>
        <v>0</v>
      </c>
    </row>
    <row r="557" spans="1:14" hidden="1" x14ac:dyDescent="0.25">
      <c r="A557" s="210">
        <f>Indice!$I$11</f>
        <v>0</v>
      </c>
      <c r="B557" t="s">
        <v>1378</v>
      </c>
      <c r="C557" s="39">
        <f>Indice!$I$12</f>
        <v>45992</v>
      </c>
      <c r="E557">
        <f>ROUND(SUMIFS(CATEGORIAS[[#All],[TOTAL PRODUCCION
ACTUAL]],CATEGORIAS[[#All],[CATEGORIA2]],Imputar[[#This Row],[Categoría]]),0)</f>
        <v>0</v>
      </c>
      <c r="F557">
        <v>0</v>
      </c>
      <c r="G557">
        <f>ROUND(SUMIFS(CATEGORIAS[[#All],[PROYECCION
DE INGRESO
DEL SALDO]],CATEGORIAS[[#All],[CATEGORIA2]],Imputar[[#This Row],[Categoría]]),0)</f>
        <v>0</v>
      </c>
      <c r="H557">
        <f>ROUND(SUMIFS(CATEGORIAS[[#All],[CAMBIO DE
CATEGORIA]],CATEGORIAS[[#All],[CATEGORIA2]],Imputar[[#This Row],[Categoría]]),0)</f>
        <v>0</v>
      </c>
      <c r="I5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7">
        <f>+ROUND(SUMIFS(CATEGORIAS[[#All],[PROYECCION
TOTAL DE COSTO]],CATEGORIAS[[#All],[CATEGORIA2]],Imputar[[#This Row],[Categoría]]),0)
-Imputar[[#This Row],[Inventario]]
-Imputar[[#This Row],[Pedidos no Rec]]</f>
        <v>0</v>
      </c>
      <c r="K5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7">
        <f>_xlfn.IFNA(VLOOKUP(Imputar[[#This Row],[Categoría]],EIMI!C:T,8,0),0)</f>
        <v>0</v>
      </c>
      <c r="M557">
        <f>_xlfn.IFNA(VLOOKUP(Imputar[[#This Row],[Categoría]],EIMI!C:T,9,0),0)</f>
        <v>0</v>
      </c>
      <c r="N557">
        <f>_xlfn.IFNA(VLOOKUP(Imputar[[#This Row],[Categoría]],EIMI!C:T,10,0),0)</f>
        <v>0</v>
      </c>
    </row>
    <row r="558" spans="1:14" hidden="1" x14ac:dyDescent="0.25">
      <c r="A558" s="210">
        <f>Indice!$I$11</f>
        <v>0</v>
      </c>
      <c r="B558" t="s">
        <v>1379</v>
      </c>
      <c r="C558" s="39">
        <f>Indice!$I$12</f>
        <v>45992</v>
      </c>
      <c r="E558">
        <f>ROUND(SUMIFS(CATEGORIAS[[#All],[TOTAL PRODUCCION
ACTUAL]],CATEGORIAS[[#All],[CATEGORIA2]],Imputar[[#This Row],[Categoría]]),0)</f>
        <v>0</v>
      </c>
      <c r="F558">
        <v>0</v>
      </c>
      <c r="G558">
        <f>ROUND(SUMIFS(CATEGORIAS[[#All],[PROYECCION
DE INGRESO
DEL SALDO]],CATEGORIAS[[#All],[CATEGORIA2]],Imputar[[#This Row],[Categoría]]),0)</f>
        <v>0</v>
      </c>
      <c r="H558">
        <f>ROUND(SUMIFS(CATEGORIAS[[#All],[CAMBIO DE
CATEGORIA]],CATEGORIAS[[#All],[CATEGORIA2]],Imputar[[#This Row],[Categoría]]),0)</f>
        <v>0</v>
      </c>
      <c r="I5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8">
        <f>+ROUND(SUMIFS(CATEGORIAS[[#All],[PROYECCION
TOTAL DE COSTO]],CATEGORIAS[[#All],[CATEGORIA2]],Imputar[[#This Row],[Categoría]]),0)
-Imputar[[#This Row],[Inventario]]
-Imputar[[#This Row],[Pedidos no Rec]]</f>
        <v>0</v>
      </c>
      <c r="K5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8">
        <f>_xlfn.IFNA(VLOOKUP(Imputar[[#This Row],[Categoría]],EIMI!C:T,8,0),0)</f>
        <v>0</v>
      </c>
      <c r="M558">
        <f>_xlfn.IFNA(VLOOKUP(Imputar[[#This Row],[Categoría]],EIMI!C:T,9,0),0)</f>
        <v>0</v>
      </c>
      <c r="N558">
        <f>_xlfn.IFNA(VLOOKUP(Imputar[[#This Row],[Categoría]],EIMI!C:T,10,0),0)</f>
        <v>0</v>
      </c>
    </row>
    <row r="559" spans="1:14" hidden="1" x14ac:dyDescent="0.25">
      <c r="A559" s="210">
        <f>Indice!$I$11</f>
        <v>0</v>
      </c>
      <c r="B559" t="s">
        <v>1380</v>
      </c>
      <c r="C559" s="39">
        <f>Indice!$I$12</f>
        <v>45992</v>
      </c>
      <c r="E559">
        <f>ROUND(SUMIFS(CATEGORIAS[[#All],[TOTAL PRODUCCION
ACTUAL]],CATEGORIAS[[#All],[CATEGORIA2]],Imputar[[#This Row],[Categoría]]),0)</f>
        <v>0</v>
      </c>
      <c r="F559">
        <v>0</v>
      </c>
      <c r="G559">
        <f>ROUND(SUMIFS(CATEGORIAS[[#All],[PROYECCION
DE INGRESO
DEL SALDO]],CATEGORIAS[[#All],[CATEGORIA2]],Imputar[[#This Row],[Categoría]]),0)</f>
        <v>0</v>
      </c>
      <c r="H559">
        <f>ROUND(SUMIFS(CATEGORIAS[[#All],[CAMBIO DE
CATEGORIA]],CATEGORIAS[[#All],[CATEGORIA2]],Imputar[[#This Row],[Categoría]]),0)</f>
        <v>0</v>
      </c>
      <c r="I5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9">
        <f>+ROUND(SUMIFS(CATEGORIAS[[#All],[PROYECCION
TOTAL DE COSTO]],CATEGORIAS[[#All],[CATEGORIA2]],Imputar[[#This Row],[Categoría]]),0)
-Imputar[[#This Row],[Inventario]]
-Imputar[[#This Row],[Pedidos no Rec]]</f>
        <v>0</v>
      </c>
      <c r="K5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9">
        <f>_xlfn.IFNA(VLOOKUP(Imputar[[#This Row],[Categoría]],EIMI!C:T,8,0),0)</f>
        <v>0</v>
      </c>
      <c r="M559">
        <f>_xlfn.IFNA(VLOOKUP(Imputar[[#This Row],[Categoría]],EIMI!C:T,9,0),0)</f>
        <v>0</v>
      </c>
      <c r="N559">
        <f>_xlfn.IFNA(VLOOKUP(Imputar[[#This Row],[Categoría]],EIMI!C:T,10,0),0)</f>
        <v>0</v>
      </c>
    </row>
    <row r="560" spans="1:14" hidden="1" x14ac:dyDescent="0.25">
      <c r="A560" s="210">
        <f>Indice!$I$11</f>
        <v>0</v>
      </c>
      <c r="B560" t="s">
        <v>1381</v>
      </c>
      <c r="C560" s="39">
        <f>Indice!$I$12</f>
        <v>45992</v>
      </c>
      <c r="E560">
        <f>ROUND(SUMIFS(CATEGORIAS[[#All],[TOTAL PRODUCCION
ACTUAL]],CATEGORIAS[[#All],[CATEGORIA2]],Imputar[[#This Row],[Categoría]]),0)</f>
        <v>0</v>
      </c>
      <c r="F560">
        <v>0</v>
      </c>
      <c r="G560">
        <f>ROUND(SUMIFS(CATEGORIAS[[#All],[PROYECCION
DE INGRESO
DEL SALDO]],CATEGORIAS[[#All],[CATEGORIA2]],Imputar[[#This Row],[Categoría]]),0)</f>
        <v>0</v>
      </c>
      <c r="H560">
        <f>ROUND(SUMIFS(CATEGORIAS[[#All],[CAMBIO DE
CATEGORIA]],CATEGORIAS[[#All],[CATEGORIA2]],Imputar[[#This Row],[Categoría]]),0)</f>
        <v>0</v>
      </c>
      <c r="I5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0">
        <f>+ROUND(SUMIFS(CATEGORIAS[[#All],[PROYECCION
TOTAL DE COSTO]],CATEGORIAS[[#All],[CATEGORIA2]],Imputar[[#This Row],[Categoría]]),0)
-Imputar[[#This Row],[Inventario]]
-Imputar[[#This Row],[Pedidos no Rec]]</f>
        <v>0</v>
      </c>
      <c r="K5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0">
        <f>_xlfn.IFNA(VLOOKUP(Imputar[[#This Row],[Categoría]],EIMI!C:T,8,0),0)</f>
        <v>0</v>
      </c>
      <c r="M560">
        <f>_xlfn.IFNA(VLOOKUP(Imputar[[#This Row],[Categoría]],EIMI!C:T,9,0),0)</f>
        <v>0</v>
      </c>
      <c r="N560">
        <f>_xlfn.IFNA(VLOOKUP(Imputar[[#This Row],[Categoría]],EIMI!C:T,10,0),0)</f>
        <v>0</v>
      </c>
    </row>
    <row r="561" spans="1:14" hidden="1" x14ac:dyDescent="0.25">
      <c r="A561" s="210">
        <f>Indice!$I$11</f>
        <v>0</v>
      </c>
      <c r="B561" t="s">
        <v>1382</v>
      </c>
      <c r="C561" s="39">
        <f>Indice!$I$12</f>
        <v>45992</v>
      </c>
      <c r="E561">
        <f>ROUND(SUMIFS(CATEGORIAS[[#All],[TOTAL PRODUCCION
ACTUAL]],CATEGORIAS[[#All],[CATEGORIA2]],Imputar[[#This Row],[Categoría]]),0)</f>
        <v>0</v>
      </c>
      <c r="F561">
        <v>0</v>
      </c>
      <c r="G561">
        <f>ROUND(SUMIFS(CATEGORIAS[[#All],[PROYECCION
DE INGRESO
DEL SALDO]],CATEGORIAS[[#All],[CATEGORIA2]],Imputar[[#This Row],[Categoría]]),0)</f>
        <v>0</v>
      </c>
      <c r="H561">
        <f>ROUND(SUMIFS(CATEGORIAS[[#All],[CAMBIO DE
CATEGORIA]],CATEGORIAS[[#All],[CATEGORIA2]],Imputar[[#This Row],[Categoría]]),0)</f>
        <v>0</v>
      </c>
      <c r="I5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1">
        <f>+ROUND(SUMIFS(CATEGORIAS[[#All],[PROYECCION
TOTAL DE COSTO]],CATEGORIAS[[#All],[CATEGORIA2]],Imputar[[#This Row],[Categoría]]),0)
-Imputar[[#This Row],[Inventario]]
-Imputar[[#This Row],[Pedidos no Rec]]</f>
        <v>0</v>
      </c>
      <c r="K5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1">
        <f>_xlfn.IFNA(VLOOKUP(Imputar[[#This Row],[Categoría]],EIMI!C:T,8,0),0)</f>
        <v>0</v>
      </c>
      <c r="M561">
        <f>_xlfn.IFNA(VLOOKUP(Imputar[[#This Row],[Categoría]],EIMI!C:T,9,0),0)</f>
        <v>0</v>
      </c>
      <c r="N561">
        <f>_xlfn.IFNA(VLOOKUP(Imputar[[#This Row],[Categoría]],EIMI!C:T,10,0),0)</f>
        <v>0</v>
      </c>
    </row>
    <row r="562" spans="1:14" hidden="1" x14ac:dyDescent="0.25">
      <c r="A562" s="210">
        <f>Indice!$I$11</f>
        <v>0</v>
      </c>
      <c r="B562" t="s">
        <v>1384</v>
      </c>
      <c r="C562" s="39">
        <f>Indice!$I$12</f>
        <v>45992</v>
      </c>
      <c r="E562">
        <f>ROUND(SUMIFS(CATEGORIAS[[#All],[TOTAL PRODUCCION
ACTUAL]],CATEGORIAS[[#All],[CATEGORIA2]],Imputar[[#This Row],[Categoría]]),0)</f>
        <v>0</v>
      </c>
      <c r="F562">
        <v>0</v>
      </c>
      <c r="G562">
        <f>ROUND(SUMIFS(CATEGORIAS[[#All],[PROYECCION
DE INGRESO
DEL SALDO]],CATEGORIAS[[#All],[CATEGORIA2]],Imputar[[#This Row],[Categoría]]),0)</f>
        <v>0</v>
      </c>
      <c r="H562">
        <f>ROUND(SUMIFS(CATEGORIAS[[#All],[CAMBIO DE
CATEGORIA]],CATEGORIAS[[#All],[CATEGORIA2]],Imputar[[#This Row],[Categoría]]),0)</f>
        <v>0</v>
      </c>
      <c r="I5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2">
        <f>+ROUND(SUMIFS(CATEGORIAS[[#All],[PROYECCION
TOTAL DE COSTO]],CATEGORIAS[[#All],[CATEGORIA2]],Imputar[[#This Row],[Categoría]]),0)
-Imputar[[#This Row],[Inventario]]
-Imputar[[#This Row],[Pedidos no Rec]]</f>
        <v>0</v>
      </c>
      <c r="K5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2">
        <f>_xlfn.IFNA(VLOOKUP(Imputar[[#This Row],[Categoría]],EIMI!C:T,8,0),0)</f>
        <v>0</v>
      </c>
      <c r="M562">
        <f>_xlfn.IFNA(VLOOKUP(Imputar[[#This Row],[Categoría]],EIMI!C:T,9,0),0)</f>
        <v>0</v>
      </c>
      <c r="N562">
        <f>_xlfn.IFNA(VLOOKUP(Imputar[[#This Row],[Categoría]],EIMI!C:T,10,0),0)</f>
        <v>0</v>
      </c>
    </row>
    <row r="563" spans="1:14" hidden="1" x14ac:dyDescent="0.25">
      <c r="A563" s="210">
        <f>Indice!$I$11</f>
        <v>0</v>
      </c>
      <c r="B563" t="s">
        <v>1386</v>
      </c>
      <c r="C563" s="39">
        <f>Indice!$I$12</f>
        <v>45992</v>
      </c>
      <c r="E563">
        <f>ROUND(SUMIFS(CATEGORIAS[[#All],[TOTAL PRODUCCION
ACTUAL]],CATEGORIAS[[#All],[CATEGORIA2]],Imputar[[#This Row],[Categoría]]),0)</f>
        <v>0</v>
      </c>
      <c r="F563">
        <v>0</v>
      </c>
      <c r="G563">
        <f>ROUND(SUMIFS(CATEGORIAS[[#All],[PROYECCION
DE INGRESO
DEL SALDO]],CATEGORIAS[[#All],[CATEGORIA2]],Imputar[[#This Row],[Categoría]]),0)</f>
        <v>0</v>
      </c>
      <c r="H563">
        <f>ROUND(SUMIFS(CATEGORIAS[[#All],[CAMBIO DE
CATEGORIA]],CATEGORIAS[[#All],[CATEGORIA2]],Imputar[[#This Row],[Categoría]]),0)</f>
        <v>0</v>
      </c>
      <c r="I5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3">
        <f>+ROUND(SUMIFS(CATEGORIAS[[#All],[PROYECCION
TOTAL DE COSTO]],CATEGORIAS[[#All],[CATEGORIA2]],Imputar[[#This Row],[Categoría]]),0)
-Imputar[[#This Row],[Inventario]]
-Imputar[[#This Row],[Pedidos no Rec]]</f>
        <v>0</v>
      </c>
      <c r="K5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3">
        <f>_xlfn.IFNA(VLOOKUP(Imputar[[#This Row],[Categoría]],EIMI!C:T,8,0),0)</f>
        <v>0</v>
      </c>
      <c r="M563">
        <f>_xlfn.IFNA(VLOOKUP(Imputar[[#This Row],[Categoría]],EIMI!C:T,9,0),0)</f>
        <v>0</v>
      </c>
      <c r="N563">
        <f>_xlfn.IFNA(VLOOKUP(Imputar[[#This Row],[Categoría]],EIMI!C:T,10,0),0)</f>
        <v>0</v>
      </c>
    </row>
    <row r="564" spans="1:14" hidden="1" x14ac:dyDescent="0.25">
      <c r="A564" s="210">
        <f>Indice!$I$11</f>
        <v>0</v>
      </c>
      <c r="B564" t="s">
        <v>1387</v>
      </c>
      <c r="C564" s="39">
        <f>Indice!$I$12</f>
        <v>45992</v>
      </c>
      <c r="E564">
        <f>ROUND(SUMIFS(CATEGORIAS[[#All],[TOTAL PRODUCCION
ACTUAL]],CATEGORIAS[[#All],[CATEGORIA2]],Imputar[[#This Row],[Categoría]]),0)</f>
        <v>0</v>
      </c>
      <c r="F564">
        <v>0</v>
      </c>
      <c r="G564">
        <f>ROUND(SUMIFS(CATEGORIAS[[#All],[PROYECCION
DE INGRESO
DEL SALDO]],CATEGORIAS[[#All],[CATEGORIA2]],Imputar[[#This Row],[Categoría]]),0)</f>
        <v>0</v>
      </c>
      <c r="H564">
        <f>ROUND(SUMIFS(CATEGORIAS[[#All],[CAMBIO DE
CATEGORIA]],CATEGORIAS[[#All],[CATEGORIA2]],Imputar[[#This Row],[Categoría]]),0)</f>
        <v>0</v>
      </c>
      <c r="I5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4">
        <f>+ROUND(SUMIFS(CATEGORIAS[[#All],[PROYECCION
TOTAL DE COSTO]],CATEGORIAS[[#All],[CATEGORIA2]],Imputar[[#This Row],[Categoría]]),0)
-Imputar[[#This Row],[Inventario]]
-Imputar[[#This Row],[Pedidos no Rec]]</f>
        <v>0</v>
      </c>
      <c r="K5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4">
        <f>_xlfn.IFNA(VLOOKUP(Imputar[[#This Row],[Categoría]],EIMI!C:T,8,0),0)</f>
        <v>0</v>
      </c>
      <c r="M564">
        <f>_xlfn.IFNA(VLOOKUP(Imputar[[#This Row],[Categoría]],EIMI!C:T,9,0),0)</f>
        <v>0</v>
      </c>
      <c r="N564">
        <f>_xlfn.IFNA(VLOOKUP(Imputar[[#This Row],[Categoría]],EIMI!C:T,10,0),0)</f>
        <v>0</v>
      </c>
    </row>
    <row r="565" spans="1:14" hidden="1" x14ac:dyDescent="0.25">
      <c r="A565" s="210">
        <f>Indice!$I$11</f>
        <v>0</v>
      </c>
      <c r="B565" t="s">
        <v>1392</v>
      </c>
      <c r="C565" s="39">
        <f>Indice!$I$12</f>
        <v>45992</v>
      </c>
      <c r="E565">
        <f>ROUND(SUMIFS(CATEGORIAS[[#All],[TOTAL PRODUCCION
ACTUAL]],CATEGORIAS[[#All],[CATEGORIA2]],Imputar[[#This Row],[Categoría]]),0)</f>
        <v>0</v>
      </c>
      <c r="F565">
        <v>0</v>
      </c>
      <c r="G565">
        <f>ROUND(SUMIFS(CATEGORIAS[[#All],[PROYECCION
DE INGRESO
DEL SALDO]],CATEGORIAS[[#All],[CATEGORIA2]],Imputar[[#This Row],[Categoría]]),0)</f>
        <v>0</v>
      </c>
      <c r="H565">
        <f>ROUND(SUMIFS(CATEGORIAS[[#All],[CAMBIO DE
CATEGORIA]],CATEGORIAS[[#All],[CATEGORIA2]],Imputar[[#This Row],[Categoría]]),0)</f>
        <v>0</v>
      </c>
      <c r="I5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5">
        <f>+ROUND(SUMIFS(CATEGORIAS[[#All],[PROYECCION
TOTAL DE COSTO]],CATEGORIAS[[#All],[CATEGORIA2]],Imputar[[#This Row],[Categoría]]),0)
-Imputar[[#This Row],[Inventario]]
-Imputar[[#This Row],[Pedidos no Rec]]</f>
        <v>0</v>
      </c>
      <c r="K5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5">
        <f>_xlfn.IFNA(VLOOKUP(Imputar[[#This Row],[Categoría]],EIMI!C:T,8,0),0)</f>
        <v>0</v>
      </c>
      <c r="M565">
        <f>_xlfn.IFNA(VLOOKUP(Imputar[[#This Row],[Categoría]],EIMI!C:T,9,0),0)</f>
        <v>0</v>
      </c>
      <c r="N565">
        <f>_xlfn.IFNA(VLOOKUP(Imputar[[#This Row],[Categoría]],EIMI!C:T,10,0),0)</f>
        <v>0</v>
      </c>
    </row>
    <row r="566" spans="1:14" hidden="1" x14ac:dyDescent="0.25">
      <c r="A566" s="210">
        <f>Indice!$I$11</f>
        <v>0</v>
      </c>
      <c r="B566" t="s">
        <v>1413</v>
      </c>
      <c r="C566" s="39">
        <f>Indice!$I$12</f>
        <v>45992</v>
      </c>
      <c r="E566">
        <f>ROUND(SUMIFS(CATEGORIAS[[#All],[TOTAL PRODUCCION
ACTUAL]],CATEGORIAS[[#All],[CATEGORIA2]],Imputar[[#This Row],[Categoría]]),0)</f>
        <v>0</v>
      </c>
      <c r="F566">
        <v>0</v>
      </c>
      <c r="G566">
        <f>ROUND(SUMIFS(CATEGORIAS[[#All],[PROYECCION
DE INGRESO
DEL SALDO]],CATEGORIAS[[#All],[CATEGORIA2]],Imputar[[#This Row],[Categoría]]),0)</f>
        <v>0</v>
      </c>
      <c r="H566">
        <f>ROUND(SUMIFS(CATEGORIAS[[#All],[CAMBIO DE
CATEGORIA]],CATEGORIAS[[#All],[CATEGORIA2]],Imputar[[#This Row],[Categoría]]),0)</f>
        <v>0</v>
      </c>
      <c r="I5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6">
        <f>+ROUND(SUMIFS(CATEGORIAS[[#All],[PROYECCION
TOTAL DE COSTO]],CATEGORIAS[[#All],[CATEGORIA2]],Imputar[[#This Row],[Categoría]]),0)
-Imputar[[#This Row],[Inventario]]
-Imputar[[#This Row],[Pedidos no Rec]]</f>
        <v>0</v>
      </c>
      <c r="K5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6">
        <f>_xlfn.IFNA(VLOOKUP(Imputar[[#This Row],[Categoría]],EIMI!C:T,8,0),0)</f>
        <v>0</v>
      </c>
      <c r="M566">
        <f>_xlfn.IFNA(VLOOKUP(Imputar[[#This Row],[Categoría]],EIMI!C:T,9,0),0)</f>
        <v>0</v>
      </c>
      <c r="N566">
        <f>_xlfn.IFNA(VLOOKUP(Imputar[[#This Row],[Categoría]],EIMI!C:T,10,0),0)</f>
        <v>0</v>
      </c>
    </row>
    <row r="567" spans="1:14" hidden="1" x14ac:dyDescent="0.25">
      <c r="A567" s="210">
        <f>Indice!$I$11</f>
        <v>0</v>
      </c>
      <c r="B567" t="s">
        <v>1414</v>
      </c>
      <c r="C567" s="39">
        <f>Indice!$I$12</f>
        <v>45992</v>
      </c>
      <c r="E567">
        <f>ROUND(SUMIFS(CATEGORIAS[[#All],[TOTAL PRODUCCION
ACTUAL]],CATEGORIAS[[#All],[CATEGORIA2]],Imputar[[#This Row],[Categoría]]),0)</f>
        <v>0</v>
      </c>
      <c r="F567">
        <v>0</v>
      </c>
      <c r="G567">
        <f>ROUND(SUMIFS(CATEGORIAS[[#All],[PROYECCION
DE INGRESO
DEL SALDO]],CATEGORIAS[[#All],[CATEGORIA2]],Imputar[[#This Row],[Categoría]]),0)</f>
        <v>0</v>
      </c>
      <c r="H567">
        <f>ROUND(SUMIFS(CATEGORIAS[[#All],[CAMBIO DE
CATEGORIA]],CATEGORIAS[[#All],[CATEGORIA2]],Imputar[[#This Row],[Categoría]]),0)</f>
        <v>0</v>
      </c>
      <c r="I5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7">
        <f>+ROUND(SUMIFS(CATEGORIAS[[#All],[PROYECCION
TOTAL DE COSTO]],CATEGORIAS[[#All],[CATEGORIA2]],Imputar[[#This Row],[Categoría]]),0)
-Imputar[[#This Row],[Inventario]]
-Imputar[[#This Row],[Pedidos no Rec]]</f>
        <v>0</v>
      </c>
      <c r="K5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7">
        <f>_xlfn.IFNA(VLOOKUP(Imputar[[#This Row],[Categoría]],EIMI!C:T,8,0),0)</f>
        <v>0</v>
      </c>
      <c r="M567">
        <f>_xlfn.IFNA(VLOOKUP(Imputar[[#This Row],[Categoría]],EIMI!C:T,9,0),0)</f>
        <v>0</v>
      </c>
      <c r="N567">
        <f>_xlfn.IFNA(VLOOKUP(Imputar[[#This Row],[Categoría]],EIMI!C:T,10,0),0)</f>
        <v>0</v>
      </c>
    </row>
    <row r="568" spans="1:14" hidden="1" x14ac:dyDescent="0.25">
      <c r="A568" s="210">
        <f>Indice!$I$11</f>
        <v>0</v>
      </c>
      <c r="B568" t="s">
        <v>1416</v>
      </c>
      <c r="C568" s="39">
        <f>Indice!$I$12</f>
        <v>45992</v>
      </c>
      <c r="E568">
        <f>ROUND(SUMIFS(CATEGORIAS[[#All],[TOTAL PRODUCCION
ACTUAL]],CATEGORIAS[[#All],[CATEGORIA2]],Imputar[[#This Row],[Categoría]]),0)</f>
        <v>0</v>
      </c>
      <c r="F568">
        <v>0</v>
      </c>
      <c r="G568">
        <f>ROUND(SUMIFS(CATEGORIAS[[#All],[PROYECCION
DE INGRESO
DEL SALDO]],CATEGORIAS[[#All],[CATEGORIA2]],Imputar[[#This Row],[Categoría]]),0)</f>
        <v>0</v>
      </c>
      <c r="H568">
        <f>ROUND(SUMIFS(CATEGORIAS[[#All],[CAMBIO DE
CATEGORIA]],CATEGORIAS[[#All],[CATEGORIA2]],Imputar[[#This Row],[Categoría]]),0)</f>
        <v>0</v>
      </c>
      <c r="I5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8">
        <f>+ROUND(SUMIFS(CATEGORIAS[[#All],[PROYECCION
TOTAL DE COSTO]],CATEGORIAS[[#All],[CATEGORIA2]],Imputar[[#This Row],[Categoría]]),0)
-Imputar[[#This Row],[Inventario]]
-Imputar[[#This Row],[Pedidos no Rec]]</f>
        <v>0</v>
      </c>
      <c r="K5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8">
        <f>_xlfn.IFNA(VLOOKUP(Imputar[[#This Row],[Categoría]],EIMI!C:T,8,0),0)</f>
        <v>0</v>
      </c>
      <c r="M568">
        <f>_xlfn.IFNA(VLOOKUP(Imputar[[#This Row],[Categoría]],EIMI!C:T,9,0),0)</f>
        <v>0</v>
      </c>
      <c r="N568">
        <f>_xlfn.IFNA(VLOOKUP(Imputar[[#This Row],[Categoría]],EIMI!C:T,10,0),0)</f>
        <v>0</v>
      </c>
    </row>
    <row r="569" spans="1:14" hidden="1" x14ac:dyDescent="0.25">
      <c r="A569" s="210">
        <f>Indice!$I$11</f>
        <v>0</v>
      </c>
      <c r="B569" t="s">
        <v>1419</v>
      </c>
      <c r="C569" s="39">
        <f>Indice!$I$12</f>
        <v>45992</v>
      </c>
      <c r="E569">
        <f>ROUND(SUMIFS(CATEGORIAS[[#All],[TOTAL PRODUCCION
ACTUAL]],CATEGORIAS[[#All],[CATEGORIA2]],Imputar[[#This Row],[Categoría]]),0)</f>
        <v>0</v>
      </c>
      <c r="F569">
        <v>0</v>
      </c>
      <c r="G569">
        <f>ROUND(SUMIFS(CATEGORIAS[[#All],[PROYECCION
DE INGRESO
DEL SALDO]],CATEGORIAS[[#All],[CATEGORIA2]],Imputar[[#This Row],[Categoría]]),0)</f>
        <v>0</v>
      </c>
      <c r="H569">
        <f>ROUND(SUMIFS(CATEGORIAS[[#All],[CAMBIO DE
CATEGORIA]],CATEGORIAS[[#All],[CATEGORIA2]],Imputar[[#This Row],[Categoría]]),0)</f>
        <v>0</v>
      </c>
      <c r="I5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9">
        <f>+ROUND(SUMIFS(CATEGORIAS[[#All],[PROYECCION
TOTAL DE COSTO]],CATEGORIAS[[#All],[CATEGORIA2]],Imputar[[#This Row],[Categoría]]),0)
-Imputar[[#This Row],[Inventario]]
-Imputar[[#This Row],[Pedidos no Rec]]</f>
        <v>0</v>
      </c>
      <c r="K5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9">
        <f>_xlfn.IFNA(VLOOKUP(Imputar[[#This Row],[Categoría]],EIMI!C:T,8,0),0)</f>
        <v>0</v>
      </c>
      <c r="M569">
        <f>_xlfn.IFNA(VLOOKUP(Imputar[[#This Row],[Categoría]],EIMI!C:T,9,0),0)</f>
        <v>0</v>
      </c>
      <c r="N569">
        <f>_xlfn.IFNA(VLOOKUP(Imputar[[#This Row],[Categoría]],EIMI!C:T,10,0),0)</f>
        <v>0</v>
      </c>
    </row>
    <row r="570" spans="1:14" hidden="1" x14ac:dyDescent="0.25">
      <c r="A570" s="210">
        <f>Indice!$I$11</f>
        <v>0</v>
      </c>
      <c r="B570" t="s">
        <v>1421</v>
      </c>
      <c r="C570" s="39">
        <f>Indice!$I$12</f>
        <v>45992</v>
      </c>
      <c r="E570">
        <f>ROUND(SUMIFS(CATEGORIAS[[#All],[TOTAL PRODUCCION
ACTUAL]],CATEGORIAS[[#All],[CATEGORIA2]],Imputar[[#This Row],[Categoría]]),0)</f>
        <v>0</v>
      </c>
      <c r="F570">
        <v>0</v>
      </c>
      <c r="G570">
        <f>ROUND(SUMIFS(CATEGORIAS[[#All],[PROYECCION
DE INGRESO
DEL SALDO]],CATEGORIAS[[#All],[CATEGORIA2]],Imputar[[#This Row],[Categoría]]),0)</f>
        <v>0</v>
      </c>
      <c r="H570">
        <f>ROUND(SUMIFS(CATEGORIAS[[#All],[CAMBIO DE
CATEGORIA]],CATEGORIAS[[#All],[CATEGORIA2]],Imputar[[#This Row],[Categoría]]),0)</f>
        <v>0</v>
      </c>
      <c r="I5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70">
        <f>+ROUND(SUMIFS(CATEGORIAS[[#All],[PROYECCION
TOTAL DE COSTO]],CATEGORIAS[[#All],[CATEGORIA2]],Imputar[[#This Row],[Categoría]]),0)
-Imputar[[#This Row],[Inventario]]
-Imputar[[#This Row],[Pedidos no Rec]]</f>
        <v>0</v>
      </c>
      <c r="K5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70">
        <f>_xlfn.IFNA(VLOOKUP(Imputar[[#This Row],[Categoría]],EIMI!C:T,8,0),0)</f>
        <v>0</v>
      </c>
      <c r="M570">
        <f>_xlfn.IFNA(VLOOKUP(Imputar[[#This Row],[Categoría]],EIMI!C:T,9,0),0)</f>
        <v>0</v>
      </c>
      <c r="N570">
        <f>_xlfn.IFNA(VLOOKUP(Imputar[[#This Row],[Categoría]],EIMI!C:T,10,0),0)</f>
        <v>0</v>
      </c>
    </row>
    <row r="571" spans="1:14" x14ac:dyDescent="0.25">
      <c r="A571" s="210">
        <f>Indice!$I$11</f>
        <v>0</v>
      </c>
      <c r="B571" t="s">
        <v>465</v>
      </c>
      <c r="C571" s="39">
        <f>Indice!$I$12</f>
        <v>45992</v>
      </c>
      <c r="E571">
        <f>ROUND(SUMIFS(CATEGORIAS[[#All],[TOTAL PRODUCCION
ACTUAL]],CATEGORIAS[[#All],[CATEGORIA2]],Imputar[[#This Row],[Categoría]]),0)</f>
        <v>0</v>
      </c>
      <c r="F571">
        <v>0</v>
      </c>
      <c r="G571">
        <f>ROUND(SUMIFS(CATEGORIAS[[#All],[PROYECCION
DE INGRESO
DEL SALDO]],CATEGORIAS[[#All],[CATEGORIA2]],Imputar[[#This Row],[Categoría]]),0)</f>
        <v>0</v>
      </c>
      <c r="H571">
        <f>ROUND(SUMIFS(CATEGORIAS[[#All],[CAMBIO DE
CATEGORIA]],CATEGORIAS[[#All],[CATEGORIA2]],Imputar[[#This Row],[Categoría]]),0)</f>
        <v>0</v>
      </c>
      <c r="I5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-647323</v>
      </c>
      <c r="J571">
        <f>+ROUND(SUMIFS(CATEGORIAS[[#All],[PROYECCION
TOTAL DE COSTO]],CATEGORIAS[[#All],[CATEGORIA2]],Imputar[[#This Row],[Categoría]]),0)
-Imputar[[#This Row],[Inventario]]
-Imputar[[#This Row],[Pedidos no Rec]]</f>
        <v>0</v>
      </c>
      <c r="K5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1">
        <f>_xlfn.IFNA(VLOOKUP(Imputar[[#This Row],[Categoría]],EIMI!C:T,8,0),0)</f>
        <v>647323</v>
      </c>
      <c r="M571">
        <f>_xlfn.IFNA(VLOOKUP(Imputar[[#This Row],[Categoría]],EIMI!C:T,9,0),0)</f>
        <v>0</v>
      </c>
      <c r="N571">
        <f>_xlfn.IFNA(VLOOKUP(Imputar[[#This Row],[Categoría]],EIMI!C:T,10,0),0)</f>
        <v>0</v>
      </c>
    </row>
    <row r="572" spans="1:14" x14ac:dyDescent="0.25">
      <c r="A572" s="210">
        <f>Indice!$I$11</f>
        <v>0</v>
      </c>
      <c r="B572" t="s">
        <v>1383</v>
      </c>
      <c r="C572" s="39">
        <f>Indice!$I$12</f>
        <v>45992</v>
      </c>
      <c r="E572">
        <f>ROUND(SUMIFS(CATEGORIAS[[#All],[TOTAL PRODUCCION
ACTUAL]],CATEGORIAS[[#All],[CATEGORIA2]],Imputar[[#This Row],[Categoría]]),0)</f>
        <v>0</v>
      </c>
      <c r="F572">
        <v>0</v>
      </c>
      <c r="G572">
        <f>ROUND(SUMIFS(CATEGORIAS[[#All],[PROYECCION
DE INGRESO
DEL SALDO]],CATEGORIAS[[#All],[CATEGORIA2]],Imputar[[#This Row],[Categoría]]),0)</f>
        <v>0</v>
      </c>
      <c r="H572">
        <f>ROUND(SUMIFS(CATEGORIAS[[#All],[CAMBIO DE
CATEGORIA]],CATEGORIAS[[#All],[CATEGORIA2]],Imputar[[#This Row],[Categoría]]),0)</f>
        <v>0</v>
      </c>
      <c r="I5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-38214</v>
      </c>
      <c r="J572">
        <f>+ROUND(SUMIFS(CATEGORIAS[[#All],[PROYECCION
TOTAL DE COSTO]],CATEGORIAS[[#All],[CATEGORIA2]],Imputar[[#This Row],[Categoría]]),0)
-Imputar[[#This Row],[Inventario]]
-Imputar[[#This Row],[Pedidos no Rec]]</f>
        <v>0</v>
      </c>
      <c r="K57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2">
        <f>_xlfn.IFNA(VLOOKUP(Imputar[[#This Row],[Categoría]],EIMI!C:T,8,0),0)</f>
        <v>38214</v>
      </c>
      <c r="M572">
        <f>_xlfn.IFNA(VLOOKUP(Imputar[[#This Row],[Categoría]],EIMI!C:T,9,0),0)</f>
        <v>0</v>
      </c>
      <c r="N572">
        <f>_xlfn.IFNA(VLOOKUP(Imputar[[#This Row],[Categoría]],EIMI!C:T,10,0),0)</f>
        <v>0</v>
      </c>
    </row>
    <row r="573" spans="1:14" x14ac:dyDescent="0.25">
      <c r="A573" s="210">
        <f>Indice!$I$11</f>
        <v>0</v>
      </c>
      <c r="B573" t="s">
        <v>1429</v>
      </c>
      <c r="C573" s="39">
        <f>Indice!$I$12</f>
        <v>45992</v>
      </c>
      <c r="E573">
        <f>ROUND(SUMIFS(CATEGORIAS[[#All],[TOTAL PRODUCCION
ACTUAL]],CATEGORIAS[[#All],[CATEGORIA2]],Imputar[[#This Row],[Categoría]]),0)</f>
        <v>0</v>
      </c>
      <c r="F573">
        <v>0</v>
      </c>
      <c r="G573">
        <f>ROUND(SUMIFS(CATEGORIAS[[#All],[PROYECCION
DE INGRESO
DEL SALDO]],CATEGORIAS[[#All],[CATEGORIA2]],Imputar[[#This Row],[Categoría]]),0)</f>
        <v>0</v>
      </c>
      <c r="H573">
        <f>ROUND(SUMIFS(CATEGORIAS[[#All],[CAMBIO DE
CATEGORIA]],CATEGORIAS[[#All],[CATEGORIA2]],Imputar[[#This Row],[Categoría]]),0)</f>
        <v>0</v>
      </c>
      <c r="I5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-33788645</v>
      </c>
      <c r="J573">
        <f>+ROUND(SUMIFS(CATEGORIAS[[#All],[PROYECCION
TOTAL DE COSTO]],CATEGORIAS[[#All],[CATEGORIA2]],Imputar[[#This Row],[Categoría]]),0)
-Imputar[[#This Row],[Inventario]]
-Imputar[[#This Row],[Pedidos no Rec]]</f>
        <v>0</v>
      </c>
      <c r="K57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3">
        <f>_xlfn.IFNA(VLOOKUP(Imputar[[#This Row],[Categoría]],EIMI!C:T,8,0),0)</f>
        <v>33788645</v>
      </c>
      <c r="M573">
        <f>_xlfn.IFNA(VLOOKUP(Imputar[[#This Row],[Categoría]],EIMI!C:T,9,0),0)</f>
        <v>0</v>
      </c>
      <c r="N573">
        <f>_xlfn.IFNA(VLOOKUP(Imputar[[#This Row],[Categoría]],EIMI!C:T,10,0),0)</f>
        <v>0</v>
      </c>
    </row>
  </sheetData>
  <sheetProtection algorithmName="SHA-512" hashValue="WkL8LmRNkcXTzmNZYnfPg5cw5xk5yzKrG+e7y1qnZgXx6elhrxMsscvIRh2et7DBoYosm4Z2TAfNmmFJMrzaDQ==" saltValue="IOUEysQS/Sxst37G2Bn/FQ==" spinCount="100000" sheet="1" objects="1" scenarios="1" selectLockedCells="1" autoFilter="0" selectUnlockedCells="1"/>
  <phoneticPr fontId="35" type="noConversion"/>
  <conditionalFormatting sqref="B1 B513:B573 B575:B1048576">
    <cfRule type="duplicateValues" dxfId="6" priority="5"/>
  </conditionalFormatting>
  <conditionalFormatting sqref="B1:B573 B575:B1048576">
    <cfRule type="duplicateValues" dxfId="5" priority="1"/>
    <cfRule type="duplicateValues" dxfId="4" priority="2"/>
    <cfRule type="duplicateValues" dxfId="3" priority="3"/>
  </conditionalFormatting>
  <conditionalFormatting sqref="B2:B573">
    <cfRule type="duplicateValues" dxfId="2" priority="7"/>
  </conditionalFormatting>
  <pageMargins left="0.7" right="0.7" top="0.75" bottom="0.75" header="0.3" footer="0.3"/>
  <pageSetup scale="37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outlinePr summaryBelow="0" summaryRight="0"/>
  </sheetPr>
  <dimension ref="A1:T600"/>
  <sheetViews>
    <sheetView showGridLines="0" workbookViewId="0">
      <selection activeCell="P1" sqref="P1"/>
    </sheetView>
  </sheetViews>
  <sheetFormatPr baseColWidth="10" defaultColWidth="11.42578125" defaultRowHeight="15" outlineLevelRow="3" outlineLevelCol="1" x14ac:dyDescent="0.25"/>
  <cols>
    <col min="1" max="1" width="0.140625" style="213" customWidth="1"/>
    <col min="2" max="2" width="36.140625" style="213" customWidth="1"/>
    <col min="3" max="3" width="18.5703125" style="213" customWidth="1"/>
    <col min="4" max="4" width="12.28515625" style="213" customWidth="1"/>
    <col min="5" max="5" width="1.42578125" style="213" customWidth="1"/>
    <col min="6" max="6" width="12.28515625" style="213" customWidth="1"/>
    <col min="7" max="8" width="13.7109375" style="213" customWidth="1"/>
    <col min="9" max="9" width="1.42578125" style="213" customWidth="1"/>
    <col min="10" max="10" width="12.28515625" style="213" customWidth="1" collapsed="1"/>
    <col min="11" max="11" width="13.7109375" style="213" hidden="1" customWidth="1" outlineLevel="1" collapsed="1"/>
    <col min="12" max="12" width="5.85546875" style="213" hidden="1" customWidth="1" outlineLevel="1" collapsed="1"/>
    <col min="13" max="13" width="7.85546875" style="213" hidden="1" customWidth="1" outlineLevel="1" collapsed="1"/>
    <col min="14" max="14" width="13.7109375" style="213" hidden="1" customWidth="1" outlineLevel="1" collapsed="1"/>
    <col min="15" max="16" width="13.7109375" style="213" customWidth="1"/>
    <col min="17" max="17" width="1.42578125" style="213" customWidth="1"/>
    <col min="18" max="20" width="13.7109375" style="213" customWidth="1"/>
    <col min="21" max="21" width="0" style="213" hidden="1" customWidth="1"/>
    <col min="22" max="22" width="229.7109375" style="213" customWidth="1"/>
    <col min="23" max="16384" width="11.42578125" style="213"/>
  </cols>
  <sheetData>
    <row r="1" spans="1:20" ht="52.7" customHeight="1" x14ac:dyDescent="0.25">
      <c r="A1" s="14"/>
      <c r="B1" s="416" t="s">
        <v>1451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14"/>
      <c r="N1" s="14"/>
      <c r="O1" s="14"/>
      <c r="P1" s="14"/>
      <c r="Q1" s="14"/>
      <c r="R1" s="14"/>
      <c r="S1" s="14"/>
      <c r="T1" s="14"/>
    </row>
    <row r="2" spans="1:20" ht="4.9000000000000004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409" t="s">
        <v>80</v>
      </c>
      <c r="B3" s="402"/>
      <c r="C3" s="300" t="s">
        <v>80</v>
      </c>
      <c r="D3" s="80" t="s">
        <v>80</v>
      </c>
      <c r="E3" s="300" t="s">
        <v>80</v>
      </c>
      <c r="F3" s="400" t="s">
        <v>161</v>
      </c>
      <c r="G3" s="401"/>
      <c r="H3" s="402"/>
      <c r="I3" s="300" t="s">
        <v>80</v>
      </c>
      <c r="J3" s="407" t="s">
        <v>252</v>
      </c>
      <c r="K3" s="401"/>
      <c r="L3" s="401"/>
      <c r="M3" s="401"/>
      <c r="N3" s="401"/>
      <c r="O3" s="401"/>
      <c r="P3" s="402"/>
      <c r="Q3" s="301" t="s">
        <v>80</v>
      </c>
      <c r="R3" s="409" t="s">
        <v>253</v>
      </c>
      <c r="S3" s="401"/>
      <c r="T3" s="402"/>
    </row>
    <row r="4" spans="1:20" ht="38.25" x14ac:dyDescent="0.25">
      <c r="A4" s="418" t="s">
        <v>1452</v>
      </c>
      <c r="B4" s="402"/>
      <c r="C4" s="303" t="s">
        <v>80</v>
      </c>
      <c r="D4" s="302" t="s">
        <v>1453</v>
      </c>
      <c r="E4" s="303" t="s">
        <v>80</v>
      </c>
      <c r="F4" s="304" t="s">
        <v>1454</v>
      </c>
      <c r="G4" s="304" t="s">
        <v>253</v>
      </c>
      <c r="H4" s="304" t="s">
        <v>1455</v>
      </c>
      <c r="I4" s="303" t="s">
        <v>80</v>
      </c>
      <c r="J4" s="305" t="s">
        <v>350</v>
      </c>
      <c r="K4" s="306" t="s">
        <v>1456</v>
      </c>
      <c r="L4" s="419" t="s">
        <v>1457</v>
      </c>
      <c r="M4" s="402"/>
      <c r="N4" s="306" t="s">
        <v>1458</v>
      </c>
      <c r="O4" s="305" t="s">
        <v>253</v>
      </c>
      <c r="P4" s="305" t="s">
        <v>147</v>
      </c>
      <c r="Q4" s="307" t="s">
        <v>80</v>
      </c>
      <c r="R4" s="304" t="s">
        <v>1459</v>
      </c>
      <c r="S4" s="305" t="s">
        <v>252</v>
      </c>
      <c r="T4" s="302" t="s">
        <v>1460</v>
      </c>
    </row>
    <row r="5" spans="1:20" x14ac:dyDescent="0.25">
      <c r="A5" s="420" t="s">
        <v>1461</v>
      </c>
      <c r="B5" s="402"/>
      <c r="C5" s="308" t="s">
        <v>80</v>
      </c>
      <c r="D5" s="1">
        <v>0</v>
      </c>
      <c r="E5" s="308" t="s">
        <v>80</v>
      </c>
      <c r="F5" s="12">
        <v>0</v>
      </c>
      <c r="G5" s="12">
        <v>0</v>
      </c>
      <c r="H5" s="12">
        <v>0</v>
      </c>
      <c r="I5" s="308" t="s">
        <v>80</v>
      </c>
      <c r="J5" s="11">
        <v>35182544</v>
      </c>
      <c r="K5" s="11">
        <v>6515702</v>
      </c>
      <c r="L5" s="421">
        <v>0</v>
      </c>
      <c r="M5" s="402"/>
      <c r="N5" s="11">
        <v>0</v>
      </c>
      <c r="O5" s="11">
        <v>6515702</v>
      </c>
      <c r="P5" s="11">
        <v>41698246</v>
      </c>
      <c r="Q5" s="271" t="s">
        <v>80</v>
      </c>
      <c r="R5" s="12">
        <v>0</v>
      </c>
      <c r="S5" s="11">
        <v>41698246</v>
      </c>
      <c r="T5" s="2">
        <v>-41698246</v>
      </c>
    </row>
    <row r="6" spans="1:20" outlineLevel="1" x14ac:dyDescent="0.25">
      <c r="A6" s="412" t="s">
        <v>1462</v>
      </c>
      <c r="B6" s="402"/>
      <c r="C6" s="196" t="str">
        <f>IF(MID(A6,6,1)="      - ","-",
IF(A6="     0 - Categoría NULA",0,MID(A6,6,10)))</f>
        <v/>
      </c>
      <c r="D6" s="197">
        <v>0</v>
      </c>
      <c r="E6" s="196" t="s">
        <v>80</v>
      </c>
      <c r="F6" s="198">
        <v>0</v>
      </c>
      <c r="G6" s="198">
        <v>0</v>
      </c>
      <c r="H6" s="198">
        <v>0</v>
      </c>
      <c r="I6" s="196" t="s">
        <v>80</v>
      </c>
      <c r="J6" s="214">
        <v>35182544</v>
      </c>
      <c r="K6" s="214">
        <v>6515702</v>
      </c>
      <c r="L6" s="413">
        <v>0</v>
      </c>
      <c r="M6" s="402"/>
      <c r="N6" s="214">
        <v>0</v>
      </c>
      <c r="O6" s="214">
        <v>6515702</v>
      </c>
      <c r="P6" s="214">
        <v>41698246</v>
      </c>
      <c r="Q6" s="199" t="s">
        <v>80</v>
      </c>
      <c r="R6" s="198">
        <v>0</v>
      </c>
      <c r="S6" s="214">
        <v>41698246</v>
      </c>
      <c r="T6" s="200">
        <v>-41698246</v>
      </c>
    </row>
    <row r="7" spans="1:20" outlineLevel="2" x14ac:dyDescent="0.25">
      <c r="A7" s="414" t="s">
        <v>1462</v>
      </c>
      <c r="B7" s="402"/>
      <c r="C7" s="196" t="str">
        <f t="shared" ref="C7:C70" si="0">IF(MID(A7,6,1)="      - ","-",
IF(A7="     0 - Categoría NULA",0,MID(A7,6,10)))</f>
        <v/>
      </c>
      <c r="D7" s="3">
        <v>0</v>
      </c>
      <c r="E7" s="309" t="s">
        <v>80</v>
      </c>
      <c r="F7" s="71">
        <v>0</v>
      </c>
      <c r="G7" s="71">
        <v>0</v>
      </c>
      <c r="H7" s="71">
        <v>0</v>
      </c>
      <c r="I7" s="309" t="s">
        <v>80</v>
      </c>
      <c r="J7" s="71">
        <v>35182544</v>
      </c>
      <c r="K7" s="71">
        <v>6515702</v>
      </c>
      <c r="L7" s="415">
        <v>0</v>
      </c>
      <c r="M7" s="402"/>
      <c r="N7" s="71">
        <v>0</v>
      </c>
      <c r="O7" s="71">
        <v>6515702</v>
      </c>
      <c r="P7" s="71">
        <v>41698246</v>
      </c>
      <c r="Q7" s="310" t="s">
        <v>80</v>
      </c>
      <c r="R7" s="71">
        <v>0</v>
      </c>
      <c r="S7" s="71">
        <v>41698246</v>
      </c>
      <c r="T7" s="71">
        <v>-41698246</v>
      </c>
    </row>
    <row r="8" spans="1:20" outlineLevel="3" collapsed="1" x14ac:dyDescent="0.25">
      <c r="A8" s="410" t="s">
        <v>1463</v>
      </c>
      <c r="B8" s="402"/>
      <c r="C8" s="196" t="s">
        <v>362</v>
      </c>
      <c r="D8" s="201">
        <v>0</v>
      </c>
      <c r="E8" s="202" t="s">
        <v>80</v>
      </c>
      <c r="F8" s="203">
        <v>0</v>
      </c>
      <c r="G8" s="204">
        <v>0</v>
      </c>
      <c r="H8" s="203">
        <v>0</v>
      </c>
      <c r="I8" s="202" t="s">
        <v>80</v>
      </c>
      <c r="J8" s="203">
        <v>0</v>
      </c>
      <c r="K8" s="205">
        <v>1015681</v>
      </c>
      <c r="L8" s="411">
        <v>0</v>
      </c>
      <c r="M8" s="402"/>
      <c r="N8" s="203">
        <v>0</v>
      </c>
      <c r="O8" s="203">
        <v>1015681</v>
      </c>
      <c r="P8" s="203">
        <v>1015681</v>
      </c>
      <c r="Q8" s="212" t="s">
        <v>80</v>
      </c>
      <c r="R8" s="203">
        <v>0</v>
      </c>
      <c r="S8" s="203">
        <v>1015681</v>
      </c>
      <c r="T8" s="203">
        <v>-1015681</v>
      </c>
    </row>
    <row r="9" spans="1:20" outlineLevel="3" collapsed="1" x14ac:dyDescent="0.25">
      <c r="A9" s="410" t="s">
        <v>1464</v>
      </c>
      <c r="B9" s="402"/>
      <c r="C9" s="196">
        <f t="shared" si="0"/>
        <v>0</v>
      </c>
      <c r="D9" s="201">
        <v>0</v>
      </c>
      <c r="E9" s="202" t="s">
        <v>80</v>
      </c>
      <c r="F9" s="203">
        <v>0</v>
      </c>
      <c r="G9" s="204">
        <v>0</v>
      </c>
      <c r="H9" s="203">
        <v>0</v>
      </c>
      <c r="I9" s="202" t="s">
        <v>80</v>
      </c>
      <c r="J9" s="203">
        <v>0</v>
      </c>
      <c r="K9" s="205">
        <v>5500021</v>
      </c>
      <c r="L9" s="411">
        <v>0</v>
      </c>
      <c r="M9" s="402"/>
      <c r="N9" s="203">
        <v>0</v>
      </c>
      <c r="O9" s="203">
        <v>5500021</v>
      </c>
      <c r="P9" s="203">
        <v>5500021</v>
      </c>
      <c r="Q9" s="212" t="s">
        <v>80</v>
      </c>
      <c r="R9" s="203">
        <v>0</v>
      </c>
      <c r="S9" s="203">
        <v>5500021</v>
      </c>
      <c r="T9" s="203">
        <v>-5500021</v>
      </c>
    </row>
    <row r="10" spans="1:20" outlineLevel="3" collapsed="1" x14ac:dyDescent="0.25">
      <c r="A10" s="410" t="s">
        <v>1465</v>
      </c>
      <c r="B10" s="402"/>
      <c r="C10" s="196" t="str">
        <f t="shared" si="0"/>
        <v>11-110100G</v>
      </c>
      <c r="D10" s="201">
        <v>0</v>
      </c>
      <c r="E10" s="202" t="s">
        <v>80</v>
      </c>
      <c r="F10" s="203">
        <v>0</v>
      </c>
      <c r="G10" s="204">
        <v>0</v>
      </c>
      <c r="H10" s="203">
        <v>0</v>
      </c>
      <c r="I10" s="202" t="s">
        <v>80</v>
      </c>
      <c r="J10" s="203">
        <v>1393899</v>
      </c>
      <c r="K10" s="205">
        <v>0</v>
      </c>
      <c r="L10" s="411">
        <v>0</v>
      </c>
      <c r="M10" s="402"/>
      <c r="N10" s="203">
        <v>0</v>
      </c>
      <c r="O10" s="203">
        <v>0</v>
      </c>
      <c r="P10" s="203">
        <v>1393899</v>
      </c>
      <c r="Q10" s="212" t="s">
        <v>80</v>
      </c>
      <c r="R10" s="203">
        <v>0</v>
      </c>
      <c r="S10" s="203">
        <v>1393899</v>
      </c>
      <c r="T10" s="203">
        <v>-1393899</v>
      </c>
    </row>
    <row r="11" spans="1:20" outlineLevel="3" collapsed="1" x14ac:dyDescent="0.25">
      <c r="A11" s="410" t="s">
        <v>1466</v>
      </c>
      <c r="B11" s="402"/>
      <c r="C11" s="196" t="str">
        <f t="shared" si="0"/>
        <v>72-105600G</v>
      </c>
      <c r="D11" s="201">
        <v>0</v>
      </c>
      <c r="E11" s="202" t="s">
        <v>80</v>
      </c>
      <c r="F11" s="203">
        <v>0</v>
      </c>
      <c r="G11" s="204">
        <v>0</v>
      </c>
      <c r="H11" s="203">
        <v>0</v>
      </c>
      <c r="I11" s="202" t="s">
        <v>80</v>
      </c>
      <c r="J11" s="203">
        <v>0</v>
      </c>
      <c r="K11" s="205">
        <v>0</v>
      </c>
      <c r="L11" s="411">
        <v>0</v>
      </c>
      <c r="M11" s="402"/>
      <c r="N11" s="203">
        <v>0</v>
      </c>
      <c r="O11" s="203">
        <v>0</v>
      </c>
      <c r="P11" s="203">
        <v>0</v>
      </c>
      <c r="Q11" s="212" t="s">
        <v>80</v>
      </c>
      <c r="R11" s="203">
        <v>0</v>
      </c>
      <c r="S11" s="203">
        <v>0</v>
      </c>
      <c r="T11" s="203">
        <v>0</v>
      </c>
    </row>
    <row r="12" spans="1:20" outlineLevel="3" collapsed="1" x14ac:dyDescent="0.25">
      <c r="A12" s="410" t="s">
        <v>1467</v>
      </c>
      <c r="B12" s="402"/>
      <c r="C12" s="196" t="str">
        <f t="shared" si="0"/>
        <v>AA-799999G</v>
      </c>
      <c r="D12" s="201">
        <v>0</v>
      </c>
      <c r="E12" s="202" t="s">
        <v>80</v>
      </c>
      <c r="F12" s="203">
        <v>0</v>
      </c>
      <c r="G12" s="204">
        <v>0</v>
      </c>
      <c r="H12" s="203">
        <v>0</v>
      </c>
      <c r="I12" s="202" t="s">
        <v>80</v>
      </c>
      <c r="J12" s="203">
        <v>33788645</v>
      </c>
      <c r="K12" s="205">
        <v>0</v>
      </c>
      <c r="L12" s="411">
        <v>0</v>
      </c>
      <c r="M12" s="402"/>
      <c r="N12" s="203">
        <v>0</v>
      </c>
      <c r="O12" s="203">
        <v>0</v>
      </c>
      <c r="P12" s="203">
        <v>33788645</v>
      </c>
      <c r="Q12" s="212" t="s">
        <v>80</v>
      </c>
      <c r="R12" s="203">
        <v>0</v>
      </c>
      <c r="S12" s="203">
        <v>33788645</v>
      </c>
      <c r="T12" s="203">
        <v>-33788645</v>
      </c>
    </row>
    <row r="13" spans="1:20" x14ac:dyDescent="0.25">
      <c r="A13" s="420" t="s">
        <v>1468</v>
      </c>
      <c r="B13" s="402"/>
      <c r="C13" s="196" t="str">
        <f t="shared" si="0"/>
        <v xml:space="preserve"> DIRECTO</v>
      </c>
      <c r="D13" s="1">
        <v>47533502234</v>
      </c>
      <c r="E13" s="308" t="s">
        <v>80</v>
      </c>
      <c r="F13" s="12">
        <v>178673515</v>
      </c>
      <c r="G13" s="12">
        <v>47538008023</v>
      </c>
      <c r="H13" s="12">
        <v>47716681538</v>
      </c>
      <c r="I13" s="308" t="s">
        <v>80</v>
      </c>
      <c r="J13" s="11">
        <v>222164993</v>
      </c>
      <c r="K13" s="11">
        <v>292637468</v>
      </c>
      <c r="L13" s="421">
        <v>23550364</v>
      </c>
      <c r="M13" s="402"/>
      <c r="N13" s="11">
        <v>0</v>
      </c>
      <c r="O13" s="11">
        <v>316187832</v>
      </c>
      <c r="P13" s="11">
        <v>538352825</v>
      </c>
      <c r="Q13" s="271" t="s">
        <v>80</v>
      </c>
      <c r="R13" s="12">
        <v>47716681538</v>
      </c>
      <c r="S13" s="11">
        <v>538352825</v>
      </c>
      <c r="T13" s="2">
        <v>47178328713</v>
      </c>
    </row>
    <row r="14" spans="1:20" outlineLevel="1" x14ac:dyDescent="0.25">
      <c r="A14" s="412" t="s">
        <v>168</v>
      </c>
      <c r="B14" s="402"/>
      <c r="C14" s="196" t="str">
        <f t="shared" si="0"/>
        <v>ANO DE OBR</v>
      </c>
      <c r="D14" s="197">
        <v>14667558849</v>
      </c>
      <c r="E14" s="196" t="s">
        <v>80</v>
      </c>
      <c r="F14" s="198">
        <v>0</v>
      </c>
      <c r="G14" s="198">
        <v>14667558849</v>
      </c>
      <c r="H14" s="198">
        <v>14667558849</v>
      </c>
      <c r="I14" s="196" t="s">
        <v>80</v>
      </c>
      <c r="J14" s="214">
        <v>1701941</v>
      </c>
      <c r="K14" s="214">
        <v>0</v>
      </c>
      <c r="L14" s="413">
        <v>0</v>
      </c>
      <c r="M14" s="402"/>
      <c r="N14" s="214">
        <v>0</v>
      </c>
      <c r="O14" s="214">
        <v>0</v>
      </c>
      <c r="P14" s="214">
        <v>1701941</v>
      </c>
      <c r="Q14" s="199" t="s">
        <v>80</v>
      </c>
      <c r="R14" s="198">
        <v>14667558849</v>
      </c>
      <c r="S14" s="214">
        <v>1701941</v>
      </c>
      <c r="T14" s="200">
        <v>14665856908</v>
      </c>
    </row>
    <row r="15" spans="1:20" outlineLevel="2" x14ac:dyDescent="0.25">
      <c r="A15" s="414" t="s">
        <v>23</v>
      </c>
      <c r="B15" s="402"/>
      <c r="C15" s="196" t="str">
        <f t="shared" si="0"/>
        <v>Obras Civi</v>
      </c>
      <c r="D15" s="3">
        <v>4809475244</v>
      </c>
      <c r="E15" s="309" t="s">
        <v>80</v>
      </c>
      <c r="F15" s="71">
        <v>0</v>
      </c>
      <c r="G15" s="71">
        <v>4809475244</v>
      </c>
      <c r="H15" s="71">
        <v>4809475244</v>
      </c>
      <c r="I15" s="309" t="s">
        <v>80</v>
      </c>
      <c r="J15" s="71">
        <v>1258899</v>
      </c>
      <c r="K15" s="71">
        <v>0</v>
      </c>
      <c r="L15" s="415">
        <v>0</v>
      </c>
      <c r="M15" s="402"/>
      <c r="N15" s="71">
        <v>0</v>
      </c>
      <c r="O15" s="71">
        <v>0</v>
      </c>
      <c r="P15" s="71">
        <v>1258899</v>
      </c>
      <c r="Q15" s="310" t="s">
        <v>80</v>
      </c>
      <c r="R15" s="71">
        <v>4809475244</v>
      </c>
      <c r="S15" s="71">
        <v>1258899</v>
      </c>
      <c r="T15" s="71">
        <v>4808216345</v>
      </c>
    </row>
    <row r="16" spans="1:20" outlineLevel="3" collapsed="1" x14ac:dyDescent="0.25">
      <c r="A16" s="410" t="s">
        <v>1469</v>
      </c>
      <c r="B16" s="402"/>
      <c r="C16" s="196" t="str">
        <f t="shared" si="0"/>
        <v>11-010100G</v>
      </c>
      <c r="D16" s="201">
        <v>742533580</v>
      </c>
      <c r="E16" s="202" t="s">
        <v>80</v>
      </c>
      <c r="F16" s="203">
        <v>0</v>
      </c>
      <c r="G16" s="204">
        <v>742533580</v>
      </c>
      <c r="H16" s="203">
        <v>742533580</v>
      </c>
      <c r="I16" s="202" t="s">
        <v>80</v>
      </c>
      <c r="J16" s="203">
        <v>0</v>
      </c>
      <c r="K16" s="205">
        <v>0</v>
      </c>
      <c r="L16" s="411">
        <v>0</v>
      </c>
      <c r="M16" s="402"/>
      <c r="N16" s="203">
        <v>0</v>
      </c>
      <c r="O16" s="203">
        <v>0</v>
      </c>
      <c r="P16" s="203">
        <v>0</v>
      </c>
      <c r="Q16" s="212" t="s">
        <v>80</v>
      </c>
      <c r="R16" s="203">
        <v>742533580</v>
      </c>
      <c r="S16" s="203">
        <v>0</v>
      </c>
      <c r="T16" s="203">
        <v>742533580</v>
      </c>
    </row>
    <row r="17" spans="1:20" outlineLevel="3" collapsed="1" x14ac:dyDescent="0.25">
      <c r="A17" s="410" t="s">
        <v>1470</v>
      </c>
      <c r="B17" s="402"/>
      <c r="C17" s="196" t="str">
        <f t="shared" si="0"/>
        <v>11-010200G</v>
      </c>
      <c r="D17" s="201">
        <v>734299654</v>
      </c>
      <c r="E17" s="202" t="s">
        <v>80</v>
      </c>
      <c r="F17" s="203">
        <v>0</v>
      </c>
      <c r="G17" s="204">
        <v>734299654</v>
      </c>
      <c r="H17" s="203">
        <v>734299654</v>
      </c>
      <c r="I17" s="202" t="s">
        <v>80</v>
      </c>
      <c r="J17" s="203">
        <v>0</v>
      </c>
      <c r="K17" s="205">
        <v>0</v>
      </c>
      <c r="L17" s="411">
        <v>0</v>
      </c>
      <c r="M17" s="402"/>
      <c r="N17" s="203">
        <v>0</v>
      </c>
      <c r="O17" s="203">
        <v>0</v>
      </c>
      <c r="P17" s="203">
        <v>0</v>
      </c>
      <c r="Q17" s="212" t="s">
        <v>80</v>
      </c>
      <c r="R17" s="203">
        <v>734299654</v>
      </c>
      <c r="S17" s="203">
        <v>0</v>
      </c>
      <c r="T17" s="203">
        <v>734299654</v>
      </c>
    </row>
    <row r="18" spans="1:20" outlineLevel="3" collapsed="1" x14ac:dyDescent="0.25">
      <c r="A18" s="410" t="s">
        <v>1471</v>
      </c>
      <c r="B18" s="402"/>
      <c r="C18" s="196" t="str">
        <f t="shared" si="0"/>
        <v>11-010300G</v>
      </c>
      <c r="D18" s="201">
        <v>783893645</v>
      </c>
      <c r="E18" s="202" t="s">
        <v>80</v>
      </c>
      <c r="F18" s="203">
        <v>0</v>
      </c>
      <c r="G18" s="204">
        <v>783893645</v>
      </c>
      <c r="H18" s="203">
        <v>783893645</v>
      </c>
      <c r="I18" s="202" t="s">
        <v>80</v>
      </c>
      <c r="J18" s="203">
        <v>0</v>
      </c>
      <c r="K18" s="205">
        <v>0</v>
      </c>
      <c r="L18" s="411">
        <v>0</v>
      </c>
      <c r="M18" s="402"/>
      <c r="N18" s="203">
        <v>0</v>
      </c>
      <c r="O18" s="203">
        <v>0</v>
      </c>
      <c r="P18" s="203">
        <v>0</v>
      </c>
      <c r="Q18" s="212" t="s">
        <v>80</v>
      </c>
      <c r="R18" s="203">
        <v>783893645</v>
      </c>
      <c r="S18" s="203">
        <v>0</v>
      </c>
      <c r="T18" s="203">
        <v>783893645</v>
      </c>
    </row>
    <row r="19" spans="1:20" outlineLevel="3" collapsed="1" x14ac:dyDescent="0.25">
      <c r="A19" s="410" t="s">
        <v>1472</v>
      </c>
      <c r="B19" s="402"/>
      <c r="C19" s="196" t="str">
        <f t="shared" si="0"/>
        <v>11-010400G</v>
      </c>
      <c r="D19" s="201">
        <v>858861585</v>
      </c>
      <c r="E19" s="202" t="s">
        <v>80</v>
      </c>
      <c r="F19" s="203">
        <v>0</v>
      </c>
      <c r="G19" s="204">
        <v>858861585</v>
      </c>
      <c r="H19" s="203">
        <v>858861585</v>
      </c>
      <c r="I19" s="202" t="s">
        <v>80</v>
      </c>
      <c r="J19" s="203">
        <v>0</v>
      </c>
      <c r="K19" s="205">
        <v>0</v>
      </c>
      <c r="L19" s="411">
        <v>0</v>
      </c>
      <c r="M19" s="402"/>
      <c r="N19" s="203">
        <v>0</v>
      </c>
      <c r="O19" s="203">
        <v>0</v>
      </c>
      <c r="P19" s="203">
        <v>0</v>
      </c>
      <c r="Q19" s="212" t="s">
        <v>80</v>
      </c>
      <c r="R19" s="203">
        <v>858861585</v>
      </c>
      <c r="S19" s="203">
        <v>0</v>
      </c>
      <c r="T19" s="203">
        <v>858861585</v>
      </c>
    </row>
    <row r="20" spans="1:20" outlineLevel="3" collapsed="1" x14ac:dyDescent="0.25">
      <c r="A20" s="410" t="s">
        <v>1473</v>
      </c>
      <c r="B20" s="402"/>
      <c r="C20" s="196" t="str">
        <f t="shared" si="0"/>
        <v>11-019900G</v>
      </c>
      <c r="D20" s="201">
        <v>1689886780</v>
      </c>
      <c r="E20" s="202" t="s">
        <v>80</v>
      </c>
      <c r="F20" s="203">
        <v>0</v>
      </c>
      <c r="G20" s="204">
        <v>1689886780</v>
      </c>
      <c r="H20" s="203">
        <v>1689886780</v>
      </c>
      <c r="I20" s="202" t="s">
        <v>80</v>
      </c>
      <c r="J20" s="203">
        <v>1258899</v>
      </c>
      <c r="K20" s="205">
        <v>0</v>
      </c>
      <c r="L20" s="411">
        <v>0</v>
      </c>
      <c r="M20" s="402"/>
      <c r="N20" s="203">
        <v>0</v>
      </c>
      <c r="O20" s="203">
        <v>0</v>
      </c>
      <c r="P20" s="203">
        <v>1258899</v>
      </c>
      <c r="Q20" s="212" t="s">
        <v>80</v>
      </c>
      <c r="R20" s="203">
        <v>1689886780</v>
      </c>
      <c r="S20" s="203">
        <v>1258899</v>
      </c>
      <c r="T20" s="203">
        <v>1688627881</v>
      </c>
    </row>
    <row r="21" spans="1:20" outlineLevel="2" x14ac:dyDescent="0.25">
      <c r="A21" s="414" t="s">
        <v>1474</v>
      </c>
      <c r="B21" s="402"/>
      <c r="C21" s="196" t="str">
        <f t="shared" si="0"/>
        <v>Mecanica</v>
      </c>
      <c r="D21" s="3">
        <v>4099922824</v>
      </c>
      <c r="E21" s="309" t="s">
        <v>80</v>
      </c>
      <c r="F21" s="71">
        <v>0</v>
      </c>
      <c r="G21" s="71">
        <v>4099922824</v>
      </c>
      <c r="H21" s="71">
        <v>4099922824</v>
      </c>
      <c r="I21" s="309" t="s">
        <v>80</v>
      </c>
      <c r="J21" s="71">
        <v>0</v>
      </c>
      <c r="K21" s="71">
        <v>0</v>
      </c>
      <c r="L21" s="415">
        <v>0</v>
      </c>
      <c r="M21" s="402"/>
      <c r="N21" s="71">
        <v>0</v>
      </c>
      <c r="O21" s="71">
        <v>0</v>
      </c>
      <c r="P21" s="71">
        <v>0</v>
      </c>
      <c r="Q21" s="310" t="s">
        <v>80</v>
      </c>
      <c r="R21" s="71">
        <v>4099922824</v>
      </c>
      <c r="S21" s="71">
        <v>0</v>
      </c>
      <c r="T21" s="71">
        <v>4099922824</v>
      </c>
    </row>
    <row r="22" spans="1:20" outlineLevel="3" collapsed="1" x14ac:dyDescent="0.25">
      <c r="A22" s="410" t="s">
        <v>1475</v>
      </c>
      <c r="B22" s="402"/>
      <c r="C22" s="196" t="str">
        <f t="shared" si="0"/>
        <v>11-030800G</v>
      </c>
      <c r="D22" s="201">
        <v>4099922824</v>
      </c>
      <c r="E22" s="202" t="s">
        <v>80</v>
      </c>
      <c r="F22" s="203">
        <v>0</v>
      </c>
      <c r="G22" s="204">
        <v>4099922824</v>
      </c>
      <c r="H22" s="203">
        <v>4099922824</v>
      </c>
      <c r="I22" s="202" t="s">
        <v>80</v>
      </c>
      <c r="J22" s="203">
        <v>0</v>
      </c>
      <c r="K22" s="205">
        <v>0</v>
      </c>
      <c r="L22" s="411">
        <v>0</v>
      </c>
      <c r="M22" s="402"/>
      <c r="N22" s="203">
        <v>0</v>
      </c>
      <c r="O22" s="203">
        <v>0</v>
      </c>
      <c r="P22" s="203">
        <v>0</v>
      </c>
      <c r="Q22" s="212" t="s">
        <v>80</v>
      </c>
      <c r="R22" s="203">
        <v>4099922824</v>
      </c>
      <c r="S22" s="203">
        <v>0</v>
      </c>
      <c r="T22" s="203">
        <v>4099922824</v>
      </c>
    </row>
    <row r="23" spans="1:20" outlineLevel="2" x14ac:dyDescent="0.25">
      <c r="A23" s="414" t="s">
        <v>39</v>
      </c>
      <c r="B23" s="402"/>
      <c r="C23" s="196" t="str">
        <f t="shared" si="0"/>
        <v>Cañeria</v>
      </c>
      <c r="D23" s="3">
        <v>492911269</v>
      </c>
      <c r="E23" s="309" t="s">
        <v>80</v>
      </c>
      <c r="F23" s="71">
        <v>0</v>
      </c>
      <c r="G23" s="71">
        <v>492911269</v>
      </c>
      <c r="H23" s="71">
        <v>492911269</v>
      </c>
      <c r="I23" s="309" t="s">
        <v>80</v>
      </c>
      <c r="J23" s="71">
        <v>0</v>
      </c>
      <c r="K23" s="71">
        <v>0</v>
      </c>
      <c r="L23" s="415">
        <v>0</v>
      </c>
      <c r="M23" s="402"/>
      <c r="N23" s="71">
        <v>0</v>
      </c>
      <c r="O23" s="71">
        <v>0</v>
      </c>
      <c r="P23" s="71">
        <v>0</v>
      </c>
      <c r="Q23" s="310" t="s">
        <v>80</v>
      </c>
      <c r="R23" s="71">
        <v>492911269</v>
      </c>
      <c r="S23" s="71">
        <v>0</v>
      </c>
      <c r="T23" s="71">
        <v>492911269</v>
      </c>
    </row>
    <row r="24" spans="1:20" outlineLevel="3" collapsed="1" x14ac:dyDescent="0.25">
      <c r="A24" s="410" t="s">
        <v>1476</v>
      </c>
      <c r="B24" s="402"/>
      <c r="C24" s="196" t="str">
        <f t="shared" si="0"/>
        <v>11-040800G</v>
      </c>
      <c r="D24" s="201">
        <v>492911269</v>
      </c>
      <c r="E24" s="202" t="s">
        <v>80</v>
      </c>
      <c r="F24" s="203">
        <v>0</v>
      </c>
      <c r="G24" s="204">
        <v>492911269</v>
      </c>
      <c r="H24" s="203">
        <v>492911269</v>
      </c>
      <c r="I24" s="202" t="s">
        <v>80</v>
      </c>
      <c r="J24" s="203">
        <v>0</v>
      </c>
      <c r="K24" s="205">
        <v>0</v>
      </c>
      <c r="L24" s="411">
        <v>0</v>
      </c>
      <c r="M24" s="402"/>
      <c r="N24" s="203">
        <v>0</v>
      </c>
      <c r="O24" s="203">
        <v>0</v>
      </c>
      <c r="P24" s="203">
        <v>0</v>
      </c>
      <c r="Q24" s="212" t="s">
        <v>80</v>
      </c>
      <c r="R24" s="203">
        <v>492911269</v>
      </c>
      <c r="S24" s="203">
        <v>0</v>
      </c>
      <c r="T24" s="203">
        <v>492911269</v>
      </c>
    </row>
    <row r="25" spans="1:20" outlineLevel="2" x14ac:dyDescent="0.25">
      <c r="A25" s="414" t="s">
        <v>1477</v>
      </c>
      <c r="B25" s="402"/>
      <c r="C25" s="196" t="str">
        <f t="shared" si="0"/>
        <v>Electricid</v>
      </c>
      <c r="D25" s="3">
        <v>3859562928</v>
      </c>
      <c r="E25" s="309" t="s">
        <v>80</v>
      </c>
      <c r="F25" s="71">
        <v>0</v>
      </c>
      <c r="G25" s="71">
        <v>3859562928</v>
      </c>
      <c r="H25" s="71">
        <v>3859562928</v>
      </c>
      <c r="I25" s="309" t="s">
        <v>80</v>
      </c>
      <c r="J25" s="71">
        <v>443042</v>
      </c>
      <c r="K25" s="71">
        <v>0</v>
      </c>
      <c r="L25" s="415">
        <v>0</v>
      </c>
      <c r="M25" s="402"/>
      <c r="N25" s="71">
        <v>0</v>
      </c>
      <c r="O25" s="71">
        <v>0</v>
      </c>
      <c r="P25" s="71">
        <v>443042</v>
      </c>
      <c r="Q25" s="310" t="s">
        <v>80</v>
      </c>
      <c r="R25" s="71">
        <v>3859562928</v>
      </c>
      <c r="S25" s="71">
        <v>443042</v>
      </c>
      <c r="T25" s="71">
        <v>3859119886</v>
      </c>
    </row>
    <row r="26" spans="1:20" outlineLevel="3" collapsed="1" x14ac:dyDescent="0.25">
      <c r="A26" s="410" t="s">
        <v>1478</v>
      </c>
      <c r="B26" s="402"/>
      <c r="C26" s="196" t="str">
        <f t="shared" si="0"/>
        <v>11-050800G</v>
      </c>
      <c r="D26" s="201">
        <v>3859562928</v>
      </c>
      <c r="E26" s="202" t="s">
        <v>80</v>
      </c>
      <c r="F26" s="203">
        <v>0</v>
      </c>
      <c r="G26" s="204">
        <v>3859562928</v>
      </c>
      <c r="H26" s="203">
        <v>3859562928</v>
      </c>
      <c r="I26" s="202" t="s">
        <v>80</v>
      </c>
      <c r="J26" s="203">
        <v>443042</v>
      </c>
      <c r="K26" s="205">
        <v>0</v>
      </c>
      <c r="L26" s="411">
        <v>0</v>
      </c>
      <c r="M26" s="402"/>
      <c r="N26" s="203">
        <v>0</v>
      </c>
      <c r="O26" s="203">
        <v>0</v>
      </c>
      <c r="P26" s="203">
        <v>443042</v>
      </c>
      <c r="Q26" s="212" t="s">
        <v>80</v>
      </c>
      <c r="R26" s="203">
        <v>3859562928</v>
      </c>
      <c r="S26" s="203">
        <v>443042</v>
      </c>
      <c r="T26" s="203">
        <v>3859119886</v>
      </c>
    </row>
    <row r="27" spans="1:20" outlineLevel="2" x14ac:dyDescent="0.25">
      <c r="A27" s="414" t="s">
        <v>1479</v>
      </c>
      <c r="B27" s="402"/>
      <c r="C27" s="196" t="str">
        <f t="shared" si="0"/>
        <v>Arquitectu</v>
      </c>
      <c r="D27" s="3">
        <v>1405686584</v>
      </c>
      <c r="E27" s="309" t="s">
        <v>80</v>
      </c>
      <c r="F27" s="71">
        <v>0</v>
      </c>
      <c r="G27" s="71">
        <v>1405686584</v>
      </c>
      <c r="H27" s="71">
        <v>1405686584</v>
      </c>
      <c r="I27" s="309" t="s">
        <v>80</v>
      </c>
      <c r="J27" s="71">
        <v>0</v>
      </c>
      <c r="K27" s="71">
        <v>0</v>
      </c>
      <c r="L27" s="415">
        <v>0</v>
      </c>
      <c r="M27" s="402"/>
      <c r="N27" s="71">
        <v>0</v>
      </c>
      <c r="O27" s="71">
        <v>0</v>
      </c>
      <c r="P27" s="71">
        <v>0</v>
      </c>
      <c r="Q27" s="310" t="s">
        <v>80</v>
      </c>
      <c r="R27" s="71">
        <v>1405686584</v>
      </c>
      <c r="S27" s="71">
        <v>0</v>
      </c>
      <c r="T27" s="71">
        <v>1405686584</v>
      </c>
    </row>
    <row r="28" spans="1:20" outlineLevel="3" collapsed="1" x14ac:dyDescent="0.25">
      <c r="A28" s="410" t="s">
        <v>1480</v>
      </c>
      <c r="B28" s="402"/>
      <c r="C28" s="196" t="str">
        <f t="shared" si="0"/>
        <v>11-010500G</v>
      </c>
      <c r="D28" s="201">
        <v>1405686584</v>
      </c>
      <c r="E28" s="202" t="s">
        <v>80</v>
      </c>
      <c r="F28" s="203">
        <v>0</v>
      </c>
      <c r="G28" s="204">
        <v>1405686584</v>
      </c>
      <c r="H28" s="203">
        <v>1405686584</v>
      </c>
      <c r="I28" s="202" t="s">
        <v>80</v>
      </c>
      <c r="J28" s="203">
        <v>0</v>
      </c>
      <c r="K28" s="205">
        <v>0</v>
      </c>
      <c r="L28" s="411">
        <v>0</v>
      </c>
      <c r="M28" s="402"/>
      <c r="N28" s="203">
        <v>0</v>
      </c>
      <c r="O28" s="203">
        <v>0</v>
      </c>
      <c r="P28" s="203">
        <v>0</v>
      </c>
      <c r="Q28" s="212" t="s">
        <v>80</v>
      </c>
      <c r="R28" s="203">
        <v>1405686584</v>
      </c>
      <c r="S28" s="203">
        <v>0</v>
      </c>
      <c r="T28" s="203">
        <v>1405686584</v>
      </c>
    </row>
    <row r="29" spans="1:20" outlineLevel="1" x14ac:dyDescent="0.25">
      <c r="A29" s="412" t="s">
        <v>180</v>
      </c>
      <c r="B29" s="402"/>
      <c r="C29" s="196" t="str">
        <f t="shared" si="0"/>
        <v>ATERIALES</v>
      </c>
      <c r="D29" s="197">
        <v>8148288964</v>
      </c>
      <c r="E29" s="196" t="s">
        <v>80</v>
      </c>
      <c r="F29" s="198">
        <v>0</v>
      </c>
      <c r="G29" s="198">
        <v>8148288964</v>
      </c>
      <c r="H29" s="198">
        <v>8148288964</v>
      </c>
      <c r="I29" s="196" t="s">
        <v>80</v>
      </c>
      <c r="J29" s="214">
        <v>0</v>
      </c>
      <c r="K29" s="214">
        <v>31634406</v>
      </c>
      <c r="L29" s="413">
        <v>786301</v>
      </c>
      <c r="M29" s="402"/>
      <c r="N29" s="214">
        <v>0</v>
      </c>
      <c r="O29" s="214">
        <v>32420707</v>
      </c>
      <c r="P29" s="214">
        <v>32420707</v>
      </c>
      <c r="Q29" s="199" t="s">
        <v>80</v>
      </c>
      <c r="R29" s="198">
        <v>8148288964</v>
      </c>
      <c r="S29" s="214">
        <v>32420707</v>
      </c>
      <c r="T29" s="200">
        <v>8115868257</v>
      </c>
    </row>
    <row r="30" spans="1:20" outlineLevel="2" x14ac:dyDescent="0.25">
      <c r="A30" s="414" t="s">
        <v>23</v>
      </c>
      <c r="B30" s="402"/>
      <c r="C30" s="196" t="str">
        <f t="shared" si="0"/>
        <v>Obras Civi</v>
      </c>
      <c r="D30" s="3">
        <v>7382681667</v>
      </c>
      <c r="E30" s="309" t="s">
        <v>80</v>
      </c>
      <c r="F30" s="71">
        <v>0</v>
      </c>
      <c r="G30" s="71">
        <v>7382681667</v>
      </c>
      <c r="H30" s="71">
        <v>7382681667</v>
      </c>
      <c r="I30" s="309" t="s">
        <v>80</v>
      </c>
      <c r="J30" s="71">
        <v>0</v>
      </c>
      <c r="K30" s="71">
        <v>24721846</v>
      </c>
      <c r="L30" s="415">
        <v>786301</v>
      </c>
      <c r="M30" s="402"/>
      <c r="N30" s="71">
        <v>0</v>
      </c>
      <c r="O30" s="71">
        <v>25508147</v>
      </c>
      <c r="P30" s="71">
        <v>25508147</v>
      </c>
      <c r="Q30" s="310" t="s">
        <v>80</v>
      </c>
      <c r="R30" s="71">
        <v>7382681667</v>
      </c>
      <c r="S30" s="71">
        <v>25508147</v>
      </c>
      <c r="T30" s="71">
        <v>7357173520</v>
      </c>
    </row>
    <row r="31" spans="1:20" outlineLevel="3" collapsed="1" x14ac:dyDescent="0.25">
      <c r="A31" s="410" t="s">
        <v>1481</v>
      </c>
      <c r="B31" s="402"/>
      <c r="C31" s="196" t="str">
        <f t="shared" si="0"/>
        <v>21-010201A</v>
      </c>
      <c r="D31" s="201">
        <v>4306648919</v>
      </c>
      <c r="E31" s="202" t="s">
        <v>80</v>
      </c>
      <c r="F31" s="203">
        <v>0</v>
      </c>
      <c r="G31" s="204">
        <v>4306648919</v>
      </c>
      <c r="H31" s="203">
        <v>4306648919</v>
      </c>
      <c r="I31" s="202" t="s">
        <v>80</v>
      </c>
      <c r="J31" s="203">
        <v>0</v>
      </c>
      <c r="K31" s="205">
        <v>1974003</v>
      </c>
      <c r="L31" s="411">
        <v>14920</v>
      </c>
      <c r="M31" s="402"/>
      <c r="N31" s="203">
        <v>0</v>
      </c>
      <c r="O31" s="203">
        <v>1988923</v>
      </c>
      <c r="P31" s="203">
        <v>1988923</v>
      </c>
      <c r="Q31" s="212" t="s">
        <v>80</v>
      </c>
      <c r="R31" s="203">
        <v>4306648919</v>
      </c>
      <c r="S31" s="203">
        <v>1988923</v>
      </c>
      <c r="T31" s="203">
        <v>4304659996</v>
      </c>
    </row>
    <row r="32" spans="1:20" outlineLevel="3" collapsed="1" x14ac:dyDescent="0.25">
      <c r="A32" s="410" t="s">
        <v>1482</v>
      </c>
      <c r="B32" s="402"/>
      <c r="C32" s="196" t="str">
        <f t="shared" si="0"/>
        <v>21-010201G</v>
      </c>
      <c r="D32" s="201">
        <v>0</v>
      </c>
      <c r="E32" s="202" t="s">
        <v>80</v>
      </c>
      <c r="F32" s="203">
        <v>0</v>
      </c>
      <c r="G32" s="204">
        <v>0</v>
      </c>
      <c r="H32" s="203">
        <v>0</v>
      </c>
      <c r="I32" s="202" t="s">
        <v>80</v>
      </c>
      <c r="J32" s="203">
        <v>0</v>
      </c>
      <c r="K32" s="205">
        <v>0</v>
      </c>
      <c r="L32" s="411">
        <v>0</v>
      </c>
      <c r="M32" s="402"/>
      <c r="N32" s="203">
        <v>0</v>
      </c>
      <c r="O32" s="203">
        <v>0</v>
      </c>
      <c r="P32" s="203">
        <v>0</v>
      </c>
      <c r="Q32" s="212" t="s">
        <v>80</v>
      </c>
      <c r="R32" s="203">
        <v>0</v>
      </c>
      <c r="S32" s="203">
        <v>0</v>
      </c>
      <c r="T32" s="203">
        <v>0</v>
      </c>
    </row>
    <row r="33" spans="1:20" outlineLevel="3" collapsed="1" x14ac:dyDescent="0.25">
      <c r="A33" s="410" t="s">
        <v>1483</v>
      </c>
      <c r="B33" s="402"/>
      <c r="C33" s="196" t="str">
        <f t="shared" si="0"/>
        <v>21-010301A</v>
      </c>
      <c r="D33" s="201">
        <v>266781480</v>
      </c>
      <c r="E33" s="202" t="s">
        <v>80</v>
      </c>
      <c r="F33" s="203">
        <v>0</v>
      </c>
      <c r="G33" s="204">
        <v>266781480</v>
      </c>
      <c r="H33" s="203">
        <v>266781480</v>
      </c>
      <c r="I33" s="202" t="s">
        <v>80</v>
      </c>
      <c r="J33" s="203">
        <v>0</v>
      </c>
      <c r="K33" s="205">
        <v>4070863</v>
      </c>
      <c r="L33" s="411">
        <v>0</v>
      </c>
      <c r="M33" s="402"/>
      <c r="N33" s="203">
        <v>0</v>
      </c>
      <c r="O33" s="203">
        <v>4070863</v>
      </c>
      <c r="P33" s="203">
        <v>4070863</v>
      </c>
      <c r="Q33" s="212" t="s">
        <v>80</v>
      </c>
      <c r="R33" s="203">
        <v>266781480</v>
      </c>
      <c r="S33" s="203">
        <v>4070863</v>
      </c>
      <c r="T33" s="203">
        <v>262710617</v>
      </c>
    </row>
    <row r="34" spans="1:20" outlineLevel="3" collapsed="1" x14ac:dyDescent="0.25">
      <c r="A34" s="410" t="s">
        <v>1484</v>
      </c>
      <c r="B34" s="402"/>
      <c r="C34" s="196" t="str">
        <f t="shared" si="0"/>
        <v>21-010301G</v>
      </c>
      <c r="D34" s="201">
        <v>0</v>
      </c>
      <c r="E34" s="202" t="s">
        <v>80</v>
      </c>
      <c r="F34" s="203">
        <v>0</v>
      </c>
      <c r="G34" s="204">
        <v>0</v>
      </c>
      <c r="H34" s="203">
        <v>0</v>
      </c>
      <c r="I34" s="202" t="s">
        <v>80</v>
      </c>
      <c r="J34" s="203">
        <v>0</v>
      </c>
      <c r="K34" s="205">
        <v>0</v>
      </c>
      <c r="L34" s="411">
        <v>0</v>
      </c>
      <c r="M34" s="402"/>
      <c r="N34" s="203">
        <v>0</v>
      </c>
      <c r="O34" s="203">
        <v>0</v>
      </c>
      <c r="P34" s="203">
        <v>0</v>
      </c>
      <c r="Q34" s="212" t="s">
        <v>80</v>
      </c>
      <c r="R34" s="203">
        <v>0</v>
      </c>
      <c r="S34" s="203">
        <v>0</v>
      </c>
      <c r="T34" s="203">
        <v>0</v>
      </c>
    </row>
    <row r="35" spans="1:20" outlineLevel="3" collapsed="1" x14ac:dyDescent="0.25">
      <c r="A35" s="410" t="s">
        <v>1485</v>
      </c>
      <c r="B35" s="402"/>
      <c r="C35" s="196" t="str">
        <f t="shared" si="0"/>
        <v>21-010401A</v>
      </c>
      <c r="D35" s="201">
        <v>73796571</v>
      </c>
      <c r="E35" s="202" t="s">
        <v>80</v>
      </c>
      <c r="F35" s="203">
        <v>0</v>
      </c>
      <c r="G35" s="204">
        <v>73796571</v>
      </c>
      <c r="H35" s="203">
        <v>73796571</v>
      </c>
      <c r="I35" s="202" t="s">
        <v>80</v>
      </c>
      <c r="J35" s="203">
        <v>0</v>
      </c>
      <c r="K35" s="205">
        <v>11751710</v>
      </c>
      <c r="L35" s="411">
        <v>0</v>
      </c>
      <c r="M35" s="402"/>
      <c r="N35" s="203">
        <v>0</v>
      </c>
      <c r="O35" s="203">
        <v>11751710</v>
      </c>
      <c r="P35" s="203">
        <v>11751710</v>
      </c>
      <c r="Q35" s="212" t="s">
        <v>80</v>
      </c>
      <c r="R35" s="203">
        <v>73796571</v>
      </c>
      <c r="S35" s="203">
        <v>11751710</v>
      </c>
      <c r="T35" s="203">
        <v>62044861</v>
      </c>
    </row>
    <row r="36" spans="1:20" outlineLevel="3" collapsed="1" x14ac:dyDescent="0.25">
      <c r="A36" s="410" t="s">
        <v>1486</v>
      </c>
      <c r="B36" s="402"/>
      <c r="C36" s="196" t="str">
        <f t="shared" si="0"/>
        <v>21-010401G</v>
      </c>
      <c r="D36" s="201">
        <v>0</v>
      </c>
      <c r="E36" s="202" t="s">
        <v>80</v>
      </c>
      <c r="F36" s="203">
        <v>0</v>
      </c>
      <c r="G36" s="204">
        <v>0</v>
      </c>
      <c r="H36" s="203">
        <v>0</v>
      </c>
      <c r="I36" s="202" t="s">
        <v>80</v>
      </c>
      <c r="J36" s="203">
        <v>0</v>
      </c>
      <c r="K36" s="205">
        <v>0</v>
      </c>
      <c r="L36" s="411">
        <v>0</v>
      </c>
      <c r="M36" s="402"/>
      <c r="N36" s="203">
        <v>0</v>
      </c>
      <c r="O36" s="203">
        <v>0</v>
      </c>
      <c r="P36" s="203">
        <v>0</v>
      </c>
      <c r="Q36" s="212" t="s">
        <v>80</v>
      </c>
      <c r="R36" s="203">
        <v>0</v>
      </c>
      <c r="S36" s="203">
        <v>0</v>
      </c>
      <c r="T36" s="203">
        <v>0</v>
      </c>
    </row>
    <row r="37" spans="1:20" outlineLevel="3" collapsed="1" x14ac:dyDescent="0.25">
      <c r="A37" s="410" t="s">
        <v>1487</v>
      </c>
      <c r="B37" s="402"/>
      <c r="C37" s="196" t="str">
        <f t="shared" si="0"/>
        <v>21-010501A</v>
      </c>
      <c r="D37" s="201">
        <v>99676374</v>
      </c>
      <c r="E37" s="202" t="s">
        <v>80</v>
      </c>
      <c r="F37" s="203">
        <v>0</v>
      </c>
      <c r="G37" s="204">
        <v>99676374</v>
      </c>
      <c r="H37" s="203">
        <v>99676374</v>
      </c>
      <c r="I37" s="202" t="s">
        <v>80</v>
      </c>
      <c r="J37" s="203">
        <v>0</v>
      </c>
      <c r="K37" s="205">
        <v>0</v>
      </c>
      <c r="L37" s="411">
        <v>0</v>
      </c>
      <c r="M37" s="402"/>
      <c r="N37" s="203">
        <v>0</v>
      </c>
      <c r="O37" s="203">
        <v>0</v>
      </c>
      <c r="P37" s="203">
        <v>0</v>
      </c>
      <c r="Q37" s="212" t="s">
        <v>80</v>
      </c>
      <c r="R37" s="203">
        <v>99676374</v>
      </c>
      <c r="S37" s="203">
        <v>0</v>
      </c>
      <c r="T37" s="203">
        <v>99676374</v>
      </c>
    </row>
    <row r="38" spans="1:20" outlineLevel="3" collapsed="1" x14ac:dyDescent="0.25">
      <c r="A38" s="410" t="s">
        <v>1488</v>
      </c>
      <c r="B38" s="402"/>
      <c r="C38" s="196" t="str">
        <f t="shared" si="0"/>
        <v>21-010501G</v>
      </c>
      <c r="D38" s="201">
        <v>0</v>
      </c>
      <c r="E38" s="202" t="s">
        <v>80</v>
      </c>
      <c r="F38" s="203">
        <v>0</v>
      </c>
      <c r="G38" s="204">
        <v>0</v>
      </c>
      <c r="H38" s="203">
        <v>0</v>
      </c>
      <c r="I38" s="202" t="s">
        <v>80</v>
      </c>
      <c r="J38" s="203">
        <v>0</v>
      </c>
      <c r="K38" s="205">
        <v>0</v>
      </c>
      <c r="L38" s="411">
        <v>0</v>
      </c>
      <c r="M38" s="402"/>
      <c r="N38" s="203">
        <v>0</v>
      </c>
      <c r="O38" s="203">
        <v>0</v>
      </c>
      <c r="P38" s="203">
        <v>0</v>
      </c>
      <c r="Q38" s="212" t="s">
        <v>80</v>
      </c>
      <c r="R38" s="203">
        <v>0</v>
      </c>
      <c r="S38" s="203">
        <v>0</v>
      </c>
      <c r="T38" s="203">
        <v>0</v>
      </c>
    </row>
    <row r="39" spans="1:20" outlineLevel="3" collapsed="1" x14ac:dyDescent="0.25">
      <c r="A39" s="410" t="s">
        <v>1489</v>
      </c>
      <c r="B39" s="402"/>
      <c r="C39" s="196" t="str">
        <f t="shared" si="0"/>
        <v>21-011101A</v>
      </c>
      <c r="D39" s="201">
        <v>19439628</v>
      </c>
      <c r="E39" s="202" t="s">
        <v>80</v>
      </c>
      <c r="F39" s="203">
        <v>0</v>
      </c>
      <c r="G39" s="204">
        <v>19439628</v>
      </c>
      <c r="H39" s="203">
        <v>19439628</v>
      </c>
      <c r="I39" s="202" t="s">
        <v>80</v>
      </c>
      <c r="J39" s="203">
        <v>0</v>
      </c>
      <c r="K39" s="205">
        <v>0</v>
      </c>
      <c r="L39" s="411">
        <v>0</v>
      </c>
      <c r="M39" s="402"/>
      <c r="N39" s="203">
        <v>0</v>
      </c>
      <c r="O39" s="203">
        <v>0</v>
      </c>
      <c r="P39" s="203">
        <v>0</v>
      </c>
      <c r="Q39" s="212" t="s">
        <v>80</v>
      </c>
      <c r="R39" s="203">
        <v>19439628</v>
      </c>
      <c r="S39" s="203">
        <v>0</v>
      </c>
      <c r="T39" s="203">
        <v>19439628</v>
      </c>
    </row>
    <row r="40" spans="1:20" outlineLevel="3" collapsed="1" x14ac:dyDescent="0.25">
      <c r="A40" s="410" t="s">
        <v>1490</v>
      </c>
      <c r="B40" s="402"/>
      <c r="C40" s="196" t="str">
        <f t="shared" si="0"/>
        <v>21-011101G</v>
      </c>
      <c r="D40" s="201">
        <v>0</v>
      </c>
      <c r="E40" s="202" t="s">
        <v>80</v>
      </c>
      <c r="F40" s="203">
        <v>0</v>
      </c>
      <c r="G40" s="204">
        <v>0</v>
      </c>
      <c r="H40" s="203">
        <v>0</v>
      </c>
      <c r="I40" s="202" t="s">
        <v>80</v>
      </c>
      <c r="J40" s="203">
        <v>0</v>
      </c>
      <c r="K40" s="205">
        <v>0</v>
      </c>
      <c r="L40" s="411">
        <v>0</v>
      </c>
      <c r="M40" s="402"/>
      <c r="N40" s="203">
        <v>0</v>
      </c>
      <c r="O40" s="203">
        <v>0</v>
      </c>
      <c r="P40" s="203">
        <v>0</v>
      </c>
      <c r="Q40" s="212" t="s">
        <v>80</v>
      </c>
      <c r="R40" s="203">
        <v>0</v>
      </c>
      <c r="S40" s="203">
        <v>0</v>
      </c>
      <c r="T40" s="203">
        <v>0</v>
      </c>
    </row>
    <row r="41" spans="1:20" outlineLevel="3" collapsed="1" x14ac:dyDescent="0.25">
      <c r="A41" s="410" t="s">
        <v>1491</v>
      </c>
      <c r="B41" s="402"/>
      <c r="C41" s="196" t="str">
        <f t="shared" si="0"/>
        <v>21-019901A</v>
      </c>
      <c r="D41" s="201">
        <v>2616338695</v>
      </c>
      <c r="E41" s="202" t="s">
        <v>80</v>
      </c>
      <c r="F41" s="203">
        <v>0</v>
      </c>
      <c r="G41" s="204">
        <v>2616338695</v>
      </c>
      <c r="H41" s="203">
        <v>2616338695</v>
      </c>
      <c r="I41" s="202" t="s">
        <v>80</v>
      </c>
      <c r="J41" s="203">
        <v>0</v>
      </c>
      <c r="K41" s="205">
        <v>6925270</v>
      </c>
      <c r="L41" s="411">
        <v>771381</v>
      </c>
      <c r="M41" s="402"/>
      <c r="N41" s="203">
        <v>0</v>
      </c>
      <c r="O41" s="203">
        <v>7696651</v>
      </c>
      <c r="P41" s="203">
        <v>7696651</v>
      </c>
      <c r="Q41" s="212" t="s">
        <v>80</v>
      </c>
      <c r="R41" s="203">
        <v>2616338695</v>
      </c>
      <c r="S41" s="203">
        <v>7696651</v>
      </c>
      <c r="T41" s="203">
        <v>2608642044</v>
      </c>
    </row>
    <row r="42" spans="1:20" outlineLevel="3" collapsed="1" x14ac:dyDescent="0.25">
      <c r="A42" s="410" t="s">
        <v>1492</v>
      </c>
      <c r="B42" s="402"/>
      <c r="C42" s="196" t="str">
        <f t="shared" si="0"/>
        <v>21-019901G</v>
      </c>
      <c r="D42" s="201">
        <v>0</v>
      </c>
      <c r="E42" s="202" t="s">
        <v>80</v>
      </c>
      <c r="F42" s="203">
        <v>0</v>
      </c>
      <c r="G42" s="204">
        <v>0</v>
      </c>
      <c r="H42" s="203">
        <v>0</v>
      </c>
      <c r="I42" s="202" t="s">
        <v>80</v>
      </c>
      <c r="J42" s="203">
        <v>0</v>
      </c>
      <c r="K42" s="205">
        <v>0</v>
      </c>
      <c r="L42" s="411">
        <v>0</v>
      </c>
      <c r="M42" s="402"/>
      <c r="N42" s="203">
        <v>0</v>
      </c>
      <c r="O42" s="203">
        <v>0</v>
      </c>
      <c r="P42" s="203">
        <v>0</v>
      </c>
      <c r="Q42" s="212" t="s">
        <v>80</v>
      </c>
      <c r="R42" s="203">
        <v>0</v>
      </c>
      <c r="S42" s="203">
        <v>0</v>
      </c>
      <c r="T42" s="203">
        <v>0</v>
      </c>
    </row>
    <row r="43" spans="1:20" outlineLevel="2" x14ac:dyDescent="0.25">
      <c r="A43" s="414" t="s">
        <v>1474</v>
      </c>
      <c r="B43" s="402"/>
      <c r="C43" s="196" t="str">
        <f t="shared" si="0"/>
        <v>Mecanica</v>
      </c>
      <c r="D43" s="3">
        <v>369194189</v>
      </c>
      <c r="E43" s="309" t="s">
        <v>80</v>
      </c>
      <c r="F43" s="71">
        <v>0</v>
      </c>
      <c r="G43" s="71">
        <v>369194189</v>
      </c>
      <c r="H43" s="71">
        <v>369194189</v>
      </c>
      <c r="I43" s="309" t="s">
        <v>80</v>
      </c>
      <c r="J43" s="71">
        <v>0</v>
      </c>
      <c r="K43" s="71">
        <v>6912560</v>
      </c>
      <c r="L43" s="415">
        <v>0</v>
      </c>
      <c r="M43" s="402"/>
      <c r="N43" s="71">
        <v>0</v>
      </c>
      <c r="O43" s="71">
        <v>6912560</v>
      </c>
      <c r="P43" s="71">
        <v>6912560</v>
      </c>
      <c r="Q43" s="310" t="s">
        <v>80</v>
      </c>
      <c r="R43" s="71">
        <v>369194189</v>
      </c>
      <c r="S43" s="71">
        <v>6912560</v>
      </c>
      <c r="T43" s="71">
        <v>362281629</v>
      </c>
    </row>
    <row r="44" spans="1:20" outlineLevel="3" collapsed="1" x14ac:dyDescent="0.25">
      <c r="A44" s="410" t="s">
        <v>1493</v>
      </c>
      <c r="B44" s="402"/>
      <c r="C44" s="196" t="str">
        <f t="shared" si="0"/>
        <v>21-031401A</v>
      </c>
      <c r="D44" s="201">
        <v>69955591</v>
      </c>
      <c r="E44" s="202" t="s">
        <v>80</v>
      </c>
      <c r="F44" s="203">
        <v>0</v>
      </c>
      <c r="G44" s="204">
        <v>69955591</v>
      </c>
      <c r="H44" s="203">
        <v>69955591</v>
      </c>
      <c r="I44" s="202" t="s">
        <v>80</v>
      </c>
      <c r="J44" s="203">
        <v>0</v>
      </c>
      <c r="K44" s="205">
        <v>0</v>
      </c>
      <c r="L44" s="411">
        <v>0</v>
      </c>
      <c r="M44" s="402"/>
      <c r="N44" s="203">
        <v>0</v>
      </c>
      <c r="O44" s="203">
        <v>0</v>
      </c>
      <c r="P44" s="203">
        <v>0</v>
      </c>
      <c r="Q44" s="212" t="s">
        <v>80</v>
      </c>
      <c r="R44" s="203">
        <v>69955591</v>
      </c>
      <c r="S44" s="203">
        <v>0</v>
      </c>
      <c r="T44" s="203">
        <v>69955591</v>
      </c>
    </row>
    <row r="45" spans="1:20" outlineLevel="3" collapsed="1" x14ac:dyDescent="0.25">
      <c r="A45" s="410" t="s">
        <v>1494</v>
      </c>
      <c r="B45" s="402"/>
      <c r="C45" s="196" t="str">
        <f t="shared" si="0"/>
        <v>21-031401G</v>
      </c>
      <c r="D45" s="201">
        <v>0</v>
      </c>
      <c r="E45" s="202" t="s">
        <v>80</v>
      </c>
      <c r="F45" s="203">
        <v>0</v>
      </c>
      <c r="G45" s="204">
        <v>0</v>
      </c>
      <c r="H45" s="203">
        <v>0</v>
      </c>
      <c r="I45" s="202" t="s">
        <v>80</v>
      </c>
      <c r="J45" s="203">
        <v>0</v>
      </c>
      <c r="K45" s="205">
        <v>0</v>
      </c>
      <c r="L45" s="411">
        <v>0</v>
      </c>
      <c r="M45" s="402"/>
      <c r="N45" s="203">
        <v>0</v>
      </c>
      <c r="O45" s="203">
        <v>0</v>
      </c>
      <c r="P45" s="203">
        <v>0</v>
      </c>
      <c r="Q45" s="212" t="s">
        <v>80</v>
      </c>
      <c r="R45" s="203">
        <v>0</v>
      </c>
      <c r="S45" s="203">
        <v>0</v>
      </c>
      <c r="T45" s="203">
        <v>0</v>
      </c>
    </row>
    <row r="46" spans="1:20" outlineLevel="3" collapsed="1" x14ac:dyDescent="0.25">
      <c r="A46" s="410" t="s">
        <v>1495</v>
      </c>
      <c r="B46" s="402"/>
      <c r="C46" s="196" t="str">
        <f t="shared" si="0"/>
        <v>21-039901A</v>
      </c>
      <c r="D46" s="201">
        <v>299238598</v>
      </c>
      <c r="E46" s="202" t="s">
        <v>80</v>
      </c>
      <c r="F46" s="203">
        <v>0</v>
      </c>
      <c r="G46" s="204">
        <v>299238598</v>
      </c>
      <c r="H46" s="203">
        <v>299238598</v>
      </c>
      <c r="I46" s="202" t="s">
        <v>80</v>
      </c>
      <c r="J46" s="203">
        <v>0</v>
      </c>
      <c r="K46" s="205">
        <v>6912560</v>
      </c>
      <c r="L46" s="411">
        <v>0</v>
      </c>
      <c r="M46" s="402"/>
      <c r="N46" s="203">
        <v>0</v>
      </c>
      <c r="O46" s="203">
        <v>6912560</v>
      </c>
      <c r="P46" s="203">
        <v>6912560</v>
      </c>
      <c r="Q46" s="212" t="s">
        <v>80</v>
      </c>
      <c r="R46" s="203">
        <v>299238598</v>
      </c>
      <c r="S46" s="203">
        <v>6912560</v>
      </c>
      <c r="T46" s="203">
        <v>292326038</v>
      </c>
    </row>
    <row r="47" spans="1:20" outlineLevel="3" collapsed="1" x14ac:dyDescent="0.25">
      <c r="A47" s="410" t="s">
        <v>1496</v>
      </c>
      <c r="B47" s="402"/>
      <c r="C47" s="196" t="str">
        <f t="shared" si="0"/>
        <v>21-039901G</v>
      </c>
      <c r="D47" s="201">
        <v>0</v>
      </c>
      <c r="E47" s="202" t="s">
        <v>80</v>
      </c>
      <c r="F47" s="203">
        <v>0</v>
      </c>
      <c r="G47" s="204">
        <v>0</v>
      </c>
      <c r="H47" s="203">
        <v>0</v>
      </c>
      <c r="I47" s="202" t="s">
        <v>80</v>
      </c>
      <c r="J47" s="203">
        <v>0</v>
      </c>
      <c r="K47" s="205">
        <v>0</v>
      </c>
      <c r="L47" s="411">
        <v>0</v>
      </c>
      <c r="M47" s="402"/>
      <c r="N47" s="203">
        <v>0</v>
      </c>
      <c r="O47" s="203">
        <v>0</v>
      </c>
      <c r="P47" s="203">
        <v>0</v>
      </c>
      <c r="Q47" s="212" t="s">
        <v>80</v>
      </c>
      <c r="R47" s="203">
        <v>0</v>
      </c>
      <c r="S47" s="203">
        <v>0</v>
      </c>
      <c r="T47" s="203">
        <v>0</v>
      </c>
    </row>
    <row r="48" spans="1:20" outlineLevel="2" x14ac:dyDescent="0.25">
      <c r="A48" s="414" t="s">
        <v>39</v>
      </c>
      <c r="B48" s="402"/>
      <c r="C48" s="196" t="str">
        <f t="shared" si="0"/>
        <v>Cañeria</v>
      </c>
      <c r="D48" s="3">
        <v>50020189</v>
      </c>
      <c r="E48" s="309" t="s">
        <v>80</v>
      </c>
      <c r="F48" s="71">
        <v>0</v>
      </c>
      <c r="G48" s="71">
        <v>50020189</v>
      </c>
      <c r="H48" s="71">
        <v>50020189</v>
      </c>
      <c r="I48" s="309" t="s">
        <v>80</v>
      </c>
      <c r="J48" s="71">
        <v>0</v>
      </c>
      <c r="K48" s="71">
        <v>0</v>
      </c>
      <c r="L48" s="415">
        <v>0</v>
      </c>
      <c r="M48" s="402"/>
      <c r="N48" s="71">
        <v>0</v>
      </c>
      <c r="O48" s="71">
        <v>0</v>
      </c>
      <c r="P48" s="71">
        <v>0</v>
      </c>
      <c r="Q48" s="310" t="s">
        <v>80</v>
      </c>
      <c r="R48" s="71">
        <v>50020189</v>
      </c>
      <c r="S48" s="71">
        <v>0</v>
      </c>
      <c r="T48" s="71">
        <v>50020189</v>
      </c>
    </row>
    <row r="49" spans="1:20" outlineLevel="3" collapsed="1" x14ac:dyDescent="0.25">
      <c r="A49" s="410" t="s">
        <v>1497</v>
      </c>
      <c r="B49" s="402"/>
      <c r="C49" s="196" t="str">
        <f t="shared" si="0"/>
        <v>21-041401A</v>
      </c>
      <c r="D49" s="201">
        <v>6036964</v>
      </c>
      <c r="E49" s="202" t="s">
        <v>80</v>
      </c>
      <c r="F49" s="203">
        <v>0</v>
      </c>
      <c r="G49" s="204">
        <v>6036964</v>
      </c>
      <c r="H49" s="203">
        <v>6036964</v>
      </c>
      <c r="I49" s="202" t="s">
        <v>80</v>
      </c>
      <c r="J49" s="203">
        <v>0</v>
      </c>
      <c r="K49" s="205">
        <v>0</v>
      </c>
      <c r="L49" s="411">
        <v>0</v>
      </c>
      <c r="M49" s="402"/>
      <c r="N49" s="203">
        <v>0</v>
      </c>
      <c r="O49" s="203">
        <v>0</v>
      </c>
      <c r="P49" s="203">
        <v>0</v>
      </c>
      <c r="Q49" s="212" t="s">
        <v>80</v>
      </c>
      <c r="R49" s="203">
        <v>6036964</v>
      </c>
      <c r="S49" s="203">
        <v>0</v>
      </c>
      <c r="T49" s="203">
        <v>6036964</v>
      </c>
    </row>
    <row r="50" spans="1:20" outlineLevel="3" collapsed="1" x14ac:dyDescent="0.25">
      <c r="A50" s="410" t="s">
        <v>1498</v>
      </c>
      <c r="B50" s="402"/>
      <c r="C50" s="196" t="str">
        <f t="shared" si="0"/>
        <v>21-041401G</v>
      </c>
      <c r="D50" s="201">
        <v>0</v>
      </c>
      <c r="E50" s="202" t="s">
        <v>80</v>
      </c>
      <c r="F50" s="203">
        <v>0</v>
      </c>
      <c r="G50" s="204">
        <v>0</v>
      </c>
      <c r="H50" s="203">
        <v>0</v>
      </c>
      <c r="I50" s="202" t="s">
        <v>80</v>
      </c>
      <c r="J50" s="203">
        <v>0</v>
      </c>
      <c r="K50" s="205">
        <v>0</v>
      </c>
      <c r="L50" s="411">
        <v>0</v>
      </c>
      <c r="M50" s="402"/>
      <c r="N50" s="203">
        <v>0</v>
      </c>
      <c r="O50" s="203">
        <v>0</v>
      </c>
      <c r="P50" s="203">
        <v>0</v>
      </c>
      <c r="Q50" s="212" t="s">
        <v>80</v>
      </c>
      <c r="R50" s="203">
        <v>0</v>
      </c>
      <c r="S50" s="203">
        <v>0</v>
      </c>
      <c r="T50" s="203">
        <v>0</v>
      </c>
    </row>
    <row r="51" spans="1:20" outlineLevel="3" collapsed="1" x14ac:dyDescent="0.25">
      <c r="A51" s="410" t="s">
        <v>1499</v>
      </c>
      <c r="B51" s="402"/>
      <c r="C51" s="196" t="str">
        <f t="shared" si="0"/>
        <v>21-042001A</v>
      </c>
      <c r="D51" s="201">
        <v>13182785</v>
      </c>
      <c r="E51" s="202" t="s">
        <v>80</v>
      </c>
      <c r="F51" s="203">
        <v>0</v>
      </c>
      <c r="G51" s="204">
        <v>13182785</v>
      </c>
      <c r="H51" s="203">
        <v>13182785</v>
      </c>
      <c r="I51" s="202" t="s">
        <v>80</v>
      </c>
      <c r="J51" s="203">
        <v>0</v>
      </c>
      <c r="K51" s="205">
        <v>0</v>
      </c>
      <c r="L51" s="411">
        <v>0</v>
      </c>
      <c r="M51" s="402"/>
      <c r="N51" s="203">
        <v>0</v>
      </c>
      <c r="O51" s="203">
        <v>0</v>
      </c>
      <c r="P51" s="203">
        <v>0</v>
      </c>
      <c r="Q51" s="212" t="s">
        <v>80</v>
      </c>
      <c r="R51" s="203">
        <v>13182785</v>
      </c>
      <c r="S51" s="203">
        <v>0</v>
      </c>
      <c r="T51" s="203">
        <v>13182785</v>
      </c>
    </row>
    <row r="52" spans="1:20" outlineLevel="3" collapsed="1" x14ac:dyDescent="0.25">
      <c r="A52" s="410" t="s">
        <v>1500</v>
      </c>
      <c r="B52" s="402"/>
      <c r="C52" s="196" t="str">
        <f t="shared" si="0"/>
        <v>21-042001G</v>
      </c>
      <c r="D52" s="201">
        <v>0</v>
      </c>
      <c r="E52" s="202" t="s">
        <v>80</v>
      </c>
      <c r="F52" s="203">
        <v>0</v>
      </c>
      <c r="G52" s="204">
        <v>0</v>
      </c>
      <c r="H52" s="203">
        <v>0</v>
      </c>
      <c r="I52" s="202" t="s">
        <v>80</v>
      </c>
      <c r="J52" s="203">
        <v>0</v>
      </c>
      <c r="K52" s="205">
        <v>0</v>
      </c>
      <c r="L52" s="411">
        <v>0</v>
      </c>
      <c r="M52" s="402"/>
      <c r="N52" s="203">
        <v>0</v>
      </c>
      <c r="O52" s="203">
        <v>0</v>
      </c>
      <c r="P52" s="203">
        <v>0</v>
      </c>
      <c r="Q52" s="212" t="s">
        <v>80</v>
      </c>
      <c r="R52" s="203">
        <v>0</v>
      </c>
      <c r="S52" s="203">
        <v>0</v>
      </c>
      <c r="T52" s="203">
        <v>0</v>
      </c>
    </row>
    <row r="53" spans="1:20" outlineLevel="3" collapsed="1" x14ac:dyDescent="0.25">
      <c r="A53" s="410" t="s">
        <v>1501</v>
      </c>
      <c r="B53" s="402"/>
      <c r="C53" s="196" t="str">
        <f t="shared" si="0"/>
        <v>21-049901A</v>
      </c>
      <c r="D53" s="201">
        <v>30800440</v>
      </c>
      <c r="E53" s="202" t="s">
        <v>80</v>
      </c>
      <c r="F53" s="203">
        <v>0</v>
      </c>
      <c r="G53" s="204">
        <v>30800440</v>
      </c>
      <c r="H53" s="203">
        <v>30800440</v>
      </c>
      <c r="I53" s="202" t="s">
        <v>80</v>
      </c>
      <c r="J53" s="203">
        <v>0</v>
      </c>
      <c r="K53" s="205">
        <v>0</v>
      </c>
      <c r="L53" s="411">
        <v>0</v>
      </c>
      <c r="M53" s="402"/>
      <c r="N53" s="203">
        <v>0</v>
      </c>
      <c r="O53" s="203">
        <v>0</v>
      </c>
      <c r="P53" s="203">
        <v>0</v>
      </c>
      <c r="Q53" s="212" t="s">
        <v>80</v>
      </c>
      <c r="R53" s="203">
        <v>30800440</v>
      </c>
      <c r="S53" s="203">
        <v>0</v>
      </c>
      <c r="T53" s="203">
        <v>30800440</v>
      </c>
    </row>
    <row r="54" spans="1:20" outlineLevel="3" collapsed="1" x14ac:dyDescent="0.25">
      <c r="A54" s="410" t="s">
        <v>1502</v>
      </c>
      <c r="B54" s="402"/>
      <c r="C54" s="196" t="str">
        <f t="shared" si="0"/>
        <v>21-049901G</v>
      </c>
      <c r="D54" s="201">
        <v>0</v>
      </c>
      <c r="E54" s="202" t="s">
        <v>80</v>
      </c>
      <c r="F54" s="203">
        <v>0</v>
      </c>
      <c r="G54" s="204">
        <v>0</v>
      </c>
      <c r="H54" s="203">
        <v>0</v>
      </c>
      <c r="I54" s="202" t="s">
        <v>80</v>
      </c>
      <c r="J54" s="203">
        <v>0</v>
      </c>
      <c r="K54" s="205">
        <v>0</v>
      </c>
      <c r="L54" s="411">
        <v>0</v>
      </c>
      <c r="M54" s="402"/>
      <c r="N54" s="203">
        <v>0</v>
      </c>
      <c r="O54" s="203">
        <v>0</v>
      </c>
      <c r="P54" s="203">
        <v>0</v>
      </c>
      <c r="Q54" s="212" t="s">
        <v>80</v>
      </c>
      <c r="R54" s="203">
        <v>0</v>
      </c>
      <c r="S54" s="203">
        <v>0</v>
      </c>
      <c r="T54" s="203">
        <v>0</v>
      </c>
    </row>
    <row r="55" spans="1:20" outlineLevel="2" x14ac:dyDescent="0.25">
      <c r="A55" s="414" t="s">
        <v>1477</v>
      </c>
      <c r="B55" s="402"/>
      <c r="C55" s="196" t="str">
        <f t="shared" si="0"/>
        <v>Electricid</v>
      </c>
      <c r="D55" s="3">
        <v>346392919</v>
      </c>
      <c r="E55" s="309" t="s">
        <v>80</v>
      </c>
      <c r="F55" s="71">
        <v>0</v>
      </c>
      <c r="G55" s="71">
        <v>346392919</v>
      </c>
      <c r="H55" s="71">
        <v>346392919</v>
      </c>
      <c r="I55" s="309" t="s">
        <v>80</v>
      </c>
      <c r="J55" s="71">
        <v>0</v>
      </c>
      <c r="K55" s="71">
        <v>0</v>
      </c>
      <c r="L55" s="415">
        <v>0</v>
      </c>
      <c r="M55" s="402"/>
      <c r="N55" s="71">
        <v>0</v>
      </c>
      <c r="O55" s="71">
        <v>0</v>
      </c>
      <c r="P55" s="71">
        <v>0</v>
      </c>
      <c r="Q55" s="310" t="s">
        <v>80</v>
      </c>
      <c r="R55" s="71">
        <v>346392919</v>
      </c>
      <c r="S55" s="71">
        <v>0</v>
      </c>
      <c r="T55" s="71">
        <v>346392919</v>
      </c>
    </row>
    <row r="56" spans="1:20" outlineLevel="3" collapsed="1" x14ac:dyDescent="0.25">
      <c r="A56" s="410" t="s">
        <v>1503</v>
      </c>
      <c r="B56" s="402"/>
      <c r="C56" s="196" t="str">
        <f t="shared" si="0"/>
        <v>21-051801A</v>
      </c>
      <c r="D56" s="201">
        <v>19027296</v>
      </c>
      <c r="E56" s="202" t="s">
        <v>80</v>
      </c>
      <c r="F56" s="203">
        <v>0</v>
      </c>
      <c r="G56" s="204">
        <v>19027296</v>
      </c>
      <c r="H56" s="203">
        <v>19027296</v>
      </c>
      <c r="I56" s="202" t="s">
        <v>80</v>
      </c>
      <c r="J56" s="203">
        <v>0</v>
      </c>
      <c r="K56" s="205">
        <v>0</v>
      </c>
      <c r="L56" s="411">
        <v>0</v>
      </c>
      <c r="M56" s="402"/>
      <c r="N56" s="203">
        <v>0</v>
      </c>
      <c r="O56" s="203">
        <v>0</v>
      </c>
      <c r="P56" s="203">
        <v>0</v>
      </c>
      <c r="Q56" s="212" t="s">
        <v>80</v>
      </c>
      <c r="R56" s="203">
        <v>19027296</v>
      </c>
      <c r="S56" s="203">
        <v>0</v>
      </c>
      <c r="T56" s="203">
        <v>19027296</v>
      </c>
    </row>
    <row r="57" spans="1:20" outlineLevel="3" collapsed="1" x14ac:dyDescent="0.25">
      <c r="A57" s="410" t="s">
        <v>1504</v>
      </c>
      <c r="B57" s="402"/>
      <c r="C57" s="196" t="str">
        <f t="shared" si="0"/>
        <v>21-051801G</v>
      </c>
      <c r="D57" s="201">
        <v>0</v>
      </c>
      <c r="E57" s="202" t="s">
        <v>80</v>
      </c>
      <c r="F57" s="203">
        <v>0</v>
      </c>
      <c r="G57" s="204">
        <v>0</v>
      </c>
      <c r="H57" s="203">
        <v>0</v>
      </c>
      <c r="I57" s="202" t="s">
        <v>80</v>
      </c>
      <c r="J57" s="203">
        <v>0</v>
      </c>
      <c r="K57" s="205">
        <v>0</v>
      </c>
      <c r="L57" s="411">
        <v>0</v>
      </c>
      <c r="M57" s="402"/>
      <c r="N57" s="203">
        <v>0</v>
      </c>
      <c r="O57" s="203">
        <v>0</v>
      </c>
      <c r="P57" s="203">
        <v>0</v>
      </c>
      <c r="Q57" s="212" t="s">
        <v>80</v>
      </c>
      <c r="R57" s="203">
        <v>0</v>
      </c>
      <c r="S57" s="203">
        <v>0</v>
      </c>
      <c r="T57" s="203">
        <v>0</v>
      </c>
    </row>
    <row r="58" spans="1:20" outlineLevel="3" collapsed="1" x14ac:dyDescent="0.25">
      <c r="A58" s="410" t="s">
        <v>1505</v>
      </c>
      <c r="B58" s="402"/>
      <c r="C58" s="196" t="str">
        <f t="shared" si="0"/>
        <v>21-052101A</v>
      </c>
      <c r="D58" s="201">
        <v>1162338</v>
      </c>
      <c r="E58" s="202" t="s">
        <v>80</v>
      </c>
      <c r="F58" s="203">
        <v>0</v>
      </c>
      <c r="G58" s="204">
        <v>1162338</v>
      </c>
      <c r="H58" s="203">
        <v>1162338</v>
      </c>
      <c r="I58" s="202" t="s">
        <v>80</v>
      </c>
      <c r="J58" s="203">
        <v>0</v>
      </c>
      <c r="K58" s="205">
        <v>0</v>
      </c>
      <c r="L58" s="411">
        <v>0</v>
      </c>
      <c r="M58" s="402"/>
      <c r="N58" s="203">
        <v>0</v>
      </c>
      <c r="O58" s="203">
        <v>0</v>
      </c>
      <c r="P58" s="203">
        <v>0</v>
      </c>
      <c r="Q58" s="212" t="s">
        <v>80</v>
      </c>
      <c r="R58" s="203">
        <v>1162338</v>
      </c>
      <c r="S58" s="203">
        <v>0</v>
      </c>
      <c r="T58" s="203">
        <v>1162338</v>
      </c>
    </row>
    <row r="59" spans="1:20" outlineLevel="3" collapsed="1" x14ac:dyDescent="0.25">
      <c r="A59" s="410" t="s">
        <v>1506</v>
      </c>
      <c r="B59" s="402"/>
      <c r="C59" s="196" t="str">
        <f t="shared" si="0"/>
        <v>21-052101G</v>
      </c>
      <c r="D59" s="201">
        <v>0</v>
      </c>
      <c r="E59" s="202" t="s">
        <v>80</v>
      </c>
      <c r="F59" s="203">
        <v>0</v>
      </c>
      <c r="G59" s="204">
        <v>0</v>
      </c>
      <c r="H59" s="203">
        <v>0</v>
      </c>
      <c r="I59" s="202" t="s">
        <v>80</v>
      </c>
      <c r="J59" s="203">
        <v>0</v>
      </c>
      <c r="K59" s="205">
        <v>0</v>
      </c>
      <c r="L59" s="411">
        <v>0</v>
      </c>
      <c r="M59" s="402"/>
      <c r="N59" s="203">
        <v>0</v>
      </c>
      <c r="O59" s="203">
        <v>0</v>
      </c>
      <c r="P59" s="203">
        <v>0</v>
      </c>
      <c r="Q59" s="212" t="s">
        <v>80</v>
      </c>
      <c r="R59" s="203">
        <v>0</v>
      </c>
      <c r="S59" s="203">
        <v>0</v>
      </c>
      <c r="T59" s="203">
        <v>0</v>
      </c>
    </row>
    <row r="60" spans="1:20" outlineLevel="3" collapsed="1" x14ac:dyDescent="0.25">
      <c r="A60" s="410" t="s">
        <v>1507</v>
      </c>
      <c r="B60" s="402"/>
      <c r="C60" s="196" t="str">
        <f t="shared" si="0"/>
        <v>21-059901A</v>
      </c>
      <c r="D60" s="201">
        <v>326203285</v>
      </c>
      <c r="E60" s="202" t="s">
        <v>80</v>
      </c>
      <c r="F60" s="203">
        <v>0</v>
      </c>
      <c r="G60" s="204">
        <v>326203285</v>
      </c>
      <c r="H60" s="203">
        <v>326203285</v>
      </c>
      <c r="I60" s="202" t="s">
        <v>80</v>
      </c>
      <c r="J60" s="203">
        <v>0</v>
      </c>
      <c r="K60" s="205">
        <v>0</v>
      </c>
      <c r="L60" s="411">
        <v>0</v>
      </c>
      <c r="M60" s="402"/>
      <c r="N60" s="203">
        <v>0</v>
      </c>
      <c r="O60" s="203">
        <v>0</v>
      </c>
      <c r="P60" s="203">
        <v>0</v>
      </c>
      <c r="Q60" s="212" t="s">
        <v>80</v>
      </c>
      <c r="R60" s="203">
        <v>326203285</v>
      </c>
      <c r="S60" s="203">
        <v>0</v>
      </c>
      <c r="T60" s="203">
        <v>326203285</v>
      </c>
    </row>
    <row r="61" spans="1:20" outlineLevel="3" collapsed="1" x14ac:dyDescent="0.25">
      <c r="A61" s="410" t="s">
        <v>1508</v>
      </c>
      <c r="B61" s="402"/>
      <c r="C61" s="196" t="str">
        <f t="shared" si="0"/>
        <v>21-059901G</v>
      </c>
      <c r="D61" s="201">
        <v>0</v>
      </c>
      <c r="E61" s="202" t="s">
        <v>80</v>
      </c>
      <c r="F61" s="203">
        <v>0</v>
      </c>
      <c r="G61" s="204">
        <v>0</v>
      </c>
      <c r="H61" s="203">
        <v>0</v>
      </c>
      <c r="I61" s="202" t="s">
        <v>80</v>
      </c>
      <c r="J61" s="203">
        <v>0</v>
      </c>
      <c r="K61" s="205">
        <v>0</v>
      </c>
      <c r="L61" s="411">
        <v>0</v>
      </c>
      <c r="M61" s="402"/>
      <c r="N61" s="203">
        <v>0</v>
      </c>
      <c r="O61" s="203">
        <v>0</v>
      </c>
      <c r="P61" s="203">
        <v>0</v>
      </c>
      <c r="Q61" s="212" t="s">
        <v>80</v>
      </c>
      <c r="R61" s="203">
        <v>0</v>
      </c>
      <c r="S61" s="203">
        <v>0</v>
      </c>
      <c r="T61" s="203">
        <v>0</v>
      </c>
    </row>
    <row r="62" spans="1:20" outlineLevel="1" x14ac:dyDescent="0.25">
      <c r="A62" s="412" t="s">
        <v>185</v>
      </c>
      <c r="B62" s="402"/>
      <c r="C62" s="196" t="str">
        <f t="shared" si="0"/>
        <v>OSTO PROPO</v>
      </c>
      <c r="D62" s="197">
        <v>10413713582</v>
      </c>
      <c r="E62" s="196" t="s">
        <v>80</v>
      </c>
      <c r="F62" s="198">
        <v>50274465</v>
      </c>
      <c r="G62" s="198">
        <v>10385471772</v>
      </c>
      <c r="H62" s="198">
        <v>10435746237</v>
      </c>
      <c r="I62" s="196" t="s">
        <v>80</v>
      </c>
      <c r="J62" s="214">
        <v>37354188</v>
      </c>
      <c r="K62" s="214">
        <v>224582562</v>
      </c>
      <c r="L62" s="413">
        <v>21779613</v>
      </c>
      <c r="M62" s="402"/>
      <c r="N62" s="214">
        <v>0</v>
      </c>
      <c r="O62" s="214">
        <v>246362175</v>
      </c>
      <c r="P62" s="214">
        <v>283716363</v>
      </c>
      <c r="Q62" s="199" t="s">
        <v>80</v>
      </c>
      <c r="R62" s="198">
        <v>10435746237</v>
      </c>
      <c r="S62" s="214">
        <v>283716363</v>
      </c>
      <c r="T62" s="200">
        <v>10152029874</v>
      </c>
    </row>
    <row r="63" spans="1:20" outlineLevel="2" x14ac:dyDescent="0.25">
      <c r="A63" s="414" t="s">
        <v>1509</v>
      </c>
      <c r="B63" s="402"/>
      <c r="C63" s="196" t="str">
        <f t="shared" si="0"/>
        <v>Movilizaci</v>
      </c>
      <c r="D63" s="3">
        <v>4577899786</v>
      </c>
      <c r="E63" s="309" t="s">
        <v>80</v>
      </c>
      <c r="F63" s="71">
        <v>0</v>
      </c>
      <c r="G63" s="71">
        <v>4577899786</v>
      </c>
      <c r="H63" s="71">
        <v>4577899786</v>
      </c>
      <c r="I63" s="309" t="s">
        <v>80</v>
      </c>
      <c r="J63" s="71">
        <v>1382596</v>
      </c>
      <c r="K63" s="71">
        <v>0</v>
      </c>
      <c r="L63" s="415">
        <v>0</v>
      </c>
      <c r="M63" s="402"/>
      <c r="N63" s="71">
        <v>0</v>
      </c>
      <c r="O63" s="71">
        <v>0</v>
      </c>
      <c r="P63" s="71">
        <v>1382596</v>
      </c>
      <c r="Q63" s="310" t="s">
        <v>80</v>
      </c>
      <c r="R63" s="71">
        <v>4577899786</v>
      </c>
      <c r="S63" s="71">
        <v>1382596</v>
      </c>
      <c r="T63" s="71">
        <v>4576517190</v>
      </c>
    </row>
    <row r="64" spans="1:20" outlineLevel="3" collapsed="1" x14ac:dyDescent="0.25">
      <c r="A64" s="410" t="s">
        <v>1510</v>
      </c>
      <c r="B64" s="402"/>
      <c r="C64" s="196" t="str">
        <f t="shared" si="0"/>
        <v>51-040100A</v>
      </c>
      <c r="D64" s="201">
        <v>4577899786</v>
      </c>
      <c r="E64" s="202" t="s">
        <v>80</v>
      </c>
      <c r="F64" s="203">
        <v>0</v>
      </c>
      <c r="G64" s="204">
        <v>4577899786</v>
      </c>
      <c r="H64" s="203">
        <v>4577899786</v>
      </c>
      <c r="I64" s="202" t="s">
        <v>80</v>
      </c>
      <c r="J64" s="203">
        <v>1382596</v>
      </c>
      <c r="K64" s="205">
        <v>0</v>
      </c>
      <c r="L64" s="411">
        <v>0</v>
      </c>
      <c r="M64" s="402"/>
      <c r="N64" s="203">
        <v>0</v>
      </c>
      <c r="O64" s="203">
        <v>0</v>
      </c>
      <c r="P64" s="203">
        <v>1382596</v>
      </c>
      <c r="Q64" s="212" t="s">
        <v>80</v>
      </c>
      <c r="R64" s="203">
        <v>4577899786</v>
      </c>
      <c r="S64" s="203">
        <v>1382596</v>
      </c>
      <c r="T64" s="203">
        <v>4576517190</v>
      </c>
    </row>
    <row r="65" spans="1:20" outlineLevel="3" collapsed="1" x14ac:dyDescent="0.25">
      <c r="A65" s="410" t="s">
        <v>1511</v>
      </c>
      <c r="B65" s="402"/>
      <c r="C65" s="196" t="str">
        <f t="shared" si="0"/>
        <v>51-040100G</v>
      </c>
      <c r="D65" s="201">
        <v>0</v>
      </c>
      <c r="E65" s="202" t="s">
        <v>80</v>
      </c>
      <c r="F65" s="203">
        <v>0</v>
      </c>
      <c r="G65" s="204">
        <v>0</v>
      </c>
      <c r="H65" s="203">
        <v>0</v>
      </c>
      <c r="I65" s="202" t="s">
        <v>80</v>
      </c>
      <c r="J65" s="203">
        <v>0</v>
      </c>
      <c r="K65" s="205">
        <v>0</v>
      </c>
      <c r="L65" s="411">
        <v>0</v>
      </c>
      <c r="M65" s="402"/>
      <c r="N65" s="203">
        <v>0</v>
      </c>
      <c r="O65" s="203">
        <v>0</v>
      </c>
      <c r="P65" s="203">
        <v>0</v>
      </c>
      <c r="Q65" s="212" t="s">
        <v>80</v>
      </c>
      <c r="R65" s="203">
        <v>0</v>
      </c>
      <c r="S65" s="203">
        <v>0</v>
      </c>
      <c r="T65" s="203">
        <v>0</v>
      </c>
    </row>
    <row r="66" spans="1:20" outlineLevel="2" x14ac:dyDescent="0.25">
      <c r="A66" s="414" t="s">
        <v>1512</v>
      </c>
      <c r="B66" s="402"/>
      <c r="C66" s="196" t="str">
        <f t="shared" si="0"/>
        <v>Alimentaci</v>
      </c>
      <c r="D66" s="3">
        <v>3511939866</v>
      </c>
      <c r="E66" s="309" t="s">
        <v>80</v>
      </c>
      <c r="F66" s="71">
        <v>0</v>
      </c>
      <c r="G66" s="71">
        <v>3511939866</v>
      </c>
      <c r="H66" s="71">
        <v>3511939866</v>
      </c>
      <c r="I66" s="309" t="s">
        <v>80</v>
      </c>
      <c r="J66" s="71">
        <v>0</v>
      </c>
      <c r="K66" s="71">
        <v>179690</v>
      </c>
      <c r="L66" s="415">
        <v>0</v>
      </c>
      <c r="M66" s="402"/>
      <c r="N66" s="71">
        <v>0</v>
      </c>
      <c r="O66" s="71">
        <v>179690</v>
      </c>
      <c r="P66" s="71">
        <v>179690</v>
      </c>
      <c r="Q66" s="310" t="s">
        <v>80</v>
      </c>
      <c r="R66" s="71">
        <v>3511939866</v>
      </c>
      <c r="S66" s="71">
        <v>179690</v>
      </c>
      <c r="T66" s="71">
        <v>3511760176</v>
      </c>
    </row>
    <row r="67" spans="1:20" outlineLevel="3" collapsed="1" x14ac:dyDescent="0.25">
      <c r="A67" s="410" t="s">
        <v>1513</v>
      </c>
      <c r="B67" s="402"/>
      <c r="C67" s="196" t="str">
        <f t="shared" si="0"/>
        <v>51-050100A</v>
      </c>
      <c r="D67" s="201">
        <v>3511939866</v>
      </c>
      <c r="E67" s="202" t="s">
        <v>80</v>
      </c>
      <c r="F67" s="203">
        <v>0</v>
      </c>
      <c r="G67" s="204">
        <v>3511939866</v>
      </c>
      <c r="H67" s="203">
        <v>3511939866</v>
      </c>
      <c r="I67" s="202" t="s">
        <v>80</v>
      </c>
      <c r="J67" s="203">
        <v>0</v>
      </c>
      <c r="K67" s="205">
        <v>179690</v>
      </c>
      <c r="L67" s="411">
        <v>0</v>
      </c>
      <c r="M67" s="402"/>
      <c r="N67" s="203">
        <v>0</v>
      </c>
      <c r="O67" s="203">
        <v>179690</v>
      </c>
      <c r="P67" s="203">
        <v>179690</v>
      </c>
      <c r="Q67" s="212" t="s">
        <v>80</v>
      </c>
      <c r="R67" s="203">
        <v>3511939866</v>
      </c>
      <c r="S67" s="203">
        <v>179690</v>
      </c>
      <c r="T67" s="203">
        <v>3511760176</v>
      </c>
    </row>
    <row r="68" spans="1:20" outlineLevel="3" collapsed="1" x14ac:dyDescent="0.25">
      <c r="A68" s="410" t="s">
        <v>1514</v>
      </c>
      <c r="B68" s="402"/>
      <c r="C68" s="196" t="str">
        <f t="shared" si="0"/>
        <v>51-050100G</v>
      </c>
      <c r="D68" s="201">
        <v>0</v>
      </c>
      <c r="E68" s="202" t="s">
        <v>80</v>
      </c>
      <c r="F68" s="203">
        <v>0</v>
      </c>
      <c r="G68" s="204">
        <v>0</v>
      </c>
      <c r="H68" s="203">
        <v>0</v>
      </c>
      <c r="I68" s="202" t="s">
        <v>80</v>
      </c>
      <c r="J68" s="203">
        <v>0</v>
      </c>
      <c r="K68" s="205">
        <v>0</v>
      </c>
      <c r="L68" s="411">
        <v>0</v>
      </c>
      <c r="M68" s="402"/>
      <c r="N68" s="203">
        <v>0</v>
      </c>
      <c r="O68" s="203">
        <v>0</v>
      </c>
      <c r="P68" s="203">
        <v>0</v>
      </c>
      <c r="Q68" s="212" t="s">
        <v>80</v>
      </c>
      <c r="R68" s="203">
        <v>0</v>
      </c>
      <c r="S68" s="203">
        <v>0</v>
      </c>
      <c r="T68" s="203">
        <v>0</v>
      </c>
    </row>
    <row r="69" spans="1:20" outlineLevel="2" x14ac:dyDescent="0.25">
      <c r="A69" s="414" t="s">
        <v>1515</v>
      </c>
      <c r="B69" s="402"/>
      <c r="C69" s="196" t="str">
        <f t="shared" si="0"/>
        <v>Cursos y E</v>
      </c>
      <c r="D69" s="3">
        <v>889177446</v>
      </c>
      <c r="E69" s="309" t="s">
        <v>80</v>
      </c>
      <c r="F69" s="71">
        <v>35403423</v>
      </c>
      <c r="G69" s="71">
        <v>874811535</v>
      </c>
      <c r="H69" s="71">
        <v>910214958</v>
      </c>
      <c r="I69" s="309" t="s">
        <v>80</v>
      </c>
      <c r="J69" s="71">
        <v>20101110</v>
      </c>
      <c r="K69" s="71">
        <v>-555090</v>
      </c>
      <c r="L69" s="415">
        <v>0</v>
      </c>
      <c r="M69" s="402"/>
      <c r="N69" s="71">
        <v>0</v>
      </c>
      <c r="O69" s="71">
        <v>-555090</v>
      </c>
      <c r="P69" s="71">
        <v>19546020</v>
      </c>
      <c r="Q69" s="310" t="s">
        <v>80</v>
      </c>
      <c r="R69" s="71">
        <v>910214958</v>
      </c>
      <c r="S69" s="71">
        <v>19546020</v>
      </c>
      <c r="T69" s="71">
        <v>890668938</v>
      </c>
    </row>
    <row r="70" spans="1:20" outlineLevel="3" collapsed="1" x14ac:dyDescent="0.25">
      <c r="A70" s="410" t="s">
        <v>1516</v>
      </c>
      <c r="B70" s="402"/>
      <c r="C70" s="196" t="str">
        <f t="shared" si="0"/>
        <v>72-105010A</v>
      </c>
      <c r="D70" s="201">
        <v>889177446</v>
      </c>
      <c r="E70" s="202" t="s">
        <v>80</v>
      </c>
      <c r="F70" s="203">
        <v>35403423</v>
      </c>
      <c r="G70" s="204">
        <v>874811535</v>
      </c>
      <c r="H70" s="203">
        <v>910214958</v>
      </c>
      <c r="I70" s="202" t="s">
        <v>80</v>
      </c>
      <c r="J70" s="203">
        <v>20085615</v>
      </c>
      <c r="K70" s="205">
        <v>-555090</v>
      </c>
      <c r="L70" s="411">
        <v>0</v>
      </c>
      <c r="M70" s="402"/>
      <c r="N70" s="203">
        <v>0</v>
      </c>
      <c r="O70" s="203">
        <v>-555090</v>
      </c>
      <c r="P70" s="203">
        <v>19530525</v>
      </c>
      <c r="Q70" s="212" t="s">
        <v>80</v>
      </c>
      <c r="R70" s="203">
        <v>910214958</v>
      </c>
      <c r="S70" s="203">
        <v>19530525</v>
      </c>
      <c r="T70" s="203">
        <v>890684433</v>
      </c>
    </row>
    <row r="71" spans="1:20" outlineLevel="3" collapsed="1" x14ac:dyDescent="0.25">
      <c r="A71" s="410" t="s">
        <v>1517</v>
      </c>
      <c r="B71" s="402"/>
      <c r="C71" s="196" t="str">
        <f t="shared" ref="C71:C134" si="1">IF(MID(A71,6,1)="      - ","-",
IF(A71="     0 - Categoría NULA",0,MID(A71,6,10)))</f>
        <v>72-105010G</v>
      </c>
      <c r="D71" s="201">
        <v>0</v>
      </c>
      <c r="E71" s="202" t="s">
        <v>80</v>
      </c>
      <c r="F71" s="203">
        <v>0</v>
      </c>
      <c r="G71" s="204">
        <v>0</v>
      </c>
      <c r="H71" s="203">
        <v>0</v>
      </c>
      <c r="I71" s="202" t="s">
        <v>80</v>
      </c>
      <c r="J71" s="203">
        <v>15495</v>
      </c>
      <c r="K71" s="205">
        <v>0</v>
      </c>
      <c r="L71" s="411">
        <v>0</v>
      </c>
      <c r="M71" s="402"/>
      <c r="N71" s="203">
        <v>0</v>
      </c>
      <c r="O71" s="203">
        <v>0</v>
      </c>
      <c r="P71" s="203">
        <v>15495</v>
      </c>
      <c r="Q71" s="212" t="s">
        <v>80</v>
      </c>
      <c r="R71" s="203">
        <v>0</v>
      </c>
      <c r="S71" s="203">
        <v>15495</v>
      </c>
      <c r="T71" s="203">
        <v>-15495</v>
      </c>
    </row>
    <row r="72" spans="1:20" outlineLevel="2" x14ac:dyDescent="0.25">
      <c r="A72" s="414" t="s">
        <v>1518</v>
      </c>
      <c r="B72" s="402"/>
      <c r="C72" s="196" t="str">
        <f t="shared" si="1"/>
        <v>Elem. de S</v>
      </c>
      <c r="D72" s="3">
        <v>1020192452</v>
      </c>
      <c r="E72" s="309" t="s">
        <v>80</v>
      </c>
      <c r="F72" s="71">
        <v>13900677</v>
      </c>
      <c r="G72" s="71">
        <v>1007286918</v>
      </c>
      <c r="H72" s="71">
        <v>1021187595</v>
      </c>
      <c r="I72" s="309" t="s">
        <v>80</v>
      </c>
      <c r="J72" s="71">
        <v>15700682</v>
      </c>
      <c r="K72" s="71">
        <v>176733744</v>
      </c>
      <c r="L72" s="415">
        <v>11057920</v>
      </c>
      <c r="M72" s="402"/>
      <c r="N72" s="71">
        <v>0</v>
      </c>
      <c r="O72" s="71">
        <v>187791664</v>
      </c>
      <c r="P72" s="71">
        <v>203492346</v>
      </c>
      <c r="Q72" s="310" t="s">
        <v>80</v>
      </c>
      <c r="R72" s="71">
        <v>1021187595</v>
      </c>
      <c r="S72" s="71">
        <v>203492346</v>
      </c>
      <c r="T72" s="71">
        <v>817695249</v>
      </c>
    </row>
    <row r="73" spans="1:20" outlineLevel="3" collapsed="1" x14ac:dyDescent="0.25">
      <c r="A73" s="410" t="s">
        <v>1519</v>
      </c>
      <c r="B73" s="402"/>
      <c r="C73" s="196" t="str">
        <f t="shared" si="1"/>
        <v>51-010100A</v>
      </c>
      <c r="D73" s="201">
        <v>1020192452</v>
      </c>
      <c r="E73" s="202" t="s">
        <v>80</v>
      </c>
      <c r="F73" s="203">
        <v>13900677</v>
      </c>
      <c r="G73" s="204">
        <v>1007286918</v>
      </c>
      <c r="H73" s="203">
        <v>1021187595</v>
      </c>
      <c r="I73" s="202" t="s">
        <v>80</v>
      </c>
      <c r="J73" s="203">
        <v>15700682</v>
      </c>
      <c r="K73" s="205">
        <v>176733744</v>
      </c>
      <c r="L73" s="411">
        <v>11057920</v>
      </c>
      <c r="M73" s="402"/>
      <c r="N73" s="203">
        <v>0</v>
      </c>
      <c r="O73" s="203">
        <v>187791664</v>
      </c>
      <c r="P73" s="203">
        <v>203492346</v>
      </c>
      <c r="Q73" s="212" t="s">
        <v>80</v>
      </c>
      <c r="R73" s="203">
        <v>1021187595</v>
      </c>
      <c r="S73" s="203">
        <v>203492346</v>
      </c>
      <c r="T73" s="203">
        <v>817695249</v>
      </c>
    </row>
    <row r="74" spans="1:20" outlineLevel="3" collapsed="1" x14ac:dyDescent="0.25">
      <c r="A74" s="410" t="s">
        <v>1520</v>
      </c>
      <c r="B74" s="402"/>
      <c r="C74" s="196" t="str">
        <f t="shared" si="1"/>
        <v>51-010100G</v>
      </c>
      <c r="D74" s="201">
        <v>0</v>
      </c>
      <c r="E74" s="202" t="s">
        <v>80</v>
      </c>
      <c r="F74" s="203">
        <v>0</v>
      </c>
      <c r="G74" s="204">
        <v>0</v>
      </c>
      <c r="H74" s="203">
        <v>0</v>
      </c>
      <c r="I74" s="202" t="s">
        <v>80</v>
      </c>
      <c r="J74" s="203">
        <v>0</v>
      </c>
      <c r="K74" s="205">
        <v>0</v>
      </c>
      <c r="L74" s="411">
        <v>0</v>
      </c>
      <c r="M74" s="402"/>
      <c r="N74" s="203">
        <v>0</v>
      </c>
      <c r="O74" s="203">
        <v>0</v>
      </c>
      <c r="P74" s="203">
        <v>0</v>
      </c>
      <c r="Q74" s="212" t="s">
        <v>80</v>
      </c>
      <c r="R74" s="203">
        <v>0</v>
      </c>
      <c r="S74" s="203">
        <v>0</v>
      </c>
      <c r="T74" s="203">
        <v>0</v>
      </c>
    </row>
    <row r="75" spans="1:20" outlineLevel="2" x14ac:dyDescent="0.25">
      <c r="A75" s="414" t="s">
        <v>1521</v>
      </c>
      <c r="B75" s="402"/>
      <c r="C75" s="196" t="str">
        <f t="shared" si="1"/>
        <v>Mat. de Co</v>
      </c>
      <c r="D75" s="3">
        <v>233136584</v>
      </c>
      <c r="E75" s="309" t="s">
        <v>80</v>
      </c>
      <c r="F75" s="71">
        <v>115901</v>
      </c>
      <c r="G75" s="71">
        <v>233020683</v>
      </c>
      <c r="H75" s="71">
        <v>233136584</v>
      </c>
      <c r="I75" s="309" t="s">
        <v>80</v>
      </c>
      <c r="J75" s="71">
        <v>165500</v>
      </c>
      <c r="K75" s="71">
        <v>10395865</v>
      </c>
      <c r="L75" s="415">
        <v>9819080</v>
      </c>
      <c r="M75" s="402"/>
      <c r="N75" s="71">
        <v>0</v>
      </c>
      <c r="O75" s="71">
        <v>20214945</v>
      </c>
      <c r="P75" s="71">
        <v>20380445</v>
      </c>
      <c r="Q75" s="310" t="s">
        <v>80</v>
      </c>
      <c r="R75" s="71">
        <v>233136584</v>
      </c>
      <c r="S75" s="71">
        <v>20380445</v>
      </c>
      <c r="T75" s="71">
        <v>212756139</v>
      </c>
    </row>
    <row r="76" spans="1:20" outlineLevel="3" collapsed="1" x14ac:dyDescent="0.25">
      <c r="A76" s="410" t="s">
        <v>1522</v>
      </c>
      <c r="B76" s="402"/>
      <c r="C76" s="196" t="str">
        <f t="shared" si="1"/>
        <v>51-020100A</v>
      </c>
      <c r="D76" s="201">
        <v>233136584</v>
      </c>
      <c r="E76" s="202" t="s">
        <v>80</v>
      </c>
      <c r="F76" s="203">
        <v>115901</v>
      </c>
      <c r="G76" s="204">
        <v>233020683</v>
      </c>
      <c r="H76" s="203">
        <v>233136584</v>
      </c>
      <c r="I76" s="202" t="s">
        <v>80</v>
      </c>
      <c r="J76" s="203">
        <v>165500</v>
      </c>
      <c r="K76" s="205">
        <v>10395865</v>
      </c>
      <c r="L76" s="411">
        <v>9819080</v>
      </c>
      <c r="M76" s="402"/>
      <c r="N76" s="203">
        <v>0</v>
      </c>
      <c r="O76" s="203">
        <v>20214945</v>
      </c>
      <c r="P76" s="203">
        <v>20380445</v>
      </c>
      <c r="Q76" s="212" t="s">
        <v>80</v>
      </c>
      <c r="R76" s="203">
        <v>233136584</v>
      </c>
      <c r="S76" s="203">
        <v>20380445</v>
      </c>
      <c r="T76" s="203">
        <v>212756139</v>
      </c>
    </row>
    <row r="77" spans="1:20" outlineLevel="3" collapsed="1" x14ac:dyDescent="0.25">
      <c r="A77" s="410" t="s">
        <v>1523</v>
      </c>
      <c r="B77" s="402"/>
      <c r="C77" s="196" t="str">
        <f t="shared" si="1"/>
        <v>51-020100G</v>
      </c>
      <c r="D77" s="201">
        <v>0</v>
      </c>
      <c r="E77" s="202" t="s">
        <v>80</v>
      </c>
      <c r="F77" s="203">
        <v>0</v>
      </c>
      <c r="G77" s="204">
        <v>0</v>
      </c>
      <c r="H77" s="203">
        <v>0</v>
      </c>
      <c r="I77" s="202" t="s">
        <v>80</v>
      </c>
      <c r="J77" s="203">
        <v>0</v>
      </c>
      <c r="K77" s="205">
        <v>0</v>
      </c>
      <c r="L77" s="411">
        <v>0</v>
      </c>
      <c r="M77" s="402"/>
      <c r="N77" s="203">
        <v>0</v>
      </c>
      <c r="O77" s="203">
        <v>0</v>
      </c>
      <c r="P77" s="203">
        <v>0</v>
      </c>
      <c r="Q77" s="212" t="s">
        <v>80</v>
      </c>
      <c r="R77" s="203">
        <v>0</v>
      </c>
      <c r="S77" s="203">
        <v>0</v>
      </c>
      <c r="T77" s="203">
        <v>0</v>
      </c>
    </row>
    <row r="78" spans="1:20" outlineLevel="2" x14ac:dyDescent="0.25">
      <c r="A78" s="414" t="s">
        <v>1524</v>
      </c>
      <c r="B78" s="402"/>
      <c r="C78" s="196" t="str">
        <f t="shared" si="1"/>
        <v>Herramient</v>
      </c>
      <c r="D78" s="3">
        <v>181367448</v>
      </c>
      <c r="E78" s="309" t="s">
        <v>80</v>
      </c>
      <c r="F78" s="71">
        <v>854464</v>
      </c>
      <c r="G78" s="71">
        <v>180512984</v>
      </c>
      <c r="H78" s="71">
        <v>181367448</v>
      </c>
      <c r="I78" s="309" t="s">
        <v>80</v>
      </c>
      <c r="J78" s="71">
        <v>4300</v>
      </c>
      <c r="K78" s="71">
        <v>37828353</v>
      </c>
      <c r="L78" s="415">
        <v>902613</v>
      </c>
      <c r="M78" s="402"/>
      <c r="N78" s="71">
        <v>0</v>
      </c>
      <c r="O78" s="71">
        <v>38730966</v>
      </c>
      <c r="P78" s="71">
        <v>38735266</v>
      </c>
      <c r="Q78" s="310" t="s">
        <v>80</v>
      </c>
      <c r="R78" s="71">
        <v>181367448</v>
      </c>
      <c r="S78" s="71">
        <v>38735266</v>
      </c>
      <c r="T78" s="71">
        <v>142632182</v>
      </c>
    </row>
    <row r="79" spans="1:20" outlineLevel="3" collapsed="1" x14ac:dyDescent="0.25">
      <c r="A79" s="410" t="s">
        <v>1525</v>
      </c>
      <c r="B79" s="402"/>
      <c r="C79" s="196" t="str">
        <f t="shared" si="1"/>
        <v>51-030100A</v>
      </c>
      <c r="D79" s="201">
        <v>181367448</v>
      </c>
      <c r="E79" s="202" t="s">
        <v>80</v>
      </c>
      <c r="F79" s="203">
        <v>854464</v>
      </c>
      <c r="G79" s="204">
        <v>180512984</v>
      </c>
      <c r="H79" s="203">
        <v>181367448</v>
      </c>
      <c r="I79" s="202" t="s">
        <v>80</v>
      </c>
      <c r="J79" s="203">
        <v>4300</v>
      </c>
      <c r="K79" s="205">
        <v>37828353</v>
      </c>
      <c r="L79" s="411">
        <v>902613</v>
      </c>
      <c r="M79" s="402"/>
      <c r="N79" s="203">
        <v>0</v>
      </c>
      <c r="O79" s="203">
        <v>38730966</v>
      </c>
      <c r="P79" s="203">
        <v>38735266</v>
      </c>
      <c r="Q79" s="212" t="s">
        <v>80</v>
      </c>
      <c r="R79" s="203">
        <v>181367448</v>
      </c>
      <c r="S79" s="203">
        <v>38735266</v>
      </c>
      <c r="T79" s="203">
        <v>142632182</v>
      </c>
    </row>
    <row r="80" spans="1:20" outlineLevel="3" collapsed="1" x14ac:dyDescent="0.25">
      <c r="A80" s="410" t="s">
        <v>1526</v>
      </c>
      <c r="B80" s="402"/>
      <c r="C80" s="196" t="str">
        <f t="shared" si="1"/>
        <v>51-030100G</v>
      </c>
      <c r="D80" s="201">
        <v>0</v>
      </c>
      <c r="E80" s="202" t="s">
        <v>80</v>
      </c>
      <c r="F80" s="203">
        <v>0</v>
      </c>
      <c r="G80" s="204">
        <v>0</v>
      </c>
      <c r="H80" s="203">
        <v>0</v>
      </c>
      <c r="I80" s="202" t="s">
        <v>80</v>
      </c>
      <c r="J80" s="203">
        <v>0</v>
      </c>
      <c r="K80" s="205">
        <v>0</v>
      </c>
      <c r="L80" s="411">
        <v>0</v>
      </c>
      <c r="M80" s="402"/>
      <c r="N80" s="203">
        <v>0</v>
      </c>
      <c r="O80" s="203">
        <v>0</v>
      </c>
      <c r="P80" s="203">
        <v>0</v>
      </c>
      <c r="Q80" s="212" t="s">
        <v>80</v>
      </c>
      <c r="R80" s="203">
        <v>0</v>
      </c>
      <c r="S80" s="203">
        <v>0</v>
      </c>
      <c r="T80" s="203">
        <v>0</v>
      </c>
    </row>
    <row r="81" spans="1:20" outlineLevel="1" x14ac:dyDescent="0.25">
      <c r="A81" s="412" t="s">
        <v>190</v>
      </c>
      <c r="B81" s="402"/>
      <c r="C81" s="196" t="str">
        <f t="shared" si="1"/>
        <v>QUIPOS Y C</v>
      </c>
      <c r="D81" s="197">
        <v>11187580928</v>
      </c>
      <c r="E81" s="196" t="s">
        <v>80</v>
      </c>
      <c r="F81" s="198">
        <v>128399050</v>
      </c>
      <c r="G81" s="198">
        <v>11198245469</v>
      </c>
      <c r="H81" s="198">
        <v>11326644519</v>
      </c>
      <c r="I81" s="196" t="s">
        <v>80</v>
      </c>
      <c r="J81" s="214">
        <v>183108864</v>
      </c>
      <c r="K81" s="214">
        <v>36420500</v>
      </c>
      <c r="L81" s="413">
        <v>984450</v>
      </c>
      <c r="M81" s="402"/>
      <c r="N81" s="214">
        <v>0</v>
      </c>
      <c r="O81" s="214">
        <v>37404950</v>
      </c>
      <c r="P81" s="214">
        <v>220513814</v>
      </c>
      <c r="Q81" s="199" t="s">
        <v>80</v>
      </c>
      <c r="R81" s="198">
        <v>11326644519</v>
      </c>
      <c r="S81" s="214">
        <v>220513814</v>
      </c>
      <c r="T81" s="200">
        <v>11106130705</v>
      </c>
    </row>
    <row r="82" spans="1:20" outlineLevel="2" x14ac:dyDescent="0.25">
      <c r="A82" s="414" t="s">
        <v>1527</v>
      </c>
      <c r="B82" s="402"/>
      <c r="C82" s="196" t="str">
        <f t="shared" si="1"/>
        <v>Equipo May</v>
      </c>
      <c r="D82" s="3">
        <v>3410627206</v>
      </c>
      <c r="E82" s="309" t="s">
        <v>80</v>
      </c>
      <c r="F82" s="71">
        <v>4206056</v>
      </c>
      <c r="G82" s="71">
        <v>3451796192</v>
      </c>
      <c r="H82" s="71">
        <v>3456002248</v>
      </c>
      <c r="I82" s="309" t="s">
        <v>80</v>
      </c>
      <c r="J82" s="71">
        <v>97736381</v>
      </c>
      <c r="K82" s="71">
        <v>0</v>
      </c>
      <c r="L82" s="415">
        <v>0</v>
      </c>
      <c r="M82" s="402"/>
      <c r="N82" s="71">
        <v>0</v>
      </c>
      <c r="O82" s="71">
        <v>0</v>
      </c>
      <c r="P82" s="71">
        <v>97736381</v>
      </c>
      <c r="Q82" s="310" t="s">
        <v>80</v>
      </c>
      <c r="R82" s="71">
        <v>3456002248</v>
      </c>
      <c r="S82" s="71">
        <v>97736381</v>
      </c>
      <c r="T82" s="71">
        <v>3358265867</v>
      </c>
    </row>
    <row r="83" spans="1:20" outlineLevel="3" collapsed="1" x14ac:dyDescent="0.25">
      <c r="A83" s="410" t="s">
        <v>1528</v>
      </c>
      <c r="B83" s="402"/>
      <c r="C83" s="196" t="str">
        <f t="shared" si="1"/>
        <v>41-101200A</v>
      </c>
      <c r="D83" s="201">
        <v>3410627206</v>
      </c>
      <c r="E83" s="202" t="s">
        <v>80</v>
      </c>
      <c r="F83" s="203">
        <v>4206056</v>
      </c>
      <c r="G83" s="204">
        <v>3451796192</v>
      </c>
      <c r="H83" s="203">
        <v>3456002248</v>
      </c>
      <c r="I83" s="202" t="s">
        <v>80</v>
      </c>
      <c r="J83" s="203">
        <v>0</v>
      </c>
      <c r="K83" s="205">
        <v>0</v>
      </c>
      <c r="L83" s="411">
        <v>0</v>
      </c>
      <c r="M83" s="402"/>
      <c r="N83" s="203">
        <v>0</v>
      </c>
      <c r="O83" s="203">
        <v>0</v>
      </c>
      <c r="P83" s="203">
        <v>0</v>
      </c>
      <c r="Q83" s="212" t="s">
        <v>80</v>
      </c>
      <c r="R83" s="203">
        <v>3456002248</v>
      </c>
      <c r="S83" s="203">
        <v>0</v>
      </c>
      <c r="T83" s="203">
        <v>3456002248</v>
      </c>
    </row>
    <row r="84" spans="1:20" outlineLevel="3" collapsed="1" x14ac:dyDescent="0.25">
      <c r="A84" s="410" t="s">
        <v>1529</v>
      </c>
      <c r="B84" s="402"/>
      <c r="C84" s="196" t="str">
        <f t="shared" si="1"/>
        <v>41-101200G</v>
      </c>
      <c r="D84" s="201">
        <v>0</v>
      </c>
      <c r="E84" s="202" t="s">
        <v>80</v>
      </c>
      <c r="F84" s="203">
        <v>0</v>
      </c>
      <c r="G84" s="204">
        <v>0</v>
      </c>
      <c r="H84" s="203">
        <v>0</v>
      </c>
      <c r="I84" s="202" t="s">
        <v>80</v>
      </c>
      <c r="J84" s="203">
        <v>97736381</v>
      </c>
      <c r="K84" s="205">
        <v>0</v>
      </c>
      <c r="L84" s="411">
        <v>0</v>
      </c>
      <c r="M84" s="402"/>
      <c r="N84" s="203">
        <v>0</v>
      </c>
      <c r="O84" s="203">
        <v>0</v>
      </c>
      <c r="P84" s="203">
        <v>97736381</v>
      </c>
      <c r="Q84" s="212" t="s">
        <v>80</v>
      </c>
      <c r="R84" s="203">
        <v>0</v>
      </c>
      <c r="S84" s="203">
        <v>97736381</v>
      </c>
      <c r="T84" s="203">
        <v>-97736381</v>
      </c>
    </row>
    <row r="85" spans="1:20" outlineLevel="2" x14ac:dyDescent="0.25">
      <c r="A85" s="414" t="s">
        <v>1530</v>
      </c>
      <c r="B85" s="402"/>
      <c r="C85" s="196" t="str">
        <f t="shared" si="1"/>
        <v>Equipo May</v>
      </c>
      <c r="D85" s="3">
        <v>4983960317</v>
      </c>
      <c r="E85" s="309" t="s">
        <v>80</v>
      </c>
      <c r="F85" s="71">
        <v>81976305</v>
      </c>
      <c r="G85" s="71">
        <v>4979923786</v>
      </c>
      <c r="H85" s="71">
        <v>5061900091</v>
      </c>
      <c r="I85" s="309" t="s">
        <v>80</v>
      </c>
      <c r="J85" s="71">
        <v>60543165</v>
      </c>
      <c r="K85" s="71">
        <v>4416360</v>
      </c>
      <c r="L85" s="415">
        <v>0</v>
      </c>
      <c r="M85" s="402"/>
      <c r="N85" s="71">
        <v>0</v>
      </c>
      <c r="O85" s="71">
        <v>4416360</v>
      </c>
      <c r="P85" s="71">
        <v>64959525</v>
      </c>
      <c r="Q85" s="310" t="s">
        <v>80</v>
      </c>
      <c r="R85" s="71">
        <v>5061900091</v>
      </c>
      <c r="S85" s="71">
        <v>64959525</v>
      </c>
      <c r="T85" s="71">
        <v>4996940566</v>
      </c>
    </row>
    <row r="86" spans="1:20" outlineLevel="3" collapsed="1" x14ac:dyDescent="0.25">
      <c r="A86" s="410" t="s">
        <v>1531</v>
      </c>
      <c r="B86" s="402"/>
      <c r="C86" s="196" t="str">
        <f t="shared" si="1"/>
        <v>41-102100A</v>
      </c>
      <c r="D86" s="201">
        <v>0</v>
      </c>
      <c r="E86" s="202" t="s">
        <v>80</v>
      </c>
      <c r="F86" s="203">
        <v>0</v>
      </c>
      <c r="G86" s="204">
        <v>0</v>
      </c>
      <c r="H86" s="203">
        <v>0</v>
      </c>
      <c r="I86" s="202" t="s">
        <v>80</v>
      </c>
      <c r="J86" s="203">
        <v>0</v>
      </c>
      <c r="K86" s="205">
        <v>0</v>
      </c>
      <c r="L86" s="411">
        <v>0</v>
      </c>
      <c r="M86" s="402"/>
      <c r="N86" s="203">
        <v>0</v>
      </c>
      <c r="O86" s="203">
        <v>0</v>
      </c>
      <c r="P86" s="203">
        <v>0</v>
      </c>
      <c r="Q86" s="212" t="s">
        <v>80</v>
      </c>
      <c r="R86" s="203">
        <v>0</v>
      </c>
      <c r="S86" s="203">
        <v>0</v>
      </c>
      <c r="T86" s="203">
        <v>0</v>
      </c>
    </row>
    <row r="87" spans="1:20" outlineLevel="3" collapsed="1" x14ac:dyDescent="0.25">
      <c r="A87" s="410" t="s">
        <v>1532</v>
      </c>
      <c r="B87" s="402"/>
      <c r="C87" s="196" t="str">
        <f t="shared" si="1"/>
        <v>41-102200A</v>
      </c>
      <c r="D87" s="201">
        <v>296106321</v>
      </c>
      <c r="E87" s="202" t="s">
        <v>80</v>
      </c>
      <c r="F87" s="203">
        <v>1850665</v>
      </c>
      <c r="G87" s="204">
        <v>306124392</v>
      </c>
      <c r="H87" s="203">
        <v>307975057</v>
      </c>
      <c r="I87" s="202" t="s">
        <v>80</v>
      </c>
      <c r="J87" s="203">
        <v>0</v>
      </c>
      <c r="K87" s="205">
        <v>0</v>
      </c>
      <c r="L87" s="411">
        <v>0</v>
      </c>
      <c r="M87" s="402"/>
      <c r="N87" s="203">
        <v>0</v>
      </c>
      <c r="O87" s="203">
        <v>0</v>
      </c>
      <c r="P87" s="203">
        <v>0</v>
      </c>
      <c r="Q87" s="212" t="s">
        <v>80</v>
      </c>
      <c r="R87" s="203">
        <v>307975057</v>
      </c>
      <c r="S87" s="203">
        <v>0</v>
      </c>
      <c r="T87" s="203">
        <v>307975057</v>
      </c>
    </row>
    <row r="88" spans="1:20" outlineLevel="3" collapsed="1" x14ac:dyDescent="0.25">
      <c r="A88" s="410" t="s">
        <v>1533</v>
      </c>
      <c r="B88" s="402"/>
      <c r="C88" s="196" t="str">
        <f t="shared" si="1"/>
        <v>41-102200G</v>
      </c>
      <c r="D88" s="201">
        <v>0</v>
      </c>
      <c r="E88" s="202" t="s">
        <v>80</v>
      </c>
      <c r="F88" s="203">
        <v>0</v>
      </c>
      <c r="G88" s="204">
        <v>0</v>
      </c>
      <c r="H88" s="203">
        <v>0</v>
      </c>
      <c r="I88" s="202" t="s">
        <v>80</v>
      </c>
      <c r="J88" s="203">
        <v>24279350</v>
      </c>
      <c r="K88" s="205">
        <v>0</v>
      </c>
      <c r="L88" s="411">
        <v>0</v>
      </c>
      <c r="M88" s="402"/>
      <c r="N88" s="203">
        <v>0</v>
      </c>
      <c r="O88" s="203">
        <v>0</v>
      </c>
      <c r="P88" s="203">
        <v>24279350</v>
      </c>
      <c r="Q88" s="212" t="s">
        <v>80</v>
      </c>
      <c r="R88" s="203">
        <v>0</v>
      </c>
      <c r="S88" s="203">
        <v>24279350</v>
      </c>
      <c r="T88" s="203">
        <v>-24279350</v>
      </c>
    </row>
    <row r="89" spans="1:20" outlineLevel="3" collapsed="1" x14ac:dyDescent="0.25">
      <c r="A89" s="410" t="s">
        <v>1534</v>
      </c>
      <c r="B89" s="402"/>
      <c r="C89" s="196" t="str">
        <f t="shared" si="1"/>
        <v>41-103200A</v>
      </c>
      <c r="D89" s="201">
        <v>425989321</v>
      </c>
      <c r="E89" s="202" t="s">
        <v>80</v>
      </c>
      <c r="F89" s="203">
        <v>1857394</v>
      </c>
      <c r="G89" s="204">
        <v>436304712</v>
      </c>
      <c r="H89" s="203">
        <v>438162106</v>
      </c>
      <c r="I89" s="202" t="s">
        <v>80</v>
      </c>
      <c r="J89" s="203">
        <v>0</v>
      </c>
      <c r="K89" s="205">
        <v>0</v>
      </c>
      <c r="L89" s="411">
        <v>0</v>
      </c>
      <c r="M89" s="402"/>
      <c r="N89" s="203">
        <v>0</v>
      </c>
      <c r="O89" s="203">
        <v>0</v>
      </c>
      <c r="P89" s="203">
        <v>0</v>
      </c>
      <c r="Q89" s="212" t="s">
        <v>80</v>
      </c>
      <c r="R89" s="203">
        <v>438162106</v>
      </c>
      <c r="S89" s="203">
        <v>0</v>
      </c>
      <c r="T89" s="203">
        <v>438162106</v>
      </c>
    </row>
    <row r="90" spans="1:20" outlineLevel="3" collapsed="1" x14ac:dyDescent="0.25">
      <c r="A90" s="410" t="s">
        <v>1535</v>
      </c>
      <c r="B90" s="402"/>
      <c r="C90" s="196" t="str">
        <f t="shared" si="1"/>
        <v>41-103200G</v>
      </c>
      <c r="D90" s="201">
        <v>0</v>
      </c>
      <c r="E90" s="202" t="s">
        <v>80</v>
      </c>
      <c r="F90" s="203">
        <v>0</v>
      </c>
      <c r="G90" s="204">
        <v>0</v>
      </c>
      <c r="H90" s="203">
        <v>0</v>
      </c>
      <c r="I90" s="202" t="s">
        <v>80</v>
      </c>
      <c r="J90" s="203">
        <v>0</v>
      </c>
      <c r="K90" s="205">
        <v>0</v>
      </c>
      <c r="L90" s="411">
        <v>0</v>
      </c>
      <c r="M90" s="402"/>
      <c r="N90" s="203">
        <v>0</v>
      </c>
      <c r="O90" s="203">
        <v>0</v>
      </c>
      <c r="P90" s="203">
        <v>0</v>
      </c>
      <c r="Q90" s="212" t="s">
        <v>80</v>
      </c>
      <c r="R90" s="203">
        <v>0</v>
      </c>
      <c r="S90" s="203">
        <v>0</v>
      </c>
      <c r="T90" s="203">
        <v>0</v>
      </c>
    </row>
    <row r="91" spans="1:20" outlineLevel="3" collapsed="1" x14ac:dyDescent="0.25">
      <c r="A91" s="410" t="s">
        <v>1536</v>
      </c>
      <c r="B91" s="402"/>
      <c r="C91" s="196" t="str">
        <f t="shared" si="1"/>
        <v>41-104200A</v>
      </c>
      <c r="D91" s="201">
        <v>2867645766</v>
      </c>
      <c r="E91" s="202" t="s">
        <v>80</v>
      </c>
      <c r="F91" s="203">
        <v>64692305</v>
      </c>
      <c r="G91" s="204">
        <v>2836960358</v>
      </c>
      <c r="H91" s="203">
        <v>2901652663</v>
      </c>
      <c r="I91" s="202" t="s">
        <v>80</v>
      </c>
      <c r="J91" s="203">
        <v>0</v>
      </c>
      <c r="K91" s="205">
        <v>0</v>
      </c>
      <c r="L91" s="411">
        <v>0</v>
      </c>
      <c r="M91" s="402"/>
      <c r="N91" s="203">
        <v>0</v>
      </c>
      <c r="O91" s="203">
        <v>0</v>
      </c>
      <c r="P91" s="203">
        <v>0</v>
      </c>
      <c r="Q91" s="212" t="s">
        <v>80</v>
      </c>
      <c r="R91" s="203">
        <v>2901652663</v>
      </c>
      <c r="S91" s="203">
        <v>0</v>
      </c>
      <c r="T91" s="203">
        <v>2901652663</v>
      </c>
    </row>
    <row r="92" spans="1:20" outlineLevel="3" collapsed="1" x14ac:dyDescent="0.25">
      <c r="A92" s="410" t="s">
        <v>1537</v>
      </c>
      <c r="B92" s="402"/>
      <c r="C92" s="196" t="str">
        <f t="shared" si="1"/>
        <v>41-104200G</v>
      </c>
      <c r="D92" s="201">
        <v>0</v>
      </c>
      <c r="E92" s="202" t="s">
        <v>80</v>
      </c>
      <c r="F92" s="203">
        <v>0</v>
      </c>
      <c r="G92" s="204">
        <v>0</v>
      </c>
      <c r="H92" s="203">
        <v>0</v>
      </c>
      <c r="I92" s="202" t="s">
        <v>80</v>
      </c>
      <c r="J92" s="203">
        <v>21206130</v>
      </c>
      <c r="K92" s="205">
        <v>0</v>
      </c>
      <c r="L92" s="411">
        <v>0</v>
      </c>
      <c r="M92" s="402"/>
      <c r="N92" s="203">
        <v>0</v>
      </c>
      <c r="O92" s="203">
        <v>0</v>
      </c>
      <c r="P92" s="203">
        <v>21206130</v>
      </c>
      <c r="Q92" s="212" t="s">
        <v>80</v>
      </c>
      <c r="R92" s="203">
        <v>0</v>
      </c>
      <c r="S92" s="203">
        <v>21206130</v>
      </c>
      <c r="T92" s="203">
        <v>-21206130</v>
      </c>
    </row>
    <row r="93" spans="1:20" outlineLevel="3" collapsed="1" x14ac:dyDescent="0.25">
      <c r="A93" s="410" t="s">
        <v>1538</v>
      </c>
      <c r="B93" s="402"/>
      <c r="C93" s="196" t="str">
        <f t="shared" si="1"/>
        <v>41-105200A</v>
      </c>
      <c r="D93" s="201">
        <v>111929104</v>
      </c>
      <c r="E93" s="202" t="s">
        <v>80</v>
      </c>
      <c r="F93" s="203">
        <v>680743</v>
      </c>
      <c r="G93" s="204">
        <v>115752897</v>
      </c>
      <c r="H93" s="203">
        <v>116433640</v>
      </c>
      <c r="I93" s="202" t="s">
        <v>80</v>
      </c>
      <c r="J93" s="203">
        <v>0</v>
      </c>
      <c r="K93" s="205">
        <v>0</v>
      </c>
      <c r="L93" s="411">
        <v>0</v>
      </c>
      <c r="M93" s="402"/>
      <c r="N93" s="203">
        <v>0</v>
      </c>
      <c r="O93" s="203">
        <v>0</v>
      </c>
      <c r="P93" s="203">
        <v>0</v>
      </c>
      <c r="Q93" s="212" t="s">
        <v>80</v>
      </c>
      <c r="R93" s="203">
        <v>116433640</v>
      </c>
      <c r="S93" s="203">
        <v>0</v>
      </c>
      <c r="T93" s="203">
        <v>116433640</v>
      </c>
    </row>
    <row r="94" spans="1:20" outlineLevel="3" collapsed="1" x14ac:dyDescent="0.25">
      <c r="A94" s="410" t="s">
        <v>1539</v>
      </c>
      <c r="B94" s="402"/>
      <c r="C94" s="196" t="str">
        <f t="shared" si="1"/>
        <v>41-105200G</v>
      </c>
      <c r="D94" s="201">
        <v>0</v>
      </c>
      <c r="E94" s="202" t="s">
        <v>80</v>
      </c>
      <c r="F94" s="203">
        <v>0</v>
      </c>
      <c r="G94" s="204">
        <v>0</v>
      </c>
      <c r="H94" s="203">
        <v>0</v>
      </c>
      <c r="I94" s="202" t="s">
        <v>80</v>
      </c>
      <c r="J94" s="203">
        <v>2143242</v>
      </c>
      <c r="K94" s="205">
        <v>0</v>
      </c>
      <c r="L94" s="411">
        <v>0</v>
      </c>
      <c r="M94" s="402"/>
      <c r="N94" s="203">
        <v>0</v>
      </c>
      <c r="O94" s="203">
        <v>0</v>
      </c>
      <c r="P94" s="203">
        <v>2143242</v>
      </c>
      <c r="Q94" s="212" t="s">
        <v>80</v>
      </c>
      <c r="R94" s="203">
        <v>0</v>
      </c>
      <c r="S94" s="203">
        <v>2143242</v>
      </c>
      <c r="T94" s="203">
        <v>-2143242</v>
      </c>
    </row>
    <row r="95" spans="1:20" outlineLevel="3" collapsed="1" x14ac:dyDescent="0.25">
      <c r="A95" s="410" t="s">
        <v>1540</v>
      </c>
      <c r="B95" s="402"/>
      <c r="C95" s="196" t="str">
        <f t="shared" si="1"/>
        <v>41-106200A</v>
      </c>
      <c r="D95" s="201">
        <v>124863773</v>
      </c>
      <c r="E95" s="202" t="s">
        <v>80</v>
      </c>
      <c r="F95" s="203">
        <v>409389</v>
      </c>
      <c r="G95" s="204">
        <v>127506879</v>
      </c>
      <c r="H95" s="203">
        <v>127916268</v>
      </c>
      <c r="I95" s="202" t="s">
        <v>80</v>
      </c>
      <c r="J95" s="203">
        <v>0</v>
      </c>
      <c r="K95" s="205">
        <v>0</v>
      </c>
      <c r="L95" s="411">
        <v>0</v>
      </c>
      <c r="M95" s="402"/>
      <c r="N95" s="203">
        <v>0</v>
      </c>
      <c r="O95" s="203">
        <v>0</v>
      </c>
      <c r="P95" s="203">
        <v>0</v>
      </c>
      <c r="Q95" s="212" t="s">
        <v>80</v>
      </c>
      <c r="R95" s="203">
        <v>127916268</v>
      </c>
      <c r="S95" s="203">
        <v>0</v>
      </c>
      <c r="T95" s="203">
        <v>127916268</v>
      </c>
    </row>
    <row r="96" spans="1:20" outlineLevel="3" collapsed="1" x14ac:dyDescent="0.25">
      <c r="A96" s="410" t="s">
        <v>1541</v>
      </c>
      <c r="B96" s="402"/>
      <c r="C96" s="196" t="str">
        <f t="shared" si="1"/>
        <v>41-106200G</v>
      </c>
      <c r="D96" s="201">
        <v>0</v>
      </c>
      <c r="E96" s="202" t="s">
        <v>80</v>
      </c>
      <c r="F96" s="203">
        <v>0</v>
      </c>
      <c r="G96" s="204">
        <v>0</v>
      </c>
      <c r="H96" s="203">
        <v>0</v>
      </c>
      <c r="I96" s="202" t="s">
        <v>80</v>
      </c>
      <c r="J96" s="203">
        <v>8336598</v>
      </c>
      <c r="K96" s="205">
        <v>0</v>
      </c>
      <c r="L96" s="411">
        <v>0</v>
      </c>
      <c r="M96" s="402"/>
      <c r="N96" s="203">
        <v>0</v>
      </c>
      <c r="O96" s="203">
        <v>0</v>
      </c>
      <c r="P96" s="203">
        <v>8336598</v>
      </c>
      <c r="Q96" s="212" t="s">
        <v>80</v>
      </c>
      <c r="R96" s="203">
        <v>0</v>
      </c>
      <c r="S96" s="203">
        <v>8336598</v>
      </c>
      <c r="T96" s="203">
        <v>-8336598</v>
      </c>
    </row>
    <row r="97" spans="1:20" outlineLevel="3" collapsed="1" x14ac:dyDescent="0.25">
      <c r="A97" s="410" t="s">
        <v>1542</v>
      </c>
      <c r="B97" s="402"/>
      <c r="C97" s="196" t="str">
        <f t="shared" si="1"/>
        <v>41-107200A</v>
      </c>
      <c r="D97" s="201">
        <v>322621296</v>
      </c>
      <c r="E97" s="202" t="s">
        <v>80</v>
      </c>
      <c r="F97" s="203">
        <v>0</v>
      </c>
      <c r="G97" s="204">
        <v>323416454</v>
      </c>
      <c r="H97" s="203">
        <v>323416454</v>
      </c>
      <c r="I97" s="202" t="s">
        <v>80</v>
      </c>
      <c r="J97" s="203">
        <v>0</v>
      </c>
      <c r="K97" s="205">
        <v>0</v>
      </c>
      <c r="L97" s="411">
        <v>0</v>
      </c>
      <c r="M97" s="402"/>
      <c r="N97" s="203">
        <v>0</v>
      </c>
      <c r="O97" s="203">
        <v>0</v>
      </c>
      <c r="P97" s="203">
        <v>0</v>
      </c>
      <c r="Q97" s="212" t="s">
        <v>80</v>
      </c>
      <c r="R97" s="203">
        <v>323416454</v>
      </c>
      <c r="S97" s="203">
        <v>0</v>
      </c>
      <c r="T97" s="203">
        <v>323416454</v>
      </c>
    </row>
    <row r="98" spans="1:20" outlineLevel="3" collapsed="1" x14ac:dyDescent="0.25">
      <c r="A98" s="410" t="s">
        <v>1543</v>
      </c>
      <c r="B98" s="402"/>
      <c r="C98" s="196" t="str">
        <f t="shared" si="1"/>
        <v>41-107200G</v>
      </c>
      <c r="D98" s="201">
        <v>0</v>
      </c>
      <c r="E98" s="202" t="s">
        <v>80</v>
      </c>
      <c r="F98" s="203">
        <v>0</v>
      </c>
      <c r="G98" s="204">
        <v>0</v>
      </c>
      <c r="H98" s="203">
        <v>0</v>
      </c>
      <c r="I98" s="202" t="s">
        <v>80</v>
      </c>
      <c r="J98" s="203">
        <v>0</v>
      </c>
      <c r="K98" s="205">
        <v>0</v>
      </c>
      <c r="L98" s="411">
        <v>0</v>
      </c>
      <c r="M98" s="402"/>
      <c r="N98" s="203">
        <v>0</v>
      </c>
      <c r="O98" s="203">
        <v>0</v>
      </c>
      <c r="P98" s="203">
        <v>0</v>
      </c>
      <c r="Q98" s="212" t="s">
        <v>80</v>
      </c>
      <c r="R98" s="203">
        <v>0</v>
      </c>
      <c r="S98" s="203">
        <v>0</v>
      </c>
      <c r="T98" s="203">
        <v>0</v>
      </c>
    </row>
    <row r="99" spans="1:20" outlineLevel="3" collapsed="1" x14ac:dyDescent="0.25">
      <c r="A99" s="410" t="s">
        <v>1544</v>
      </c>
      <c r="B99" s="402"/>
      <c r="C99" s="196" t="str">
        <f t="shared" si="1"/>
        <v>41-199100A</v>
      </c>
      <c r="D99" s="201">
        <v>237399735</v>
      </c>
      <c r="E99" s="202" t="s">
        <v>80</v>
      </c>
      <c r="F99" s="203">
        <v>2299202</v>
      </c>
      <c r="G99" s="204">
        <v>245167287</v>
      </c>
      <c r="H99" s="203">
        <v>247466489</v>
      </c>
      <c r="I99" s="202" t="s">
        <v>80</v>
      </c>
      <c r="J99" s="203">
        <v>0</v>
      </c>
      <c r="K99" s="205">
        <v>0</v>
      </c>
      <c r="L99" s="411">
        <v>0</v>
      </c>
      <c r="M99" s="402"/>
      <c r="N99" s="203">
        <v>0</v>
      </c>
      <c r="O99" s="203">
        <v>0</v>
      </c>
      <c r="P99" s="203">
        <v>0</v>
      </c>
      <c r="Q99" s="212" t="s">
        <v>80</v>
      </c>
      <c r="R99" s="203">
        <v>247466489</v>
      </c>
      <c r="S99" s="203">
        <v>0</v>
      </c>
      <c r="T99" s="203">
        <v>247466489</v>
      </c>
    </row>
    <row r="100" spans="1:20" outlineLevel="3" collapsed="1" x14ac:dyDescent="0.25">
      <c r="A100" s="410" t="s">
        <v>1545</v>
      </c>
      <c r="B100" s="402"/>
      <c r="C100" s="196" t="str">
        <f t="shared" si="1"/>
        <v>41-199100G</v>
      </c>
      <c r="D100" s="201">
        <v>0</v>
      </c>
      <c r="E100" s="202" t="s">
        <v>80</v>
      </c>
      <c r="F100" s="203">
        <v>0</v>
      </c>
      <c r="G100" s="204">
        <v>0</v>
      </c>
      <c r="H100" s="203">
        <v>0</v>
      </c>
      <c r="I100" s="202" t="s">
        <v>80</v>
      </c>
      <c r="J100" s="203">
        <v>4577845</v>
      </c>
      <c r="K100" s="205">
        <v>0</v>
      </c>
      <c r="L100" s="411">
        <v>0</v>
      </c>
      <c r="M100" s="402"/>
      <c r="N100" s="203">
        <v>0</v>
      </c>
      <c r="O100" s="203">
        <v>0</v>
      </c>
      <c r="P100" s="203">
        <v>4577845</v>
      </c>
      <c r="Q100" s="212" t="s">
        <v>80</v>
      </c>
      <c r="R100" s="203">
        <v>0</v>
      </c>
      <c r="S100" s="203">
        <v>4577845</v>
      </c>
      <c r="T100" s="203">
        <v>-4577845</v>
      </c>
    </row>
    <row r="101" spans="1:20" outlineLevel="3" collapsed="1" x14ac:dyDescent="0.25">
      <c r="A101" s="410" t="s">
        <v>1546</v>
      </c>
      <c r="B101" s="402"/>
      <c r="C101" s="196" t="str">
        <f t="shared" si="1"/>
        <v>41-199200A</v>
      </c>
      <c r="D101" s="201">
        <v>597405001</v>
      </c>
      <c r="E101" s="202" t="s">
        <v>80</v>
      </c>
      <c r="F101" s="203">
        <v>10186607</v>
      </c>
      <c r="G101" s="204">
        <v>588690807</v>
      </c>
      <c r="H101" s="203">
        <v>598877414</v>
      </c>
      <c r="I101" s="202" t="s">
        <v>80</v>
      </c>
      <c r="J101" s="203">
        <v>0</v>
      </c>
      <c r="K101" s="205">
        <v>4416360</v>
      </c>
      <c r="L101" s="411">
        <v>0</v>
      </c>
      <c r="M101" s="402"/>
      <c r="N101" s="203">
        <v>0</v>
      </c>
      <c r="O101" s="203">
        <v>4416360</v>
      </c>
      <c r="P101" s="203">
        <v>4416360</v>
      </c>
      <c r="Q101" s="212" t="s">
        <v>80</v>
      </c>
      <c r="R101" s="203">
        <v>598877414</v>
      </c>
      <c r="S101" s="203">
        <v>4416360</v>
      </c>
      <c r="T101" s="203">
        <v>594461054</v>
      </c>
    </row>
    <row r="102" spans="1:20" outlineLevel="3" collapsed="1" x14ac:dyDescent="0.25">
      <c r="A102" s="410" t="s">
        <v>1547</v>
      </c>
      <c r="B102" s="402"/>
      <c r="C102" s="196" t="str">
        <f t="shared" si="1"/>
        <v>41-199200G</v>
      </c>
      <c r="D102" s="201">
        <v>0</v>
      </c>
      <c r="E102" s="202" t="s">
        <v>80</v>
      </c>
      <c r="F102" s="203">
        <v>0</v>
      </c>
      <c r="G102" s="204">
        <v>0</v>
      </c>
      <c r="H102" s="203">
        <v>0</v>
      </c>
      <c r="I102" s="202" t="s">
        <v>80</v>
      </c>
      <c r="J102" s="203">
        <v>0</v>
      </c>
      <c r="K102" s="205">
        <v>0</v>
      </c>
      <c r="L102" s="411">
        <v>0</v>
      </c>
      <c r="M102" s="402"/>
      <c r="N102" s="203">
        <v>0</v>
      </c>
      <c r="O102" s="203">
        <v>0</v>
      </c>
      <c r="P102" s="203">
        <v>0</v>
      </c>
      <c r="Q102" s="212" t="s">
        <v>80</v>
      </c>
      <c r="R102" s="203">
        <v>0</v>
      </c>
      <c r="S102" s="203">
        <v>0</v>
      </c>
      <c r="T102" s="203">
        <v>0</v>
      </c>
    </row>
    <row r="103" spans="1:20" outlineLevel="2" x14ac:dyDescent="0.25">
      <c r="A103" s="414" t="s">
        <v>1548</v>
      </c>
      <c r="B103" s="402"/>
      <c r="C103" s="196" t="str">
        <f t="shared" si="1"/>
        <v>Equipo Men</v>
      </c>
      <c r="D103" s="3">
        <v>780889311</v>
      </c>
      <c r="E103" s="309" t="s">
        <v>80</v>
      </c>
      <c r="F103" s="71">
        <v>10239952</v>
      </c>
      <c r="G103" s="71">
        <v>775272224</v>
      </c>
      <c r="H103" s="71">
        <v>785512176</v>
      </c>
      <c r="I103" s="309" t="s">
        <v>80</v>
      </c>
      <c r="J103" s="71">
        <v>0</v>
      </c>
      <c r="K103" s="71">
        <v>29797140</v>
      </c>
      <c r="L103" s="415">
        <v>984450</v>
      </c>
      <c r="M103" s="402"/>
      <c r="N103" s="71">
        <v>0</v>
      </c>
      <c r="O103" s="71">
        <v>30781590</v>
      </c>
      <c r="P103" s="71">
        <v>30781590</v>
      </c>
      <c r="Q103" s="310" t="s">
        <v>80</v>
      </c>
      <c r="R103" s="71">
        <v>785512176</v>
      </c>
      <c r="S103" s="71">
        <v>30781590</v>
      </c>
      <c r="T103" s="71">
        <v>754730586</v>
      </c>
    </row>
    <row r="104" spans="1:20" outlineLevel="3" collapsed="1" x14ac:dyDescent="0.25">
      <c r="A104" s="410" t="s">
        <v>1549</v>
      </c>
      <c r="B104" s="402"/>
      <c r="C104" s="196" t="str">
        <f t="shared" si="1"/>
        <v>41-250200A</v>
      </c>
      <c r="D104" s="201">
        <v>50371723</v>
      </c>
      <c r="E104" s="202" t="s">
        <v>80</v>
      </c>
      <c r="F104" s="203">
        <v>0</v>
      </c>
      <c r="G104" s="204">
        <v>50495873</v>
      </c>
      <c r="H104" s="203">
        <v>50495873</v>
      </c>
      <c r="I104" s="202" t="s">
        <v>80</v>
      </c>
      <c r="J104" s="203">
        <v>0</v>
      </c>
      <c r="K104" s="205">
        <v>7354352</v>
      </c>
      <c r="L104" s="411">
        <v>952050</v>
      </c>
      <c r="M104" s="402"/>
      <c r="N104" s="203">
        <v>0</v>
      </c>
      <c r="O104" s="203">
        <v>8306402</v>
      </c>
      <c r="P104" s="203">
        <v>8306402</v>
      </c>
      <c r="Q104" s="212" t="s">
        <v>80</v>
      </c>
      <c r="R104" s="203">
        <v>50495873</v>
      </c>
      <c r="S104" s="203">
        <v>8306402</v>
      </c>
      <c r="T104" s="203">
        <v>42189471</v>
      </c>
    </row>
    <row r="105" spans="1:20" outlineLevel="3" collapsed="1" x14ac:dyDescent="0.25">
      <c r="A105" s="410" t="s">
        <v>1550</v>
      </c>
      <c r="B105" s="402"/>
      <c r="C105" s="196" t="str">
        <f t="shared" si="1"/>
        <v>41-250200G</v>
      </c>
      <c r="D105" s="201">
        <v>0</v>
      </c>
      <c r="E105" s="202" t="s">
        <v>80</v>
      </c>
      <c r="F105" s="203">
        <v>0</v>
      </c>
      <c r="G105" s="204">
        <v>0</v>
      </c>
      <c r="H105" s="203">
        <v>0</v>
      </c>
      <c r="I105" s="202" t="s">
        <v>80</v>
      </c>
      <c r="J105" s="203">
        <v>0</v>
      </c>
      <c r="K105" s="205">
        <v>0</v>
      </c>
      <c r="L105" s="411">
        <v>0</v>
      </c>
      <c r="M105" s="402"/>
      <c r="N105" s="203">
        <v>0</v>
      </c>
      <c r="O105" s="203">
        <v>0</v>
      </c>
      <c r="P105" s="203">
        <v>0</v>
      </c>
      <c r="Q105" s="212" t="s">
        <v>80</v>
      </c>
      <c r="R105" s="203">
        <v>0</v>
      </c>
      <c r="S105" s="203">
        <v>0</v>
      </c>
      <c r="T105" s="203">
        <v>0</v>
      </c>
    </row>
    <row r="106" spans="1:20" outlineLevel="3" collapsed="1" x14ac:dyDescent="0.25">
      <c r="A106" s="410" t="s">
        <v>1551</v>
      </c>
      <c r="B106" s="402"/>
      <c r="C106" s="196" t="str">
        <f t="shared" si="1"/>
        <v>41-299200A</v>
      </c>
      <c r="D106" s="201">
        <v>730517588</v>
      </c>
      <c r="E106" s="202" t="s">
        <v>80</v>
      </c>
      <c r="F106" s="203">
        <v>10239952</v>
      </c>
      <c r="G106" s="204">
        <v>724776351</v>
      </c>
      <c r="H106" s="203">
        <v>735016303</v>
      </c>
      <c r="I106" s="202" t="s">
        <v>80</v>
      </c>
      <c r="J106" s="203">
        <v>0</v>
      </c>
      <c r="K106" s="205">
        <v>22442788</v>
      </c>
      <c r="L106" s="411">
        <v>32400</v>
      </c>
      <c r="M106" s="402"/>
      <c r="N106" s="203">
        <v>0</v>
      </c>
      <c r="O106" s="203">
        <v>22475188</v>
      </c>
      <c r="P106" s="203">
        <v>22475188</v>
      </c>
      <c r="Q106" s="212" t="s">
        <v>80</v>
      </c>
      <c r="R106" s="203">
        <v>735016303</v>
      </c>
      <c r="S106" s="203">
        <v>22475188</v>
      </c>
      <c r="T106" s="203">
        <v>712541115</v>
      </c>
    </row>
    <row r="107" spans="1:20" outlineLevel="3" collapsed="1" x14ac:dyDescent="0.25">
      <c r="A107" s="410" t="s">
        <v>1552</v>
      </c>
      <c r="B107" s="402"/>
      <c r="C107" s="196" t="str">
        <f t="shared" si="1"/>
        <v>41-299200G</v>
      </c>
      <c r="D107" s="201">
        <v>0</v>
      </c>
      <c r="E107" s="202" t="s">
        <v>80</v>
      </c>
      <c r="F107" s="203">
        <v>0</v>
      </c>
      <c r="G107" s="204">
        <v>0</v>
      </c>
      <c r="H107" s="203">
        <v>0</v>
      </c>
      <c r="I107" s="202" t="s">
        <v>80</v>
      </c>
      <c r="J107" s="203">
        <v>0</v>
      </c>
      <c r="K107" s="205">
        <v>0</v>
      </c>
      <c r="L107" s="411">
        <v>0</v>
      </c>
      <c r="M107" s="402"/>
      <c r="N107" s="203">
        <v>0</v>
      </c>
      <c r="O107" s="203">
        <v>0</v>
      </c>
      <c r="P107" s="203">
        <v>0</v>
      </c>
      <c r="Q107" s="212" t="s">
        <v>80</v>
      </c>
      <c r="R107" s="203">
        <v>0</v>
      </c>
      <c r="S107" s="203">
        <v>0</v>
      </c>
      <c r="T107" s="203">
        <v>0</v>
      </c>
    </row>
    <row r="108" spans="1:20" outlineLevel="2" x14ac:dyDescent="0.25">
      <c r="A108" s="414" t="s">
        <v>1553</v>
      </c>
      <c r="B108" s="402"/>
      <c r="C108" s="196" t="str">
        <f t="shared" si="1"/>
        <v>Andamios</v>
      </c>
      <c r="D108" s="3">
        <v>348001401</v>
      </c>
      <c r="E108" s="309" t="s">
        <v>80</v>
      </c>
      <c r="F108" s="71">
        <v>351262</v>
      </c>
      <c r="G108" s="71">
        <v>348507851</v>
      </c>
      <c r="H108" s="71">
        <v>348859113</v>
      </c>
      <c r="I108" s="309" t="s">
        <v>80</v>
      </c>
      <c r="J108" s="71">
        <v>0</v>
      </c>
      <c r="K108" s="71">
        <v>2207000</v>
      </c>
      <c r="L108" s="415">
        <v>0</v>
      </c>
      <c r="M108" s="402"/>
      <c r="N108" s="71">
        <v>0</v>
      </c>
      <c r="O108" s="71">
        <v>2207000</v>
      </c>
      <c r="P108" s="71">
        <v>2207000</v>
      </c>
      <c r="Q108" s="310" t="s">
        <v>80</v>
      </c>
      <c r="R108" s="71">
        <v>348859113</v>
      </c>
      <c r="S108" s="71">
        <v>2207000</v>
      </c>
      <c r="T108" s="71">
        <v>346652113</v>
      </c>
    </row>
    <row r="109" spans="1:20" outlineLevel="3" collapsed="1" x14ac:dyDescent="0.25">
      <c r="A109" s="410" t="s">
        <v>1554</v>
      </c>
      <c r="B109" s="402"/>
      <c r="C109" s="196" t="str">
        <f t="shared" si="1"/>
        <v>41-252200A</v>
      </c>
      <c r="D109" s="201">
        <v>348001401</v>
      </c>
      <c r="E109" s="202" t="s">
        <v>80</v>
      </c>
      <c r="F109" s="203">
        <v>351262</v>
      </c>
      <c r="G109" s="204">
        <v>348507851</v>
      </c>
      <c r="H109" s="203">
        <v>348859113</v>
      </c>
      <c r="I109" s="202" t="s">
        <v>80</v>
      </c>
      <c r="J109" s="203">
        <v>0</v>
      </c>
      <c r="K109" s="205">
        <v>2207000</v>
      </c>
      <c r="L109" s="411">
        <v>0</v>
      </c>
      <c r="M109" s="402"/>
      <c r="N109" s="203">
        <v>0</v>
      </c>
      <c r="O109" s="203">
        <v>2207000</v>
      </c>
      <c r="P109" s="203">
        <v>2207000</v>
      </c>
      <c r="Q109" s="212" t="s">
        <v>80</v>
      </c>
      <c r="R109" s="203">
        <v>348859113</v>
      </c>
      <c r="S109" s="203">
        <v>2207000</v>
      </c>
      <c r="T109" s="203">
        <v>346652113</v>
      </c>
    </row>
    <row r="110" spans="1:20" outlineLevel="3" collapsed="1" x14ac:dyDescent="0.25">
      <c r="A110" s="410" t="s">
        <v>1555</v>
      </c>
      <c r="B110" s="402"/>
      <c r="C110" s="196" t="str">
        <f t="shared" si="1"/>
        <v>41-252200G</v>
      </c>
      <c r="D110" s="201">
        <v>0</v>
      </c>
      <c r="E110" s="202" t="s">
        <v>80</v>
      </c>
      <c r="F110" s="203">
        <v>0</v>
      </c>
      <c r="G110" s="204">
        <v>0</v>
      </c>
      <c r="H110" s="203">
        <v>0</v>
      </c>
      <c r="I110" s="202" t="s">
        <v>80</v>
      </c>
      <c r="J110" s="203">
        <v>0</v>
      </c>
      <c r="K110" s="205">
        <v>0</v>
      </c>
      <c r="L110" s="411">
        <v>0</v>
      </c>
      <c r="M110" s="402"/>
      <c r="N110" s="203">
        <v>0</v>
      </c>
      <c r="O110" s="203">
        <v>0</v>
      </c>
      <c r="P110" s="203">
        <v>0</v>
      </c>
      <c r="Q110" s="212" t="s">
        <v>80</v>
      </c>
      <c r="R110" s="203">
        <v>0</v>
      </c>
      <c r="S110" s="203">
        <v>0</v>
      </c>
      <c r="T110" s="203">
        <v>0</v>
      </c>
    </row>
    <row r="111" spans="1:20" outlineLevel="2" x14ac:dyDescent="0.25">
      <c r="A111" s="414" t="s">
        <v>1556</v>
      </c>
      <c r="B111" s="402"/>
      <c r="C111" s="196" t="str">
        <f t="shared" si="1"/>
        <v>Combustibl</v>
      </c>
      <c r="D111" s="3">
        <v>737047474</v>
      </c>
      <c r="E111" s="309" t="s">
        <v>80</v>
      </c>
      <c r="F111" s="71">
        <v>26077870</v>
      </c>
      <c r="G111" s="71">
        <v>715944151</v>
      </c>
      <c r="H111" s="71">
        <v>742022021</v>
      </c>
      <c r="I111" s="309" t="s">
        <v>80</v>
      </c>
      <c r="J111" s="71">
        <v>771389</v>
      </c>
      <c r="K111" s="71">
        <v>0</v>
      </c>
      <c r="L111" s="415">
        <v>0</v>
      </c>
      <c r="M111" s="402"/>
      <c r="N111" s="71">
        <v>0</v>
      </c>
      <c r="O111" s="71">
        <v>0</v>
      </c>
      <c r="P111" s="71">
        <v>771389</v>
      </c>
      <c r="Q111" s="310" t="s">
        <v>80</v>
      </c>
      <c r="R111" s="71">
        <v>742022021</v>
      </c>
      <c r="S111" s="71">
        <v>771389</v>
      </c>
      <c r="T111" s="71">
        <v>741250632</v>
      </c>
    </row>
    <row r="112" spans="1:20" outlineLevel="3" collapsed="1" x14ac:dyDescent="0.25">
      <c r="A112" s="410" t="s">
        <v>1557</v>
      </c>
      <c r="B112" s="402"/>
      <c r="C112" s="196" t="str">
        <f t="shared" si="1"/>
        <v>41-397100A</v>
      </c>
      <c r="D112" s="201">
        <v>737047474</v>
      </c>
      <c r="E112" s="202" t="s">
        <v>80</v>
      </c>
      <c r="F112" s="203">
        <v>26077870</v>
      </c>
      <c r="G112" s="204">
        <v>715944151</v>
      </c>
      <c r="H112" s="203">
        <v>742022021</v>
      </c>
      <c r="I112" s="202" t="s">
        <v>80</v>
      </c>
      <c r="J112" s="203">
        <v>661065</v>
      </c>
      <c r="K112" s="205">
        <v>0</v>
      </c>
      <c r="L112" s="411">
        <v>0</v>
      </c>
      <c r="M112" s="402"/>
      <c r="N112" s="203">
        <v>0</v>
      </c>
      <c r="O112" s="203">
        <v>0</v>
      </c>
      <c r="P112" s="203">
        <v>661065</v>
      </c>
      <c r="Q112" s="212" t="s">
        <v>80</v>
      </c>
      <c r="R112" s="203">
        <v>742022021</v>
      </c>
      <c r="S112" s="203">
        <v>661065</v>
      </c>
      <c r="T112" s="203">
        <v>741360956</v>
      </c>
    </row>
    <row r="113" spans="1:20" outlineLevel="3" collapsed="1" x14ac:dyDescent="0.25">
      <c r="A113" s="410" t="s">
        <v>1558</v>
      </c>
      <c r="B113" s="402"/>
      <c r="C113" s="196" t="str">
        <f t="shared" si="1"/>
        <v>41-397100G</v>
      </c>
      <c r="D113" s="201">
        <v>0</v>
      </c>
      <c r="E113" s="202" t="s">
        <v>80</v>
      </c>
      <c r="F113" s="203">
        <v>0</v>
      </c>
      <c r="G113" s="204">
        <v>0</v>
      </c>
      <c r="H113" s="203">
        <v>0</v>
      </c>
      <c r="I113" s="202" t="s">
        <v>80</v>
      </c>
      <c r="J113" s="203">
        <v>110324</v>
      </c>
      <c r="K113" s="205">
        <v>0</v>
      </c>
      <c r="L113" s="411">
        <v>0</v>
      </c>
      <c r="M113" s="402"/>
      <c r="N113" s="203">
        <v>0</v>
      </c>
      <c r="O113" s="203">
        <v>0</v>
      </c>
      <c r="P113" s="203">
        <v>110324</v>
      </c>
      <c r="Q113" s="212" t="s">
        <v>80</v>
      </c>
      <c r="R113" s="203">
        <v>0</v>
      </c>
      <c r="S113" s="203">
        <v>110324</v>
      </c>
      <c r="T113" s="203">
        <v>-110324</v>
      </c>
    </row>
    <row r="114" spans="1:20" outlineLevel="2" x14ac:dyDescent="0.25">
      <c r="A114" s="414" t="s">
        <v>1559</v>
      </c>
      <c r="B114" s="402"/>
      <c r="C114" s="196" t="str">
        <f t="shared" si="1"/>
        <v>Fletes</v>
      </c>
      <c r="D114" s="3">
        <v>510032008</v>
      </c>
      <c r="E114" s="309" t="s">
        <v>80</v>
      </c>
      <c r="F114" s="71">
        <v>3114944</v>
      </c>
      <c r="G114" s="71">
        <v>508174130</v>
      </c>
      <c r="H114" s="71">
        <v>511289074</v>
      </c>
      <c r="I114" s="309" t="s">
        <v>80</v>
      </c>
      <c r="J114" s="71">
        <v>16200000</v>
      </c>
      <c r="K114" s="71">
        <v>0</v>
      </c>
      <c r="L114" s="415">
        <v>0</v>
      </c>
      <c r="M114" s="402"/>
      <c r="N114" s="71">
        <v>0</v>
      </c>
      <c r="O114" s="71">
        <v>0</v>
      </c>
      <c r="P114" s="71">
        <v>16200000</v>
      </c>
      <c r="Q114" s="310" t="s">
        <v>80</v>
      </c>
      <c r="R114" s="71">
        <v>511289074</v>
      </c>
      <c r="S114" s="71">
        <v>16200000</v>
      </c>
      <c r="T114" s="71">
        <v>495089074</v>
      </c>
    </row>
    <row r="115" spans="1:20" outlineLevel="3" collapsed="1" x14ac:dyDescent="0.25">
      <c r="A115" s="410" t="s">
        <v>1560</v>
      </c>
      <c r="B115" s="402"/>
      <c r="C115" s="196" t="str">
        <f t="shared" si="1"/>
        <v>41-495100A</v>
      </c>
      <c r="D115" s="201">
        <v>510032008</v>
      </c>
      <c r="E115" s="202" t="s">
        <v>80</v>
      </c>
      <c r="F115" s="203">
        <v>3114944</v>
      </c>
      <c r="G115" s="204">
        <v>508174130</v>
      </c>
      <c r="H115" s="203">
        <v>511289074</v>
      </c>
      <c r="I115" s="202" t="s">
        <v>80</v>
      </c>
      <c r="J115" s="203">
        <v>16200000</v>
      </c>
      <c r="K115" s="205">
        <v>0</v>
      </c>
      <c r="L115" s="411">
        <v>0</v>
      </c>
      <c r="M115" s="402"/>
      <c r="N115" s="203">
        <v>0</v>
      </c>
      <c r="O115" s="203">
        <v>0</v>
      </c>
      <c r="P115" s="203">
        <v>16200000</v>
      </c>
      <c r="Q115" s="212" t="s">
        <v>80</v>
      </c>
      <c r="R115" s="203">
        <v>511289074</v>
      </c>
      <c r="S115" s="203">
        <v>16200000</v>
      </c>
      <c r="T115" s="203">
        <v>495089074</v>
      </c>
    </row>
    <row r="116" spans="1:20" outlineLevel="3" collapsed="1" x14ac:dyDescent="0.25">
      <c r="A116" s="410" t="s">
        <v>1561</v>
      </c>
      <c r="B116" s="402"/>
      <c r="C116" s="196" t="str">
        <f t="shared" si="1"/>
        <v>41-495100G</v>
      </c>
      <c r="D116" s="201">
        <v>0</v>
      </c>
      <c r="E116" s="202" t="s">
        <v>80</v>
      </c>
      <c r="F116" s="203">
        <v>0</v>
      </c>
      <c r="G116" s="204">
        <v>0</v>
      </c>
      <c r="H116" s="203">
        <v>0</v>
      </c>
      <c r="I116" s="202" t="s">
        <v>80</v>
      </c>
      <c r="J116" s="203">
        <v>0</v>
      </c>
      <c r="K116" s="205">
        <v>0</v>
      </c>
      <c r="L116" s="411">
        <v>0</v>
      </c>
      <c r="M116" s="402"/>
      <c r="N116" s="203">
        <v>0</v>
      </c>
      <c r="O116" s="203">
        <v>0</v>
      </c>
      <c r="P116" s="203">
        <v>0</v>
      </c>
      <c r="Q116" s="212" t="s">
        <v>80</v>
      </c>
      <c r="R116" s="203">
        <v>0</v>
      </c>
      <c r="S116" s="203">
        <v>0</v>
      </c>
      <c r="T116" s="203">
        <v>0</v>
      </c>
    </row>
    <row r="117" spans="1:20" outlineLevel="2" x14ac:dyDescent="0.25">
      <c r="A117" s="414" t="s">
        <v>1562</v>
      </c>
      <c r="B117" s="402"/>
      <c r="C117" s="196" t="str">
        <f t="shared" si="1"/>
        <v>Operador y</v>
      </c>
      <c r="D117" s="3">
        <v>417023211</v>
      </c>
      <c r="E117" s="309" t="s">
        <v>80</v>
      </c>
      <c r="F117" s="71">
        <v>2432661</v>
      </c>
      <c r="G117" s="71">
        <v>418627135</v>
      </c>
      <c r="H117" s="71">
        <v>421059796</v>
      </c>
      <c r="I117" s="309" t="s">
        <v>80</v>
      </c>
      <c r="J117" s="71">
        <v>7857929</v>
      </c>
      <c r="K117" s="71">
        <v>0</v>
      </c>
      <c r="L117" s="415">
        <v>0</v>
      </c>
      <c r="M117" s="402"/>
      <c r="N117" s="71">
        <v>0</v>
      </c>
      <c r="O117" s="71">
        <v>0</v>
      </c>
      <c r="P117" s="71">
        <v>7857929</v>
      </c>
      <c r="Q117" s="310" t="s">
        <v>80</v>
      </c>
      <c r="R117" s="71">
        <v>421059796</v>
      </c>
      <c r="S117" s="71">
        <v>7857929</v>
      </c>
      <c r="T117" s="71">
        <v>413201867</v>
      </c>
    </row>
    <row r="118" spans="1:20" outlineLevel="3" collapsed="1" x14ac:dyDescent="0.25">
      <c r="A118" s="410" t="s">
        <v>1563</v>
      </c>
      <c r="B118" s="402"/>
      <c r="C118" s="196" t="str">
        <f t="shared" si="1"/>
        <v>11-120101G</v>
      </c>
      <c r="D118" s="201">
        <v>254412461</v>
      </c>
      <c r="E118" s="202" t="s">
        <v>80</v>
      </c>
      <c r="F118" s="203">
        <v>1481853</v>
      </c>
      <c r="G118" s="204">
        <v>255691077</v>
      </c>
      <c r="H118" s="203">
        <v>257172930</v>
      </c>
      <c r="I118" s="202" t="s">
        <v>80</v>
      </c>
      <c r="J118" s="203">
        <v>7404938</v>
      </c>
      <c r="K118" s="205">
        <v>0</v>
      </c>
      <c r="L118" s="411">
        <v>0</v>
      </c>
      <c r="M118" s="402"/>
      <c r="N118" s="203">
        <v>0</v>
      </c>
      <c r="O118" s="203">
        <v>0</v>
      </c>
      <c r="P118" s="203">
        <v>7404938</v>
      </c>
      <c r="Q118" s="212" t="s">
        <v>80</v>
      </c>
      <c r="R118" s="203">
        <v>257172930</v>
      </c>
      <c r="S118" s="203">
        <v>7404938</v>
      </c>
      <c r="T118" s="203">
        <v>249767992</v>
      </c>
    </row>
    <row r="119" spans="1:20" outlineLevel="3" collapsed="1" x14ac:dyDescent="0.25">
      <c r="A119" s="410" t="s">
        <v>1564</v>
      </c>
      <c r="B119" s="402"/>
      <c r="C119" s="196" t="str">
        <f t="shared" si="1"/>
        <v>11-120102G</v>
      </c>
      <c r="D119" s="201">
        <v>162610750</v>
      </c>
      <c r="E119" s="202" t="s">
        <v>80</v>
      </c>
      <c r="F119" s="203">
        <v>950808</v>
      </c>
      <c r="G119" s="204">
        <v>162936058</v>
      </c>
      <c r="H119" s="203">
        <v>163886866</v>
      </c>
      <c r="I119" s="202" t="s">
        <v>80</v>
      </c>
      <c r="J119" s="203">
        <v>452991</v>
      </c>
      <c r="K119" s="205">
        <v>0</v>
      </c>
      <c r="L119" s="411">
        <v>0</v>
      </c>
      <c r="M119" s="402"/>
      <c r="N119" s="203">
        <v>0</v>
      </c>
      <c r="O119" s="203">
        <v>0</v>
      </c>
      <c r="P119" s="203">
        <v>452991</v>
      </c>
      <c r="Q119" s="212" t="s">
        <v>80</v>
      </c>
      <c r="R119" s="203">
        <v>163886866</v>
      </c>
      <c r="S119" s="203">
        <v>452991</v>
      </c>
      <c r="T119" s="203">
        <v>163433875</v>
      </c>
    </row>
    <row r="120" spans="1:20" outlineLevel="1" x14ac:dyDescent="0.25">
      <c r="A120" s="412" t="s">
        <v>1565</v>
      </c>
      <c r="B120" s="402"/>
      <c r="C120" s="196" t="str">
        <f t="shared" si="1"/>
        <v>UBCONTRATO</v>
      </c>
      <c r="D120" s="197">
        <v>3116359911</v>
      </c>
      <c r="E120" s="196" t="s">
        <v>80</v>
      </c>
      <c r="F120" s="198">
        <v>0</v>
      </c>
      <c r="G120" s="198">
        <v>3138442969</v>
      </c>
      <c r="H120" s="198">
        <v>3138442969</v>
      </c>
      <c r="I120" s="196" t="s">
        <v>80</v>
      </c>
      <c r="J120" s="214">
        <v>0</v>
      </c>
      <c r="K120" s="214">
        <v>0</v>
      </c>
      <c r="L120" s="413">
        <v>0</v>
      </c>
      <c r="M120" s="402"/>
      <c r="N120" s="214">
        <v>0</v>
      </c>
      <c r="O120" s="214">
        <v>0</v>
      </c>
      <c r="P120" s="214">
        <v>0</v>
      </c>
      <c r="Q120" s="199" t="s">
        <v>80</v>
      </c>
      <c r="R120" s="198">
        <v>3138442969</v>
      </c>
      <c r="S120" s="214">
        <v>0</v>
      </c>
      <c r="T120" s="200">
        <v>3138442969</v>
      </c>
    </row>
    <row r="121" spans="1:20" outlineLevel="2" x14ac:dyDescent="0.25">
      <c r="A121" s="414" t="s">
        <v>1566</v>
      </c>
      <c r="B121" s="402"/>
      <c r="C121" s="196" t="str">
        <f t="shared" si="1"/>
        <v>Subcontrat</v>
      </c>
      <c r="D121" s="3">
        <v>319868845</v>
      </c>
      <c r="E121" s="309" t="s">
        <v>80</v>
      </c>
      <c r="F121" s="71">
        <v>0</v>
      </c>
      <c r="G121" s="71">
        <v>320657219</v>
      </c>
      <c r="H121" s="71">
        <v>320657219</v>
      </c>
      <c r="I121" s="309" t="s">
        <v>80</v>
      </c>
      <c r="J121" s="71">
        <v>0</v>
      </c>
      <c r="K121" s="71">
        <v>0</v>
      </c>
      <c r="L121" s="415">
        <v>0</v>
      </c>
      <c r="M121" s="402"/>
      <c r="N121" s="71">
        <v>0</v>
      </c>
      <c r="O121" s="71">
        <v>0</v>
      </c>
      <c r="P121" s="71">
        <v>0</v>
      </c>
      <c r="Q121" s="310" t="s">
        <v>80</v>
      </c>
      <c r="R121" s="71">
        <v>320657219</v>
      </c>
      <c r="S121" s="71">
        <v>0</v>
      </c>
      <c r="T121" s="71">
        <v>320657219</v>
      </c>
    </row>
    <row r="122" spans="1:20" outlineLevel="3" collapsed="1" x14ac:dyDescent="0.25">
      <c r="A122" s="410" t="s">
        <v>1567</v>
      </c>
      <c r="B122" s="402"/>
      <c r="C122" s="196" t="str">
        <f t="shared" si="1"/>
        <v>31-013300A</v>
      </c>
      <c r="D122" s="201">
        <v>319868845</v>
      </c>
      <c r="E122" s="202" t="s">
        <v>80</v>
      </c>
      <c r="F122" s="203">
        <v>0</v>
      </c>
      <c r="G122" s="204">
        <v>320657219</v>
      </c>
      <c r="H122" s="203">
        <v>320657219</v>
      </c>
      <c r="I122" s="202" t="s">
        <v>80</v>
      </c>
      <c r="J122" s="203">
        <v>0</v>
      </c>
      <c r="K122" s="205">
        <v>0</v>
      </c>
      <c r="L122" s="411">
        <v>0</v>
      </c>
      <c r="M122" s="402"/>
      <c r="N122" s="203">
        <v>0</v>
      </c>
      <c r="O122" s="203">
        <v>0</v>
      </c>
      <c r="P122" s="203">
        <v>0</v>
      </c>
      <c r="Q122" s="212" t="s">
        <v>80</v>
      </c>
      <c r="R122" s="203">
        <v>320657219</v>
      </c>
      <c r="S122" s="203">
        <v>0</v>
      </c>
      <c r="T122" s="203">
        <v>320657219</v>
      </c>
    </row>
    <row r="123" spans="1:20" outlineLevel="3" collapsed="1" x14ac:dyDescent="0.25">
      <c r="A123" s="410" t="s">
        <v>1568</v>
      </c>
      <c r="B123" s="402"/>
      <c r="C123" s="196" t="str">
        <f t="shared" si="1"/>
        <v>31-013300G</v>
      </c>
      <c r="D123" s="201">
        <v>0</v>
      </c>
      <c r="E123" s="202" t="s">
        <v>80</v>
      </c>
      <c r="F123" s="203">
        <v>0</v>
      </c>
      <c r="G123" s="204">
        <v>0</v>
      </c>
      <c r="H123" s="203">
        <v>0</v>
      </c>
      <c r="I123" s="202" t="s">
        <v>80</v>
      </c>
      <c r="J123" s="203">
        <v>0</v>
      </c>
      <c r="K123" s="205">
        <v>0</v>
      </c>
      <c r="L123" s="411">
        <v>0</v>
      </c>
      <c r="M123" s="402"/>
      <c r="N123" s="203">
        <v>0</v>
      </c>
      <c r="O123" s="203">
        <v>0</v>
      </c>
      <c r="P123" s="203">
        <v>0</v>
      </c>
      <c r="Q123" s="212" t="s">
        <v>80</v>
      </c>
      <c r="R123" s="203">
        <v>0</v>
      </c>
      <c r="S123" s="203">
        <v>0</v>
      </c>
      <c r="T123" s="203">
        <v>0</v>
      </c>
    </row>
    <row r="124" spans="1:20" outlineLevel="2" x14ac:dyDescent="0.25">
      <c r="A124" s="414" t="s">
        <v>1569</v>
      </c>
      <c r="B124" s="402"/>
      <c r="C124" s="196" t="str">
        <f t="shared" si="1"/>
        <v>Subcontrat</v>
      </c>
      <c r="D124" s="3">
        <v>1683868314</v>
      </c>
      <c r="E124" s="309" t="s">
        <v>80</v>
      </c>
      <c r="F124" s="71">
        <v>0</v>
      </c>
      <c r="G124" s="71">
        <v>1688018512</v>
      </c>
      <c r="H124" s="71">
        <v>1688018512</v>
      </c>
      <c r="I124" s="309" t="s">
        <v>80</v>
      </c>
      <c r="J124" s="71">
        <v>0</v>
      </c>
      <c r="K124" s="71">
        <v>0</v>
      </c>
      <c r="L124" s="415">
        <v>0</v>
      </c>
      <c r="M124" s="402"/>
      <c r="N124" s="71">
        <v>0</v>
      </c>
      <c r="O124" s="71">
        <v>0</v>
      </c>
      <c r="P124" s="71">
        <v>0</v>
      </c>
      <c r="Q124" s="310" t="s">
        <v>80</v>
      </c>
      <c r="R124" s="71">
        <v>1688018512</v>
      </c>
      <c r="S124" s="71">
        <v>0</v>
      </c>
      <c r="T124" s="71">
        <v>1688018512</v>
      </c>
    </row>
    <row r="125" spans="1:20" outlineLevel="3" collapsed="1" x14ac:dyDescent="0.25">
      <c r="A125" s="410" t="s">
        <v>1570</v>
      </c>
      <c r="B125" s="402"/>
      <c r="C125" s="196" t="str">
        <f t="shared" si="1"/>
        <v>31-033900A</v>
      </c>
      <c r="D125" s="201">
        <v>776151663</v>
      </c>
      <c r="E125" s="202" t="s">
        <v>80</v>
      </c>
      <c r="F125" s="203">
        <v>0</v>
      </c>
      <c r="G125" s="204">
        <v>778064629</v>
      </c>
      <c r="H125" s="203">
        <v>778064629</v>
      </c>
      <c r="I125" s="202" t="s">
        <v>80</v>
      </c>
      <c r="J125" s="203">
        <v>0</v>
      </c>
      <c r="K125" s="205">
        <v>0</v>
      </c>
      <c r="L125" s="411">
        <v>0</v>
      </c>
      <c r="M125" s="402"/>
      <c r="N125" s="203">
        <v>0</v>
      </c>
      <c r="O125" s="203">
        <v>0</v>
      </c>
      <c r="P125" s="203">
        <v>0</v>
      </c>
      <c r="Q125" s="212" t="s">
        <v>80</v>
      </c>
      <c r="R125" s="203">
        <v>778064629</v>
      </c>
      <c r="S125" s="203">
        <v>0</v>
      </c>
      <c r="T125" s="203">
        <v>778064629</v>
      </c>
    </row>
    <row r="126" spans="1:20" outlineLevel="3" collapsed="1" x14ac:dyDescent="0.25">
      <c r="A126" s="410" t="s">
        <v>1571</v>
      </c>
      <c r="B126" s="402"/>
      <c r="C126" s="196" t="str">
        <f t="shared" si="1"/>
        <v>31-033900G</v>
      </c>
      <c r="D126" s="201">
        <v>0</v>
      </c>
      <c r="E126" s="202" t="s">
        <v>80</v>
      </c>
      <c r="F126" s="203">
        <v>0</v>
      </c>
      <c r="G126" s="204">
        <v>0</v>
      </c>
      <c r="H126" s="203">
        <v>0</v>
      </c>
      <c r="I126" s="202" t="s">
        <v>80</v>
      </c>
      <c r="J126" s="203">
        <v>0</v>
      </c>
      <c r="K126" s="205">
        <v>0</v>
      </c>
      <c r="L126" s="411">
        <v>0</v>
      </c>
      <c r="M126" s="402"/>
      <c r="N126" s="203">
        <v>0</v>
      </c>
      <c r="O126" s="203">
        <v>0</v>
      </c>
      <c r="P126" s="203">
        <v>0</v>
      </c>
      <c r="Q126" s="212" t="s">
        <v>80</v>
      </c>
      <c r="R126" s="203">
        <v>0</v>
      </c>
      <c r="S126" s="203">
        <v>0</v>
      </c>
      <c r="T126" s="203">
        <v>0</v>
      </c>
    </row>
    <row r="127" spans="1:20" outlineLevel="3" collapsed="1" x14ac:dyDescent="0.25">
      <c r="A127" s="410" t="s">
        <v>1572</v>
      </c>
      <c r="B127" s="402"/>
      <c r="C127" s="196" t="str">
        <f t="shared" si="1"/>
        <v>31-034000A</v>
      </c>
      <c r="D127" s="201">
        <v>10833762</v>
      </c>
      <c r="E127" s="202" t="s">
        <v>80</v>
      </c>
      <c r="F127" s="203">
        <v>0</v>
      </c>
      <c r="G127" s="204">
        <v>10860464</v>
      </c>
      <c r="H127" s="203">
        <v>10860464</v>
      </c>
      <c r="I127" s="202" t="s">
        <v>80</v>
      </c>
      <c r="J127" s="203">
        <v>0</v>
      </c>
      <c r="K127" s="205">
        <v>0</v>
      </c>
      <c r="L127" s="411">
        <v>0</v>
      </c>
      <c r="M127" s="402"/>
      <c r="N127" s="203">
        <v>0</v>
      </c>
      <c r="O127" s="203">
        <v>0</v>
      </c>
      <c r="P127" s="203">
        <v>0</v>
      </c>
      <c r="Q127" s="212" t="s">
        <v>80</v>
      </c>
      <c r="R127" s="203">
        <v>10860464</v>
      </c>
      <c r="S127" s="203">
        <v>0</v>
      </c>
      <c r="T127" s="203">
        <v>10860464</v>
      </c>
    </row>
    <row r="128" spans="1:20" outlineLevel="3" collapsed="1" x14ac:dyDescent="0.25">
      <c r="A128" s="410" t="s">
        <v>1573</v>
      </c>
      <c r="B128" s="402"/>
      <c r="C128" s="196" t="str">
        <f t="shared" si="1"/>
        <v>31-034000G</v>
      </c>
      <c r="D128" s="201">
        <v>0</v>
      </c>
      <c r="E128" s="202" t="s">
        <v>80</v>
      </c>
      <c r="F128" s="203">
        <v>0</v>
      </c>
      <c r="G128" s="204">
        <v>0</v>
      </c>
      <c r="H128" s="203">
        <v>0</v>
      </c>
      <c r="I128" s="202" t="s">
        <v>80</v>
      </c>
      <c r="J128" s="203">
        <v>0</v>
      </c>
      <c r="K128" s="205">
        <v>0</v>
      </c>
      <c r="L128" s="411">
        <v>0</v>
      </c>
      <c r="M128" s="402"/>
      <c r="N128" s="203">
        <v>0</v>
      </c>
      <c r="O128" s="203">
        <v>0</v>
      </c>
      <c r="P128" s="203">
        <v>0</v>
      </c>
      <c r="Q128" s="212" t="s">
        <v>80</v>
      </c>
      <c r="R128" s="203">
        <v>0</v>
      </c>
      <c r="S128" s="203">
        <v>0</v>
      </c>
      <c r="T128" s="203">
        <v>0</v>
      </c>
    </row>
    <row r="129" spans="1:20" outlineLevel="3" collapsed="1" x14ac:dyDescent="0.25">
      <c r="A129" s="410" t="s">
        <v>1574</v>
      </c>
      <c r="B129" s="402"/>
      <c r="C129" s="196" t="str">
        <f t="shared" si="1"/>
        <v>31-034300A</v>
      </c>
      <c r="D129" s="201">
        <v>248645648</v>
      </c>
      <c r="E129" s="202" t="s">
        <v>80</v>
      </c>
      <c r="F129" s="203">
        <v>0</v>
      </c>
      <c r="G129" s="204">
        <v>249258480</v>
      </c>
      <c r="H129" s="203">
        <v>249258480</v>
      </c>
      <c r="I129" s="202" t="s">
        <v>80</v>
      </c>
      <c r="J129" s="203">
        <v>0</v>
      </c>
      <c r="K129" s="205">
        <v>0</v>
      </c>
      <c r="L129" s="411">
        <v>0</v>
      </c>
      <c r="M129" s="402"/>
      <c r="N129" s="203">
        <v>0</v>
      </c>
      <c r="O129" s="203">
        <v>0</v>
      </c>
      <c r="P129" s="203">
        <v>0</v>
      </c>
      <c r="Q129" s="212" t="s">
        <v>80</v>
      </c>
      <c r="R129" s="203">
        <v>249258480</v>
      </c>
      <c r="S129" s="203">
        <v>0</v>
      </c>
      <c r="T129" s="203">
        <v>249258480</v>
      </c>
    </row>
    <row r="130" spans="1:20" outlineLevel="3" collapsed="1" x14ac:dyDescent="0.25">
      <c r="A130" s="410" t="s">
        <v>1575</v>
      </c>
      <c r="B130" s="402"/>
      <c r="C130" s="196" t="str">
        <f t="shared" si="1"/>
        <v>31-034300G</v>
      </c>
      <c r="D130" s="201">
        <v>0</v>
      </c>
      <c r="E130" s="202" t="s">
        <v>80</v>
      </c>
      <c r="F130" s="203">
        <v>0</v>
      </c>
      <c r="G130" s="204">
        <v>0</v>
      </c>
      <c r="H130" s="203">
        <v>0</v>
      </c>
      <c r="I130" s="202" t="s">
        <v>80</v>
      </c>
      <c r="J130" s="203">
        <v>0</v>
      </c>
      <c r="K130" s="205">
        <v>0</v>
      </c>
      <c r="L130" s="411">
        <v>0</v>
      </c>
      <c r="M130" s="402"/>
      <c r="N130" s="203">
        <v>0</v>
      </c>
      <c r="O130" s="203">
        <v>0</v>
      </c>
      <c r="P130" s="203">
        <v>0</v>
      </c>
      <c r="Q130" s="212" t="s">
        <v>80</v>
      </c>
      <c r="R130" s="203">
        <v>0</v>
      </c>
      <c r="S130" s="203">
        <v>0</v>
      </c>
      <c r="T130" s="203">
        <v>0</v>
      </c>
    </row>
    <row r="131" spans="1:20" outlineLevel="3" collapsed="1" x14ac:dyDescent="0.25">
      <c r="A131" s="410" t="s">
        <v>1576</v>
      </c>
      <c r="B131" s="402"/>
      <c r="C131" s="196" t="str">
        <f t="shared" si="1"/>
        <v>31-039900A</v>
      </c>
      <c r="D131" s="201">
        <v>648237241</v>
      </c>
      <c r="E131" s="202" t="s">
        <v>80</v>
      </c>
      <c r="F131" s="203">
        <v>0</v>
      </c>
      <c r="G131" s="204">
        <v>649834939</v>
      </c>
      <c r="H131" s="203">
        <v>649834939</v>
      </c>
      <c r="I131" s="202" t="s">
        <v>80</v>
      </c>
      <c r="J131" s="203">
        <v>0</v>
      </c>
      <c r="K131" s="205">
        <v>0</v>
      </c>
      <c r="L131" s="411">
        <v>0</v>
      </c>
      <c r="M131" s="402"/>
      <c r="N131" s="203">
        <v>0</v>
      </c>
      <c r="O131" s="203">
        <v>0</v>
      </c>
      <c r="P131" s="203">
        <v>0</v>
      </c>
      <c r="Q131" s="212" t="s">
        <v>80</v>
      </c>
      <c r="R131" s="203">
        <v>649834939</v>
      </c>
      <c r="S131" s="203">
        <v>0</v>
      </c>
      <c r="T131" s="203">
        <v>649834939</v>
      </c>
    </row>
    <row r="132" spans="1:20" outlineLevel="3" collapsed="1" x14ac:dyDescent="0.25">
      <c r="A132" s="410" t="s">
        <v>1577</v>
      </c>
      <c r="B132" s="402"/>
      <c r="C132" s="196" t="str">
        <f t="shared" si="1"/>
        <v>31-039900G</v>
      </c>
      <c r="D132" s="201">
        <v>0</v>
      </c>
      <c r="E132" s="202" t="s">
        <v>80</v>
      </c>
      <c r="F132" s="203">
        <v>0</v>
      </c>
      <c r="G132" s="204">
        <v>0</v>
      </c>
      <c r="H132" s="203">
        <v>0</v>
      </c>
      <c r="I132" s="202" t="s">
        <v>80</v>
      </c>
      <c r="J132" s="203">
        <v>0</v>
      </c>
      <c r="K132" s="205">
        <v>0</v>
      </c>
      <c r="L132" s="411">
        <v>0</v>
      </c>
      <c r="M132" s="402"/>
      <c r="N132" s="203">
        <v>0</v>
      </c>
      <c r="O132" s="203">
        <v>0</v>
      </c>
      <c r="P132" s="203">
        <v>0</v>
      </c>
      <c r="Q132" s="212" t="s">
        <v>80</v>
      </c>
      <c r="R132" s="203">
        <v>0</v>
      </c>
      <c r="S132" s="203">
        <v>0</v>
      </c>
      <c r="T132" s="203">
        <v>0</v>
      </c>
    </row>
    <row r="133" spans="1:20" outlineLevel="2" x14ac:dyDescent="0.25">
      <c r="A133" s="414" t="s">
        <v>1578</v>
      </c>
      <c r="B133" s="402"/>
      <c r="C133" s="196" t="str">
        <f t="shared" si="1"/>
        <v>Subcontrat</v>
      </c>
      <c r="D133" s="3">
        <v>46685712</v>
      </c>
      <c r="E133" s="309" t="s">
        <v>80</v>
      </c>
      <c r="F133" s="71">
        <v>0</v>
      </c>
      <c r="G133" s="71">
        <v>61203003</v>
      </c>
      <c r="H133" s="71">
        <v>61203003</v>
      </c>
      <c r="I133" s="309" t="s">
        <v>80</v>
      </c>
      <c r="J133" s="71">
        <v>0</v>
      </c>
      <c r="K133" s="71">
        <v>0</v>
      </c>
      <c r="L133" s="415">
        <v>0</v>
      </c>
      <c r="M133" s="402"/>
      <c r="N133" s="71">
        <v>0</v>
      </c>
      <c r="O133" s="71">
        <v>0</v>
      </c>
      <c r="P133" s="71">
        <v>0</v>
      </c>
      <c r="Q133" s="310" t="s">
        <v>80</v>
      </c>
      <c r="R133" s="71">
        <v>61203003</v>
      </c>
      <c r="S133" s="71">
        <v>0</v>
      </c>
      <c r="T133" s="71">
        <v>61203003</v>
      </c>
    </row>
    <row r="134" spans="1:20" outlineLevel="3" collapsed="1" x14ac:dyDescent="0.25">
      <c r="A134" s="410" t="s">
        <v>1579</v>
      </c>
      <c r="B134" s="402"/>
      <c r="C134" s="196" t="str">
        <f t="shared" si="1"/>
        <v>31-044600A</v>
      </c>
      <c r="D134" s="201">
        <v>38461317</v>
      </c>
      <c r="E134" s="202" t="s">
        <v>80</v>
      </c>
      <c r="F134" s="203">
        <v>0</v>
      </c>
      <c r="G134" s="204">
        <v>52958337</v>
      </c>
      <c r="H134" s="203">
        <v>52958337</v>
      </c>
      <c r="I134" s="202" t="s">
        <v>80</v>
      </c>
      <c r="J134" s="203">
        <v>0</v>
      </c>
      <c r="K134" s="205">
        <v>0</v>
      </c>
      <c r="L134" s="411">
        <v>0</v>
      </c>
      <c r="M134" s="402"/>
      <c r="N134" s="203">
        <v>0</v>
      </c>
      <c r="O134" s="203">
        <v>0</v>
      </c>
      <c r="P134" s="203">
        <v>0</v>
      </c>
      <c r="Q134" s="212" t="s">
        <v>80</v>
      </c>
      <c r="R134" s="203">
        <v>52958337</v>
      </c>
      <c r="S134" s="203">
        <v>0</v>
      </c>
      <c r="T134" s="203">
        <v>52958337</v>
      </c>
    </row>
    <row r="135" spans="1:20" outlineLevel="3" collapsed="1" x14ac:dyDescent="0.25">
      <c r="A135" s="410" t="s">
        <v>1580</v>
      </c>
      <c r="B135" s="402"/>
      <c r="C135" s="196" t="str">
        <f t="shared" ref="C135:C198" si="2">IF(MID(A135,6,1)="      - ","-",
IF(A135="     0 - Categoría NULA",0,MID(A135,6,10)))</f>
        <v>31-044600G</v>
      </c>
      <c r="D135" s="201">
        <v>0</v>
      </c>
      <c r="E135" s="202" t="s">
        <v>80</v>
      </c>
      <c r="F135" s="203">
        <v>0</v>
      </c>
      <c r="G135" s="204">
        <v>0</v>
      </c>
      <c r="H135" s="203">
        <v>0</v>
      </c>
      <c r="I135" s="202" t="s">
        <v>80</v>
      </c>
      <c r="J135" s="203">
        <v>0</v>
      </c>
      <c r="K135" s="205">
        <v>0</v>
      </c>
      <c r="L135" s="411">
        <v>0</v>
      </c>
      <c r="M135" s="402"/>
      <c r="N135" s="203">
        <v>0</v>
      </c>
      <c r="O135" s="203">
        <v>0</v>
      </c>
      <c r="P135" s="203">
        <v>0</v>
      </c>
      <c r="Q135" s="212" t="s">
        <v>80</v>
      </c>
      <c r="R135" s="203">
        <v>0</v>
      </c>
      <c r="S135" s="203">
        <v>0</v>
      </c>
      <c r="T135" s="203">
        <v>0</v>
      </c>
    </row>
    <row r="136" spans="1:20" outlineLevel="3" collapsed="1" x14ac:dyDescent="0.25">
      <c r="A136" s="410" t="s">
        <v>1581</v>
      </c>
      <c r="B136" s="402"/>
      <c r="C136" s="196" t="str">
        <f t="shared" si="2"/>
        <v>31-045100A</v>
      </c>
      <c r="D136" s="201">
        <v>8224395</v>
      </c>
      <c r="E136" s="202" t="s">
        <v>80</v>
      </c>
      <c r="F136" s="203">
        <v>0</v>
      </c>
      <c r="G136" s="204">
        <v>8244666</v>
      </c>
      <c r="H136" s="203">
        <v>8244666</v>
      </c>
      <c r="I136" s="202" t="s">
        <v>80</v>
      </c>
      <c r="J136" s="203">
        <v>0</v>
      </c>
      <c r="K136" s="205">
        <v>0</v>
      </c>
      <c r="L136" s="411">
        <v>0</v>
      </c>
      <c r="M136" s="402"/>
      <c r="N136" s="203">
        <v>0</v>
      </c>
      <c r="O136" s="203">
        <v>0</v>
      </c>
      <c r="P136" s="203">
        <v>0</v>
      </c>
      <c r="Q136" s="212" t="s">
        <v>80</v>
      </c>
      <c r="R136" s="203">
        <v>8244666</v>
      </c>
      <c r="S136" s="203">
        <v>0</v>
      </c>
      <c r="T136" s="203">
        <v>8244666</v>
      </c>
    </row>
    <row r="137" spans="1:20" outlineLevel="3" collapsed="1" x14ac:dyDescent="0.25">
      <c r="A137" s="410" t="s">
        <v>1582</v>
      </c>
      <c r="B137" s="402"/>
      <c r="C137" s="196" t="str">
        <f t="shared" si="2"/>
        <v>31-045100G</v>
      </c>
      <c r="D137" s="201">
        <v>0</v>
      </c>
      <c r="E137" s="202" t="s">
        <v>80</v>
      </c>
      <c r="F137" s="203">
        <v>0</v>
      </c>
      <c r="G137" s="204">
        <v>0</v>
      </c>
      <c r="H137" s="203">
        <v>0</v>
      </c>
      <c r="I137" s="202" t="s">
        <v>80</v>
      </c>
      <c r="J137" s="203">
        <v>0</v>
      </c>
      <c r="K137" s="205">
        <v>0</v>
      </c>
      <c r="L137" s="411">
        <v>0</v>
      </c>
      <c r="M137" s="402"/>
      <c r="N137" s="203">
        <v>0</v>
      </c>
      <c r="O137" s="203">
        <v>0</v>
      </c>
      <c r="P137" s="203">
        <v>0</v>
      </c>
      <c r="Q137" s="212" t="s">
        <v>80</v>
      </c>
      <c r="R137" s="203">
        <v>0</v>
      </c>
      <c r="S137" s="203">
        <v>0</v>
      </c>
      <c r="T137" s="203">
        <v>0</v>
      </c>
    </row>
    <row r="138" spans="1:20" outlineLevel="2" x14ac:dyDescent="0.25">
      <c r="A138" s="414" t="s">
        <v>1583</v>
      </c>
      <c r="B138" s="402"/>
      <c r="C138" s="196" t="str">
        <f t="shared" si="2"/>
        <v>Subcontrat</v>
      </c>
      <c r="D138" s="3">
        <v>580099008</v>
      </c>
      <c r="E138" s="309" t="s">
        <v>80</v>
      </c>
      <c r="F138" s="71">
        <v>0</v>
      </c>
      <c r="G138" s="71">
        <v>581528767</v>
      </c>
      <c r="H138" s="71">
        <v>581528767</v>
      </c>
      <c r="I138" s="309" t="s">
        <v>80</v>
      </c>
      <c r="J138" s="71">
        <v>0</v>
      </c>
      <c r="K138" s="71">
        <v>0</v>
      </c>
      <c r="L138" s="415">
        <v>0</v>
      </c>
      <c r="M138" s="402"/>
      <c r="N138" s="71">
        <v>0</v>
      </c>
      <c r="O138" s="71">
        <v>0</v>
      </c>
      <c r="P138" s="71">
        <v>0</v>
      </c>
      <c r="Q138" s="310" t="s">
        <v>80</v>
      </c>
      <c r="R138" s="71">
        <v>581528767</v>
      </c>
      <c r="S138" s="71">
        <v>0</v>
      </c>
      <c r="T138" s="71">
        <v>581528767</v>
      </c>
    </row>
    <row r="139" spans="1:20" outlineLevel="3" collapsed="1" x14ac:dyDescent="0.25">
      <c r="A139" s="410" t="s">
        <v>1584</v>
      </c>
      <c r="B139" s="402"/>
      <c r="C139" s="196" t="str">
        <f t="shared" si="2"/>
        <v>31-055300A</v>
      </c>
      <c r="D139" s="201">
        <v>178743582</v>
      </c>
      <c r="E139" s="202" t="s">
        <v>80</v>
      </c>
      <c r="F139" s="203">
        <v>0</v>
      </c>
      <c r="G139" s="204">
        <v>179184128</v>
      </c>
      <c r="H139" s="203">
        <v>179184128</v>
      </c>
      <c r="I139" s="202" t="s">
        <v>80</v>
      </c>
      <c r="J139" s="203">
        <v>0</v>
      </c>
      <c r="K139" s="205">
        <v>0</v>
      </c>
      <c r="L139" s="411">
        <v>0</v>
      </c>
      <c r="M139" s="402"/>
      <c r="N139" s="203">
        <v>0</v>
      </c>
      <c r="O139" s="203">
        <v>0</v>
      </c>
      <c r="P139" s="203">
        <v>0</v>
      </c>
      <c r="Q139" s="212" t="s">
        <v>80</v>
      </c>
      <c r="R139" s="203">
        <v>179184128</v>
      </c>
      <c r="S139" s="203">
        <v>0</v>
      </c>
      <c r="T139" s="203">
        <v>179184128</v>
      </c>
    </row>
    <row r="140" spans="1:20" outlineLevel="3" collapsed="1" x14ac:dyDescent="0.25">
      <c r="A140" s="410" t="s">
        <v>1585</v>
      </c>
      <c r="B140" s="402"/>
      <c r="C140" s="196" t="str">
        <f t="shared" si="2"/>
        <v>31-055300G</v>
      </c>
      <c r="D140" s="201">
        <v>0</v>
      </c>
      <c r="E140" s="202" t="s">
        <v>80</v>
      </c>
      <c r="F140" s="203">
        <v>0</v>
      </c>
      <c r="G140" s="204">
        <v>0</v>
      </c>
      <c r="H140" s="203">
        <v>0</v>
      </c>
      <c r="I140" s="202" t="s">
        <v>80</v>
      </c>
      <c r="J140" s="203">
        <v>0</v>
      </c>
      <c r="K140" s="205">
        <v>0</v>
      </c>
      <c r="L140" s="411">
        <v>0</v>
      </c>
      <c r="M140" s="402"/>
      <c r="N140" s="203">
        <v>0</v>
      </c>
      <c r="O140" s="203">
        <v>0</v>
      </c>
      <c r="P140" s="203">
        <v>0</v>
      </c>
      <c r="Q140" s="212" t="s">
        <v>80</v>
      </c>
      <c r="R140" s="203">
        <v>0</v>
      </c>
      <c r="S140" s="203">
        <v>0</v>
      </c>
      <c r="T140" s="203">
        <v>0</v>
      </c>
    </row>
    <row r="141" spans="1:20" outlineLevel="3" collapsed="1" x14ac:dyDescent="0.25">
      <c r="A141" s="410" t="s">
        <v>1586</v>
      </c>
      <c r="B141" s="402"/>
      <c r="C141" s="196" t="str">
        <f t="shared" si="2"/>
        <v>31-055400A</v>
      </c>
      <c r="D141" s="201">
        <v>77608849</v>
      </c>
      <c r="E141" s="202" t="s">
        <v>80</v>
      </c>
      <c r="F141" s="203">
        <v>0</v>
      </c>
      <c r="G141" s="204">
        <v>77800130</v>
      </c>
      <c r="H141" s="203">
        <v>77800130</v>
      </c>
      <c r="I141" s="202" t="s">
        <v>80</v>
      </c>
      <c r="J141" s="203">
        <v>0</v>
      </c>
      <c r="K141" s="205">
        <v>0</v>
      </c>
      <c r="L141" s="411">
        <v>0</v>
      </c>
      <c r="M141" s="402"/>
      <c r="N141" s="203">
        <v>0</v>
      </c>
      <c r="O141" s="203">
        <v>0</v>
      </c>
      <c r="P141" s="203">
        <v>0</v>
      </c>
      <c r="Q141" s="212" t="s">
        <v>80</v>
      </c>
      <c r="R141" s="203">
        <v>77800130</v>
      </c>
      <c r="S141" s="203">
        <v>0</v>
      </c>
      <c r="T141" s="203">
        <v>77800130</v>
      </c>
    </row>
    <row r="142" spans="1:20" outlineLevel="3" collapsed="1" x14ac:dyDescent="0.25">
      <c r="A142" s="410" t="s">
        <v>1587</v>
      </c>
      <c r="B142" s="402"/>
      <c r="C142" s="196" t="str">
        <f t="shared" si="2"/>
        <v>31-055400G</v>
      </c>
      <c r="D142" s="201">
        <v>0</v>
      </c>
      <c r="E142" s="202" t="s">
        <v>80</v>
      </c>
      <c r="F142" s="203">
        <v>0</v>
      </c>
      <c r="G142" s="204">
        <v>0</v>
      </c>
      <c r="H142" s="203">
        <v>0</v>
      </c>
      <c r="I142" s="202" t="s">
        <v>80</v>
      </c>
      <c r="J142" s="203">
        <v>0</v>
      </c>
      <c r="K142" s="205">
        <v>0</v>
      </c>
      <c r="L142" s="411">
        <v>0</v>
      </c>
      <c r="M142" s="402"/>
      <c r="N142" s="203">
        <v>0</v>
      </c>
      <c r="O142" s="203">
        <v>0</v>
      </c>
      <c r="P142" s="203">
        <v>0</v>
      </c>
      <c r="Q142" s="212" t="s">
        <v>80</v>
      </c>
      <c r="R142" s="203">
        <v>0</v>
      </c>
      <c r="S142" s="203">
        <v>0</v>
      </c>
      <c r="T142" s="203">
        <v>0</v>
      </c>
    </row>
    <row r="143" spans="1:20" outlineLevel="3" collapsed="1" x14ac:dyDescent="0.25">
      <c r="A143" s="410" t="s">
        <v>1588</v>
      </c>
      <c r="B143" s="402"/>
      <c r="C143" s="196" t="str">
        <f t="shared" si="2"/>
        <v>31-055500A</v>
      </c>
      <c r="D143" s="201">
        <v>51385934</v>
      </c>
      <c r="E143" s="202" t="s">
        <v>80</v>
      </c>
      <c r="F143" s="203">
        <v>0</v>
      </c>
      <c r="G143" s="204">
        <v>51512584</v>
      </c>
      <c r="H143" s="203">
        <v>51512584</v>
      </c>
      <c r="I143" s="202" t="s">
        <v>80</v>
      </c>
      <c r="J143" s="203">
        <v>0</v>
      </c>
      <c r="K143" s="205">
        <v>0</v>
      </c>
      <c r="L143" s="411">
        <v>0</v>
      </c>
      <c r="M143" s="402"/>
      <c r="N143" s="203">
        <v>0</v>
      </c>
      <c r="O143" s="203">
        <v>0</v>
      </c>
      <c r="P143" s="203">
        <v>0</v>
      </c>
      <c r="Q143" s="212" t="s">
        <v>80</v>
      </c>
      <c r="R143" s="203">
        <v>51512584</v>
      </c>
      <c r="S143" s="203">
        <v>0</v>
      </c>
      <c r="T143" s="203">
        <v>51512584</v>
      </c>
    </row>
    <row r="144" spans="1:20" outlineLevel="3" collapsed="1" x14ac:dyDescent="0.25">
      <c r="A144" s="410" t="s">
        <v>1589</v>
      </c>
      <c r="B144" s="402"/>
      <c r="C144" s="196" t="str">
        <f t="shared" si="2"/>
        <v>31-055500G</v>
      </c>
      <c r="D144" s="201">
        <v>0</v>
      </c>
      <c r="E144" s="202" t="s">
        <v>80</v>
      </c>
      <c r="F144" s="203">
        <v>0</v>
      </c>
      <c r="G144" s="204">
        <v>0</v>
      </c>
      <c r="H144" s="203">
        <v>0</v>
      </c>
      <c r="I144" s="202" t="s">
        <v>80</v>
      </c>
      <c r="J144" s="203">
        <v>0</v>
      </c>
      <c r="K144" s="205">
        <v>0</v>
      </c>
      <c r="L144" s="411">
        <v>0</v>
      </c>
      <c r="M144" s="402"/>
      <c r="N144" s="203">
        <v>0</v>
      </c>
      <c r="O144" s="203">
        <v>0</v>
      </c>
      <c r="P144" s="203">
        <v>0</v>
      </c>
      <c r="Q144" s="212" t="s">
        <v>80</v>
      </c>
      <c r="R144" s="203">
        <v>0</v>
      </c>
      <c r="S144" s="203">
        <v>0</v>
      </c>
      <c r="T144" s="203">
        <v>0</v>
      </c>
    </row>
    <row r="145" spans="1:20" outlineLevel="3" collapsed="1" x14ac:dyDescent="0.25">
      <c r="A145" s="410" t="s">
        <v>1590</v>
      </c>
      <c r="B145" s="402"/>
      <c r="C145" s="196" t="str">
        <f t="shared" si="2"/>
        <v>31-059900A</v>
      </c>
      <c r="D145" s="201">
        <v>54142098</v>
      </c>
      <c r="E145" s="202" t="s">
        <v>80</v>
      </c>
      <c r="F145" s="203">
        <v>0</v>
      </c>
      <c r="G145" s="204">
        <v>54275541</v>
      </c>
      <c r="H145" s="203">
        <v>54275541</v>
      </c>
      <c r="I145" s="202" t="s">
        <v>80</v>
      </c>
      <c r="J145" s="203">
        <v>0</v>
      </c>
      <c r="K145" s="205">
        <v>0</v>
      </c>
      <c r="L145" s="411">
        <v>0</v>
      </c>
      <c r="M145" s="402"/>
      <c r="N145" s="203">
        <v>0</v>
      </c>
      <c r="O145" s="203">
        <v>0</v>
      </c>
      <c r="P145" s="203">
        <v>0</v>
      </c>
      <c r="Q145" s="212" t="s">
        <v>80</v>
      </c>
      <c r="R145" s="203">
        <v>54275541</v>
      </c>
      <c r="S145" s="203">
        <v>0</v>
      </c>
      <c r="T145" s="203">
        <v>54275541</v>
      </c>
    </row>
    <row r="146" spans="1:20" outlineLevel="3" collapsed="1" x14ac:dyDescent="0.25">
      <c r="A146" s="410" t="s">
        <v>1591</v>
      </c>
      <c r="B146" s="402"/>
      <c r="C146" s="196" t="str">
        <f t="shared" si="2"/>
        <v>31-059900G</v>
      </c>
      <c r="D146" s="201">
        <v>0</v>
      </c>
      <c r="E146" s="202" t="s">
        <v>80</v>
      </c>
      <c r="F146" s="203">
        <v>0</v>
      </c>
      <c r="G146" s="204">
        <v>0</v>
      </c>
      <c r="H146" s="203">
        <v>0</v>
      </c>
      <c r="I146" s="202" t="s">
        <v>80</v>
      </c>
      <c r="J146" s="203">
        <v>0</v>
      </c>
      <c r="K146" s="205">
        <v>0</v>
      </c>
      <c r="L146" s="411">
        <v>0</v>
      </c>
      <c r="M146" s="402"/>
      <c r="N146" s="203">
        <v>0</v>
      </c>
      <c r="O146" s="203">
        <v>0</v>
      </c>
      <c r="P146" s="203">
        <v>0</v>
      </c>
      <c r="Q146" s="212" t="s">
        <v>80</v>
      </c>
      <c r="R146" s="203">
        <v>0</v>
      </c>
      <c r="S146" s="203">
        <v>0</v>
      </c>
      <c r="T146" s="203">
        <v>0</v>
      </c>
    </row>
    <row r="147" spans="1:20" outlineLevel="3" collapsed="1" x14ac:dyDescent="0.25">
      <c r="A147" s="410" t="s">
        <v>1592</v>
      </c>
      <c r="B147" s="402"/>
      <c r="C147" s="196" t="str">
        <f t="shared" si="2"/>
        <v>31-065700A</v>
      </c>
      <c r="D147" s="201">
        <v>120139233</v>
      </c>
      <c r="E147" s="202" t="s">
        <v>80</v>
      </c>
      <c r="F147" s="203">
        <v>0</v>
      </c>
      <c r="G147" s="204">
        <v>120435338</v>
      </c>
      <c r="H147" s="203">
        <v>120435338</v>
      </c>
      <c r="I147" s="202" t="s">
        <v>80</v>
      </c>
      <c r="J147" s="203">
        <v>0</v>
      </c>
      <c r="K147" s="205">
        <v>0</v>
      </c>
      <c r="L147" s="411">
        <v>0</v>
      </c>
      <c r="M147" s="402"/>
      <c r="N147" s="203">
        <v>0</v>
      </c>
      <c r="O147" s="203">
        <v>0</v>
      </c>
      <c r="P147" s="203">
        <v>0</v>
      </c>
      <c r="Q147" s="212" t="s">
        <v>80</v>
      </c>
      <c r="R147" s="203">
        <v>120435338</v>
      </c>
      <c r="S147" s="203">
        <v>0</v>
      </c>
      <c r="T147" s="203">
        <v>120435338</v>
      </c>
    </row>
    <row r="148" spans="1:20" outlineLevel="3" collapsed="1" x14ac:dyDescent="0.25">
      <c r="A148" s="410" t="s">
        <v>1593</v>
      </c>
      <c r="B148" s="402"/>
      <c r="C148" s="196" t="str">
        <f t="shared" si="2"/>
        <v>31-065700G</v>
      </c>
      <c r="D148" s="201">
        <v>0</v>
      </c>
      <c r="E148" s="202" t="s">
        <v>80</v>
      </c>
      <c r="F148" s="203">
        <v>0</v>
      </c>
      <c r="G148" s="204">
        <v>0</v>
      </c>
      <c r="H148" s="203">
        <v>0</v>
      </c>
      <c r="I148" s="202" t="s">
        <v>80</v>
      </c>
      <c r="J148" s="203">
        <v>0</v>
      </c>
      <c r="K148" s="205">
        <v>0</v>
      </c>
      <c r="L148" s="411">
        <v>0</v>
      </c>
      <c r="M148" s="402"/>
      <c r="N148" s="203">
        <v>0</v>
      </c>
      <c r="O148" s="203">
        <v>0</v>
      </c>
      <c r="P148" s="203">
        <v>0</v>
      </c>
      <c r="Q148" s="212" t="s">
        <v>80</v>
      </c>
      <c r="R148" s="203">
        <v>0</v>
      </c>
      <c r="S148" s="203">
        <v>0</v>
      </c>
      <c r="T148" s="203">
        <v>0</v>
      </c>
    </row>
    <row r="149" spans="1:20" outlineLevel="3" collapsed="1" x14ac:dyDescent="0.25">
      <c r="A149" s="410" t="s">
        <v>1594</v>
      </c>
      <c r="B149" s="402"/>
      <c r="C149" s="196" t="str">
        <f t="shared" si="2"/>
        <v>31-065800A</v>
      </c>
      <c r="D149" s="201">
        <v>98079312</v>
      </c>
      <c r="E149" s="202" t="s">
        <v>80</v>
      </c>
      <c r="F149" s="203">
        <v>0</v>
      </c>
      <c r="G149" s="204">
        <v>98321046</v>
      </c>
      <c r="H149" s="203">
        <v>98321046</v>
      </c>
      <c r="I149" s="202" t="s">
        <v>80</v>
      </c>
      <c r="J149" s="203">
        <v>0</v>
      </c>
      <c r="K149" s="205">
        <v>0</v>
      </c>
      <c r="L149" s="411">
        <v>0</v>
      </c>
      <c r="M149" s="402"/>
      <c r="N149" s="203">
        <v>0</v>
      </c>
      <c r="O149" s="203">
        <v>0</v>
      </c>
      <c r="P149" s="203">
        <v>0</v>
      </c>
      <c r="Q149" s="212" t="s">
        <v>80</v>
      </c>
      <c r="R149" s="203">
        <v>98321046</v>
      </c>
      <c r="S149" s="203">
        <v>0</v>
      </c>
      <c r="T149" s="203">
        <v>98321046</v>
      </c>
    </row>
    <row r="150" spans="1:20" outlineLevel="3" collapsed="1" x14ac:dyDescent="0.25">
      <c r="A150" s="410" t="s">
        <v>1595</v>
      </c>
      <c r="B150" s="402"/>
      <c r="C150" s="196" t="str">
        <f t="shared" si="2"/>
        <v>31-065800G</v>
      </c>
      <c r="D150" s="201">
        <v>0</v>
      </c>
      <c r="E150" s="202" t="s">
        <v>80</v>
      </c>
      <c r="F150" s="203">
        <v>0</v>
      </c>
      <c r="G150" s="204">
        <v>0</v>
      </c>
      <c r="H150" s="203">
        <v>0</v>
      </c>
      <c r="I150" s="202" t="s">
        <v>80</v>
      </c>
      <c r="J150" s="203">
        <v>0</v>
      </c>
      <c r="K150" s="205">
        <v>0</v>
      </c>
      <c r="L150" s="411">
        <v>0</v>
      </c>
      <c r="M150" s="402"/>
      <c r="N150" s="203">
        <v>0</v>
      </c>
      <c r="O150" s="203">
        <v>0</v>
      </c>
      <c r="P150" s="203">
        <v>0</v>
      </c>
      <c r="Q150" s="212" t="s">
        <v>80</v>
      </c>
      <c r="R150" s="203">
        <v>0</v>
      </c>
      <c r="S150" s="203">
        <v>0</v>
      </c>
      <c r="T150" s="203">
        <v>0</v>
      </c>
    </row>
    <row r="151" spans="1:20" outlineLevel="2" x14ac:dyDescent="0.25">
      <c r="A151" s="414" t="s">
        <v>1596</v>
      </c>
      <c r="B151" s="402"/>
      <c r="C151" s="196" t="str">
        <f t="shared" si="2"/>
        <v>Subcontrat</v>
      </c>
      <c r="D151" s="3">
        <v>483921422</v>
      </c>
      <c r="E151" s="309" t="s">
        <v>80</v>
      </c>
      <c r="F151" s="71">
        <v>0</v>
      </c>
      <c r="G151" s="71">
        <v>485114134</v>
      </c>
      <c r="H151" s="71">
        <v>485114134</v>
      </c>
      <c r="I151" s="309" t="s">
        <v>80</v>
      </c>
      <c r="J151" s="71">
        <v>0</v>
      </c>
      <c r="K151" s="71">
        <v>0</v>
      </c>
      <c r="L151" s="415">
        <v>0</v>
      </c>
      <c r="M151" s="402"/>
      <c r="N151" s="71">
        <v>0</v>
      </c>
      <c r="O151" s="71">
        <v>0</v>
      </c>
      <c r="P151" s="71">
        <v>0</v>
      </c>
      <c r="Q151" s="310" t="s">
        <v>80</v>
      </c>
      <c r="R151" s="71">
        <v>485114134</v>
      </c>
      <c r="S151" s="71">
        <v>0</v>
      </c>
      <c r="T151" s="71">
        <v>485114134</v>
      </c>
    </row>
    <row r="152" spans="1:20" outlineLevel="3" collapsed="1" x14ac:dyDescent="0.25">
      <c r="A152" s="410" t="s">
        <v>1597</v>
      </c>
      <c r="B152" s="402"/>
      <c r="C152" s="196" t="str">
        <f t="shared" si="2"/>
        <v>31-070800A</v>
      </c>
      <c r="D152" s="201">
        <v>483921422</v>
      </c>
      <c r="E152" s="202" t="s">
        <v>80</v>
      </c>
      <c r="F152" s="203">
        <v>0</v>
      </c>
      <c r="G152" s="204">
        <v>485114134</v>
      </c>
      <c r="H152" s="203">
        <v>485114134</v>
      </c>
      <c r="I152" s="202" t="s">
        <v>80</v>
      </c>
      <c r="J152" s="203">
        <v>0</v>
      </c>
      <c r="K152" s="205">
        <v>0</v>
      </c>
      <c r="L152" s="411">
        <v>0</v>
      </c>
      <c r="M152" s="402"/>
      <c r="N152" s="203">
        <v>0</v>
      </c>
      <c r="O152" s="203">
        <v>0</v>
      </c>
      <c r="P152" s="203">
        <v>0</v>
      </c>
      <c r="Q152" s="212" t="s">
        <v>80</v>
      </c>
      <c r="R152" s="203">
        <v>485114134</v>
      </c>
      <c r="S152" s="203">
        <v>0</v>
      </c>
      <c r="T152" s="203">
        <v>485114134</v>
      </c>
    </row>
    <row r="153" spans="1:20" outlineLevel="3" collapsed="1" x14ac:dyDescent="0.25">
      <c r="A153" s="410" t="s">
        <v>1598</v>
      </c>
      <c r="B153" s="402"/>
      <c r="C153" s="196" t="str">
        <f t="shared" si="2"/>
        <v>31-070800G</v>
      </c>
      <c r="D153" s="201">
        <v>0</v>
      </c>
      <c r="E153" s="202" t="s">
        <v>80</v>
      </c>
      <c r="F153" s="203">
        <v>0</v>
      </c>
      <c r="G153" s="204">
        <v>0</v>
      </c>
      <c r="H153" s="203">
        <v>0</v>
      </c>
      <c r="I153" s="202" t="s">
        <v>80</v>
      </c>
      <c r="J153" s="203">
        <v>0</v>
      </c>
      <c r="K153" s="205">
        <v>0</v>
      </c>
      <c r="L153" s="411">
        <v>0</v>
      </c>
      <c r="M153" s="402"/>
      <c r="N153" s="203">
        <v>0</v>
      </c>
      <c r="O153" s="203">
        <v>0</v>
      </c>
      <c r="P153" s="203">
        <v>0</v>
      </c>
      <c r="Q153" s="212" t="s">
        <v>80</v>
      </c>
      <c r="R153" s="203">
        <v>0</v>
      </c>
      <c r="S153" s="203">
        <v>0</v>
      </c>
      <c r="T153" s="203">
        <v>0</v>
      </c>
    </row>
    <row r="154" spans="1:20" outlineLevel="2" x14ac:dyDescent="0.25">
      <c r="A154" s="414" t="s">
        <v>1599</v>
      </c>
      <c r="B154" s="402"/>
      <c r="C154" s="196" t="str">
        <f t="shared" si="2"/>
        <v>Subcontrat</v>
      </c>
      <c r="D154" s="3">
        <v>1916610</v>
      </c>
      <c r="E154" s="309" t="s">
        <v>80</v>
      </c>
      <c r="F154" s="71">
        <v>0</v>
      </c>
      <c r="G154" s="71">
        <v>1921334</v>
      </c>
      <c r="H154" s="71">
        <v>1921334</v>
      </c>
      <c r="I154" s="309" t="s">
        <v>80</v>
      </c>
      <c r="J154" s="71">
        <v>0</v>
      </c>
      <c r="K154" s="71">
        <v>0</v>
      </c>
      <c r="L154" s="415">
        <v>0</v>
      </c>
      <c r="M154" s="402"/>
      <c r="N154" s="71">
        <v>0</v>
      </c>
      <c r="O154" s="71">
        <v>0</v>
      </c>
      <c r="P154" s="71">
        <v>0</v>
      </c>
      <c r="Q154" s="310" t="s">
        <v>80</v>
      </c>
      <c r="R154" s="71">
        <v>1921334</v>
      </c>
      <c r="S154" s="71">
        <v>0</v>
      </c>
      <c r="T154" s="71">
        <v>1921334</v>
      </c>
    </row>
    <row r="155" spans="1:20" outlineLevel="3" collapsed="1" x14ac:dyDescent="0.25">
      <c r="A155" s="410" t="s">
        <v>1600</v>
      </c>
      <c r="B155" s="402"/>
      <c r="C155" s="196" t="str">
        <f t="shared" si="2"/>
        <v>31-084600A</v>
      </c>
      <c r="D155" s="201">
        <v>1916610</v>
      </c>
      <c r="E155" s="202" t="s">
        <v>80</v>
      </c>
      <c r="F155" s="203">
        <v>0</v>
      </c>
      <c r="G155" s="204">
        <v>1921334</v>
      </c>
      <c r="H155" s="203">
        <v>1921334</v>
      </c>
      <c r="I155" s="202" t="s">
        <v>80</v>
      </c>
      <c r="J155" s="203">
        <v>0</v>
      </c>
      <c r="K155" s="205">
        <v>0</v>
      </c>
      <c r="L155" s="411">
        <v>0</v>
      </c>
      <c r="M155" s="402"/>
      <c r="N155" s="203">
        <v>0</v>
      </c>
      <c r="O155" s="203">
        <v>0</v>
      </c>
      <c r="P155" s="203">
        <v>0</v>
      </c>
      <c r="Q155" s="212" t="s">
        <v>80</v>
      </c>
      <c r="R155" s="203">
        <v>1921334</v>
      </c>
      <c r="S155" s="203">
        <v>0</v>
      </c>
      <c r="T155" s="203">
        <v>1921334</v>
      </c>
    </row>
    <row r="156" spans="1:20" outlineLevel="3" collapsed="1" x14ac:dyDescent="0.25">
      <c r="A156" s="410" t="s">
        <v>1601</v>
      </c>
      <c r="B156" s="402"/>
      <c r="C156" s="196" t="str">
        <f t="shared" si="2"/>
        <v>31-084600G</v>
      </c>
      <c r="D156" s="201">
        <v>0</v>
      </c>
      <c r="E156" s="202" t="s">
        <v>80</v>
      </c>
      <c r="F156" s="203">
        <v>0</v>
      </c>
      <c r="G156" s="204">
        <v>0</v>
      </c>
      <c r="H156" s="203">
        <v>0</v>
      </c>
      <c r="I156" s="202" t="s">
        <v>80</v>
      </c>
      <c r="J156" s="203">
        <v>0</v>
      </c>
      <c r="K156" s="205">
        <v>0</v>
      </c>
      <c r="L156" s="411">
        <v>0</v>
      </c>
      <c r="M156" s="402"/>
      <c r="N156" s="203">
        <v>0</v>
      </c>
      <c r="O156" s="203">
        <v>0</v>
      </c>
      <c r="P156" s="203">
        <v>0</v>
      </c>
      <c r="Q156" s="212" t="s">
        <v>80</v>
      </c>
      <c r="R156" s="203">
        <v>0</v>
      </c>
      <c r="S156" s="203">
        <v>0</v>
      </c>
      <c r="T156" s="203">
        <v>0</v>
      </c>
    </row>
    <row r="157" spans="1:20" x14ac:dyDescent="0.25">
      <c r="A157" s="420" t="s">
        <v>1602</v>
      </c>
      <c r="B157" s="402"/>
      <c r="C157" s="196" t="str">
        <f t="shared" si="2"/>
        <v xml:space="preserve"> INDIRECTO</v>
      </c>
      <c r="D157" s="1">
        <v>19548063264</v>
      </c>
      <c r="E157" s="308" t="s">
        <v>80</v>
      </c>
      <c r="F157" s="12">
        <v>687988858</v>
      </c>
      <c r="G157" s="12">
        <v>19128295773</v>
      </c>
      <c r="H157" s="12">
        <v>19816284631</v>
      </c>
      <c r="I157" s="308" t="s">
        <v>80</v>
      </c>
      <c r="J157" s="11">
        <v>532496050</v>
      </c>
      <c r="K157" s="11">
        <v>210211398</v>
      </c>
      <c r="L157" s="421">
        <v>179157277.05000001</v>
      </c>
      <c r="M157" s="402"/>
      <c r="N157" s="11">
        <v>0</v>
      </c>
      <c r="O157" s="11">
        <v>389368675.05000001</v>
      </c>
      <c r="P157" s="11">
        <v>921864725.04999995</v>
      </c>
      <c r="Q157" s="271" t="s">
        <v>80</v>
      </c>
      <c r="R157" s="12">
        <v>19816284631</v>
      </c>
      <c r="S157" s="11">
        <v>921864725.04999995</v>
      </c>
      <c r="T157" s="2">
        <v>18894419905.950001</v>
      </c>
    </row>
    <row r="158" spans="1:20" outlineLevel="1" x14ac:dyDescent="0.25">
      <c r="A158" s="412" t="s">
        <v>205</v>
      </c>
      <c r="B158" s="402"/>
      <c r="C158" s="196" t="str">
        <f t="shared" si="2"/>
        <v>ANO DE OBR</v>
      </c>
      <c r="D158" s="197">
        <v>11626339448</v>
      </c>
      <c r="E158" s="196" t="s">
        <v>80</v>
      </c>
      <c r="F158" s="198">
        <v>415833496</v>
      </c>
      <c r="G158" s="198">
        <v>11412330667</v>
      </c>
      <c r="H158" s="198">
        <v>11828164163</v>
      </c>
      <c r="I158" s="196" t="s">
        <v>80</v>
      </c>
      <c r="J158" s="214">
        <v>424483856</v>
      </c>
      <c r="K158" s="214">
        <v>5672319</v>
      </c>
      <c r="L158" s="413">
        <v>131800</v>
      </c>
      <c r="M158" s="402"/>
      <c r="N158" s="214">
        <v>0</v>
      </c>
      <c r="O158" s="214">
        <v>5804119</v>
      </c>
      <c r="P158" s="214">
        <v>430287975</v>
      </c>
      <c r="Q158" s="199" t="s">
        <v>80</v>
      </c>
      <c r="R158" s="198">
        <v>11828164163</v>
      </c>
      <c r="S158" s="214">
        <v>430287975</v>
      </c>
      <c r="T158" s="200">
        <v>11397876188</v>
      </c>
    </row>
    <row r="159" spans="1:20" outlineLevel="2" x14ac:dyDescent="0.25">
      <c r="A159" s="414" t="s">
        <v>1603</v>
      </c>
      <c r="B159" s="402"/>
      <c r="C159" s="196" t="str">
        <f t="shared" si="2"/>
        <v>Staff Supe</v>
      </c>
      <c r="D159" s="3">
        <v>2650904307</v>
      </c>
      <c r="E159" s="309" t="s">
        <v>80</v>
      </c>
      <c r="F159" s="71">
        <v>297510383</v>
      </c>
      <c r="G159" s="71">
        <v>2416561711</v>
      </c>
      <c r="H159" s="71">
        <v>2714072094</v>
      </c>
      <c r="I159" s="309" t="s">
        <v>80</v>
      </c>
      <c r="J159" s="71">
        <v>187050436</v>
      </c>
      <c r="K159" s="71">
        <v>0</v>
      </c>
      <c r="L159" s="415">
        <v>0</v>
      </c>
      <c r="M159" s="402"/>
      <c r="N159" s="71">
        <v>0</v>
      </c>
      <c r="O159" s="71">
        <v>0</v>
      </c>
      <c r="P159" s="71">
        <v>187050436</v>
      </c>
      <c r="Q159" s="310" t="s">
        <v>80</v>
      </c>
      <c r="R159" s="71">
        <v>2714072094</v>
      </c>
      <c r="S159" s="71">
        <v>187050436</v>
      </c>
      <c r="T159" s="71">
        <v>2527021658</v>
      </c>
    </row>
    <row r="160" spans="1:20" outlineLevel="3" collapsed="1" x14ac:dyDescent="0.25">
      <c r="A160" s="410" t="s">
        <v>1604</v>
      </c>
      <c r="B160" s="402"/>
      <c r="C160" s="196" t="str">
        <f t="shared" si="2"/>
        <v>12-510100G</v>
      </c>
      <c r="D160" s="201">
        <v>2650904307</v>
      </c>
      <c r="E160" s="202" t="s">
        <v>80</v>
      </c>
      <c r="F160" s="203">
        <v>297510383</v>
      </c>
      <c r="G160" s="204">
        <v>2416561711</v>
      </c>
      <c r="H160" s="203">
        <v>2714072094</v>
      </c>
      <c r="I160" s="202" t="s">
        <v>80</v>
      </c>
      <c r="J160" s="203">
        <v>182627191</v>
      </c>
      <c r="K160" s="205">
        <v>0</v>
      </c>
      <c r="L160" s="411">
        <v>0</v>
      </c>
      <c r="M160" s="402"/>
      <c r="N160" s="203">
        <v>0</v>
      </c>
      <c r="O160" s="203">
        <v>0</v>
      </c>
      <c r="P160" s="203">
        <v>182627191</v>
      </c>
      <c r="Q160" s="212" t="s">
        <v>80</v>
      </c>
      <c r="R160" s="203">
        <v>2714072094</v>
      </c>
      <c r="S160" s="203">
        <v>182627191</v>
      </c>
      <c r="T160" s="203">
        <v>2531444903</v>
      </c>
    </row>
    <row r="161" spans="1:20" outlineLevel="3" collapsed="1" x14ac:dyDescent="0.25">
      <c r="A161" s="410" t="s">
        <v>1605</v>
      </c>
      <c r="B161" s="402"/>
      <c r="C161" s="196" t="str">
        <f t="shared" si="2"/>
        <v>12-600100G</v>
      </c>
      <c r="D161" s="201">
        <v>0</v>
      </c>
      <c r="E161" s="202" t="s">
        <v>80</v>
      </c>
      <c r="F161" s="203">
        <v>0</v>
      </c>
      <c r="G161" s="204">
        <v>0</v>
      </c>
      <c r="H161" s="203">
        <v>0</v>
      </c>
      <c r="I161" s="202" t="s">
        <v>80</v>
      </c>
      <c r="J161" s="203">
        <v>4423245</v>
      </c>
      <c r="K161" s="205">
        <v>0</v>
      </c>
      <c r="L161" s="411">
        <v>0</v>
      </c>
      <c r="M161" s="402"/>
      <c r="N161" s="203">
        <v>0</v>
      </c>
      <c r="O161" s="203">
        <v>0</v>
      </c>
      <c r="P161" s="203">
        <v>4423245</v>
      </c>
      <c r="Q161" s="212" t="s">
        <v>80</v>
      </c>
      <c r="R161" s="203">
        <v>0</v>
      </c>
      <c r="S161" s="203">
        <v>4423245</v>
      </c>
      <c r="T161" s="203">
        <v>-4423245</v>
      </c>
    </row>
    <row r="162" spans="1:20" outlineLevel="3" collapsed="1" x14ac:dyDescent="0.25">
      <c r="A162" s="410" t="s">
        <v>1606</v>
      </c>
      <c r="B162" s="402"/>
      <c r="C162" s="196" t="str">
        <f t="shared" si="2"/>
        <v>12-600200G</v>
      </c>
      <c r="D162" s="201">
        <v>0</v>
      </c>
      <c r="E162" s="202" t="s">
        <v>80</v>
      </c>
      <c r="F162" s="203">
        <v>0</v>
      </c>
      <c r="G162" s="204">
        <v>0</v>
      </c>
      <c r="H162" s="203">
        <v>0</v>
      </c>
      <c r="I162" s="202" t="s">
        <v>80</v>
      </c>
      <c r="J162" s="203">
        <v>0</v>
      </c>
      <c r="K162" s="205">
        <v>0</v>
      </c>
      <c r="L162" s="411">
        <v>0</v>
      </c>
      <c r="M162" s="402"/>
      <c r="N162" s="203">
        <v>0</v>
      </c>
      <c r="O162" s="203">
        <v>0</v>
      </c>
      <c r="P162" s="203">
        <v>0</v>
      </c>
      <c r="Q162" s="212" t="s">
        <v>80</v>
      </c>
      <c r="R162" s="203">
        <v>0</v>
      </c>
      <c r="S162" s="203">
        <v>0</v>
      </c>
      <c r="T162" s="203">
        <v>0</v>
      </c>
    </row>
    <row r="163" spans="1:20" outlineLevel="2" x14ac:dyDescent="0.25">
      <c r="A163" s="414" t="s">
        <v>1607</v>
      </c>
      <c r="B163" s="402"/>
      <c r="C163" s="196" t="str">
        <f t="shared" si="2"/>
        <v>Oficina Té</v>
      </c>
      <c r="D163" s="3">
        <v>1023028199</v>
      </c>
      <c r="E163" s="309" t="s">
        <v>80</v>
      </c>
      <c r="F163" s="71">
        <v>11003558</v>
      </c>
      <c r="G163" s="71">
        <v>1039843080</v>
      </c>
      <c r="H163" s="71">
        <v>1050846638</v>
      </c>
      <c r="I163" s="309" t="s">
        <v>80</v>
      </c>
      <c r="J163" s="71">
        <v>73492012</v>
      </c>
      <c r="K163" s="71">
        <v>0</v>
      </c>
      <c r="L163" s="415">
        <v>0</v>
      </c>
      <c r="M163" s="402"/>
      <c r="N163" s="71">
        <v>0</v>
      </c>
      <c r="O163" s="71">
        <v>0</v>
      </c>
      <c r="P163" s="71">
        <v>73492012</v>
      </c>
      <c r="Q163" s="310" t="s">
        <v>80</v>
      </c>
      <c r="R163" s="71">
        <v>1050846638</v>
      </c>
      <c r="S163" s="71">
        <v>73492012</v>
      </c>
      <c r="T163" s="71">
        <v>977354626</v>
      </c>
    </row>
    <row r="164" spans="1:20" outlineLevel="3" collapsed="1" x14ac:dyDescent="0.25">
      <c r="A164" s="410" t="s">
        <v>1608</v>
      </c>
      <c r="B164" s="402"/>
      <c r="C164" s="196" t="str">
        <f t="shared" si="2"/>
        <v>12-520100G</v>
      </c>
      <c r="D164" s="201">
        <v>1023028199</v>
      </c>
      <c r="E164" s="202" t="s">
        <v>80</v>
      </c>
      <c r="F164" s="203">
        <v>11003558</v>
      </c>
      <c r="G164" s="204">
        <v>1039843080</v>
      </c>
      <c r="H164" s="203">
        <v>1050846638</v>
      </c>
      <c r="I164" s="202" t="s">
        <v>80</v>
      </c>
      <c r="J164" s="203">
        <v>73492012</v>
      </c>
      <c r="K164" s="205">
        <v>0</v>
      </c>
      <c r="L164" s="411">
        <v>0</v>
      </c>
      <c r="M164" s="402"/>
      <c r="N164" s="203">
        <v>0</v>
      </c>
      <c r="O164" s="203">
        <v>0</v>
      </c>
      <c r="P164" s="203">
        <v>73492012</v>
      </c>
      <c r="Q164" s="212" t="s">
        <v>80</v>
      </c>
      <c r="R164" s="203">
        <v>1050846638</v>
      </c>
      <c r="S164" s="203">
        <v>73492012</v>
      </c>
      <c r="T164" s="203">
        <v>977354626</v>
      </c>
    </row>
    <row r="165" spans="1:20" outlineLevel="2" x14ac:dyDescent="0.25">
      <c r="A165" s="414" t="s">
        <v>1609</v>
      </c>
      <c r="B165" s="402"/>
      <c r="C165" s="196" t="str">
        <f t="shared" si="2"/>
        <v>Supervisió</v>
      </c>
      <c r="D165" s="3">
        <v>2262958913</v>
      </c>
      <c r="E165" s="309" t="s">
        <v>80</v>
      </c>
      <c r="F165" s="71">
        <v>7192291</v>
      </c>
      <c r="G165" s="71">
        <v>2270014787</v>
      </c>
      <c r="H165" s="71">
        <v>2277207078</v>
      </c>
      <c r="I165" s="309" t="s">
        <v>80</v>
      </c>
      <c r="J165" s="71">
        <v>16524772</v>
      </c>
      <c r="K165" s="71">
        <v>0</v>
      </c>
      <c r="L165" s="415">
        <v>0</v>
      </c>
      <c r="M165" s="402"/>
      <c r="N165" s="71">
        <v>0</v>
      </c>
      <c r="O165" s="71">
        <v>0</v>
      </c>
      <c r="P165" s="71">
        <v>16524772</v>
      </c>
      <c r="Q165" s="310" t="s">
        <v>80</v>
      </c>
      <c r="R165" s="71">
        <v>2277207078</v>
      </c>
      <c r="S165" s="71">
        <v>16524772</v>
      </c>
      <c r="T165" s="71">
        <v>2260682306</v>
      </c>
    </row>
    <row r="166" spans="1:20" outlineLevel="3" collapsed="1" x14ac:dyDescent="0.25">
      <c r="A166" s="410" t="s">
        <v>1610</v>
      </c>
      <c r="B166" s="402"/>
      <c r="C166" s="196" t="str">
        <f t="shared" si="2"/>
        <v>12-530100G</v>
      </c>
      <c r="D166" s="201">
        <v>2262958913</v>
      </c>
      <c r="E166" s="202" t="s">
        <v>80</v>
      </c>
      <c r="F166" s="203">
        <v>7192291</v>
      </c>
      <c r="G166" s="204">
        <v>2270014787</v>
      </c>
      <c r="H166" s="203">
        <v>2277207078</v>
      </c>
      <c r="I166" s="202" t="s">
        <v>80</v>
      </c>
      <c r="J166" s="203">
        <v>16524772</v>
      </c>
      <c r="K166" s="205">
        <v>0</v>
      </c>
      <c r="L166" s="411">
        <v>0</v>
      </c>
      <c r="M166" s="402"/>
      <c r="N166" s="203">
        <v>0</v>
      </c>
      <c r="O166" s="203">
        <v>0</v>
      </c>
      <c r="P166" s="203">
        <v>16524772</v>
      </c>
      <c r="Q166" s="212" t="s">
        <v>80</v>
      </c>
      <c r="R166" s="203">
        <v>2277207078</v>
      </c>
      <c r="S166" s="203">
        <v>16524772</v>
      </c>
      <c r="T166" s="203">
        <v>2260682306</v>
      </c>
    </row>
    <row r="167" spans="1:20" outlineLevel="2" x14ac:dyDescent="0.25">
      <c r="A167" s="414" t="s">
        <v>1611</v>
      </c>
      <c r="B167" s="402"/>
      <c r="C167" s="196" t="str">
        <f t="shared" si="2"/>
        <v>Administra</v>
      </c>
      <c r="D167" s="3">
        <v>356009950</v>
      </c>
      <c r="E167" s="309" t="s">
        <v>80</v>
      </c>
      <c r="F167" s="71">
        <v>876051</v>
      </c>
      <c r="G167" s="71">
        <v>366825561</v>
      </c>
      <c r="H167" s="71">
        <v>367701612</v>
      </c>
      <c r="I167" s="309" t="s">
        <v>80</v>
      </c>
      <c r="J167" s="71">
        <v>17338026</v>
      </c>
      <c r="K167" s="71">
        <v>0</v>
      </c>
      <c r="L167" s="415">
        <v>0</v>
      </c>
      <c r="M167" s="402"/>
      <c r="N167" s="71">
        <v>0</v>
      </c>
      <c r="O167" s="71">
        <v>0</v>
      </c>
      <c r="P167" s="71">
        <v>17338026</v>
      </c>
      <c r="Q167" s="310" t="s">
        <v>80</v>
      </c>
      <c r="R167" s="71">
        <v>367701612</v>
      </c>
      <c r="S167" s="71">
        <v>17338026</v>
      </c>
      <c r="T167" s="71">
        <v>350363586</v>
      </c>
    </row>
    <row r="168" spans="1:20" outlineLevel="3" collapsed="1" x14ac:dyDescent="0.25">
      <c r="A168" s="410" t="s">
        <v>1612</v>
      </c>
      <c r="B168" s="402"/>
      <c r="C168" s="196" t="str">
        <f t="shared" si="2"/>
        <v>12-540100G</v>
      </c>
      <c r="D168" s="201">
        <v>356009950</v>
      </c>
      <c r="E168" s="202" t="s">
        <v>80</v>
      </c>
      <c r="F168" s="203">
        <v>876051</v>
      </c>
      <c r="G168" s="204">
        <v>366825561</v>
      </c>
      <c r="H168" s="203">
        <v>367701612</v>
      </c>
      <c r="I168" s="202" t="s">
        <v>80</v>
      </c>
      <c r="J168" s="203">
        <v>17338026</v>
      </c>
      <c r="K168" s="205">
        <v>0</v>
      </c>
      <c r="L168" s="411">
        <v>0</v>
      </c>
      <c r="M168" s="402"/>
      <c r="N168" s="203">
        <v>0</v>
      </c>
      <c r="O168" s="203">
        <v>0</v>
      </c>
      <c r="P168" s="203">
        <v>17338026</v>
      </c>
      <c r="Q168" s="212" t="s">
        <v>80</v>
      </c>
      <c r="R168" s="203">
        <v>367701612</v>
      </c>
      <c r="S168" s="203">
        <v>17338026</v>
      </c>
      <c r="T168" s="203">
        <v>350363586</v>
      </c>
    </row>
    <row r="169" spans="1:20" outlineLevel="2" x14ac:dyDescent="0.25">
      <c r="A169" s="414" t="s">
        <v>1613</v>
      </c>
      <c r="B169" s="402"/>
      <c r="C169" s="196" t="str">
        <f t="shared" si="2"/>
        <v xml:space="preserve">Seguridad </v>
      </c>
      <c r="D169" s="3">
        <v>910193161</v>
      </c>
      <c r="E169" s="309" t="s">
        <v>80</v>
      </c>
      <c r="F169" s="71">
        <v>5446149</v>
      </c>
      <c r="G169" s="71">
        <v>921449858</v>
      </c>
      <c r="H169" s="71">
        <v>926896007</v>
      </c>
      <c r="I169" s="309" t="s">
        <v>80</v>
      </c>
      <c r="J169" s="71">
        <v>34752716</v>
      </c>
      <c r="K169" s="71">
        <v>0</v>
      </c>
      <c r="L169" s="415">
        <v>0</v>
      </c>
      <c r="M169" s="402"/>
      <c r="N169" s="71">
        <v>0</v>
      </c>
      <c r="O169" s="71">
        <v>0</v>
      </c>
      <c r="P169" s="71">
        <v>34752716</v>
      </c>
      <c r="Q169" s="310" t="s">
        <v>80</v>
      </c>
      <c r="R169" s="71">
        <v>926896007</v>
      </c>
      <c r="S169" s="71">
        <v>34752716</v>
      </c>
      <c r="T169" s="71">
        <v>892143291</v>
      </c>
    </row>
    <row r="170" spans="1:20" outlineLevel="3" collapsed="1" x14ac:dyDescent="0.25">
      <c r="A170" s="410" t="s">
        <v>1614</v>
      </c>
      <c r="B170" s="402"/>
      <c r="C170" s="196" t="str">
        <f t="shared" si="2"/>
        <v>12-550100G</v>
      </c>
      <c r="D170" s="201">
        <v>910193161</v>
      </c>
      <c r="E170" s="202" t="s">
        <v>80</v>
      </c>
      <c r="F170" s="203">
        <v>5446149</v>
      </c>
      <c r="G170" s="204">
        <v>921449858</v>
      </c>
      <c r="H170" s="203">
        <v>926896007</v>
      </c>
      <c r="I170" s="202" t="s">
        <v>80</v>
      </c>
      <c r="J170" s="203">
        <v>34752716</v>
      </c>
      <c r="K170" s="205">
        <v>0</v>
      </c>
      <c r="L170" s="411">
        <v>0</v>
      </c>
      <c r="M170" s="402"/>
      <c r="N170" s="203">
        <v>0</v>
      </c>
      <c r="O170" s="203">
        <v>0</v>
      </c>
      <c r="P170" s="203">
        <v>34752716</v>
      </c>
      <c r="Q170" s="212" t="s">
        <v>80</v>
      </c>
      <c r="R170" s="203">
        <v>926896007</v>
      </c>
      <c r="S170" s="203">
        <v>34752716</v>
      </c>
      <c r="T170" s="203">
        <v>892143291</v>
      </c>
    </row>
    <row r="171" spans="1:20" outlineLevel="2" x14ac:dyDescent="0.25">
      <c r="A171" s="414" t="s">
        <v>1615</v>
      </c>
      <c r="B171" s="402"/>
      <c r="C171" s="196" t="str">
        <f t="shared" si="2"/>
        <v>Control de</v>
      </c>
      <c r="D171" s="3">
        <v>455086104</v>
      </c>
      <c r="E171" s="309" t="s">
        <v>80</v>
      </c>
      <c r="F171" s="71">
        <v>0</v>
      </c>
      <c r="G171" s="71">
        <v>457284617</v>
      </c>
      <c r="H171" s="71">
        <v>457284617</v>
      </c>
      <c r="I171" s="309" t="s">
        <v>80</v>
      </c>
      <c r="J171" s="71">
        <v>0</v>
      </c>
      <c r="K171" s="71">
        <v>0</v>
      </c>
      <c r="L171" s="415">
        <v>0</v>
      </c>
      <c r="M171" s="402"/>
      <c r="N171" s="71">
        <v>0</v>
      </c>
      <c r="O171" s="71">
        <v>0</v>
      </c>
      <c r="P171" s="71">
        <v>0</v>
      </c>
      <c r="Q171" s="310" t="s">
        <v>80</v>
      </c>
      <c r="R171" s="71">
        <v>457284617</v>
      </c>
      <c r="S171" s="71">
        <v>0</v>
      </c>
      <c r="T171" s="71">
        <v>457284617</v>
      </c>
    </row>
    <row r="172" spans="1:20" outlineLevel="3" collapsed="1" x14ac:dyDescent="0.25">
      <c r="A172" s="410" t="s">
        <v>1616</v>
      </c>
      <c r="B172" s="402"/>
      <c r="C172" s="196" t="str">
        <f t="shared" si="2"/>
        <v>12-560100G</v>
      </c>
      <c r="D172" s="201">
        <v>455086104</v>
      </c>
      <c r="E172" s="202" t="s">
        <v>80</v>
      </c>
      <c r="F172" s="203">
        <v>0</v>
      </c>
      <c r="G172" s="204">
        <v>457284617</v>
      </c>
      <c r="H172" s="203">
        <v>457284617</v>
      </c>
      <c r="I172" s="202" t="s">
        <v>80</v>
      </c>
      <c r="J172" s="203">
        <v>0</v>
      </c>
      <c r="K172" s="205">
        <v>0</v>
      </c>
      <c r="L172" s="411">
        <v>0</v>
      </c>
      <c r="M172" s="402"/>
      <c r="N172" s="203">
        <v>0</v>
      </c>
      <c r="O172" s="203">
        <v>0</v>
      </c>
      <c r="P172" s="203">
        <v>0</v>
      </c>
      <c r="Q172" s="212" t="s">
        <v>80</v>
      </c>
      <c r="R172" s="203">
        <v>457284617</v>
      </c>
      <c r="S172" s="203">
        <v>0</v>
      </c>
      <c r="T172" s="203">
        <v>457284617</v>
      </c>
    </row>
    <row r="173" spans="1:20" outlineLevel="2" x14ac:dyDescent="0.25">
      <c r="A173" s="414" t="s">
        <v>1617</v>
      </c>
      <c r="B173" s="402"/>
      <c r="C173" s="196" t="str">
        <f t="shared" si="2"/>
        <v>Servicios</v>
      </c>
      <c r="D173" s="3">
        <v>658243815</v>
      </c>
      <c r="E173" s="309" t="s">
        <v>80</v>
      </c>
      <c r="F173" s="71">
        <v>4084611</v>
      </c>
      <c r="G173" s="71">
        <v>689808266</v>
      </c>
      <c r="H173" s="71">
        <v>693892877</v>
      </c>
      <c r="I173" s="309" t="s">
        <v>80</v>
      </c>
      <c r="J173" s="71">
        <v>31369430</v>
      </c>
      <c r="K173" s="71">
        <v>0</v>
      </c>
      <c r="L173" s="415">
        <v>0</v>
      </c>
      <c r="M173" s="402"/>
      <c r="N173" s="71">
        <v>0</v>
      </c>
      <c r="O173" s="71">
        <v>0</v>
      </c>
      <c r="P173" s="71">
        <v>31369430</v>
      </c>
      <c r="Q173" s="310" t="s">
        <v>80</v>
      </c>
      <c r="R173" s="71">
        <v>693892877</v>
      </c>
      <c r="S173" s="71">
        <v>31369430</v>
      </c>
      <c r="T173" s="71">
        <v>662523447</v>
      </c>
    </row>
    <row r="174" spans="1:20" outlineLevel="3" collapsed="1" x14ac:dyDescent="0.25">
      <c r="A174" s="410" t="s">
        <v>1618</v>
      </c>
      <c r="B174" s="402"/>
      <c r="C174" s="196" t="str">
        <f t="shared" si="2"/>
        <v>12-570100G</v>
      </c>
      <c r="D174" s="201">
        <v>658243815</v>
      </c>
      <c r="E174" s="202" t="s">
        <v>80</v>
      </c>
      <c r="F174" s="203">
        <v>4084611</v>
      </c>
      <c r="G174" s="204">
        <v>689808266</v>
      </c>
      <c r="H174" s="203">
        <v>693892877</v>
      </c>
      <c r="I174" s="202" t="s">
        <v>80</v>
      </c>
      <c r="J174" s="203">
        <v>30722107</v>
      </c>
      <c r="K174" s="205">
        <v>0</v>
      </c>
      <c r="L174" s="411">
        <v>0</v>
      </c>
      <c r="M174" s="402"/>
      <c r="N174" s="203">
        <v>0</v>
      </c>
      <c r="O174" s="203">
        <v>0</v>
      </c>
      <c r="P174" s="203">
        <v>30722107</v>
      </c>
      <c r="Q174" s="212" t="s">
        <v>80</v>
      </c>
      <c r="R174" s="203">
        <v>693892877</v>
      </c>
      <c r="S174" s="203">
        <v>30722107</v>
      </c>
      <c r="T174" s="203">
        <v>663170770</v>
      </c>
    </row>
    <row r="175" spans="1:20" outlineLevel="3" collapsed="1" x14ac:dyDescent="0.25">
      <c r="A175" s="410" t="s">
        <v>1619</v>
      </c>
      <c r="B175" s="402"/>
      <c r="C175" s="196" t="str">
        <f t="shared" si="2"/>
        <v>12-999999G</v>
      </c>
      <c r="D175" s="201">
        <v>0</v>
      </c>
      <c r="E175" s="202" t="s">
        <v>80</v>
      </c>
      <c r="F175" s="203">
        <v>0</v>
      </c>
      <c r="G175" s="204">
        <v>0</v>
      </c>
      <c r="H175" s="203">
        <v>0</v>
      </c>
      <c r="I175" s="202" t="s">
        <v>80</v>
      </c>
      <c r="J175" s="203">
        <v>647323</v>
      </c>
      <c r="K175" s="205">
        <v>0</v>
      </c>
      <c r="L175" s="411">
        <v>0</v>
      </c>
      <c r="M175" s="402"/>
      <c r="N175" s="203">
        <v>0</v>
      </c>
      <c r="O175" s="203">
        <v>0</v>
      </c>
      <c r="P175" s="203">
        <v>647323</v>
      </c>
      <c r="Q175" s="212" t="s">
        <v>80</v>
      </c>
      <c r="R175" s="203">
        <v>0</v>
      </c>
      <c r="S175" s="203">
        <v>647323</v>
      </c>
      <c r="T175" s="203">
        <v>-647323</v>
      </c>
    </row>
    <row r="176" spans="1:20" outlineLevel="2" x14ac:dyDescent="0.25">
      <c r="A176" s="414" t="s">
        <v>1620</v>
      </c>
      <c r="B176" s="402"/>
      <c r="C176" s="196" t="str">
        <f t="shared" si="2"/>
        <v>Topografía</v>
      </c>
      <c r="D176" s="3">
        <v>633099827</v>
      </c>
      <c r="E176" s="309" t="s">
        <v>80</v>
      </c>
      <c r="F176" s="71">
        <v>0</v>
      </c>
      <c r="G176" s="71">
        <v>637439375</v>
      </c>
      <c r="H176" s="71">
        <v>637439375</v>
      </c>
      <c r="I176" s="309" t="s">
        <v>80</v>
      </c>
      <c r="J176" s="71">
        <v>352517</v>
      </c>
      <c r="K176" s="71">
        <v>0</v>
      </c>
      <c r="L176" s="415">
        <v>0</v>
      </c>
      <c r="M176" s="402"/>
      <c r="N176" s="71">
        <v>0</v>
      </c>
      <c r="O176" s="71">
        <v>0</v>
      </c>
      <c r="P176" s="71">
        <v>352517</v>
      </c>
      <c r="Q176" s="310" t="s">
        <v>80</v>
      </c>
      <c r="R176" s="71">
        <v>637439375</v>
      </c>
      <c r="S176" s="71">
        <v>352517</v>
      </c>
      <c r="T176" s="71">
        <v>637086858</v>
      </c>
    </row>
    <row r="177" spans="1:20" outlineLevel="3" collapsed="1" x14ac:dyDescent="0.25">
      <c r="A177" s="410" t="s">
        <v>1621</v>
      </c>
      <c r="B177" s="402"/>
      <c r="C177" s="196" t="str">
        <f t="shared" si="2"/>
        <v>12-590200G</v>
      </c>
      <c r="D177" s="201">
        <v>633099827</v>
      </c>
      <c r="E177" s="202" t="s">
        <v>80</v>
      </c>
      <c r="F177" s="203">
        <v>0</v>
      </c>
      <c r="G177" s="204">
        <v>637439375</v>
      </c>
      <c r="H177" s="203">
        <v>637439375</v>
      </c>
      <c r="I177" s="202" t="s">
        <v>80</v>
      </c>
      <c r="J177" s="203">
        <v>352517</v>
      </c>
      <c r="K177" s="205">
        <v>0</v>
      </c>
      <c r="L177" s="411">
        <v>0</v>
      </c>
      <c r="M177" s="402"/>
      <c r="N177" s="203">
        <v>0</v>
      </c>
      <c r="O177" s="203">
        <v>0</v>
      </c>
      <c r="P177" s="203">
        <v>352517</v>
      </c>
      <c r="Q177" s="212" t="s">
        <v>80</v>
      </c>
      <c r="R177" s="203">
        <v>637439375</v>
      </c>
      <c r="S177" s="203">
        <v>352517</v>
      </c>
      <c r="T177" s="203">
        <v>637086858</v>
      </c>
    </row>
    <row r="178" spans="1:20" outlineLevel="2" x14ac:dyDescent="0.25">
      <c r="A178" s="414" t="s">
        <v>1622</v>
      </c>
      <c r="B178" s="402"/>
      <c r="C178" s="196" t="str">
        <f t="shared" si="2"/>
        <v>Movilizaci</v>
      </c>
      <c r="D178" s="3">
        <v>1612765667</v>
      </c>
      <c r="E178" s="309" t="s">
        <v>80</v>
      </c>
      <c r="F178" s="71">
        <v>70518781</v>
      </c>
      <c r="G178" s="71">
        <v>1555678716</v>
      </c>
      <c r="H178" s="71">
        <v>1626197497</v>
      </c>
      <c r="I178" s="309" t="s">
        <v>80</v>
      </c>
      <c r="J178" s="71">
        <v>46772446</v>
      </c>
      <c r="K178" s="71">
        <v>5672319</v>
      </c>
      <c r="L178" s="415">
        <v>54300</v>
      </c>
      <c r="M178" s="402"/>
      <c r="N178" s="71">
        <v>0</v>
      </c>
      <c r="O178" s="71">
        <v>5726619</v>
      </c>
      <c r="P178" s="71">
        <v>52499065</v>
      </c>
      <c r="Q178" s="310" t="s">
        <v>80</v>
      </c>
      <c r="R178" s="71">
        <v>1626197497</v>
      </c>
      <c r="S178" s="71">
        <v>52499065</v>
      </c>
      <c r="T178" s="71">
        <v>1573698432</v>
      </c>
    </row>
    <row r="179" spans="1:20" outlineLevel="3" collapsed="1" x14ac:dyDescent="0.25">
      <c r="A179" s="410" t="s">
        <v>1623</v>
      </c>
      <c r="B179" s="402"/>
      <c r="C179" s="196" t="str">
        <f t="shared" si="2"/>
        <v>12-580100A</v>
      </c>
      <c r="D179" s="201">
        <v>1612765667</v>
      </c>
      <c r="E179" s="202" t="s">
        <v>80</v>
      </c>
      <c r="F179" s="203">
        <v>70518781</v>
      </c>
      <c r="G179" s="204">
        <v>1555678716</v>
      </c>
      <c r="H179" s="203">
        <v>1626197497</v>
      </c>
      <c r="I179" s="202" t="s">
        <v>80</v>
      </c>
      <c r="J179" s="203">
        <v>46772446</v>
      </c>
      <c r="K179" s="205">
        <v>5672319</v>
      </c>
      <c r="L179" s="411">
        <v>54300</v>
      </c>
      <c r="M179" s="402"/>
      <c r="N179" s="203">
        <v>0</v>
      </c>
      <c r="O179" s="203">
        <v>5726619</v>
      </c>
      <c r="P179" s="203">
        <v>52499065</v>
      </c>
      <c r="Q179" s="212" t="s">
        <v>80</v>
      </c>
      <c r="R179" s="203">
        <v>1626197497</v>
      </c>
      <c r="S179" s="203">
        <v>52499065</v>
      </c>
      <c r="T179" s="203">
        <v>1573698432</v>
      </c>
    </row>
    <row r="180" spans="1:20" outlineLevel="2" x14ac:dyDescent="0.25">
      <c r="A180" s="414" t="s">
        <v>1624</v>
      </c>
      <c r="B180" s="402"/>
      <c r="C180" s="196" t="str">
        <f t="shared" si="2"/>
        <v xml:space="preserve">Pensión y </v>
      </c>
      <c r="D180" s="3">
        <v>1064049505</v>
      </c>
      <c r="E180" s="309" t="s">
        <v>80</v>
      </c>
      <c r="F180" s="71">
        <v>19201672</v>
      </c>
      <c r="G180" s="71">
        <v>1057424696</v>
      </c>
      <c r="H180" s="71">
        <v>1076626368</v>
      </c>
      <c r="I180" s="309" t="s">
        <v>80</v>
      </c>
      <c r="J180" s="71">
        <v>16831501</v>
      </c>
      <c r="K180" s="71">
        <v>0</v>
      </c>
      <c r="L180" s="415">
        <v>77500</v>
      </c>
      <c r="M180" s="402"/>
      <c r="N180" s="71">
        <v>0</v>
      </c>
      <c r="O180" s="71">
        <v>77500</v>
      </c>
      <c r="P180" s="71">
        <v>16909001</v>
      </c>
      <c r="Q180" s="310" t="s">
        <v>80</v>
      </c>
      <c r="R180" s="71">
        <v>1076626368</v>
      </c>
      <c r="S180" s="71">
        <v>16909001</v>
      </c>
      <c r="T180" s="71">
        <v>1059717367</v>
      </c>
    </row>
    <row r="181" spans="1:20" outlineLevel="3" collapsed="1" x14ac:dyDescent="0.25">
      <c r="A181" s="410" t="s">
        <v>1625</v>
      </c>
      <c r="B181" s="402"/>
      <c r="C181" s="196" t="str">
        <f t="shared" si="2"/>
        <v>12-580400A</v>
      </c>
      <c r="D181" s="201">
        <v>1064049505</v>
      </c>
      <c r="E181" s="202" t="s">
        <v>80</v>
      </c>
      <c r="F181" s="203">
        <v>19201672</v>
      </c>
      <c r="G181" s="204">
        <v>1057424696</v>
      </c>
      <c r="H181" s="203">
        <v>1076626368</v>
      </c>
      <c r="I181" s="202" t="s">
        <v>80</v>
      </c>
      <c r="J181" s="203">
        <v>16831501</v>
      </c>
      <c r="K181" s="205">
        <v>0</v>
      </c>
      <c r="L181" s="411">
        <v>77500</v>
      </c>
      <c r="M181" s="402"/>
      <c r="N181" s="203">
        <v>0</v>
      </c>
      <c r="O181" s="203">
        <v>77500</v>
      </c>
      <c r="P181" s="203">
        <v>16909001</v>
      </c>
      <c r="Q181" s="212" t="s">
        <v>80</v>
      </c>
      <c r="R181" s="203">
        <v>1076626368</v>
      </c>
      <c r="S181" s="203">
        <v>16909001</v>
      </c>
      <c r="T181" s="203">
        <v>1059717367</v>
      </c>
    </row>
    <row r="182" spans="1:20" outlineLevel="1" x14ac:dyDescent="0.25">
      <c r="A182" s="412" t="s">
        <v>207</v>
      </c>
      <c r="B182" s="402"/>
      <c r="C182" s="196" t="str">
        <f t="shared" si="2"/>
        <v>QUIPOS IND</v>
      </c>
      <c r="D182" s="197">
        <v>490645033</v>
      </c>
      <c r="E182" s="196" t="s">
        <v>80</v>
      </c>
      <c r="F182" s="198">
        <v>87410058</v>
      </c>
      <c r="G182" s="198">
        <v>415715740</v>
      </c>
      <c r="H182" s="198">
        <v>503125798</v>
      </c>
      <c r="I182" s="196" t="s">
        <v>80</v>
      </c>
      <c r="J182" s="214">
        <v>8992169</v>
      </c>
      <c r="K182" s="214">
        <v>60750</v>
      </c>
      <c r="L182" s="413">
        <v>0</v>
      </c>
      <c r="M182" s="402"/>
      <c r="N182" s="214">
        <v>0</v>
      </c>
      <c r="O182" s="214">
        <v>60750</v>
      </c>
      <c r="P182" s="214">
        <v>9052919</v>
      </c>
      <c r="Q182" s="199" t="s">
        <v>80</v>
      </c>
      <c r="R182" s="198">
        <v>503125798</v>
      </c>
      <c r="S182" s="214">
        <v>9052919</v>
      </c>
      <c r="T182" s="200">
        <v>494072879</v>
      </c>
    </row>
    <row r="183" spans="1:20" outlineLevel="2" x14ac:dyDescent="0.25">
      <c r="A183" s="414" t="s">
        <v>1626</v>
      </c>
      <c r="B183" s="402"/>
      <c r="C183" s="196" t="str">
        <f t="shared" si="2"/>
        <v>Equipos To</v>
      </c>
      <c r="D183" s="3">
        <v>20520168</v>
      </c>
      <c r="E183" s="309" t="s">
        <v>80</v>
      </c>
      <c r="F183" s="71">
        <v>349898</v>
      </c>
      <c r="G183" s="71">
        <v>20220846</v>
      </c>
      <c r="H183" s="71">
        <v>20570744</v>
      </c>
      <c r="I183" s="309" t="s">
        <v>80</v>
      </c>
      <c r="J183" s="71">
        <v>373332</v>
      </c>
      <c r="K183" s="71">
        <v>60750</v>
      </c>
      <c r="L183" s="415">
        <v>0</v>
      </c>
      <c r="M183" s="402"/>
      <c r="N183" s="71">
        <v>0</v>
      </c>
      <c r="O183" s="71">
        <v>60750</v>
      </c>
      <c r="P183" s="71">
        <v>434082</v>
      </c>
      <c r="Q183" s="310" t="s">
        <v>80</v>
      </c>
      <c r="R183" s="71">
        <v>20570744</v>
      </c>
      <c r="S183" s="71">
        <v>434082</v>
      </c>
      <c r="T183" s="71">
        <v>20136662</v>
      </c>
    </row>
    <row r="184" spans="1:20" outlineLevel="3" collapsed="1" x14ac:dyDescent="0.25">
      <c r="A184" s="410" t="s">
        <v>1627</v>
      </c>
      <c r="B184" s="402"/>
      <c r="C184" s="196" t="str">
        <f t="shared" si="2"/>
        <v>42-253200A</v>
      </c>
      <c r="D184" s="201">
        <v>20520168</v>
      </c>
      <c r="E184" s="202" t="s">
        <v>80</v>
      </c>
      <c r="F184" s="203">
        <v>349898</v>
      </c>
      <c r="G184" s="204">
        <v>20220846</v>
      </c>
      <c r="H184" s="203">
        <v>20570744</v>
      </c>
      <c r="I184" s="202" t="s">
        <v>80</v>
      </c>
      <c r="J184" s="203">
        <v>373332</v>
      </c>
      <c r="K184" s="205">
        <v>60750</v>
      </c>
      <c r="L184" s="411">
        <v>0</v>
      </c>
      <c r="M184" s="402"/>
      <c r="N184" s="203">
        <v>0</v>
      </c>
      <c r="O184" s="203">
        <v>60750</v>
      </c>
      <c r="P184" s="203">
        <v>434082</v>
      </c>
      <c r="Q184" s="212" t="s">
        <v>80</v>
      </c>
      <c r="R184" s="203">
        <v>20570744</v>
      </c>
      <c r="S184" s="203">
        <v>434082</v>
      </c>
      <c r="T184" s="203">
        <v>20136662</v>
      </c>
    </row>
    <row r="185" spans="1:20" outlineLevel="3" collapsed="1" x14ac:dyDescent="0.25">
      <c r="A185" s="410" t="s">
        <v>1628</v>
      </c>
      <c r="B185" s="402"/>
      <c r="C185" s="196" t="str">
        <f t="shared" si="2"/>
        <v>42-253200G</v>
      </c>
      <c r="D185" s="201">
        <v>0</v>
      </c>
      <c r="E185" s="202" t="s">
        <v>80</v>
      </c>
      <c r="F185" s="203">
        <v>0</v>
      </c>
      <c r="G185" s="204">
        <v>0</v>
      </c>
      <c r="H185" s="203">
        <v>0</v>
      </c>
      <c r="I185" s="202" t="s">
        <v>80</v>
      </c>
      <c r="J185" s="203">
        <v>0</v>
      </c>
      <c r="K185" s="205">
        <v>0</v>
      </c>
      <c r="L185" s="411">
        <v>0</v>
      </c>
      <c r="M185" s="402"/>
      <c r="N185" s="203">
        <v>0</v>
      </c>
      <c r="O185" s="203">
        <v>0</v>
      </c>
      <c r="P185" s="203">
        <v>0</v>
      </c>
      <c r="Q185" s="212" t="s">
        <v>80</v>
      </c>
      <c r="R185" s="203">
        <v>0</v>
      </c>
      <c r="S185" s="203">
        <v>0</v>
      </c>
      <c r="T185" s="203">
        <v>0</v>
      </c>
    </row>
    <row r="186" spans="1:20" outlineLevel="2" x14ac:dyDescent="0.25">
      <c r="A186" s="414" t="s">
        <v>1629</v>
      </c>
      <c r="B186" s="402"/>
      <c r="C186" s="196" t="str">
        <f t="shared" si="2"/>
        <v>Camionetas</v>
      </c>
      <c r="D186" s="3">
        <v>470124865</v>
      </c>
      <c r="E186" s="309" t="s">
        <v>80</v>
      </c>
      <c r="F186" s="71">
        <v>87060160</v>
      </c>
      <c r="G186" s="71">
        <v>395494894</v>
      </c>
      <c r="H186" s="71">
        <v>482555054</v>
      </c>
      <c r="I186" s="309" t="s">
        <v>80</v>
      </c>
      <c r="J186" s="71">
        <v>8618837</v>
      </c>
      <c r="K186" s="71">
        <v>0</v>
      </c>
      <c r="L186" s="415">
        <v>0</v>
      </c>
      <c r="M186" s="402"/>
      <c r="N186" s="71">
        <v>0</v>
      </c>
      <c r="O186" s="71">
        <v>0</v>
      </c>
      <c r="P186" s="71">
        <v>8618837</v>
      </c>
      <c r="Q186" s="310" t="s">
        <v>80</v>
      </c>
      <c r="R186" s="71">
        <v>482555054</v>
      </c>
      <c r="S186" s="71">
        <v>8618837</v>
      </c>
      <c r="T186" s="71">
        <v>473936217</v>
      </c>
    </row>
    <row r="187" spans="1:20" outlineLevel="3" collapsed="1" x14ac:dyDescent="0.25">
      <c r="A187" s="410" t="s">
        <v>1630</v>
      </c>
      <c r="B187" s="402"/>
      <c r="C187" s="196" t="str">
        <f t="shared" si="2"/>
        <v>42-254100A</v>
      </c>
      <c r="D187" s="201">
        <v>0</v>
      </c>
      <c r="E187" s="202" t="s">
        <v>80</v>
      </c>
      <c r="F187" s="203">
        <v>0</v>
      </c>
      <c r="G187" s="204">
        <v>0</v>
      </c>
      <c r="H187" s="203">
        <v>0</v>
      </c>
      <c r="I187" s="202" t="s">
        <v>80</v>
      </c>
      <c r="J187" s="203">
        <v>0</v>
      </c>
      <c r="K187" s="205">
        <v>0</v>
      </c>
      <c r="L187" s="411">
        <v>0</v>
      </c>
      <c r="M187" s="402"/>
      <c r="N187" s="203">
        <v>0</v>
      </c>
      <c r="O187" s="203">
        <v>0</v>
      </c>
      <c r="P187" s="203">
        <v>0</v>
      </c>
      <c r="Q187" s="212" t="s">
        <v>80</v>
      </c>
      <c r="R187" s="203">
        <v>0</v>
      </c>
      <c r="S187" s="203">
        <v>0</v>
      </c>
      <c r="T187" s="203">
        <v>0</v>
      </c>
    </row>
    <row r="188" spans="1:20" outlineLevel="3" collapsed="1" x14ac:dyDescent="0.25">
      <c r="A188" s="410" t="s">
        <v>1631</v>
      </c>
      <c r="B188" s="402"/>
      <c r="C188" s="196" t="str">
        <f t="shared" si="2"/>
        <v>42-254100G</v>
      </c>
      <c r="D188" s="201">
        <v>0</v>
      </c>
      <c r="E188" s="202" t="s">
        <v>80</v>
      </c>
      <c r="F188" s="203">
        <v>0</v>
      </c>
      <c r="G188" s="204">
        <v>0</v>
      </c>
      <c r="H188" s="203">
        <v>0</v>
      </c>
      <c r="I188" s="202" t="s">
        <v>80</v>
      </c>
      <c r="J188" s="203">
        <v>0</v>
      </c>
      <c r="K188" s="205">
        <v>0</v>
      </c>
      <c r="L188" s="411">
        <v>0</v>
      </c>
      <c r="M188" s="402"/>
      <c r="N188" s="203">
        <v>0</v>
      </c>
      <c r="O188" s="203">
        <v>0</v>
      </c>
      <c r="P188" s="203">
        <v>0</v>
      </c>
      <c r="Q188" s="212" t="s">
        <v>80</v>
      </c>
      <c r="R188" s="203">
        <v>0</v>
      </c>
      <c r="S188" s="203">
        <v>0</v>
      </c>
      <c r="T188" s="203">
        <v>0</v>
      </c>
    </row>
    <row r="189" spans="1:20" outlineLevel="3" collapsed="1" x14ac:dyDescent="0.25">
      <c r="A189" s="410" t="s">
        <v>1632</v>
      </c>
      <c r="B189" s="402"/>
      <c r="C189" s="196" t="str">
        <f t="shared" si="2"/>
        <v>42-254200A</v>
      </c>
      <c r="D189" s="201">
        <v>470124865</v>
      </c>
      <c r="E189" s="202" t="s">
        <v>80</v>
      </c>
      <c r="F189" s="203">
        <v>87060160</v>
      </c>
      <c r="G189" s="204">
        <v>395494894</v>
      </c>
      <c r="H189" s="203">
        <v>482555054</v>
      </c>
      <c r="I189" s="202" t="s">
        <v>80</v>
      </c>
      <c r="J189" s="203">
        <v>1565391</v>
      </c>
      <c r="K189" s="205">
        <v>0</v>
      </c>
      <c r="L189" s="411">
        <v>0</v>
      </c>
      <c r="M189" s="402"/>
      <c r="N189" s="203">
        <v>0</v>
      </c>
      <c r="O189" s="203">
        <v>0</v>
      </c>
      <c r="P189" s="203">
        <v>1565391</v>
      </c>
      <c r="Q189" s="212" t="s">
        <v>80</v>
      </c>
      <c r="R189" s="203">
        <v>482555054</v>
      </c>
      <c r="S189" s="203">
        <v>1565391</v>
      </c>
      <c r="T189" s="203">
        <v>480989663</v>
      </c>
    </row>
    <row r="190" spans="1:20" outlineLevel="3" collapsed="1" x14ac:dyDescent="0.25">
      <c r="A190" s="410" t="s">
        <v>1633</v>
      </c>
      <c r="B190" s="402"/>
      <c r="C190" s="196" t="str">
        <f t="shared" si="2"/>
        <v>42-254200G</v>
      </c>
      <c r="D190" s="201">
        <v>0</v>
      </c>
      <c r="E190" s="202" t="s">
        <v>80</v>
      </c>
      <c r="F190" s="203">
        <v>0</v>
      </c>
      <c r="G190" s="204">
        <v>0</v>
      </c>
      <c r="H190" s="203">
        <v>0</v>
      </c>
      <c r="I190" s="202" t="s">
        <v>80</v>
      </c>
      <c r="J190" s="203">
        <v>7053446</v>
      </c>
      <c r="K190" s="205">
        <v>0</v>
      </c>
      <c r="L190" s="411">
        <v>0</v>
      </c>
      <c r="M190" s="402"/>
      <c r="N190" s="203">
        <v>0</v>
      </c>
      <c r="O190" s="203">
        <v>0</v>
      </c>
      <c r="P190" s="203">
        <v>7053446</v>
      </c>
      <c r="Q190" s="212" t="s">
        <v>80</v>
      </c>
      <c r="R190" s="203">
        <v>0</v>
      </c>
      <c r="S190" s="203">
        <v>7053446</v>
      </c>
      <c r="T190" s="203">
        <v>-7053446</v>
      </c>
    </row>
    <row r="191" spans="1:20" outlineLevel="2" x14ac:dyDescent="0.25">
      <c r="A191" s="414" t="s">
        <v>1634</v>
      </c>
      <c r="B191" s="402"/>
      <c r="C191" s="196" t="str">
        <f t="shared" si="2"/>
        <v>Minibus In</v>
      </c>
      <c r="D191" s="3">
        <v>0</v>
      </c>
      <c r="E191" s="309" t="s">
        <v>80</v>
      </c>
      <c r="F191" s="71">
        <v>0</v>
      </c>
      <c r="G191" s="71">
        <v>0</v>
      </c>
      <c r="H191" s="71">
        <v>0</v>
      </c>
      <c r="I191" s="309" t="s">
        <v>80</v>
      </c>
      <c r="J191" s="71">
        <v>0</v>
      </c>
      <c r="K191" s="71">
        <v>0</v>
      </c>
      <c r="L191" s="415">
        <v>0</v>
      </c>
      <c r="M191" s="402"/>
      <c r="N191" s="71">
        <v>0</v>
      </c>
      <c r="O191" s="71">
        <v>0</v>
      </c>
      <c r="P191" s="71">
        <v>0</v>
      </c>
      <c r="Q191" s="310" t="s">
        <v>80</v>
      </c>
      <c r="R191" s="71">
        <v>0</v>
      </c>
      <c r="S191" s="71">
        <v>0</v>
      </c>
      <c r="T191" s="71">
        <v>0</v>
      </c>
    </row>
    <row r="192" spans="1:20" outlineLevel="3" collapsed="1" x14ac:dyDescent="0.25">
      <c r="A192" s="410" t="s">
        <v>1635</v>
      </c>
      <c r="B192" s="402"/>
      <c r="C192" s="196" t="str">
        <f t="shared" si="2"/>
        <v>12-580100G</v>
      </c>
      <c r="D192" s="201">
        <v>0</v>
      </c>
      <c r="E192" s="202" t="s">
        <v>80</v>
      </c>
      <c r="F192" s="203">
        <v>0</v>
      </c>
      <c r="G192" s="204">
        <v>0</v>
      </c>
      <c r="H192" s="203">
        <v>0</v>
      </c>
      <c r="I192" s="202" t="s">
        <v>80</v>
      </c>
      <c r="J192" s="203">
        <v>0</v>
      </c>
      <c r="K192" s="205">
        <v>0</v>
      </c>
      <c r="L192" s="411">
        <v>0</v>
      </c>
      <c r="M192" s="402"/>
      <c r="N192" s="203">
        <v>0</v>
      </c>
      <c r="O192" s="203">
        <v>0</v>
      </c>
      <c r="P192" s="203">
        <v>0</v>
      </c>
      <c r="Q192" s="212" t="s">
        <v>80</v>
      </c>
      <c r="R192" s="203">
        <v>0</v>
      </c>
      <c r="S192" s="203">
        <v>0</v>
      </c>
      <c r="T192" s="203">
        <v>0</v>
      </c>
    </row>
    <row r="193" spans="1:20" outlineLevel="1" x14ac:dyDescent="0.25">
      <c r="A193" s="412" t="s">
        <v>212</v>
      </c>
      <c r="B193" s="402"/>
      <c r="C193" s="196" t="str">
        <f t="shared" si="2"/>
        <v>NSTALACIÓN</v>
      </c>
      <c r="D193" s="197">
        <v>498034998</v>
      </c>
      <c r="E193" s="196" t="s">
        <v>80</v>
      </c>
      <c r="F193" s="198">
        <v>56038689</v>
      </c>
      <c r="G193" s="198">
        <v>458082402</v>
      </c>
      <c r="H193" s="198">
        <v>514121091</v>
      </c>
      <c r="I193" s="196" t="s">
        <v>80</v>
      </c>
      <c r="J193" s="214">
        <v>8708262</v>
      </c>
      <c r="K193" s="214">
        <v>185836669</v>
      </c>
      <c r="L193" s="413">
        <v>121233369.65000001</v>
      </c>
      <c r="M193" s="402"/>
      <c r="N193" s="214">
        <v>0</v>
      </c>
      <c r="O193" s="214">
        <v>307070038.64999998</v>
      </c>
      <c r="P193" s="214">
        <v>315778300.64999998</v>
      </c>
      <c r="Q193" s="199" t="s">
        <v>80</v>
      </c>
      <c r="R193" s="198">
        <v>514121091</v>
      </c>
      <c r="S193" s="214">
        <v>315778300.64999998</v>
      </c>
      <c r="T193" s="200">
        <v>198342790.34999999</v>
      </c>
    </row>
    <row r="194" spans="1:20" outlineLevel="2" x14ac:dyDescent="0.25">
      <c r="A194" s="414" t="s">
        <v>1636</v>
      </c>
      <c r="B194" s="402"/>
      <c r="C194" s="196" t="str">
        <f t="shared" si="2"/>
        <v>Contenedor</v>
      </c>
      <c r="D194" s="3">
        <v>284783800</v>
      </c>
      <c r="E194" s="309" t="s">
        <v>80</v>
      </c>
      <c r="F194" s="71">
        <v>19963632</v>
      </c>
      <c r="G194" s="71">
        <v>277366893</v>
      </c>
      <c r="H194" s="71">
        <v>297330525</v>
      </c>
      <c r="I194" s="309" t="s">
        <v>80</v>
      </c>
      <c r="J194" s="71">
        <v>581430</v>
      </c>
      <c r="K194" s="71">
        <v>8307134</v>
      </c>
      <c r="L194" s="415">
        <v>89716230.989999995</v>
      </c>
      <c r="M194" s="402"/>
      <c r="N194" s="71">
        <v>0</v>
      </c>
      <c r="O194" s="71">
        <v>98023364.989999995</v>
      </c>
      <c r="P194" s="71">
        <v>98604794.989999995</v>
      </c>
      <c r="Q194" s="310" t="s">
        <v>80</v>
      </c>
      <c r="R194" s="71">
        <v>297330525</v>
      </c>
      <c r="S194" s="71">
        <v>98604794.989999995</v>
      </c>
      <c r="T194" s="71">
        <v>198725730.00999999</v>
      </c>
    </row>
    <row r="195" spans="1:20" outlineLevel="3" collapsed="1" x14ac:dyDescent="0.25">
      <c r="A195" s="410" t="s">
        <v>1637</v>
      </c>
      <c r="B195" s="402"/>
      <c r="C195" s="196" t="str">
        <f t="shared" si="2"/>
        <v>62-070100A</v>
      </c>
      <c r="D195" s="201">
        <v>284783800</v>
      </c>
      <c r="E195" s="202" t="s">
        <v>80</v>
      </c>
      <c r="F195" s="203">
        <v>19963632</v>
      </c>
      <c r="G195" s="204">
        <v>277366893</v>
      </c>
      <c r="H195" s="203">
        <v>297330525</v>
      </c>
      <c r="I195" s="202" t="s">
        <v>80</v>
      </c>
      <c r="J195" s="203">
        <v>581430</v>
      </c>
      <c r="K195" s="205">
        <v>8307134</v>
      </c>
      <c r="L195" s="411">
        <v>89716230.989999995</v>
      </c>
      <c r="M195" s="402"/>
      <c r="N195" s="203">
        <v>0</v>
      </c>
      <c r="O195" s="203">
        <v>98023364.989999995</v>
      </c>
      <c r="P195" s="203">
        <v>98604794.989999995</v>
      </c>
      <c r="Q195" s="212" t="s">
        <v>80</v>
      </c>
      <c r="R195" s="203">
        <v>297330525</v>
      </c>
      <c r="S195" s="203">
        <v>98604794.989999995</v>
      </c>
      <c r="T195" s="203">
        <v>198725730.00999999</v>
      </c>
    </row>
    <row r="196" spans="1:20" outlineLevel="3" collapsed="1" x14ac:dyDescent="0.25">
      <c r="A196" s="410" t="s">
        <v>1638</v>
      </c>
      <c r="B196" s="402"/>
      <c r="C196" s="196" t="str">
        <f t="shared" si="2"/>
        <v>62-070100G</v>
      </c>
      <c r="D196" s="201">
        <v>0</v>
      </c>
      <c r="E196" s="202" t="s">
        <v>80</v>
      </c>
      <c r="F196" s="203">
        <v>0</v>
      </c>
      <c r="G196" s="204">
        <v>0</v>
      </c>
      <c r="H196" s="203">
        <v>0</v>
      </c>
      <c r="I196" s="202" t="s">
        <v>80</v>
      </c>
      <c r="J196" s="203">
        <v>0</v>
      </c>
      <c r="K196" s="205">
        <v>0</v>
      </c>
      <c r="L196" s="411">
        <v>0</v>
      </c>
      <c r="M196" s="402"/>
      <c r="N196" s="203">
        <v>0</v>
      </c>
      <c r="O196" s="203">
        <v>0</v>
      </c>
      <c r="P196" s="203">
        <v>0</v>
      </c>
      <c r="Q196" s="212" t="s">
        <v>80</v>
      </c>
      <c r="R196" s="203">
        <v>0</v>
      </c>
      <c r="S196" s="203">
        <v>0</v>
      </c>
      <c r="T196" s="203">
        <v>0</v>
      </c>
    </row>
    <row r="197" spans="1:20" outlineLevel="2" x14ac:dyDescent="0.25">
      <c r="A197" s="414" t="s">
        <v>1639</v>
      </c>
      <c r="B197" s="402"/>
      <c r="C197" s="196" t="str">
        <f t="shared" si="2"/>
        <v>Estructura</v>
      </c>
      <c r="D197" s="3">
        <v>98513278</v>
      </c>
      <c r="E197" s="309" t="s">
        <v>80</v>
      </c>
      <c r="F197" s="71">
        <v>19679945</v>
      </c>
      <c r="G197" s="71">
        <v>79076137</v>
      </c>
      <c r="H197" s="71">
        <v>98756082</v>
      </c>
      <c r="I197" s="309" t="s">
        <v>80</v>
      </c>
      <c r="J197" s="71">
        <v>8096872</v>
      </c>
      <c r="K197" s="71">
        <v>35590215</v>
      </c>
      <c r="L197" s="415">
        <v>25004194.66</v>
      </c>
      <c r="M197" s="402"/>
      <c r="N197" s="71">
        <v>0</v>
      </c>
      <c r="O197" s="71">
        <v>60594409.659999996</v>
      </c>
      <c r="P197" s="71">
        <v>68691281.659999996</v>
      </c>
      <c r="Q197" s="310" t="s">
        <v>80</v>
      </c>
      <c r="R197" s="71">
        <v>98756082</v>
      </c>
      <c r="S197" s="71">
        <v>68691281.659999996</v>
      </c>
      <c r="T197" s="71">
        <v>30064800.34</v>
      </c>
    </row>
    <row r="198" spans="1:20" outlineLevel="3" collapsed="1" x14ac:dyDescent="0.25">
      <c r="A198" s="410" t="s">
        <v>1640</v>
      </c>
      <c r="B198" s="402"/>
      <c r="C198" s="196" t="str">
        <f t="shared" si="2"/>
        <v>62-030100A</v>
      </c>
      <c r="D198" s="201">
        <v>84512208</v>
      </c>
      <c r="E198" s="202" t="s">
        <v>80</v>
      </c>
      <c r="F198" s="203">
        <v>16879731</v>
      </c>
      <c r="G198" s="204">
        <v>67840773</v>
      </c>
      <c r="H198" s="203">
        <v>84720504</v>
      </c>
      <c r="I198" s="202" t="s">
        <v>80</v>
      </c>
      <c r="J198" s="203">
        <v>0</v>
      </c>
      <c r="K198" s="205">
        <v>11687190</v>
      </c>
      <c r="L198" s="411">
        <v>1369237.6</v>
      </c>
      <c r="M198" s="402"/>
      <c r="N198" s="203">
        <v>0</v>
      </c>
      <c r="O198" s="203">
        <v>13056427.6</v>
      </c>
      <c r="P198" s="203">
        <v>13056427.6</v>
      </c>
      <c r="Q198" s="212" t="s">
        <v>80</v>
      </c>
      <c r="R198" s="203">
        <v>84720504</v>
      </c>
      <c r="S198" s="203">
        <v>13056427.6</v>
      </c>
      <c r="T198" s="203">
        <v>71664076.400000006</v>
      </c>
    </row>
    <row r="199" spans="1:20" outlineLevel="3" collapsed="1" x14ac:dyDescent="0.25">
      <c r="A199" s="410" t="s">
        <v>1641</v>
      </c>
      <c r="B199" s="402"/>
      <c r="C199" s="196" t="str">
        <f t="shared" ref="C199:C262" si="3">IF(MID(A199,6,1)="      - ","-",
IF(A199="     0 - Categoría NULA",0,MID(A199,6,10)))</f>
        <v>62-030100G</v>
      </c>
      <c r="D199" s="201">
        <v>0</v>
      </c>
      <c r="E199" s="202" t="s">
        <v>80</v>
      </c>
      <c r="F199" s="203">
        <v>0</v>
      </c>
      <c r="G199" s="204">
        <v>0</v>
      </c>
      <c r="H199" s="203">
        <v>0</v>
      </c>
      <c r="I199" s="202" t="s">
        <v>80</v>
      </c>
      <c r="J199" s="203">
        <v>0</v>
      </c>
      <c r="K199" s="205">
        <v>0</v>
      </c>
      <c r="L199" s="411">
        <v>0</v>
      </c>
      <c r="M199" s="402"/>
      <c r="N199" s="203">
        <v>0</v>
      </c>
      <c r="O199" s="203">
        <v>0</v>
      </c>
      <c r="P199" s="203">
        <v>0</v>
      </c>
      <c r="Q199" s="212" t="s">
        <v>80</v>
      </c>
      <c r="R199" s="203">
        <v>0</v>
      </c>
      <c r="S199" s="203">
        <v>0</v>
      </c>
      <c r="T199" s="203">
        <v>0</v>
      </c>
    </row>
    <row r="200" spans="1:20" outlineLevel="3" collapsed="1" x14ac:dyDescent="0.25">
      <c r="A200" s="410" t="s">
        <v>1642</v>
      </c>
      <c r="B200" s="402"/>
      <c r="C200" s="196" t="str">
        <f t="shared" si="3"/>
        <v>62-040100A</v>
      </c>
      <c r="D200" s="201">
        <v>14001070</v>
      </c>
      <c r="E200" s="202" t="s">
        <v>80</v>
      </c>
      <c r="F200" s="203">
        <v>2800214</v>
      </c>
      <c r="G200" s="204">
        <v>11235364</v>
      </c>
      <c r="H200" s="203">
        <v>14035578</v>
      </c>
      <c r="I200" s="202" t="s">
        <v>80</v>
      </c>
      <c r="J200" s="203">
        <v>0</v>
      </c>
      <c r="K200" s="205">
        <v>23903025</v>
      </c>
      <c r="L200" s="411">
        <v>23634957.059999999</v>
      </c>
      <c r="M200" s="402"/>
      <c r="N200" s="203">
        <v>0</v>
      </c>
      <c r="O200" s="203">
        <v>47537982.060000002</v>
      </c>
      <c r="P200" s="203">
        <v>47537982.060000002</v>
      </c>
      <c r="Q200" s="212" t="s">
        <v>80</v>
      </c>
      <c r="R200" s="203">
        <v>14035578</v>
      </c>
      <c r="S200" s="203">
        <v>47537982.060000002</v>
      </c>
      <c r="T200" s="203">
        <v>-33502404.059999999</v>
      </c>
    </row>
    <row r="201" spans="1:20" outlineLevel="3" collapsed="1" x14ac:dyDescent="0.25">
      <c r="A201" s="410" t="s">
        <v>1643</v>
      </c>
      <c r="B201" s="402"/>
      <c r="C201" s="196" t="str">
        <f t="shared" si="3"/>
        <v>62-040100G</v>
      </c>
      <c r="D201" s="201">
        <v>0</v>
      </c>
      <c r="E201" s="202" t="s">
        <v>80</v>
      </c>
      <c r="F201" s="203">
        <v>0</v>
      </c>
      <c r="G201" s="204">
        <v>0</v>
      </c>
      <c r="H201" s="203">
        <v>0</v>
      </c>
      <c r="I201" s="202" t="s">
        <v>80</v>
      </c>
      <c r="J201" s="203">
        <v>8096872</v>
      </c>
      <c r="K201" s="205">
        <v>0</v>
      </c>
      <c r="L201" s="411">
        <v>0</v>
      </c>
      <c r="M201" s="402"/>
      <c r="N201" s="203">
        <v>0</v>
      </c>
      <c r="O201" s="203">
        <v>0</v>
      </c>
      <c r="P201" s="203">
        <v>8096872</v>
      </c>
      <c r="Q201" s="212" t="s">
        <v>80</v>
      </c>
      <c r="R201" s="203">
        <v>0</v>
      </c>
      <c r="S201" s="203">
        <v>8096872</v>
      </c>
      <c r="T201" s="203">
        <v>-8096872</v>
      </c>
    </row>
    <row r="202" spans="1:20" outlineLevel="2" x14ac:dyDescent="0.25">
      <c r="A202" s="414" t="s">
        <v>1644</v>
      </c>
      <c r="B202" s="402"/>
      <c r="C202" s="196" t="str">
        <f t="shared" si="3"/>
        <v>Instalació</v>
      </c>
      <c r="D202" s="3">
        <v>47673131</v>
      </c>
      <c r="E202" s="309" t="s">
        <v>80</v>
      </c>
      <c r="F202" s="71">
        <v>9534626</v>
      </c>
      <c r="G202" s="71">
        <v>38256004</v>
      </c>
      <c r="H202" s="71">
        <v>47790630</v>
      </c>
      <c r="I202" s="309" t="s">
        <v>80</v>
      </c>
      <c r="J202" s="71">
        <v>29960</v>
      </c>
      <c r="K202" s="71">
        <v>139035380</v>
      </c>
      <c r="L202" s="415">
        <v>156944</v>
      </c>
      <c r="M202" s="402"/>
      <c r="N202" s="71">
        <v>0</v>
      </c>
      <c r="O202" s="71">
        <v>139192324</v>
      </c>
      <c r="P202" s="71">
        <v>139222284</v>
      </c>
      <c r="Q202" s="310" t="s">
        <v>80</v>
      </c>
      <c r="R202" s="71">
        <v>47790630</v>
      </c>
      <c r="S202" s="71">
        <v>139222284</v>
      </c>
      <c r="T202" s="71">
        <v>-91431654</v>
      </c>
    </row>
    <row r="203" spans="1:20" outlineLevel="3" collapsed="1" x14ac:dyDescent="0.25">
      <c r="A203" s="410" t="s">
        <v>1645</v>
      </c>
      <c r="B203" s="402"/>
      <c r="C203" s="196" t="str">
        <f t="shared" si="3"/>
        <v>62-090100A</v>
      </c>
      <c r="D203" s="201">
        <v>47673131</v>
      </c>
      <c r="E203" s="202" t="s">
        <v>80</v>
      </c>
      <c r="F203" s="203">
        <v>9534626</v>
      </c>
      <c r="G203" s="204">
        <v>38256004</v>
      </c>
      <c r="H203" s="203">
        <v>47790630</v>
      </c>
      <c r="I203" s="202" t="s">
        <v>80</v>
      </c>
      <c r="J203" s="203">
        <v>29960</v>
      </c>
      <c r="K203" s="205">
        <v>139035380</v>
      </c>
      <c r="L203" s="411">
        <v>156944</v>
      </c>
      <c r="M203" s="402"/>
      <c r="N203" s="203">
        <v>0</v>
      </c>
      <c r="O203" s="203">
        <v>139192324</v>
      </c>
      <c r="P203" s="203">
        <v>139222284</v>
      </c>
      <c r="Q203" s="212" t="s">
        <v>80</v>
      </c>
      <c r="R203" s="203">
        <v>47790630</v>
      </c>
      <c r="S203" s="203">
        <v>139222284</v>
      </c>
      <c r="T203" s="203">
        <v>-91431654</v>
      </c>
    </row>
    <row r="204" spans="1:20" outlineLevel="3" collapsed="1" x14ac:dyDescent="0.25">
      <c r="A204" s="410" t="s">
        <v>1646</v>
      </c>
      <c r="B204" s="402"/>
      <c r="C204" s="196" t="str">
        <f t="shared" si="3"/>
        <v>62-090100G</v>
      </c>
      <c r="D204" s="201">
        <v>0</v>
      </c>
      <c r="E204" s="202" t="s">
        <v>80</v>
      </c>
      <c r="F204" s="203">
        <v>0</v>
      </c>
      <c r="G204" s="204">
        <v>0</v>
      </c>
      <c r="H204" s="203">
        <v>0</v>
      </c>
      <c r="I204" s="202" t="s">
        <v>80</v>
      </c>
      <c r="J204" s="203">
        <v>0</v>
      </c>
      <c r="K204" s="205">
        <v>0</v>
      </c>
      <c r="L204" s="411">
        <v>0</v>
      </c>
      <c r="M204" s="402"/>
      <c r="N204" s="203">
        <v>0</v>
      </c>
      <c r="O204" s="203">
        <v>0</v>
      </c>
      <c r="P204" s="203">
        <v>0</v>
      </c>
      <c r="Q204" s="212" t="s">
        <v>80</v>
      </c>
      <c r="R204" s="203">
        <v>0</v>
      </c>
      <c r="S204" s="203">
        <v>0</v>
      </c>
      <c r="T204" s="203">
        <v>0</v>
      </c>
    </row>
    <row r="205" spans="1:20" outlineLevel="2" x14ac:dyDescent="0.25">
      <c r="A205" s="414" t="s">
        <v>1647</v>
      </c>
      <c r="B205" s="402"/>
      <c r="C205" s="196" t="str">
        <f t="shared" si="3"/>
        <v>Letreros y</v>
      </c>
      <c r="D205" s="3">
        <v>26826867</v>
      </c>
      <c r="E205" s="309" t="s">
        <v>80</v>
      </c>
      <c r="F205" s="71">
        <v>4967938</v>
      </c>
      <c r="G205" s="71">
        <v>22300048</v>
      </c>
      <c r="H205" s="71">
        <v>27267986</v>
      </c>
      <c r="I205" s="309" t="s">
        <v>80</v>
      </c>
      <c r="J205" s="71">
        <v>0</v>
      </c>
      <c r="K205" s="71">
        <v>363940</v>
      </c>
      <c r="L205" s="415">
        <v>6356000</v>
      </c>
      <c r="M205" s="402"/>
      <c r="N205" s="71">
        <v>0</v>
      </c>
      <c r="O205" s="71">
        <v>6719940</v>
      </c>
      <c r="P205" s="71">
        <v>6719940</v>
      </c>
      <c r="Q205" s="310" t="s">
        <v>80</v>
      </c>
      <c r="R205" s="71">
        <v>27267986</v>
      </c>
      <c r="S205" s="71">
        <v>6719940</v>
      </c>
      <c r="T205" s="71">
        <v>20548046</v>
      </c>
    </row>
    <row r="206" spans="1:20" outlineLevel="3" collapsed="1" x14ac:dyDescent="0.25">
      <c r="A206" s="410" t="s">
        <v>1648</v>
      </c>
      <c r="B206" s="402"/>
      <c r="C206" s="196" t="str">
        <f t="shared" si="3"/>
        <v>62-100100A</v>
      </c>
      <c r="D206" s="201">
        <v>26826867</v>
      </c>
      <c r="E206" s="202" t="s">
        <v>80</v>
      </c>
      <c r="F206" s="203">
        <v>4967938</v>
      </c>
      <c r="G206" s="204">
        <v>22300048</v>
      </c>
      <c r="H206" s="203">
        <v>27267986</v>
      </c>
      <c r="I206" s="202" t="s">
        <v>80</v>
      </c>
      <c r="J206" s="203">
        <v>0</v>
      </c>
      <c r="K206" s="205">
        <v>363940</v>
      </c>
      <c r="L206" s="411">
        <v>6356000</v>
      </c>
      <c r="M206" s="402"/>
      <c r="N206" s="203">
        <v>0</v>
      </c>
      <c r="O206" s="203">
        <v>6719940</v>
      </c>
      <c r="P206" s="203">
        <v>6719940</v>
      </c>
      <c r="Q206" s="212" t="s">
        <v>80</v>
      </c>
      <c r="R206" s="203">
        <v>27267986</v>
      </c>
      <c r="S206" s="203">
        <v>6719940</v>
      </c>
      <c r="T206" s="203">
        <v>20548046</v>
      </c>
    </row>
    <row r="207" spans="1:20" outlineLevel="3" collapsed="1" x14ac:dyDescent="0.25">
      <c r="A207" s="410" t="s">
        <v>1649</v>
      </c>
      <c r="B207" s="402"/>
      <c r="C207" s="196" t="str">
        <f t="shared" si="3"/>
        <v>62-100100G</v>
      </c>
      <c r="D207" s="201">
        <v>0</v>
      </c>
      <c r="E207" s="202" t="s">
        <v>80</v>
      </c>
      <c r="F207" s="203">
        <v>0</v>
      </c>
      <c r="G207" s="204">
        <v>0</v>
      </c>
      <c r="H207" s="203">
        <v>0</v>
      </c>
      <c r="I207" s="202" t="s">
        <v>80</v>
      </c>
      <c r="J207" s="203">
        <v>0</v>
      </c>
      <c r="K207" s="205">
        <v>0</v>
      </c>
      <c r="L207" s="411">
        <v>0</v>
      </c>
      <c r="M207" s="402"/>
      <c r="N207" s="203">
        <v>0</v>
      </c>
      <c r="O207" s="203">
        <v>0</v>
      </c>
      <c r="P207" s="203">
        <v>0</v>
      </c>
      <c r="Q207" s="212" t="s">
        <v>80</v>
      </c>
      <c r="R207" s="203">
        <v>0</v>
      </c>
      <c r="S207" s="203">
        <v>0</v>
      </c>
      <c r="T207" s="203">
        <v>0</v>
      </c>
    </row>
    <row r="208" spans="1:20" outlineLevel="2" x14ac:dyDescent="0.25">
      <c r="A208" s="414" t="s">
        <v>1650</v>
      </c>
      <c r="B208" s="402"/>
      <c r="C208" s="196" t="str">
        <f t="shared" si="3"/>
        <v>Mano de Ob</v>
      </c>
      <c r="D208" s="3">
        <v>30018163</v>
      </c>
      <c r="E208" s="309" t="s">
        <v>80</v>
      </c>
      <c r="F208" s="71">
        <v>0</v>
      </c>
      <c r="G208" s="71">
        <v>32730920</v>
      </c>
      <c r="H208" s="71">
        <v>32730920</v>
      </c>
      <c r="I208" s="309" t="s">
        <v>80</v>
      </c>
      <c r="J208" s="71">
        <v>0</v>
      </c>
      <c r="K208" s="71">
        <v>2540000</v>
      </c>
      <c r="L208" s="415">
        <v>0</v>
      </c>
      <c r="M208" s="402"/>
      <c r="N208" s="71">
        <v>0</v>
      </c>
      <c r="O208" s="71">
        <v>2540000</v>
      </c>
      <c r="P208" s="71">
        <v>2540000</v>
      </c>
      <c r="Q208" s="310" t="s">
        <v>80</v>
      </c>
      <c r="R208" s="71">
        <v>32730920</v>
      </c>
      <c r="S208" s="71">
        <v>2540000</v>
      </c>
      <c r="T208" s="71">
        <v>30190920</v>
      </c>
    </row>
    <row r="209" spans="1:20" outlineLevel="3" collapsed="1" x14ac:dyDescent="0.25">
      <c r="A209" s="410" t="s">
        <v>1651</v>
      </c>
      <c r="B209" s="402"/>
      <c r="C209" s="196" t="str">
        <f t="shared" si="3"/>
        <v>62-010100A</v>
      </c>
      <c r="D209" s="201">
        <v>0</v>
      </c>
      <c r="E209" s="202" t="s">
        <v>80</v>
      </c>
      <c r="F209" s="203">
        <v>0</v>
      </c>
      <c r="G209" s="204">
        <v>0</v>
      </c>
      <c r="H209" s="203">
        <v>0</v>
      </c>
      <c r="I209" s="202" t="s">
        <v>80</v>
      </c>
      <c r="J209" s="203">
        <v>0</v>
      </c>
      <c r="K209" s="205">
        <v>2540000</v>
      </c>
      <c r="L209" s="411">
        <v>0</v>
      </c>
      <c r="M209" s="402"/>
      <c r="N209" s="203">
        <v>0</v>
      </c>
      <c r="O209" s="203">
        <v>2540000</v>
      </c>
      <c r="P209" s="203">
        <v>2540000</v>
      </c>
      <c r="Q209" s="212" t="s">
        <v>80</v>
      </c>
      <c r="R209" s="203">
        <v>0</v>
      </c>
      <c r="S209" s="203">
        <v>2540000</v>
      </c>
      <c r="T209" s="203">
        <v>-2540000</v>
      </c>
    </row>
    <row r="210" spans="1:20" outlineLevel="3" collapsed="1" x14ac:dyDescent="0.25">
      <c r="A210" s="410" t="s">
        <v>1652</v>
      </c>
      <c r="B210" s="402"/>
      <c r="C210" s="196" t="str">
        <f t="shared" si="3"/>
        <v>62-010100G</v>
      </c>
      <c r="D210" s="201">
        <v>30018163</v>
      </c>
      <c r="E210" s="202" t="s">
        <v>80</v>
      </c>
      <c r="F210" s="203">
        <v>0</v>
      </c>
      <c r="G210" s="204">
        <v>32730920</v>
      </c>
      <c r="H210" s="203">
        <v>32730920</v>
      </c>
      <c r="I210" s="202" t="s">
        <v>80</v>
      </c>
      <c r="J210" s="203">
        <v>0</v>
      </c>
      <c r="K210" s="205">
        <v>0</v>
      </c>
      <c r="L210" s="411">
        <v>0</v>
      </c>
      <c r="M210" s="402"/>
      <c r="N210" s="203">
        <v>0</v>
      </c>
      <c r="O210" s="203">
        <v>0</v>
      </c>
      <c r="P210" s="203">
        <v>0</v>
      </c>
      <c r="Q210" s="212" t="s">
        <v>80</v>
      </c>
      <c r="R210" s="203">
        <v>32730920</v>
      </c>
      <c r="S210" s="203">
        <v>0</v>
      </c>
      <c r="T210" s="203">
        <v>32730920</v>
      </c>
    </row>
    <row r="211" spans="1:20" outlineLevel="2" x14ac:dyDescent="0.25">
      <c r="A211" s="414" t="s">
        <v>1653</v>
      </c>
      <c r="B211" s="402"/>
      <c r="C211" s="196" t="str">
        <f t="shared" si="3"/>
        <v>Permisos D</v>
      </c>
      <c r="D211" s="3">
        <v>10219759</v>
      </c>
      <c r="E211" s="309" t="s">
        <v>80</v>
      </c>
      <c r="F211" s="71">
        <v>1892548</v>
      </c>
      <c r="G211" s="71">
        <v>8352400</v>
      </c>
      <c r="H211" s="71">
        <v>10244948</v>
      </c>
      <c r="I211" s="309" t="s">
        <v>80</v>
      </c>
      <c r="J211" s="71">
        <v>0</v>
      </c>
      <c r="K211" s="71">
        <v>0</v>
      </c>
      <c r="L211" s="415">
        <v>0</v>
      </c>
      <c r="M211" s="402"/>
      <c r="N211" s="71">
        <v>0</v>
      </c>
      <c r="O211" s="71">
        <v>0</v>
      </c>
      <c r="P211" s="71">
        <v>0</v>
      </c>
      <c r="Q211" s="310" t="s">
        <v>80</v>
      </c>
      <c r="R211" s="71">
        <v>10244948</v>
      </c>
      <c r="S211" s="71">
        <v>0</v>
      </c>
      <c r="T211" s="71">
        <v>10244948</v>
      </c>
    </row>
    <row r="212" spans="1:20" outlineLevel="3" collapsed="1" x14ac:dyDescent="0.25">
      <c r="A212" s="410" t="s">
        <v>1654</v>
      </c>
      <c r="B212" s="402"/>
      <c r="C212" s="196" t="str">
        <f t="shared" si="3"/>
        <v>62-020100A</v>
      </c>
      <c r="D212" s="201">
        <v>10219759</v>
      </c>
      <c r="E212" s="202" t="s">
        <v>80</v>
      </c>
      <c r="F212" s="203">
        <v>1892548</v>
      </c>
      <c r="G212" s="204">
        <v>8352400</v>
      </c>
      <c r="H212" s="203">
        <v>10244948</v>
      </c>
      <c r="I212" s="202" t="s">
        <v>80</v>
      </c>
      <c r="J212" s="203">
        <v>0</v>
      </c>
      <c r="K212" s="205">
        <v>0</v>
      </c>
      <c r="L212" s="411">
        <v>0</v>
      </c>
      <c r="M212" s="402"/>
      <c r="N212" s="203">
        <v>0</v>
      </c>
      <c r="O212" s="203">
        <v>0</v>
      </c>
      <c r="P212" s="203">
        <v>0</v>
      </c>
      <c r="Q212" s="212" t="s">
        <v>80</v>
      </c>
      <c r="R212" s="203">
        <v>10244948</v>
      </c>
      <c r="S212" s="203">
        <v>0</v>
      </c>
      <c r="T212" s="203">
        <v>10244948</v>
      </c>
    </row>
    <row r="213" spans="1:20" outlineLevel="3" collapsed="1" x14ac:dyDescent="0.25">
      <c r="A213" s="410" t="s">
        <v>1655</v>
      </c>
      <c r="B213" s="402"/>
      <c r="C213" s="196" t="str">
        <f t="shared" si="3"/>
        <v>62-020100G</v>
      </c>
      <c r="D213" s="201">
        <v>0</v>
      </c>
      <c r="E213" s="202" t="s">
        <v>80</v>
      </c>
      <c r="F213" s="203">
        <v>0</v>
      </c>
      <c r="G213" s="204">
        <v>0</v>
      </c>
      <c r="H213" s="203">
        <v>0</v>
      </c>
      <c r="I213" s="202" t="s">
        <v>80</v>
      </c>
      <c r="J213" s="203">
        <v>0</v>
      </c>
      <c r="K213" s="205">
        <v>0</v>
      </c>
      <c r="L213" s="411">
        <v>0</v>
      </c>
      <c r="M213" s="402"/>
      <c r="N213" s="203">
        <v>0</v>
      </c>
      <c r="O213" s="203">
        <v>0</v>
      </c>
      <c r="P213" s="203">
        <v>0</v>
      </c>
      <c r="Q213" s="212" t="s">
        <v>80</v>
      </c>
      <c r="R213" s="203">
        <v>0</v>
      </c>
      <c r="S213" s="203">
        <v>0</v>
      </c>
      <c r="T213" s="203">
        <v>0</v>
      </c>
    </row>
    <row r="214" spans="1:20" outlineLevel="1" x14ac:dyDescent="0.25">
      <c r="A214" s="412" t="s">
        <v>221</v>
      </c>
      <c r="B214" s="402"/>
      <c r="C214" s="196" t="str">
        <f t="shared" si="3"/>
        <v>ASTOS GENE</v>
      </c>
      <c r="D214" s="197">
        <v>510170504</v>
      </c>
      <c r="E214" s="196" t="s">
        <v>80</v>
      </c>
      <c r="F214" s="198">
        <v>94480563</v>
      </c>
      <c r="G214" s="198">
        <v>436394845</v>
      </c>
      <c r="H214" s="198">
        <v>530875408</v>
      </c>
      <c r="I214" s="196" t="s">
        <v>80</v>
      </c>
      <c r="J214" s="214">
        <v>59039333</v>
      </c>
      <c r="K214" s="214">
        <v>18641660</v>
      </c>
      <c r="L214" s="413">
        <v>57792107.399999999</v>
      </c>
      <c r="M214" s="402"/>
      <c r="N214" s="214">
        <v>0</v>
      </c>
      <c r="O214" s="214">
        <v>76433767.400000006</v>
      </c>
      <c r="P214" s="214">
        <v>135473100.40000001</v>
      </c>
      <c r="Q214" s="199" t="s">
        <v>80</v>
      </c>
      <c r="R214" s="198">
        <v>530875408</v>
      </c>
      <c r="S214" s="214">
        <v>135473100.40000001</v>
      </c>
      <c r="T214" s="200">
        <v>395402307.60000002</v>
      </c>
    </row>
    <row r="215" spans="1:20" outlineLevel="2" x14ac:dyDescent="0.25">
      <c r="A215" s="414" t="s">
        <v>1656</v>
      </c>
      <c r="B215" s="402"/>
      <c r="C215" s="196" t="str">
        <f t="shared" si="3"/>
        <v>Fletes Gen</v>
      </c>
      <c r="D215" s="3">
        <v>122126118</v>
      </c>
      <c r="E215" s="309" t="s">
        <v>80</v>
      </c>
      <c r="F215" s="71">
        <v>22615948</v>
      </c>
      <c r="G215" s="71">
        <v>103700098</v>
      </c>
      <c r="H215" s="71">
        <v>126316046</v>
      </c>
      <c r="I215" s="309" t="s">
        <v>80</v>
      </c>
      <c r="J215" s="71">
        <v>19160000</v>
      </c>
      <c r="K215" s="71">
        <v>0</v>
      </c>
      <c r="L215" s="415">
        <v>51810000</v>
      </c>
      <c r="M215" s="402"/>
      <c r="N215" s="71">
        <v>0</v>
      </c>
      <c r="O215" s="71">
        <v>51810000</v>
      </c>
      <c r="P215" s="71">
        <v>70970000</v>
      </c>
      <c r="Q215" s="310" t="s">
        <v>80</v>
      </c>
      <c r="R215" s="71">
        <v>126316046</v>
      </c>
      <c r="S215" s="71">
        <v>70970000</v>
      </c>
      <c r="T215" s="71">
        <v>55346046</v>
      </c>
    </row>
    <row r="216" spans="1:20" outlineLevel="3" collapsed="1" x14ac:dyDescent="0.25">
      <c r="A216" s="410" t="s">
        <v>1657</v>
      </c>
      <c r="B216" s="402"/>
      <c r="C216" s="196" t="str">
        <f t="shared" si="3"/>
        <v>72-107010A</v>
      </c>
      <c r="D216" s="201">
        <v>122126118</v>
      </c>
      <c r="E216" s="202" t="s">
        <v>80</v>
      </c>
      <c r="F216" s="203">
        <v>22615948</v>
      </c>
      <c r="G216" s="204">
        <v>103700098</v>
      </c>
      <c r="H216" s="203">
        <v>126316046</v>
      </c>
      <c r="I216" s="202" t="s">
        <v>80</v>
      </c>
      <c r="J216" s="203">
        <v>19160000</v>
      </c>
      <c r="K216" s="205">
        <v>0</v>
      </c>
      <c r="L216" s="411">
        <v>51810000</v>
      </c>
      <c r="M216" s="402"/>
      <c r="N216" s="203">
        <v>0</v>
      </c>
      <c r="O216" s="203">
        <v>51810000</v>
      </c>
      <c r="P216" s="203">
        <v>70970000</v>
      </c>
      <c r="Q216" s="212" t="s">
        <v>80</v>
      </c>
      <c r="R216" s="203">
        <v>126316046</v>
      </c>
      <c r="S216" s="203">
        <v>70970000</v>
      </c>
      <c r="T216" s="203">
        <v>55346046</v>
      </c>
    </row>
    <row r="217" spans="1:20" outlineLevel="3" collapsed="1" x14ac:dyDescent="0.25">
      <c r="A217" s="410" t="s">
        <v>1658</v>
      </c>
      <c r="B217" s="402"/>
      <c r="C217" s="196" t="str">
        <f t="shared" si="3"/>
        <v>72-107010G</v>
      </c>
      <c r="D217" s="201">
        <v>0</v>
      </c>
      <c r="E217" s="202" t="s">
        <v>80</v>
      </c>
      <c r="F217" s="203">
        <v>0</v>
      </c>
      <c r="G217" s="204">
        <v>0</v>
      </c>
      <c r="H217" s="203">
        <v>0</v>
      </c>
      <c r="I217" s="202" t="s">
        <v>80</v>
      </c>
      <c r="J217" s="203">
        <v>0</v>
      </c>
      <c r="K217" s="205">
        <v>0</v>
      </c>
      <c r="L217" s="411">
        <v>0</v>
      </c>
      <c r="M217" s="402"/>
      <c r="N217" s="203">
        <v>0</v>
      </c>
      <c r="O217" s="203">
        <v>0</v>
      </c>
      <c r="P217" s="203">
        <v>0</v>
      </c>
      <c r="Q217" s="212" t="s">
        <v>80</v>
      </c>
      <c r="R217" s="203">
        <v>0</v>
      </c>
      <c r="S217" s="203">
        <v>0</v>
      </c>
      <c r="T217" s="203">
        <v>0</v>
      </c>
    </row>
    <row r="218" spans="1:20" outlineLevel="2" x14ac:dyDescent="0.25">
      <c r="A218" s="414" t="s">
        <v>1659</v>
      </c>
      <c r="B218" s="402"/>
      <c r="C218" s="196" t="str">
        <f t="shared" si="3"/>
        <v>Gastos Var</v>
      </c>
      <c r="D218" s="3">
        <v>190733118</v>
      </c>
      <c r="E218" s="309" t="s">
        <v>80</v>
      </c>
      <c r="F218" s="71">
        <v>35320949</v>
      </c>
      <c r="G218" s="71">
        <v>162072231</v>
      </c>
      <c r="H218" s="71">
        <v>197393180</v>
      </c>
      <c r="I218" s="309" t="s">
        <v>80</v>
      </c>
      <c r="J218" s="71">
        <v>24139099</v>
      </c>
      <c r="K218" s="71">
        <v>5918828</v>
      </c>
      <c r="L218" s="415">
        <v>646390</v>
      </c>
      <c r="M218" s="402"/>
      <c r="N218" s="71">
        <v>0</v>
      </c>
      <c r="O218" s="71">
        <v>6565218</v>
      </c>
      <c r="P218" s="71">
        <v>30704317</v>
      </c>
      <c r="Q218" s="310" t="s">
        <v>80</v>
      </c>
      <c r="R218" s="71">
        <v>197393180</v>
      </c>
      <c r="S218" s="71">
        <v>30704317</v>
      </c>
      <c r="T218" s="71">
        <v>166688863</v>
      </c>
    </row>
    <row r="219" spans="1:20" outlineLevel="3" collapsed="1" x14ac:dyDescent="0.25">
      <c r="A219" s="410" t="s">
        <v>1660</v>
      </c>
      <c r="B219" s="402"/>
      <c r="C219" s="196" t="str">
        <f t="shared" si="3"/>
        <v>72-103010A</v>
      </c>
      <c r="D219" s="201">
        <v>7511523</v>
      </c>
      <c r="E219" s="202" t="s">
        <v>80</v>
      </c>
      <c r="F219" s="203">
        <v>1391023</v>
      </c>
      <c r="G219" s="204">
        <v>6400174</v>
      </c>
      <c r="H219" s="203">
        <v>7791197</v>
      </c>
      <c r="I219" s="202" t="s">
        <v>80</v>
      </c>
      <c r="J219" s="203">
        <v>0</v>
      </c>
      <c r="K219" s="205">
        <v>905911</v>
      </c>
      <c r="L219" s="411">
        <v>2246</v>
      </c>
      <c r="M219" s="402"/>
      <c r="N219" s="203">
        <v>0</v>
      </c>
      <c r="O219" s="203">
        <v>908157</v>
      </c>
      <c r="P219" s="203">
        <v>908157</v>
      </c>
      <c r="Q219" s="212" t="s">
        <v>80</v>
      </c>
      <c r="R219" s="203">
        <v>7791197</v>
      </c>
      <c r="S219" s="203">
        <v>908157</v>
      </c>
      <c r="T219" s="203">
        <v>6883040</v>
      </c>
    </row>
    <row r="220" spans="1:20" outlineLevel="3" collapsed="1" x14ac:dyDescent="0.25">
      <c r="A220" s="410" t="s">
        <v>1661</v>
      </c>
      <c r="B220" s="402"/>
      <c r="C220" s="196" t="str">
        <f t="shared" si="3"/>
        <v>72-103010G</v>
      </c>
      <c r="D220" s="201">
        <v>0</v>
      </c>
      <c r="E220" s="202" t="s">
        <v>80</v>
      </c>
      <c r="F220" s="203">
        <v>0</v>
      </c>
      <c r="G220" s="204">
        <v>0</v>
      </c>
      <c r="H220" s="203">
        <v>0</v>
      </c>
      <c r="I220" s="202" t="s">
        <v>80</v>
      </c>
      <c r="J220" s="203">
        <v>0</v>
      </c>
      <c r="K220" s="205">
        <v>0</v>
      </c>
      <c r="L220" s="411">
        <v>0</v>
      </c>
      <c r="M220" s="402"/>
      <c r="N220" s="203">
        <v>0</v>
      </c>
      <c r="O220" s="203">
        <v>0</v>
      </c>
      <c r="P220" s="203">
        <v>0</v>
      </c>
      <c r="Q220" s="212" t="s">
        <v>80</v>
      </c>
      <c r="R220" s="203">
        <v>0</v>
      </c>
      <c r="S220" s="203">
        <v>0</v>
      </c>
      <c r="T220" s="203">
        <v>0</v>
      </c>
    </row>
    <row r="221" spans="1:20" outlineLevel="3" collapsed="1" x14ac:dyDescent="0.25">
      <c r="A221" s="410" t="s">
        <v>1662</v>
      </c>
      <c r="B221" s="402"/>
      <c r="C221" s="196" t="str">
        <f t="shared" si="3"/>
        <v>72-103020A</v>
      </c>
      <c r="D221" s="201">
        <v>46229723</v>
      </c>
      <c r="E221" s="202" t="s">
        <v>80</v>
      </c>
      <c r="F221" s="203">
        <v>8561060</v>
      </c>
      <c r="G221" s="204">
        <v>39652424</v>
      </c>
      <c r="H221" s="203">
        <v>48213484</v>
      </c>
      <c r="I221" s="202" t="s">
        <v>80</v>
      </c>
      <c r="J221" s="203">
        <v>0</v>
      </c>
      <c r="K221" s="205">
        <v>224026</v>
      </c>
      <c r="L221" s="411">
        <v>60758</v>
      </c>
      <c r="M221" s="402"/>
      <c r="N221" s="203">
        <v>0</v>
      </c>
      <c r="O221" s="203">
        <v>284784</v>
      </c>
      <c r="P221" s="203">
        <v>284784</v>
      </c>
      <c r="Q221" s="212" t="s">
        <v>80</v>
      </c>
      <c r="R221" s="203">
        <v>48213484</v>
      </c>
      <c r="S221" s="203">
        <v>284784</v>
      </c>
      <c r="T221" s="203">
        <v>47928700</v>
      </c>
    </row>
    <row r="222" spans="1:20" outlineLevel="3" collapsed="1" x14ac:dyDescent="0.25">
      <c r="A222" s="410" t="s">
        <v>1663</v>
      </c>
      <c r="B222" s="402"/>
      <c r="C222" s="196" t="str">
        <f t="shared" si="3"/>
        <v>72-103020G</v>
      </c>
      <c r="D222" s="201">
        <v>0</v>
      </c>
      <c r="E222" s="202" t="s">
        <v>80</v>
      </c>
      <c r="F222" s="203">
        <v>0</v>
      </c>
      <c r="G222" s="204">
        <v>0</v>
      </c>
      <c r="H222" s="203">
        <v>0</v>
      </c>
      <c r="I222" s="202" t="s">
        <v>80</v>
      </c>
      <c r="J222" s="203">
        <v>0</v>
      </c>
      <c r="K222" s="205">
        <v>0</v>
      </c>
      <c r="L222" s="411">
        <v>0</v>
      </c>
      <c r="M222" s="402"/>
      <c r="N222" s="203">
        <v>0</v>
      </c>
      <c r="O222" s="203">
        <v>0</v>
      </c>
      <c r="P222" s="203">
        <v>0</v>
      </c>
      <c r="Q222" s="212" t="s">
        <v>80</v>
      </c>
      <c r="R222" s="203">
        <v>0</v>
      </c>
      <c r="S222" s="203">
        <v>0</v>
      </c>
      <c r="T222" s="203">
        <v>0</v>
      </c>
    </row>
    <row r="223" spans="1:20" outlineLevel="3" collapsed="1" x14ac:dyDescent="0.25">
      <c r="A223" s="410" t="s">
        <v>1664</v>
      </c>
      <c r="B223" s="402"/>
      <c r="C223" s="196" t="str">
        <f t="shared" si="3"/>
        <v>72-103030A</v>
      </c>
      <c r="D223" s="201">
        <v>19315344</v>
      </c>
      <c r="E223" s="202" t="s">
        <v>80</v>
      </c>
      <c r="F223" s="203">
        <v>3576916</v>
      </c>
      <c r="G223" s="204">
        <v>16457589</v>
      </c>
      <c r="H223" s="203">
        <v>20034505</v>
      </c>
      <c r="I223" s="202" t="s">
        <v>80</v>
      </c>
      <c r="J223" s="203">
        <v>331660</v>
      </c>
      <c r="K223" s="205">
        <v>-203930</v>
      </c>
      <c r="L223" s="411">
        <v>198896</v>
      </c>
      <c r="M223" s="402"/>
      <c r="N223" s="203">
        <v>0</v>
      </c>
      <c r="O223" s="203">
        <v>-5034</v>
      </c>
      <c r="P223" s="203">
        <v>326626</v>
      </c>
      <c r="Q223" s="212" t="s">
        <v>80</v>
      </c>
      <c r="R223" s="203">
        <v>20034505</v>
      </c>
      <c r="S223" s="203">
        <v>326626</v>
      </c>
      <c r="T223" s="203">
        <v>19707879</v>
      </c>
    </row>
    <row r="224" spans="1:20" outlineLevel="3" collapsed="1" x14ac:dyDescent="0.25">
      <c r="A224" s="410" t="s">
        <v>1665</v>
      </c>
      <c r="B224" s="402"/>
      <c r="C224" s="196" t="str">
        <f t="shared" si="3"/>
        <v>72-103030G</v>
      </c>
      <c r="D224" s="201">
        <v>0</v>
      </c>
      <c r="E224" s="202" t="s">
        <v>80</v>
      </c>
      <c r="F224" s="203">
        <v>0</v>
      </c>
      <c r="G224" s="204">
        <v>0</v>
      </c>
      <c r="H224" s="203">
        <v>0</v>
      </c>
      <c r="I224" s="202" t="s">
        <v>80</v>
      </c>
      <c r="J224" s="203">
        <v>0</v>
      </c>
      <c r="K224" s="205">
        <v>0</v>
      </c>
      <c r="L224" s="411">
        <v>0</v>
      </c>
      <c r="M224" s="402"/>
      <c r="N224" s="203">
        <v>0</v>
      </c>
      <c r="O224" s="203">
        <v>0</v>
      </c>
      <c r="P224" s="203">
        <v>0</v>
      </c>
      <c r="Q224" s="212" t="s">
        <v>80</v>
      </c>
      <c r="R224" s="203">
        <v>0</v>
      </c>
      <c r="S224" s="203">
        <v>0</v>
      </c>
      <c r="T224" s="203">
        <v>0</v>
      </c>
    </row>
    <row r="225" spans="1:20" outlineLevel="3" collapsed="1" x14ac:dyDescent="0.25">
      <c r="A225" s="410" t="s">
        <v>1666</v>
      </c>
      <c r="B225" s="402"/>
      <c r="C225" s="196" t="str">
        <f t="shared" si="3"/>
        <v>72-103990A</v>
      </c>
      <c r="D225" s="201">
        <v>4598891</v>
      </c>
      <c r="E225" s="202" t="s">
        <v>80</v>
      </c>
      <c r="F225" s="203">
        <v>851647</v>
      </c>
      <c r="G225" s="204">
        <v>4216696</v>
      </c>
      <c r="H225" s="203">
        <v>5068343</v>
      </c>
      <c r="I225" s="202" t="s">
        <v>80</v>
      </c>
      <c r="J225" s="203">
        <v>852697</v>
      </c>
      <c r="K225" s="205">
        <v>4629661</v>
      </c>
      <c r="L225" s="411">
        <v>104490</v>
      </c>
      <c r="M225" s="402"/>
      <c r="N225" s="203">
        <v>0</v>
      </c>
      <c r="O225" s="203">
        <v>4734151</v>
      </c>
      <c r="P225" s="203">
        <v>5586848</v>
      </c>
      <c r="Q225" s="212" t="s">
        <v>80</v>
      </c>
      <c r="R225" s="203">
        <v>5068343</v>
      </c>
      <c r="S225" s="203">
        <v>5586848</v>
      </c>
      <c r="T225" s="203">
        <v>-518505</v>
      </c>
    </row>
    <row r="226" spans="1:20" outlineLevel="3" collapsed="1" x14ac:dyDescent="0.25">
      <c r="A226" s="410" t="s">
        <v>1667</v>
      </c>
      <c r="B226" s="402"/>
      <c r="C226" s="196" t="str">
        <f t="shared" si="3"/>
        <v>72-103990G</v>
      </c>
      <c r="D226" s="201">
        <v>0</v>
      </c>
      <c r="E226" s="202" t="s">
        <v>80</v>
      </c>
      <c r="F226" s="203">
        <v>0</v>
      </c>
      <c r="G226" s="204">
        <v>0</v>
      </c>
      <c r="H226" s="203">
        <v>0</v>
      </c>
      <c r="I226" s="202" t="s">
        <v>80</v>
      </c>
      <c r="J226" s="203">
        <v>0</v>
      </c>
      <c r="K226" s="205">
        <v>0</v>
      </c>
      <c r="L226" s="411">
        <v>0</v>
      </c>
      <c r="M226" s="402"/>
      <c r="N226" s="203">
        <v>0</v>
      </c>
      <c r="O226" s="203">
        <v>0</v>
      </c>
      <c r="P226" s="203">
        <v>0</v>
      </c>
      <c r="Q226" s="212" t="s">
        <v>80</v>
      </c>
      <c r="R226" s="203">
        <v>0</v>
      </c>
      <c r="S226" s="203">
        <v>0</v>
      </c>
      <c r="T226" s="203">
        <v>0</v>
      </c>
    </row>
    <row r="227" spans="1:20" outlineLevel="3" collapsed="1" x14ac:dyDescent="0.25">
      <c r="A227" s="410" t="s">
        <v>1668</v>
      </c>
      <c r="B227" s="402"/>
      <c r="C227" s="196" t="str">
        <f t="shared" si="3"/>
        <v>72-199010A</v>
      </c>
      <c r="D227" s="201">
        <v>113077637</v>
      </c>
      <c r="E227" s="202" t="s">
        <v>80</v>
      </c>
      <c r="F227" s="203">
        <v>20940303</v>
      </c>
      <c r="G227" s="204">
        <v>95345348</v>
      </c>
      <c r="H227" s="203">
        <v>116285651</v>
      </c>
      <c r="I227" s="202" t="s">
        <v>80</v>
      </c>
      <c r="J227" s="203">
        <v>17933154</v>
      </c>
      <c r="K227" s="205">
        <v>363160</v>
      </c>
      <c r="L227" s="411">
        <v>280000</v>
      </c>
      <c r="M227" s="402"/>
      <c r="N227" s="203">
        <v>0</v>
      </c>
      <c r="O227" s="203">
        <v>643160</v>
      </c>
      <c r="P227" s="203">
        <v>18576314</v>
      </c>
      <c r="Q227" s="212" t="s">
        <v>80</v>
      </c>
      <c r="R227" s="203">
        <v>116285651</v>
      </c>
      <c r="S227" s="203">
        <v>18576314</v>
      </c>
      <c r="T227" s="203">
        <v>97709337</v>
      </c>
    </row>
    <row r="228" spans="1:20" outlineLevel="3" collapsed="1" x14ac:dyDescent="0.25">
      <c r="A228" s="410" t="s">
        <v>1669</v>
      </c>
      <c r="B228" s="402"/>
      <c r="C228" s="196" t="str">
        <f t="shared" si="3"/>
        <v>72-199010G</v>
      </c>
      <c r="D228" s="201">
        <v>0</v>
      </c>
      <c r="E228" s="202" t="s">
        <v>80</v>
      </c>
      <c r="F228" s="203">
        <v>0</v>
      </c>
      <c r="G228" s="204">
        <v>0</v>
      </c>
      <c r="H228" s="203">
        <v>0</v>
      </c>
      <c r="I228" s="202" t="s">
        <v>80</v>
      </c>
      <c r="J228" s="203">
        <v>5021588</v>
      </c>
      <c r="K228" s="205">
        <v>0</v>
      </c>
      <c r="L228" s="411">
        <v>0</v>
      </c>
      <c r="M228" s="402"/>
      <c r="N228" s="203">
        <v>0</v>
      </c>
      <c r="O228" s="203">
        <v>0</v>
      </c>
      <c r="P228" s="203">
        <v>5021588</v>
      </c>
      <c r="Q228" s="212" t="s">
        <v>80</v>
      </c>
      <c r="R228" s="203">
        <v>0</v>
      </c>
      <c r="S228" s="203">
        <v>5021588</v>
      </c>
      <c r="T228" s="203">
        <v>-5021588</v>
      </c>
    </row>
    <row r="229" spans="1:20" outlineLevel="2" x14ac:dyDescent="0.25">
      <c r="A229" s="414" t="s">
        <v>1670</v>
      </c>
      <c r="B229" s="402"/>
      <c r="C229" s="196" t="str">
        <f t="shared" si="3"/>
        <v>Informatic</v>
      </c>
      <c r="D229" s="3">
        <v>28002139</v>
      </c>
      <c r="E229" s="309" t="s">
        <v>80</v>
      </c>
      <c r="F229" s="71">
        <v>5185581</v>
      </c>
      <c r="G229" s="71">
        <v>23832316</v>
      </c>
      <c r="H229" s="71">
        <v>29017897</v>
      </c>
      <c r="I229" s="309" t="s">
        <v>80</v>
      </c>
      <c r="J229" s="71">
        <v>6551122</v>
      </c>
      <c r="K229" s="71">
        <v>11797693</v>
      </c>
      <c r="L229" s="415">
        <v>5062917.4000000004</v>
      </c>
      <c r="M229" s="402"/>
      <c r="N229" s="71">
        <v>0</v>
      </c>
      <c r="O229" s="71">
        <v>16860610.399999999</v>
      </c>
      <c r="P229" s="71">
        <v>23411732.399999999</v>
      </c>
      <c r="Q229" s="310" t="s">
        <v>80</v>
      </c>
      <c r="R229" s="71">
        <v>29017897</v>
      </c>
      <c r="S229" s="71">
        <v>23411732.399999999</v>
      </c>
      <c r="T229" s="71">
        <v>5606164.5999999996</v>
      </c>
    </row>
    <row r="230" spans="1:20" outlineLevel="3" collapsed="1" x14ac:dyDescent="0.25">
      <c r="A230" s="410" t="s">
        <v>1671</v>
      </c>
      <c r="B230" s="402"/>
      <c r="C230" s="196" t="str">
        <f t="shared" si="3"/>
        <v>72-102010A</v>
      </c>
      <c r="D230" s="201">
        <v>15023045</v>
      </c>
      <c r="E230" s="202" t="s">
        <v>80</v>
      </c>
      <c r="F230" s="203">
        <v>2782045</v>
      </c>
      <c r="G230" s="204">
        <v>12911190</v>
      </c>
      <c r="H230" s="203">
        <v>15693235</v>
      </c>
      <c r="I230" s="202" t="s">
        <v>80</v>
      </c>
      <c r="J230" s="203">
        <v>0</v>
      </c>
      <c r="K230" s="205">
        <v>5589490</v>
      </c>
      <c r="L230" s="411">
        <v>455200</v>
      </c>
      <c r="M230" s="402"/>
      <c r="N230" s="203">
        <v>0</v>
      </c>
      <c r="O230" s="203">
        <v>6044690</v>
      </c>
      <c r="P230" s="203">
        <v>6044690</v>
      </c>
      <c r="Q230" s="212" t="s">
        <v>80</v>
      </c>
      <c r="R230" s="203">
        <v>15693235</v>
      </c>
      <c r="S230" s="203">
        <v>6044690</v>
      </c>
      <c r="T230" s="203">
        <v>9648545</v>
      </c>
    </row>
    <row r="231" spans="1:20" outlineLevel="3" collapsed="1" x14ac:dyDescent="0.25">
      <c r="A231" s="410" t="s">
        <v>1672</v>
      </c>
      <c r="B231" s="402"/>
      <c r="C231" s="196" t="str">
        <f t="shared" si="3"/>
        <v>72-102010G</v>
      </c>
      <c r="D231" s="201">
        <v>0</v>
      </c>
      <c r="E231" s="202" t="s">
        <v>80</v>
      </c>
      <c r="F231" s="203">
        <v>0</v>
      </c>
      <c r="G231" s="204">
        <v>0</v>
      </c>
      <c r="H231" s="203">
        <v>0</v>
      </c>
      <c r="I231" s="202" t="s">
        <v>80</v>
      </c>
      <c r="J231" s="203">
        <v>567140</v>
      </c>
      <c r="K231" s="205">
        <v>0</v>
      </c>
      <c r="L231" s="411">
        <v>0</v>
      </c>
      <c r="M231" s="402"/>
      <c r="N231" s="203">
        <v>0</v>
      </c>
      <c r="O231" s="203">
        <v>0</v>
      </c>
      <c r="P231" s="203">
        <v>567140</v>
      </c>
      <c r="Q231" s="212" t="s">
        <v>80</v>
      </c>
      <c r="R231" s="203">
        <v>0</v>
      </c>
      <c r="S231" s="203">
        <v>567140</v>
      </c>
      <c r="T231" s="203">
        <v>-567140</v>
      </c>
    </row>
    <row r="232" spans="1:20" outlineLevel="3" collapsed="1" x14ac:dyDescent="0.25">
      <c r="A232" s="410" t="s">
        <v>1673</v>
      </c>
      <c r="B232" s="402"/>
      <c r="C232" s="196" t="str">
        <f t="shared" si="3"/>
        <v>72-102020A</v>
      </c>
      <c r="D232" s="201">
        <v>2759335</v>
      </c>
      <c r="E232" s="202" t="s">
        <v>80</v>
      </c>
      <c r="F232" s="203">
        <v>510988</v>
      </c>
      <c r="G232" s="204">
        <v>2356264</v>
      </c>
      <c r="H232" s="203">
        <v>2867252</v>
      </c>
      <c r="I232" s="202" t="s">
        <v>80</v>
      </c>
      <c r="J232" s="203">
        <v>0</v>
      </c>
      <c r="K232" s="205">
        <v>307990</v>
      </c>
      <c r="L232" s="411">
        <v>0</v>
      </c>
      <c r="M232" s="402"/>
      <c r="N232" s="203">
        <v>0</v>
      </c>
      <c r="O232" s="203">
        <v>307990</v>
      </c>
      <c r="P232" s="203">
        <v>307990</v>
      </c>
      <c r="Q232" s="212" t="s">
        <v>80</v>
      </c>
      <c r="R232" s="203">
        <v>2867252</v>
      </c>
      <c r="S232" s="203">
        <v>307990</v>
      </c>
      <c r="T232" s="203">
        <v>2559262</v>
      </c>
    </row>
    <row r="233" spans="1:20" outlineLevel="3" collapsed="1" x14ac:dyDescent="0.25">
      <c r="A233" s="410" t="s">
        <v>1674</v>
      </c>
      <c r="B233" s="402"/>
      <c r="C233" s="196" t="str">
        <f t="shared" si="3"/>
        <v>72-102020G</v>
      </c>
      <c r="D233" s="201">
        <v>0</v>
      </c>
      <c r="E233" s="202" t="s">
        <v>80</v>
      </c>
      <c r="F233" s="203">
        <v>0</v>
      </c>
      <c r="G233" s="204">
        <v>0</v>
      </c>
      <c r="H233" s="203">
        <v>0</v>
      </c>
      <c r="I233" s="202" t="s">
        <v>80</v>
      </c>
      <c r="J233" s="203">
        <v>0</v>
      </c>
      <c r="K233" s="205">
        <v>0</v>
      </c>
      <c r="L233" s="411">
        <v>0</v>
      </c>
      <c r="M233" s="402"/>
      <c r="N233" s="203">
        <v>0</v>
      </c>
      <c r="O233" s="203">
        <v>0</v>
      </c>
      <c r="P233" s="203">
        <v>0</v>
      </c>
      <c r="Q233" s="212" t="s">
        <v>80</v>
      </c>
      <c r="R233" s="203">
        <v>0</v>
      </c>
      <c r="S233" s="203">
        <v>0</v>
      </c>
      <c r="T233" s="203">
        <v>0</v>
      </c>
    </row>
    <row r="234" spans="1:20" outlineLevel="3" collapsed="1" x14ac:dyDescent="0.25">
      <c r="A234" s="410" t="s">
        <v>1675</v>
      </c>
      <c r="B234" s="402"/>
      <c r="C234" s="196" t="str">
        <f t="shared" si="3"/>
        <v>72-102040A</v>
      </c>
      <c r="D234" s="201">
        <v>10219759</v>
      </c>
      <c r="E234" s="202" t="s">
        <v>80</v>
      </c>
      <c r="F234" s="203">
        <v>1892548</v>
      </c>
      <c r="G234" s="204">
        <v>8564862</v>
      </c>
      <c r="H234" s="203">
        <v>10457410</v>
      </c>
      <c r="I234" s="202" t="s">
        <v>80</v>
      </c>
      <c r="J234" s="203">
        <v>946348</v>
      </c>
      <c r="K234" s="205">
        <v>4444914</v>
      </c>
      <c r="L234" s="411">
        <v>4607717.4000000004</v>
      </c>
      <c r="M234" s="402"/>
      <c r="N234" s="203">
        <v>0</v>
      </c>
      <c r="O234" s="203">
        <v>9052631.4000000004</v>
      </c>
      <c r="P234" s="203">
        <v>9998979.4000000004</v>
      </c>
      <c r="Q234" s="212" t="s">
        <v>80</v>
      </c>
      <c r="R234" s="203">
        <v>10457410</v>
      </c>
      <c r="S234" s="203">
        <v>9998979.4000000004</v>
      </c>
      <c r="T234" s="203">
        <v>458430.6</v>
      </c>
    </row>
    <row r="235" spans="1:20" outlineLevel="3" collapsed="1" x14ac:dyDescent="0.25">
      <c r="A235" s="410" t="s">
        <v>1676</v>
      </c>
      <c r="B235" s="402"/>
      <c r="C235" s="196" t="str">
        <f t="shared" si="3"/>
        <v>72-102040G</v>
      </c>
      <c r="D235" s="201">
        <v>0</v>
      </c>
      <c r="E235" s="202" t="s">
        <v>80</v>
      </c>
      <c r="F235" s="203">
        <v>0</v>
      </c>
      <c r="G235" s="204">
        <v>0</v>
      </c>
      <c r="H235" s="203">
        <v>0</v>
      </c>
      <c r="I235" s="202" t="s">
        <v>80</v>
      </c>
      <c r="J235" s="203">
        <v>0</v>
      </c>
      <c r="K235" s="205">
        <v>0</v>
      </c>
      <c r="L235" s="411">
        <v>0</v>
      </c>
      <c r="M235" s="402"/>
      <c r="N235" s="203">
        <v>0</v>
      </c>
      <c r="O235" s="203">
        <v>0</v>
      </c>
      <c r="P235" s="203">
        <v>0</v>
      </c>
      <c r="Q235" s="212" t="s">
        <v>80</v>
      </c>
      <c r="R235" s="203">
        <v>0</v>
      </c>
      <c r="S235" s="203">
        <v>0</v>
      </c>
      <c r="T235" s="203">
        <v>0</v>
      </c>
    </row>
    <row r="236" spans="1:20" outlineLevel="3" collapsed="1" x14ac:dyDescent="0.25">
      <c r="A236" s="410" t="s">
        <v>1677</v>
      </c>
      <c r="B236" s="402"/>
      <c r="C236" s="196" t="str">
        <f t="shared" si="3"/>
        <v>72-102050A</v>
      </c>
      <c r="D236" s="201">
        <v>0</v>
      </c>
      <c r="E236" s="202" t="s">
        <v>80</v>
      </c>
      <c r="F236" s="203">
        <v>0</v>
      </c>
      <c r="G236" s="204">
        <v>0</v>
      </c>
      <c r="H236" s="203">
        <v>0</v>
      </c>
      <c r="I236" s="202" t="s">
        <v>80</v>
      </c>
      <c r="J236" s="203">
        <v>5037634</v>
      </c>
      <c r="K236" s="205">
        <v>1455299</v>
      </c>
      <c r="L236" s="411">
        <v>0</v>
      </c>
      <c r="M236" s="402"/>
      <c r="N236" s="203">
        <v>0</v>
      </c>
      <c r="O236" s="203">
        <v>1455299</v>
      </c>
      <c r="P236" s="203">
        <v>6492933</v>
      </c>
      <c r="Q236" s="212" t="s">
        <v>80</v>
      </c>
      <c r="R236" s="203">
        <v>0</v>
      </c>
      <c r="S236" s="203">
        <v>6492933</v>
      </c>
      <c r="T236" s="203">
        <v>-6492933</v>
      </c>
    </row>
    <row r="237" spans="1:20" outlineLevel="2" x14ac:dyDescent="0.25">
      <c r="A237" s="414" t="s">
        <v>1678</v>
      </c>
      <c r="B237" s="402"/>
      <c r="C237" s="196" t="str">
        <f t="shared" si="3"/>
        <v>Telecomuni</v>
      </c>
      <c r="D237" s="3">
        <v>92047752</v>
      </c>
      <c r="E237" s="309" t="s">
        <v>80</v>
      </c>
      <c r="F237" s="71">
        <v>17050423</v>
      </c>
      <c r="G237" s="71">
        <v>80959845</v>
      </c>
      <c r="H237" s="71">
        <v>98010268</v>
      </c>
      <c r="I237" s="309" t="s">
        <v>80</v>
      </c>
      <c r="J237" s="71">
        <v>3955814</v>
      </c>
      <c r="K237" s="71">
        <v>925139</v>
      </c>
      <c r="L237" s="415">
        <v>0</v>
      </c>
      <c r="M237" s="402"/>
      <c r="N237" s="71">
        <v>0</v>
      </c>
      <c r="O237" s="71">
        <v>925139</v>
      </c>
      <c r="P237" s="71">
        <v>4880953</v>
      </c>
      <c r="Q237" s="310" t="s">
        <v>80</v>
      </c>
      <c r="R237" s="71">
        <v>98010268</v>
      </c>
      <c r="S237" s="71">
        <v>4880953</v>
      </c>
      <c r="T237" s="71">
        <v>93129315</v>
      </c>
    </row>
    <row r="238" spans="1:20" outlineLevel="3" collapsed="1" x14ac:dyDescent="0.25">
      <c r="A238" s="410" t="s">
        <v>1679</v>
      </c>
      <c r="B238" s="402"/>
      <c r="C238" s="196" t="str">
        <f t="shared" si="3"/>
        <v>72-101020A</v>
      </c>
      <c r="D238" s="201">
        <v>27261207</v>
      </c>
      <c r="E238" s="202" t="s">
        <v>80</v>
      </c>
      <c r="F238" s="203">
        <v>5048372</v>
      </c>
      <c r="G238" s="204">
        <v>23949291</v>
      </c>
      <c r="H238" s="203">
        <v>28997663</v>
      </c>
      <c r="I238" s="202" t="s">
        <v>80</v>
      </c>
      <c r="J238" s="203">
        <v>1518045</v>
      </c>
      <c r="K238" s="205">
        <v>925139</v>
      </c>
      <c r="L238" s="411">
        <v>0</v>
      </c>
      <c r="M238" s="402"/>
      <c r="N238" s="203">
        <v>0</v>
      </c>
      <c r="O238" s="203">
        <v>925139</v>
      </c>
      <c r="P238" s="203">
        <v>2443184</v>
      </c>
      <c r="Q238" s="212" t="s">
        <v>80</v>
      </c>
      <c r="R238" s="203">
        <v>28997663</v>
      </c>
      <c r="S238" s="203">
        <v>2443184</v>
      </c>
      <c r="T238" s="203">
        <v>26554479</v>
      </c>
    </row>
    <row r="239" spans="1:20" outlineLevel="3" collapsed="1" x14ac:dyDescent="0.25">
      <c r="A239" s="410" t="s">
        <v>1680</v>
      </c>
      <c r="B239" s="402"/>
      <c r="C239" s="196" t="str">
        <f t="shared" si="3"/>
        <v>72-101020G</v>
      </c>
      <c r="D239" s="201">
        <v>0</v>
      </c>
      <c r="E239" s="202" t="s">
        <v>80</v>
      </c>
      <c r="F239" s="203">
        <v>0</v>
      </c>
      <c r="G239" s="204">
        <v>0</v>
      </c>
      <c r="H239" s="203">
        <v>0</v>
      </c>
      <c r="I239" s="202" t="s">
        <v>80</v>
      </c>
      <c r="J239" s="203">
        <v>2125769</v>
      </c>
      <c r="K239" s="205">
        <v>0</v>
      </c>
      <c r="L239" s="411">
        <v>0</v>
      </c>
      <c r="M239" s="402"/>
      <c r="N239" s="203">
        <v>0</v>
      </c>
      <c r="O239" s="203">
        <v>0</v>
      </c>
      <c r="P239" s="203">
        <v>2125769</v>
      </c>
      <c r="Q239" s="212" t="s">
        <v>80</v>
      </c>
      <c r="R239" s="203">
        <v>0</v>
      </c>
      <c r="S239" s="203">
        <v>2125769</v>
      </c>
      <c r="T239" s="203">
        <v>-2125769</v>
      </c>
    </row>
    <row r="240" spans="1:20" outlineLevel="3" collapsed="1" x14ac:dyDescent="0.25">
      <c r="A240" s="410" t="s">
        <v>1681</v>
      </c>
      <c r="B240" s="402"/>
      <c r="C240" s="196" t="str">
        <f t="shared" si="3"/>
        <v>72-101030A</v>
      </c>
      <c r="D240" s="201">
        <v>19315344</v>
      </c>
      <c r="E240" s="202" t="s">
        <v>80</v>
      </c>
      <c r="F240" s="203">
        <v>3581458</v>
      </c>
      <c r="G240" s="204">
        <v>16502556</v>
      </c>
      <c r="H240" s="203">
        <v>20084014</v>
      </c>
      <c r="I240" s="202" t="s">
        <v>80</v>
      </c>
      <c r="J240" s="203">
        <v>0</v>
      </c>
      <c r="K240" s="205">
        <v>0</v>
      </c>
      <c r="L240" s="411">
        <v>0</v>
      </c>
      <c r="M240" s="402"/>
      <c r="N240" s="203">
        <v>0</v>
      </c>
      <c r="O240" s="203">
        <v>0</v>
      </c>
      <c r="P240" s="203">
        <v>0</v>
      </c>
      <c r="Q240" s="212" t="s">
        <v>80</v>
      </c>
      <c r="R240" s="203">
        <v>20084014</v>
      </c>
      <c r="S240" s="203">
        <v>0</v>
      </c>
      <c r="T240" s="203">
        <v>20084014</v>
      </c>
    </row>
    <row r="241" spans="1:20" outlineLevel="3" collapsed="1" x14ac:dyDescent="0.25">
      <c r="A241" s="410" t="s">
        <v>1682</v>
      </c>
      <c r="B241" s="402"/>
      <c r="C241" s="196" t="str">
        <f t="shared" si="3"/>
        <v>72-101030G</v>
      </c>
      <c r="D241" s="201">
        <v>0</v>
      </c>
      <c r="E241" s="202" t="s">
        <v>80</v>
      </c>
      <c r="F241" s="203">
        <v>0</v>
      </c>
      <c r="G241" s="204">
        <v>0</v>
      </c>
      <c r="H241" s="203">
        <v>0</v>
      </c>
      <c r="I241" s="202" t="s">
        <v>80</v>
      </c>
      <c r="J241" s="203">
        <v>0</v>
      </c>
      <c r="K241" s="205">
        <v>0</v>
      </c>
      <c r="L241" s="411">
        <v>0</v>
      </c>
      <c r="M241" s="402"/>
      <c r="N241" s="203">
        <v>0</v>
      </c>
      <c r="O241" s="203">
        <v>0</v>
      </c>
      <c r="P241" s="203">
        <v>0</v>
      </c>
      <c r="Q241" s="212" t="s">
        <v>80</v>
      </c>
      <c r="R241" s="203">
        <v>0</v>
      </c>
      <c r="S241" s="203">
        <v>0</v>
      </c>
      <c r="T241" s="203">
        <v>0</v>
      </c>
    </row>
    <row r="242" spans="1:20" outlineLevel="3" collapsed="1" x14ac:dyDescent="0.25">
      <c r="A242" s="410" t="s">
        <v>1683</v>
      </c>
      <c r="B242" s="402"/>
      <c r="C242" s="196" t="str">
        <f t="shared" si="3"/>
        <v>72-101040A</v>
      </c>
      <c r="D242" s="201">
        <v>45471201</v>
      </c>
      <c r="E242" s="202" t="s">
        <v>80</v>
      </c>
      <c r="F242" s="203">
        <v>8420593</v>
      </c>
      <c r="G242" s="204">
        <v>40507998</v>
      </c>
      <c r="H242" s="203">
        <v>48928591</v>
      </c>
      <c r="I242" s="202" t="s">
        <v>80</v>
      </c>
      <c r="J242" s="203">
        <v>312000</v>
      </c>
      <c r="K242" s="205">
        <v>0</v>
      </c>
      <c r="L242" s="411">
        <v>0</v>
      </c>
      <c r="M242" s="402"/>
      <c r="N242" s="203">
        <v>0</v>
      </c>
      <c r="O242" s="203">
        <v>0</v>
      </c>
      <c r="P242" s="203">
        <v>312000</v>
      </c>
      <c r="Q242" s="212" t="s">
        <v>80</v>
      </c>
      <c r="R242" s="203">
        <v>48928591</v>
      </c>
      <c r="S242" s="203">
        <v>312000</v>
      </c>
      <c r="T242" s="203">
        <v>48616591</v>
      </c>
    </row>
    <row r="243" spans="1:20" outlineLevel="3" collapsed="1" x14ac:dyDescent="0.25">
      <c r="A243" s="410" t="s">
        <v>1684</v>
      </c>
      <c r="B243" s="402"/>
      <c r="C243" s="196" t="str">
        <f t="shared" si="3"/>
        <v>72-101040G</v>
      </c>
      <c r="D243" s="201">
        <v>0</v>
      </c>
      <c r="E243" s="202" t="s">
        <v>80</v>
      </c>
      <c r="F243" s="203">
        <v>0</v>
      </c>
      <c r="G243" s="204">
        <v>0</v>
      </c>
      <c r="H243" s="203">
        <v>0</v>
      </c>
      <c r="I243" s="202" t="s">
        <v>80</v>
      </c>
      <c r="J243" s="203">
        <v>0</v>
      </c>
      <c r="K243" s="205">
        <v>0</v>
      </c>
      <c r="L243" s="411">
        <v>0</v>
      </c>
      <c r="M243" s="402"/>
      <c r="N243" s="203">
        <v>0</v>
      </c>
      <c r="O243" s="203">
        <v>0</v>
      </c>
      <c r="P243" s="203">
        <v>0</v>
      </c>
      <c r="Q243" s="212" t="s">
        <v>80</v>
      </c>
      <c r="R243" s="203">
        <v>0</v>
      </c>
      <c r="S243" s="203">
        <v>0</v>
      </c>
      <c r="T243" s="203">
        <v>0</v>
      </c>
    </row>
    <row r="244" spans="1:20" outlineLevel="2" x14ac:dyDescent="0.25">
      <c r="A244" s="414" t="s">
        <v>1685</v>
      </c>
      <c r="B244" s="402"/>
      <c r="C244" s="196" t="str">
        <f t="shared" si="3"/>
        <v>Otros GG</v>
      </c>
      <c r="D244" s="3">
        <v>77261377</v>
      </c>
      <c r="E244" s="309" t="s">
        <v>80</v>
      </c>
      <c r="F244" s="71">
        <v>14307662</v>
      </c>
      <c r="G244" s="71">
        <v>65830355</v>
      </c>
      <c r="H244" s="71">
        <v>80138017</v>
      </c>
      <c r="I244" s="309" t="s">
        <v>80</v>
      </c>
      <c r="J244" s="71">
        <v>38214</v>
      </c>
      <c r="K244" s="71">
        <v>0</v>
      </c>
      <c r="L244" s="415">
        <v>0</v>
      </c>
      <c r="M244" s="402"/>
      <c r="N244" s="71">
        <v>0</v>
      </c>
      <c r="O244" s="71">
        <v>0</v>
      </c>
      <c r="P244" s="71">
        <v>38214</v>
      </c>
      <c r="Q244" s="310" t="s">
        <v>80</v>
      </c>
      <c r="R244" s="71">
        <v>80138017</v>
      </c>
      <c r="S244" s="71">
        <v>38214</v>
      </c>
      <c r="T244" s="71">
        <v>80099803</v>
      </c>
    </row>
    <row r="245" spans="1:20" outlineLevel="3" collapsed="1" x14ac:dyDescent="0.25">
      <c r="A245" s="410" t="s">
        <v>1686</v>
      </c>
      <c r="B245" s="402"/>
      <c r="C245" s="196" t="str">
        <f t="shared" si="3"/>
        <v>72-109010A</v>
      </c>
      <c r="D245" s="201">
        <v>77261377</v>
      </c>
      <c r="E245" s="202" t="s">
        <v>80</v>
      </c>
      <c r="F245" s="203">
        <v>14307662</v>
      </c>
      <c r="G245" s="204">
        <v>65830355</v>
      </c>
      <c r="H245" s="203">
        <v>80138017</v>
      </c>
      <c r="I245" s="202" t="s">
        <v>80</v>
      </c>
      <c r="J245" s="203">
        <v>0</v>
      </c>
      <c r="K245" s="205">
        <v>0</v>
      </c>
      <c r="L245" s="411">
        <v>0</v>
      </c>
      <c r="M245" s="402"/>
      <c r="N245" s="203">
        <v>0</v>
      </c>
      <c r="O245" s="203">
        <v>0</v>
      </c>
      <c r="P245" s="203">
        <v>0</v>
      </c>
      <c r="Q245" s="212" t="s">
        <v>80</v>
      </c>
      <c r="R245" s="203">
        <v>80138017</v>
      </c>
      <c r="S245" s="203">
        <v>0</v>
      </c>
      <c r="T245" s="203">
        <v>80138017</v>
      </c>
    </row>
    <row r="246" spans="1:20" outlineLevel="3" collapsed="1" x14ac:dyDescent="0.25">
      <c r="A246" s="410" t="s">
        <v>1687</v>
      </c>
      <c r="B246" s="402"/>
      <c r="C246" s="196" t="str">
        <f t="shared" si="3"/>
        <v>72-109010G</v>
      </c>
      <c r="D246" s="201">
        <v>0</v>
      </c>
      <c r="E246" s="202" t="s">
        <v>80</v>
      </c>
      <c r="F246" s="203">
        <v>0</v>
      </c>
      <c r="G246" s="204">
        <v>0</v>
      </c>
      <c r="H246" s="203">
        <v>0</v>
      </c>
      <c r="I246" s="202" t="s">
        <v>80</v>
      </c>
      <c r="J246" s="203">
        <v>0</v>
      </c>
      <c r="K246" s="205">
        <v>0</v>
      </c>
      <c r="L246" s="411">
        <v>0</v>
      </c>
      <c r="M246" s="402"/>
      <c r="N246" s="203">
        <v>0</v>
      </c>
      <c r="O246" s="203">
        <v>0</v>
      </c>
      <c r="P246" s="203">
        <v>0</v>
      </c>
      <c r="Q246" s="212" t="s">
        <v>80</v>
      </c>
      <c r="R246" s="203">
        <v>0</v>
      </c>
      <c r="S246" s="203">
        <v>0</v>
      </c>
      <c r="T246" s="203">
        <v>0</v>
      </c>
    </row>
    <row r="247" spans="1:20" outlineLevel="3" collapsed="1" x14ac:dyDescent="0.25">
      <c r="A247" s="410" t="s">
        <v>1688</v>
      </c>
      <c r="B247" s="402"/>
      <c r="C247" s="196" t="str">
        <f t="shared" si="3"/>
        <v>72-607070A</v>
      </c>
      <c r="D247" s="201">
        <v>0</v>
      </c>
      <c r="E247" s="202" t="s">
        <v>80</v>
      </c>
      <c r="F247" s="203">
        <v>0</v>
      </c>
      <c r="G247" s="204">
        <v>0</v>
      </c>
      <c r="H247" s="203">
        <v>0</v>
      </c>
      <c r="I247" s="202" t="s">
        <v>80</v>
      </c>
      <c r="J247" s="203">
        <v>38214</v>
      </c>
      <c r="K247" s="205">
        <v>0</v>
      </c>
      <c r="L247" s="411">
        <v>0</v>
      </c>
      <c r="M247" s="402"/>
      <c r="N247" s="203">
        <v>0</v>
      </c>
      <c r="O247" s="203">
        <v>0</v>
      </c>
      <c r="P247" s="203">
        <v>38214</v>
      </c>
      <c r="Q247" s="212" t="s">
        <v>80</v>
      </c>
      <c r="R247" s="203">
        <v>0</v>
      </c>
      <c r="S247" s="203">
        <v>38214</v>
      </c>
      <c r="T247" s="203">
        <v>-38214</v>
      </c>
    </row>
    <row r="248" spans="1:20" outlineLevel="2" x14ac:dyDescent="0.25">
      <c r="A248" s="414" t="s">
        <v>1689</v>
      </c>
      <c r="B248" s="402"/>
      <c r="C248" s="196" t="str">
        <f t="shared" si="3"/>
        <v>Viatico</v>
      </c>
      <c r="D248" s="3">
        <v>0</v>
      </c>
      <c r="E248" s="309" t="s">
        <v>80</v>
      </c>
      <c r="F248" s="71">
        <v>0</v>
      </c>
      <c r="G248" s="71">
        <v>0</v>
      </c>
      <c r="H248" s="71">
        <v>0</v>
      </c>
      <c r="I248" s="309" t="s">
        <v>80</v>
      </c>
      <c r="J248" s="71">
        <v>5195084</v>
      </c>
      <c r="K248" s="71">
        <v>0</v>
      </c>
      <c r="L248" s="415">
        <v>272800</v>
      </c>
      <c r="M248" s="402"/>
      <c r="N248" s="71">
        <v>0</v>
      </c>
      <c r="O248" s="71">
        <v>272800</v>
      </c>
      <c r="P248" s="71">
        <v>5467884</v>
      </c>
      <c r="Q248" s="310" t="s">
        <v>80</v>
      </c>
      <c r="R248" s="71">
        <v>0</v>
      </c>
      <c r="S248" s="71">
        <v>5467884</v>
      </c>
      <c r="T248" s="71">
        <v>-5467884</v>
      </c>
    </row>
    <row r="249" spans="1:20" outlineLevel="3" collapsed="1" x14ac:dyDescent="0.25">
      <c r="A249" s="410" t="s">
        <v>1690</v>
      </c>
      <c r="B249" s="402"/>
      <c r="C249" s="196" t="str">
        <f t="shared" si="3"/>
        <v>12-580200A</v>
      </c>
      <c r="D249" s="201">
        <v>0</v>
      </c>
      <c r="E249" s="202" t="s">
        <v>80</v>
      </c>
      <c r="F249" s="203">
        <v>0</v>
      </c>
      <c r="G249" s="204">
        <v>0</v>
      </c>
      <c r="H249" s="203">
        <v>0</v>
      </c>
      <c r="I249" s="202" t="s">
        <v>80</v>
      </c>
      <c r="J249" s="203">
        <v>5195084</v>
      </c>
      <c r="K249" s="205">
        <v>0</v>
      </c>
      <c r="L249" s="411">
        <v>272800</v>
      </c>
      <c r="M249" s="402"/>
      <c r="N249" s="203">
        <v>0</v>
      </c>
      <c r="O249" s="203">
        <v>272800</v>
      </c>
      <c r="P249" s="203">
        <v>5467884</v>
      </c>
      <c r="Q249" s="212" t="s">
        <v>80</v>
      </c>
      <c r="R249" s="203">
        <v>0</v>
      </c>
      <c r="S249" s="203">
        <v>5467884</v>
      </c>
      <c r="T249" s="203">
        <v>-5467884</v>
      </c>
    </row>
    <row r="250" spans="1:20" outlineLevel="3" collapsed="1" x14ac:dyDescent="0.25">
      <c r="A250" s="410" t="s">
        <v>1691</v>
      </c>
      <c r="B250" s="402"/>
      <c r="C250" s="196" t="str">
        <f t="shared" si="3"/>
        <v>12-580400G</v>
      </c>
      <c r="D250" s="201">
        <v>0</v>
      </c>
      <c r="E250" s="202" t="s">
        <v>80</v>
      </c>
      <c r="F250" s="203">
        <v>0</v>
      </c>
      <c r="G250" s="204">
        <v>0</v>
      </c>
      <c r="H250" s="203">
        <v>0</v>
      </c>
      <c r="I250" s="202" t="s">
        <v>80</v>
      </c>
      <c r="J250" s="203">
        <v>0</v>
      </c>
      <c r="K250" s="205">
        <v>0</v>
      </c>
      <c r="L250" s="411">
        <v>0</v>
      </c>
      <c r="M250" s="402"/>
      <c r="N250" s="203">
        <v>0</v>
      </c>
      <c r="O250" s="203">
        <v>0</v>
      </c>
      <c r="P250" s="203">
        <v>0</v>
      </c>
      <c r="Q250" s="212" t="s">
        <v>80</v>
      </c>
      <c r="R250" s="203">
        <v>0</v>
      </c>
      <c r="S250" s="203">
        <v>0</v>
      </c>
      <c r="T250" s="203">
        <v>0</v>
      </c>
    </row>
    <row r="251" spans="1:20" outlineLevel="1" x14ac:dyDescent="0.25">
      <c r="A251" s="412" t="s">
        <v>229</v>
      </c>
      <c r="B251" s="402"/>
      <c r="C251" s="196" t="str">
        <f t="shared" si="3"/>
        <v>ASTOS FINA</v>
      </c>
      <c r="D251" s="197">
        <v>720940214</v>
      </c>
      <c r="E251" s="196" t="s">
        <v>80</v>
      </c>
      <c r="F251" s="198">
        <v>16712315</v>
      </c>
      <c r="G251" s="198">
        <v>720992684</v>
      </c>
      <c r="H251" s="198">
        <v>737704999</v>
      </c>
      <c r="I251" s="196" t="s">
        <v>80</v>
      </c>
      <c r="J251" s="214">
        <v>31272430</v>
      </c>
      <c r="K251" s="214">
        <v>0</v>
      </c>
      <c r="L251" s="413">
        <v>0</v>
      </c>
      <c r="M251" s="402"/>
      <c r="N251" s="214">
        <v>0</v>
      </c>
      <c r="O251" s="214">
        <v>0</v>
      </c>
      <c r="P251" s="214">
        <v>31272430</v>
      </c>
      <c r="Q251" s="199" t="s">
        <v>80</v>
      </c>
      <c r="R251" s="198">
        <v>737704999</v>
      </c>
      <c r="S251" s="214">
        <v>31272430</v>
      </c>
      <c r="T251" s="200">
        <v>706432569</v>
      </c>
    </row>
    <row r="252" spans="1:20" outlineLevel="2" x14ac:dyDescent="0.25">
      <c r="A252" s="414" t="s">
        <v>1692</v>
      </c>
      <c r="B252" s="402"/>
      <c r="C252" s="196" t="str">
        <f t="shared" si="3"/>
        <v>Boletas de</v>
      </c>
      <c r="D252" s="3">
        <v>139753261</v>
      </c>
      <c r="E252" s="309" t="s">
        <v>80</v>
      </c>
      <c r="F252" s="71">
        <v>429258</v>
      </c>
      <c r="G252" s="71">
        <v>142573833</v>
      </c>
      <c r="H252" s="71">
        <v>143003091</v>
      </c>
      <c r="I252" s="309" t="s">
        <v>80</v>
      </c>
      <c r="J252" s="71">
        <v>0</v>
      </c>
      <c r="K252" s="71">
        <v>0</v>
      </c>
      <c r="L252" s="415">
        <v>0</v>
      </c>
      <c r="M252" s="402"/>
      <c r="N252" s="71">
        <v>0</v>
      </c>
      <c r="O252" s="71">
        <v>0</v>
      </c>
      <c r="P252" s="71">
        <v>0</v>
      </c>
      <c r="Q252" s="310" t="s">
        <v>80</v>
      </c>
      <c r="R252" s="71">
        <v>143003091</v>
      </c>
      <c r="S252" s="71">
        <v>0</v>
      </c>
      <c r="T252" s="71">
        <v>143003091</v>
      </c>
    </row>
    <row r="253" spans="1:20" outlineLevel="3" collapsed="1" x14ac:dyDescent="0.25">
      <c r="A253" s="410" t="s">
        <v>1693</v>
      </c>
      <c r="B253" s="402"/>
      <c r="C253" s="196" t="str">
        <f t="shared" si="3"/>
        <v>72-A02010G</v>
      </c>
      <c r="D253" s="201">
        <v>139753261</v>
      </c>
      <c r="E253" s="202" t="s">
        <v>80</v>
      </c>
      <c r="F253" s="203">
        <v>429258</v>
      </c>
      <c r="G253" s="204">
        <v>142573833</v>
      </c>
      <c r="H253" s="203">
        <v>143003091</v>
      </c>
      <c r="I253" s="202" t="s">
        <v>80</v>
      </c>
      <c r="J253" s="203">
        <v>0</v>
      </c>
      <c r="K253" s="205">
        <v>0</v>
      </c>
      <c r="L253" s="411">
        <v>0</v>
      </c>
      <c r="M253" s="402"/>
      <c r="N253" s="203">
        <v>0</v>
      </c>
      <c r="O253" s="203">
        <v>0</v>
      </c>
      <c r="P253" s="203">
        <v>0</v>
      </c>
      <c r="Q253" s="212" t="s">
        <v>80</v>
      </c>
      <c r="R253" s="203">
        <v>143003091</v>
      </c>
      <c r="S253" s="203">
        <v>0</v>
      </c>
      <c r="T253" s="203">
        <v>143003091</v>
      </c>
    </row>
    <row r="254" spans="1:20" outlineLevel="2" x14ac:dyDescent="0.25">
      <c r="A254" s="414" t="s">
        <v>1694</v>
      </c>
      <c r="B254" s="402"/>
      <c r="C254" s="196" t="str">
        <f t="shared" si="3"/>
        <v>Seguros</v>
      </c>
      <c r="D254" s="3">
        <v>256276258</v>
      </c>
      <c r="E254" s="309" t="s">
        <v>80</v>
      </c>
      <c r="F254" s="71">
        <v>15285080</v>
      </c>
      <c r="G254" s="71">
        <v>246950641</v>
      </c>
      <c r="H254" s="71">
        <v>262235721</v>
      </c>
      <c r="I254" s="309" t="s">
        <v>80</v>
      </c>
      <c r="J254" s="71">
        <v>31272430</v>
      </c>
      <c r="K254" s="71">
        <v>0</v>
      </c>
      <c r="L254" s="415">
        <v>0</v>
      </c>
      <c r="M254" s="402"/>
      <c r="N254" s="71">
        <v>0</v>
      </c>
      <c r="O254" s="71">
        <v>0</v>
      </c>
      <c r="P254" s="71">
        <v>31272430</v>
      </c>
      <c r="Q254" s="310" t="s">
        <v>80</v>
      </c>
      <c r="R254" s="71">
        <v>262235721</v>
      </c>
      <c r="S254" s="71">
        <v>31272430</v>
      </c>
      <c r="T254" s="71">
        <v>230963291</v>
      </c>
    </row>
    <row r="255" spans="1:20" outlineLevel="3" collapsed="1" x14ac:dyDescent="0.25">
      <c r="A255" s="410" t="s">
        <v>1695</v>
      </c>
      <c r="B255" s="402"/>
      <c r="C255" s="196" t="str">
        <f t="shared" si="3"/>
        <v>72-A03010A</v>
      </c>
      <c r="D255" s="201">
        <v>0</v>
      </c>
      <c r="E255" s="202" t="s">
        <v>80</v>
      </c>
      <c r="F255" s="203">
        <v>0</v>
      </c>
      <c r="G255" s="204">
        <v>0</v>
      </c>
      <c r="H255" s="203">
        <v>0</v>
      </c>
      <c r="I255" s="202" t="s">
        <v>80</v>
      </c>
      <c r="J255" s="203">
        <v>0</v>
      </c>
      <c r="K255" s="205">
        <v>0</v>
      </c>
      <c r="L255" s="411">
        <v>0</v>
      </c>
      <c r="M255" s="402"/>
      <c r="N255" s="203">
        <v>0</v>
      </c>
      <c r="O255" s="203">
        <v>0</v>
      </c>
      <c r="P255" s="203">
        <v>0</v>
      </c>
      <c r="Q255" s="212" t="s">
        <v>80</v>
      </c>
      <c r="R255" s="203">
        <v>0</v>
      </c>
      <c r="S255" s="203">
        <v>0</v>
      </c>
      <c r="T255" s="203">
        <v>0</v>
      </c>
    </row>
    <row r="256" spans="1:20" outlineLevel="3" collapsed="1" x14ac:dyDescent="0.25">
      <c r="A256" s="410" t="s">
        <v>1696</v>
      </c>
      <c r="B256" s="402"/>
      <c r="C256" s="196" t="str">
        <f t="shared" si="3"/>
        <v>72-A03010G</v>
      </c>
      <c r="D256" s="201">
        <v>256276258</v>
      </c>
      <c r="E256" s="202" t="s">
        <v>80</v>
      </c>
      <c r="F256" s="203">
        <v>15285080</v>
      </c>
      <c r="G256" s="204">
        <v>246950641</v>
      </c>
      <c r="H256" s="203">
        <v>262235721</v>
      </c>
      <c r="I256" s="202" t="s">
        <v>80</v>
      </c>
      <c r="J256" s="203">
        <v>31272430</v>
      </c>
      <c r="K256" s="205">
        <v>0</v>
      </c>
      <c r="L256" s="411">
        <v>0</v>
      </c>
      <c r="M256" s="402"/>
      <c r="N256" s="203">
        <v>0</v>
      </c>
      <c r="O256" s="203">
        <v>0</v>
      </c>
      <c r="P256" s="203">
        <v>31272430</v>
      </c>
      <c r="Q256" s="212" t="s">
        <v>80</v>
      </c>
      <c r="R256" s="203">
        <v>262235721</v>
      </c>
      <c r="S256" s="203">
        <v>31272430</v>
      </c>
      <c r="T256" s="203">
        <v>230963291</v>
      </c>
    </row>
    <row r="257" spans="1:20" outlineLevel="2" x14ac:dyDescent="0.25">
      <c r="A257" s="414" t="s">
        <v>1697</v>
      </c>
      <c r="B257" s="402"/>
      <c r="C257" s="196" t="str">
        <f t="shared" si="3"/>
        <v>Costo Fina</v>
      </c>
      <c r="D257" s="3">
        <v>324910695</v>
      </c>
      <c r="E257" s="309" t="s">
        <v>80</v>
      </c>
      <c r="F257" s="71">
        <v>997977</v>
      </c>
      <c r="G257" s="71">
        <v>331468210</v>
      </c>
      <c r="H257" s="71">
        <v>332466187</v>
      </c>
      <c r="I257" s="309" t="s">
        <v>80</v>
      </c>
      <c r="J257" s="71">
        <v>0</v>
      </c>
      <c r="K257" s="71">
        <v>0</v>
      </c>
      <c r="L257" s="415">
        <v>0</v>
      </c>
      <c r="M257" s="402"/>
      <c r="N257" s="71">
        <v>0</v>
      </c>
      <c r="O257" s="71">
        <v>0</v>
      </c>
      <c r="P257" s="71">
        <v>0</v>
      </c>
      <c r="Q257" s="310" t="s">
        <v>80</v>
      </c>
      <c r="R257" s="71">
        <v>332466187</v>
      </c>
      <c r="S257" s="71">
        <v>0</v>
      </c>
      <c r="T257" s="71">
        <v>332466187</v>
      </c>
    </row>
    <row r="258" spans="1:20" outlineLevel="3" collapsed="1" x14ac:dyDescent="0.25">
      <c r="A258" s="410" t="s">
        <v>1698</v>
      </c>
      <c r="B258" s="402"/>
      <c r="C258" s="196" t="str">
        <f t="shared" si="3"/>
        <v>72-A01010G</v>
      </c>
      <c r="D258" s="201">
        <v>324910695</v>
      </c>
      <c r="E258" s="202" t="s">
        <v>80</v>
      </c>
      <c r="F258" s="203">
        <v>997977</v>
      </c>
      <c r="G258" s="204">
        <v>331468210</v>
      </c>
      <c r="H258" s="203">
        <v>332466187</v>
      </c>
      <c r="I258" s="202" t="s">
        <v>80</v>
      </c>
      <c r="J258" s="203">
        <v>0</v>
      </c>
      <c r="K258" s="205">
        <v>0</v>
      </c>
      <c r="L258" s="411">
        <v>0</v>
      </c>
      <c r="M258" s="402"/>
      <c r="N258" s="203">
        <v>0</v>
      </c>
      <c r="O258" s="203">
        <v>0</v>
      </c>
      <c r="P258" s="203">
        <v>0</v>
      </c>
      <c r="Q258" s="212" t="s">
        <v>80</v>
      </c>
      <c r="R258" s="203">
        <v>332466187</v>
      </c>
      <c r="S258" s="203">
        <v>0</v>
      </c>
      <c r="T258" s="203">
        <v>332466187</v>
      </c>
    </row>
    <row r="259" spans="1:20" outlineLevel="3" collapsed="1" x14ac:dyDescent="0.25">
      <c r="A259" s="410" t="s">
        <v>1699</v>
      </c>
      <c r="B259" s="402"/>
      <c r="C259" s="196" t="str">
        <f t="shared" si="3"/>
        <v>72-A01110G</v>
      </c>
      <c r="D259" s="201">
        <v>0</v>
      </c>
      <c r="E259" s="202" t="s">
        <v>80</v>
      </c>
      <c r="F259" s="203">
        <v>0</v>
      </c>
      <c r="G259" s="204">
        <v>0</v>
      </c>
      <c r="H259" s="203">
        <v>0</v>
      </c>
      <c r="I259" s="202" t="s">
        <v>80</v>
      </c>
      <c r="J259" s="203">
        <v>0</v>
      </c>
      <c r="K259" s="205">
        <v>0</v>
      </c>
      <c r="L259" s="411">
        <v>0</v>
      </c>
      <c r="M259" s="402"/>
      <c r="N259" s="203">
        <v>0</v>
      </c>
      <c r="O259" s="203">
        <v>0</v>
      </c>
      <c r="P259" s="203">
        <v>0</v>
      </c>
      <c r="Q259" s="212" t="s">
        <v>80</v>
      </c>
      <c r="R259" s="203">
        <v>0</v>
      </c>
      <c r="S259" s="203">
        <v>0</v>
      </c>
      <c r="T259" s="203">
        <v>0</v>
      </c>
    </row>
    <row r="260" spans="1:20" outlineLevel="1" x14ac:dyDescent="0.25">
      <c r="A260" s="412" t="s">
        <v>233</v>
      </c>
      <c r="B260" s="402"/>
      <c r="C260" s="196" t="str">
        <f t="shared" si="3"/>
        <v>FICINA CEN</v>
      </c>
      <c r="D260" s="197">
        <v>5701933067</v>
      </c>
      <c r="E260" s="196" t="s">
        <v>80</v>
      </c>
      <c r="F260" s="198">
        <v>17513737</v>
      </c>
      <c r="G260" s="198">
        <v>5684779435</v>
      </c>
      <c r="H260" s="198">
        <v>5702293172</v>
      </c>
      <c r="I260" s="196" t="s">
        <v>80</v>
      </c>
      <c r="J260" s="214">
        <v>0</v>
      </c>
      <c r="K260" s="214">
        <v>0</v>
      </c>
      <c r="L260" s="413">
        <v>0</v>
      </c>
      <c r="M260" s="402"/>
      <c r="N260" s="214">
        <v>0</v>
      </c>
      <c r="O260" s="214">
        <v>0</v>
      </c>
      <c r="P260" s="214">
        <v>0</v>
      </c>
      <c r="Q260" s="199" t="s">
        <v>80</v>
      </c>
      <c r="R260" s="198">
        <v>5702293172</v>
      </c>
      <c r="S260" s="214">
        <v>0</v>
      </c>
      <c r="T260" s="200">
        <v>5702293172</v>
      </c>
    </row>
    <row r="261" spans="1:20" outlineLevel="2" x14ac:dyDescent="0.25">
      <c r="A261" s="414" t="s">
        <v>1700</v>
      </c>
      <c r="B261" s="402"/>
      <c r="C261" s="196" t="str">
        <f t="shared" si="3"/>
        <v>Oficina Ce</v>
      </c>
      <c r="D261" s="3">
        <v>2414936358</v>
      </c>
      <c r="E261" s="309" t="s">
        <v>80</v>
      </c>
      <c r="F261" s="71">
        <v>7417583</v>
      </c>
      <c r="G261" s="71">
        <v>2407518775</v>
      </c>
      <c r="H261" s="71">
        <v>2414936358</v>
      </c>
      <c r="I261" s="309" t="s">
        <v>80</v>
      </c>
      <c r="J261" s="71">
        <v>0</v>
      </c>
      <c r="K261" s="71">
        <v>0</v>
      </c>
      <c r="L261" s="415">
        <v>0</v>
      </c>
      <c r="M261" s="402"/>
      <c r="N261" s="71">
        <v>0</v>
      </c>
      <c r="O261" s="71">
        <v>0</v>
      </c>
      <c r="P261" s="71">
        <v>0</v>
      </c>
      <c r="Q261" s="310" t="s">
        <v>80</v>
      </c>
      <c r="R261" s="71">
        <v>2414936358</v>
      </c>
      <c r="S261" s="71">
        <v>0</v>
      </c>
      <c r="T261" s="71">
        <v>2414936358</v>
      </c>
    </row>
    <row r="262" spans="1:20" outlineLevel="3" collapsed="1" x14ac:dyDescent="0.25">
      <c r="A262" s="410" t="s">
        <v>1701</v>
      </c>
      <c r="B262" s="402"/>
      <c r="C262" s="196" t="str">
        <f t="shared" si="3"/>
        <v>72-A04010G</v>
      </c>
      <c r="D262" s="201">
        <v>2414936358</v>
      </c>
      <c r="E262" s="202" t="s">
        <v>80</v>
      </c>
      <c r="F262" s="203">
        <v>7417583</v>
      </c>
      <c r="G262" s="204">
        <v>2407518775</v>
      </c>
      <c r="H262" s="203">
        <v>2414936358</v>
      </c>
      <c r="I262" s="202" t="s">
        <v>80</v>
      </c>
      <c r="J262" s="203">
        <v>0</v>
      </c>
      <c r="K262" s="205">
        <v>0</v>
      </c>
      <c r="L262" s="411">
        <v>0</v>
      </c>
      <c r="M262" s="402"/>
      <c r="N262" s="203">
        <v>0</v>
      </c>
      <c r="O262" s="203">
        <v>0</v>
      </c>
      <c r="P262" s="203">
        <v>0</v>
      </c>
      <c r="Q262" s="212" t="s">
        <v>80</v>
      </c>
      <c r="R262" s="203">
        <v>2414936358</v>
      </c>
      <c r="S262" s="203">
        <v>0</v>
      </c>
      <c r="T262" s="203">
        <v>2414936358</v>
      </c>
    </row>
    <row r="263" spans="1:20" outlineLevel="2" x14ac:dyDescent="0.25">
      <c r="A263" s="414" t="s">
        <v>1702</v>
      </c>
      <c r="B263" s="402"/>
      <c r="C263" s="196" t="str">
        <f t="shared" ref="C263:C326" si="4">IF(MID(A263,6,1)="      - ","-",
IF(A263="     0 - Categoría NULA",0,MID(A263,6,10)))</f>
        <v>Imprevisto</v>
      </c>
      <c r="D263" s="3">
        <v>1609957572</v>
      </c>
      <c r="E263" s="309" t="s">
        <v>80</v>
      </c>
      <c r="F263" s="71">
        <v>4945055</v>
      </c>
      <c r="G263" s="71">
        <v>1605012517</v>
      </c>
      <c r="H263" s="71">
        <v>1609957572</v>
      </c>
      <c r="I263" s="309" t="s">
        <v>80</v>
      </c>
      <c r="J263" s="71">
        <v>0</v>
      </c>
      <c r="K263" s="71">
        <v>0</v>
      </c>
      <c r="L263" s="415">
        <v>0</v>
      </c>
      <c r="M263" s="402"/>
      <c r="N263" s="71">
        <v>0</v>
      </c>
      <c r="O263" s="71">
        <v>0</v>
      </c>
      <c r="P263" s="71">
        <v>0</v>
      </c>
      <c r="Q263" s="310" t="s">
        <v>80</v>
      </c>
      <c r="R263" s="71">
        <v>1609957572</v>
      </c>
      <c r="S263" s="71">
        <v>0</v>
      </c>
      <c r="T263" s="71">
        <v>1609957572</v>
      </c>
    </row>
    <row r="264" spans="1:20" outlineLevel="3" collapsed="1" x14ac:dyDescent="0.25">
      <c r="A264" s="410" t="s">
        <v>1703</v>
      </c>
      <c r="B264" s="402"/>
      <c r="C264" s="196" t="str">
        <f t="shared" si="4"/>
        <v>72-A05010G</v>
      </c>
      <c r="D264" s="201">
        <v>1609957572</v>
      </c>
      <c r="E264" s="202" t="s">
        <v>80</v>
      </c>
      <c r="F264" s="203">
        <v>4945055</v>
      </c>
      <c r="G264" s="204">
        <v>1605012517</v>
      </c>
      <c r="H264" s="203">
        <v>1609957572</v>
      </c>
      <c r="I264" s="202" t="s">
        <v>80</v>
      </c>
      <c r="J264" s="203">
        <v>0</v>
      </c>
      <c r="K264" s="205">
        <v>0</v>
      </c>
      <c r="L264" s="411">
        <v>0</v>
      </c>
      <c r="M264" s="402"/>
      <c r="N264" s="203">
        <v>0</v>
      </c>
      <c r="O264" s="203">
        <v>0</v>
      </c>
      <c r="P264" s="203">
        <v>0</v>
      </c>
      <c r="Q264" s="212" t="s">
        <v>80</v>
      </c>
      <c r="R264" s="203">
        <v>1609957572</v>
      </c>
      <c r="S264" s="203">
        <v>0</v>
      </c>
      <c r="T264" s="203">
        <v>1609957572</v>
      </c>
    </row>
    <row r="265" spans="1:20" outlineLevel="2" x14ac:dyDescent="0.25">
      <c r="A265" s="414" t="s">
        <v>1704</v>
      </c>
      <c r="B265" s="402"/>
      <c r="C265" s="196" t="str">
        <f t="shared" si="4"/>
        <v>Utilidades</v>
      </c>
      <c r="D265" s="3">
        <v>1677039137</v>
      </c>
      <c r="E265" s="309" t="s">
        <v>80</v>
      </c>
      <c r="F265" s="71">
        <v>5151099</v>
      </c>
      <c r="G265" s="71">
        <v>1672248143</v>
      </c>
      <c r="H265" s="71">
        <v>1677399242</v>
      </c>
      <c r="I265" s="309" t="s">
        <v>80</v>
      </c>
      <c r="J265" s="71">
        <v>0</v>
      </c>
      <c r="K265" s="71">
        <v>0</v>
      </c>
      <c r="L265" s="415">
        <v>0</v>
      </c>
      <c r="M265" s="402"/>
      <c r="N265" s="71">
        <v>0</v>
      </c>
      <c r="O265" s="71">
        <v>0</v>
      </c>
      <c r="P265" s="71">
        <v>0</v>
      </c>
      <c r="Q265" s="310" t="s">
        <v>80</v>
      </c>
      <c r="R265" s="71">
        <v>1677399242</v>
      </c>
      <c r="S265" s="71">
        <v>0</v>
      </c>
      <c r="T265" s="71">
        <v>1677399242</v>
      </c>
    </row>
    <row r="266" spans="1:20" outlineLevel="3" collapsed="1" x14ac:dyDescent="0.25">
      <c r="A266" s="410" t="s">
        <v>1705</v>
      </c>
      <c r="B266" s="402"/>
      <c r="C266" s="196" t="str">
        <f t="shared" si="4"/>
        <v>72-A06010G</v>
      </c>
      <c r="D266" s="201">
        <v>1677039137</v>
      </c>
      <c r="E266" s="202" t="s">
        <v>80</v>
      </c>
      <c r="F266" s="203">
        <v>5151099</v>
      </c>
      <c r="G266" s="204">
        <v>1672248143</v>
      </c>
      <c r="H266" s="203">
        <v>1677399242</v>
      </c>
      <c r="I266" s="202" t="s">
        <v>80</v>
      </c>
      <c r="J266" s="203">
        <v>0</v>
      </c>
      <c r="K266" s="205">
        <v>0</v>
      </c>
      <c r="L266" s="411">
        <v>0</v>
      </c>
      <c r="M266" s="402"/>
      <c r="N266" s="203">
        <v>0</v>
      </c>
      <c r="O266" s="203">
        <v>0</v>
      </c>
      <c r="P266" s="203">
        <v>0</v>
      </c>
      <c r="Q266" s="212" t="s">
        <v>80</v>
      </c>
      <c r="R266" s="203">
        <v>1677399242</v>
      </c>
      <c r="S266" s="203">
        <v>0</v>
      </c>
      <c r="T266" s="203">
        <v>1677399242</v>
      </c>
    </row>
    <row r="267" spans="1:20" x14ac:dyDescent="0.25">
      <c r="A267" s="422" t="s">
        <v>147</v>
      </c>
      <c r="B267" s="402"/>
      <c r="C267" s="196" t="str">
        <f t="shared" si="4"/>
        <v/>
      </c>
      <c r="D267" s="4">
        <v>67081565498</v>
      </c>
      <c r="E267" s="311" t="s">
        <v>80</v>
      </c>
      <c r="F267" s="13">
        <v>866662373</v>
      </c>
      <c r="G267" s="13">
        <v>66666303796</v>
      </c>
      <c r="H267" s="13">
        <v>67532966169</v>
      </c>
      <c r="I267" s="311" t="s">
        <v>80</v>
      </c>
      <c r="J267" s="9">
        <v>789843587</v>
      </c>
      <c r="K267" s="215">
        <v>509364568</v>
      </c>
      <c r="L267" s="423">
        <v>202707641.05000001</v>
      </c>
      <c r="M267" s="402"/>
      <c r="N267" s="9">
        <v>0</v>
      </c>
      <c r="O267" s="9">
        <v>712072209.04999995</v>
      </c>
      <c r="P267" s="9">
        <v>1501915796.05</v>
      </c>
      <c r="Q267" s="271" t="s">
        <v>80</v>
      </c>
      <c r="R267" s="13">
        <v>67532966169</v>
      </c>
      <c r="S267" s="9">
        <v>1501915796.05</v>
      </c>
      <c r="T267" s="312">
        <v>66031050372.949997</v>
      </c>
    </row>
    <row r="268" spans="1:20" ht="0" hidden="1" customHeight="1" x14ac:dyDescent="0.25">
      <c r="A268" s="14"/>
      <c r="B268" s="14"/>
      <c r="C268" s="196" t="str">
        <f t="shared" si="4"/>
        <v/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 spans="1:20" ht="92.85" customHeight="1" x14ac:dyDescent="0.25">
      <c r="A269" s="14"/>
      <c r="B269" s="14"/>
      <c r="C269" s="196" t="str">
        <f t="shared" si="4"/>
        <v/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spans="1:20" x14ac:dyDescent="0.25">
      <c r="A270" s="14"/>
      <c r="B270" s="14"/>
      <c r="C270" s="196" t="str">
        <f t="shared" si="4"/>
        <v/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 spans="1:20" x14ac:dyDescent="0.25">
      <c r="A271" s="14"/>
      <c r="B271" s="14"/>
      <c r="C271" s="196" t="str">
        <f t="shared" si="4"/>
        <v/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spans="1:20" x14ac:dyDescent="0.25">
      <c r="A272" s="14"/>
      <c r="B272" s="14"/>
      <c r="C272" s="196" t="str">
        <f t="shared" si="4"/>
        <v/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spans="3:3" x14ac:dyDescent="0.25">
      <c r="C273" s="196" t="str">
        <f t="shared" si="4"/>
        <v/>
      </c>
    </row>
    <row r="274" spans="3:3" x14ac:dyDescent="0.25">
      <c r="C274" s="196" t="str">
        <f t="shared" si="4"/>
        <v/>
      </c>
    </row>
    <row r="275" spans="3:3" x14ac:dyDescent="0.25">
      <c r="C275" s="196" t="str">
        <f t="shared" si="4"/>
        <v/>
      </c>
    </row>
    <row r="276" spans="3:3" x14ac:dyDescent="0.25">
      <c r="C276" s="196" t="str">
        <f t="shared" si="4"/>
        <v/>
      </c>
    </row>
    <row r="277" spans="3:3" x14ac:dyDescent="0.25">
      <c r="C277" s="196" t="str">
        <f t="shared" si="4"/>
        <v/>
      </c>
    </row>
    <row r="278" spans="3:3" x14ac:dyDescent="0.25">
      <c r="C278" s="196" t="str">
        <f t="shared" si="4"/>
        <v/>
      </c>
    </row>
    <row r="279" spans="3:3" x14ac:dyDescent="0.25">
      <c r="C279" s="196" t="str">
        <f t="shared" si="4"/>
        <v/>
      </c>
    </row>
    <row r="280" spans="3:3" x14ac:dyDescent="0.25">
      <c r="C280" s="196" t="str">
        <f t="shared" si="4"/>
        <v/>
      </c>
    </row>
    <row r="281" spans="3:3" x14ac:dyDescent="0.25">
      <c r="C281" s="196" t="str">
        <f t="shared" si="4"/>
        <v/>
      </c>
    </row>
    <row r="282" spans="3:3" x14ac:dyDescent="0.25">
      <c r="C282" s="196" t="str">
        <f t="shared" si="4"/>
        <v/>
      </c>
    </row>
    <row r="283" spans="3:3" x14ac:dyDescent="0.25">
      <c r="C283" s="196" t="str">
        <f t="shared" si="4"/>
        <v/>
      </c>
    </row>
    <row r="284" spans="3:3" x14ac:dyDescent="0.25">
      <c r="C284" s="196" t="str">
        <f t="shared" si="4"/>
        <v/>
      </c>
    </row>
    <row r="285" spans="3:3" x14ac:dyDescent="0.25">
      <c r="C285" s="196" t="str">
        <f t="shared" si="4"/>
        <v/>
      </c>
    </row>
    <row r="286" spans="3:3" x14ac:dyDescent="0.25">
      <c r="C286" s="196" t="str">
        <f t="shared" si="4"/>
        <v/>
      </c>
    </row>
    <row r="287" spans="3:3" x14ac:dyDescent="0.25">
      <c r="C287" s="196" t="str">
        <f t="shared" si="4"/>
        <v/>
      </c>
    </row>
    <row r="288" spans="3:3" x14ac:dyDescent="0.25">
      <c r="C288" s="196" t="str">
        <f t="shared" si="4"/>
        <v/>
      </c>
    </row>
    <row r="289" spans="3:3" x14ac:dyDescent="0.25">
      <c r="C289" s="196" t="str">
        <f t="shared" si="4"/>
        <v/>
      </c>
    </row>
    <row r="290" spans="3:3" x14ac:dyDescent="0.25">
      <c r="C290" s="196" t="str">
        <f t="shared" si="4"/>
        <v/>
      </c>
    </row>
    <row r="291" spans="3:3" x14ac:dyDescent="0.25">
      <c r="C291" s="196" t="str">
        <f t="shared" si="4"/>
        <v/>
      </c>
    </row>
    <row r="292" spans="3:3" x14ac:dyDescent="0.25">
      <c r="C292" s="196" t="str">
        <f t="shared" si="4"/>
        <v/>
      </c>
    </row>
    <row r="293" spans="3:3" x14ac:dyDescent="0.25">
      <c r="C293" s="196" t="str">
        <f t="shared" si="4"/>
        <v/>
      </c>
    </row>
    <row r="294" spans="3:3" x14ac:dyDescent="0.25">
      <c r="C294" s="196" t="str">
        <f t="shared" si="4"/>
        <v/>
      </c>
    </row>
    <row r="295" spans="3:3" x14ac:dyDescent="0.25">
      <c r="C295" s="196" t="str">
        <f t="shared" si="4"/>
        <v/>
      </c>
    </row>
    <row r="296" spans="3:3" x14ac:dyDescent="0.25">
      <c r="C296" s="196" t="str">
        <f t="shared" si="4"/>
        <v/>
      </c>
    </row>
    <row r="297" spans="3:3" x14ac:dyDescent="0.25">
      <c r="C297" s="196" t="str">
        <f t="shared" si="4"/>
        <v/>
      </c>
    </row>
    <row r="298" spans="3:3" x14ac:dyDescent="0.25">
      <c r="C298" s="196" t="str">
        <f t="shared" si="4"/>
        <v/>
      </c>
    </row>
    <row r="299" spans="3:3" x14ac:dyDescent="0.25">
      <c r="C299" s="196" t="str">
        <f t="shared" si="4"/>
        <v/>
      </c>
    </row>
    <row r="300" spans="3:3" x14ac:dyDescent="0.25">
      <c r="C300" s="196" t="str">
        <f t="shared" si="4"/>
        <v/>
      </c>
    </row>
    <row r="301" spans="3:3" x14ac:dyDescent="0.25">
      <c r="C301" s="196" t="str">
        <f t="shared" si="4"/>
        <v/>
      </c>
    </row>
    <row r="302" spans="3:3" x14ac:dyDescent="0.25">
      <c r="C302" s="196" t="str">
        <f t="shared" si="4"/>
        <v/>
      </c>
    </row>
    <row r="303" spans="3:3" x14ac:dyDescent="0.25">
      <c r="C303" s="196" t="str">
        <f t="shared" si="4"/>
        <v/>
      </c>
    </row>
    <row r="304" spans="3:3" x14ac:dyDescent="0.25">
      <c r="C304" s="196" t="str">
        <f t="shared" si="4"/>
        <v/>
      </c>
    </row>
    <row r="305" spans="3:3" x14ac:dyDescent="0.25">
      <c r="C305" s="196" t="str">
        <f t="shared" si="4"/>
        <v/>
      </c>
    </row>
    <row r="306" spans="3:3" x14ac:dyDescent="0.25">
      <c r="C306" s="196" t="str">
        <f t="shared" si="4"/>
        <v/>
      </c>
    </row>
    <row r="307" spans="3:3" x14ac:dyDescent="0.25">
      <c r="C307" s="196" t="str">
        <f t="shared" si="4"/>
        <v/>
      </c>
    </row>
    <row r="308" spans="3:3" x14ac:dyDescent="0.25">
      <c r="C308" s="196" t="str">
        <f t="shared" si="4"/>
        <v/>
      </c>
    </row>
    <row r="309" spans="3:3" x14ac:dyDescent="0.25">
      <c r="C309" s="196" t="str">
        <f t="shared" si="4"/>
        <v/>
      </c>
    </row>
    <row r="310" spans="3:3" x14ac:dyDescent="0.25">
      <c r="C310" s="196" t="str">
        <f t="shared" si="4"/>
        <v/>
      </c>
    </row>
    <row r="311" spans="3:3" x14ac:dyDescent="0.25">
      <c r="C311" s="196" t="str">
        <f t="shared" si="4"/>
        <v/>
      </c>
    </row>
    <row r="312" spans="3:3" x14ac:dyDescent="0.25">
      <c r="C312" s="196" t="str">
        <f t="shared" si="4"/>
        <v/>
      </c>
    </row>
    <row r="313" spans="3:3" x14ac:dyDescent="0.25">
      <c r="C313" s="196" t="str">
        <f t="shared" si="4"/>
        <v/>
      </c>
    </row>
    <row r="314" spans="3:3" x14ac:dyDescent="0.25">
      <c r="C314" s="196" t="str">
        <f t="shared" si="4"/>
        <v/>
      </c>
    </row>
    <row r="315" spans="3:3" x14ac:dyDescent="0.25">
      <c r="C315" s="196" t="str">
        <f t="shared" si="4"/>
        <v/>
      </c>
    </row>
    <row r="316" spans="3:3" x14ac:dyDescent="0.25">
      <c r="C316" s="196" t="str">
        <f t="shared" si="4"/>
        <v/>
      </c>
    </row>
    <row r="317" spans="3:3" x14ac:dyDescent="0.25">
      <c r="C317" s="196" t="str">
        <f t="shared" si="4"/>
        <v/>
      </c>
    </row>
    <row r="318" spans="3:3" x14ac:dyDescent="0.25">
      <c r="C318" s="196" t="str">
        <f t="shared" si="4"/>
        <v/>
      </c>
    </row>
    <row r="319" spans="3:3" x14ac:dyDescent="0.25">
      <c r="C319" s="196" t="str">
        <f t="shared" si="4"/>
        <v/>
      </c>
    </row>
    <row r="320" spans="3:3" x14ac:dyDescent="0.25">
      <c r="C320" s="196" t="str">
        <f t="shared" si="4"/>
        <v/>
      </c>
    </row>
    <row r="321" spans="3:3" x14ac:dyDescent="0.25">
      <c r="C321" s="196" t="str">
        <f t="shared" si="4"/>
        <v/>
      </c>
    </row>
    <row r="322" spans="3:3" x14ac:dyDescent="0.25">
      <c r="C322" s="196" t="str">
        <f t="shared" si="4"/>
        <v/>
      </c>
    </row>
    <row r="323" spans="3:3" x14ac:dyDescent="0.25">
      <c r="C323" s="196" t="str">
        <f t="shared" si="4"/>
        <v/>
      </c>
    </row>
    <row r="324" spans="3:3" x14ac:dyDescent="0.25">
      <c r="C324" s="196" t="str">
        <f t="shared" si="4"/>
        <v/>
      </c>
    </row>
    <row r="325" spans="3:3" x14ac:dyDescent="0.25">
      <c r="C325" s="196" t="str">
        <f t="shared" si="4"/>
        <v/>
      </c>
    </row>
    <row r="326" spans="3:3" x14ac:dyDescent="0.25">
      <c r="C326" s="196" t="str">
        <f t="shared" si="4"/>
        <v/>
      </c>
    </row>
    <row r="327" spans="3:3" x14ac:dyDescent="0.25">
      <c r="C327" s="196" t="str">
        <f t="shared" ref="C327:C390" si="5">IF(MID(A327,6,1)="      - ","-",
IF(A327="     0 - Categoría NULA",0,MID(A327,6,10)))</f>
        <v/>
      </c>
    </row>
    <row r="328" spans="3:3" x14ac:dyDescent="0.25">
      <c r="C328" s="196" t="str">
        <f t="shared" si="5"/>
        <v/>
      </c>
    </row>
    <row r="329" spans="3:3" x14ac:dyDescent="0.25">
      <c r="C329" s="196" t="str">
        <f t="shared" si="5"/>
        <v/>
      </c>
    </row>
    <row r="330" spans="3:3" x14ac:dyDescent="0.25">
      <c r="C330" s="196" t="str">
        <f t="shared" si="5"/>
        <v/>
      </c>
    </row>
    <row r="331" spans="3:3" x14ac:dyDescent="0.25">
      <c r="C331" s="196" t="str">
        <f t="shared" si="5"/>
        <v/>
      </c>
    </row>
    <row r="332" spans="3:3" x14ac:dyDescent="0.25">
      <c r="C332" s="196" t="str">
        <f t="shared" si="5"/>
        <v/>
      </c>
    </row>
    <row r="333" spans="3:3" x14ac:dyDescent="0.25">
      <c r="C333" s="196" t="str">
        <f t="shared" si="5"/>
        <v/>
      </c>
    </row>
    <row r="334" spans="3:3" x14ac:dyDescent="0.25">
      <c r="C334" s="196" t="str">
        <f t="shared" si="5"/>
        <v/>
      </c>
    </row>
    <row r="335" spans="3:3" x14ac:dyDescent="0.25">
      <c r="C335" s="196" t="str">
        <f t="shared" si="5"/>
        <v/>
      </c>
    </row>
    <row r="336" spans="3:3" x14ac:dyDescent="0.25">
      <c r="C336" s="196" t="str">
        <f t="shared" si="5"/>
        <v/>
      </c>
    </row>
    <row r="337" spans="3:3" x14ac:dyDescent="0.25">
      <c r="C337" s="196" t="str">
        <f t="shared" si="5"/>
        <v/>
      </c>
    </row>
    <row r="338" spans="3:3" x14ac:dyDescent="0.25">
      <c r="C338" s="196" t="str">
        <f t="shared" si="5"/>
        <v/>
      </c>
    </row>
    <row r="339" spans="3:3" x14ac:dyDescent="0.25">
      <c r="C339" s="196" t="str">
        <f t="shared" si="5"/>
        <v/>
      </c>
    </row>
    <row r="340" spans="3:3" x14ac:dyDescent="0.25">
      <c r="C340" s="196" t="str">
        <f t="shared" si="5"/>
        <v/>
      </c>
    </row>
    <row r="341" spans="3:3" x14ac:dyDescent="0.25">
      <c r="C341" s="196" t="str">
        <f t="shared" si="5"/>
        <v/>
      </c>
    </row>
    <row r="342" spans="3:3" x14ac:dyDescent="0.25">
      <c r="C342" s="196" t="str">
        <f t="shared" si="5"/>
        <v/>
      </c>
    </row>
    <row r="343" spans="3:3" x14ac:dyDescent="0.25">
      <c r="C343" s="196" t="str">
        <f t="shared" si="5"/>
        <v/>
      </c>
    </row>
    <row r="344" spans="3:3" x14ac:dyDescent="0.25">
      <c r="C344" s="196" t="str">
        <f t="shared" si="5"/>
        <v/>
      </c>
    </row>
    <row r="345" spans="3:3" x14ac:dyDescent="0.25">
      <c r="C345" s="196" t="str">
        <f t="shared" si="5"/>
        <v/>
      </c>
    </row>
    <row r="346" spans="3:3" x14ac:dyDescent="0.25">
      <c r="C346" s="196" t="str">
        <f t="shared" si="5"/>
        <v/>
      </c>
    </row>
    <row r="347" spans="3:3" x14ac:dyDescent="0.25">
      <c r="C347" s="196" t="str">
        <f t="shared" si="5"/>
        <v/>
      </c>
    </row>
    <row r="348" spans="3:3" x14ac:dyDescent="0.25">
      <c r="C348" s="196" t="str">
        <f t="shared" si="5"/>
        <v/>
      </c>
    </row>
    <row r="349" spans="3:3" x14ac:dyDescent="0.25">
      <c r="C349" s="196" t="str">
        <f t="shared" si="5"/>
        <v/>
      </c>
    </row>
    <row r="350" spans="3:3" x14ac:dyDescent="0.25">
      <c r="C350" s="196" t="str">
        <f t="shared" si="5"/>
        <v/>
      </c>
    </row>
    <row r="351" spans="3:3" x14ac:dyDescent="0.25">
      <c r="C351" s="196" t="str">
        <f t="shared" si="5"/>
        <v/>
      </c>
    </row>
    <row r="352" spans="3:3" x14ac:dyDescent="0.25">
      <c r="C352" s="196" t="str">
        <f t="shared" si="5"/>
        <v/>
      </c>
    </row>
    <row r="353" spans="3:3" x14ac:dyDescent="0.25">
      <c r="C353" s="196" t="str">
        <f t="shared" si="5"/>
        <v/>
      </c>
    </row>
    <row r="354" spans="3:3" x14ac:dyDescent="0.25">
      <c r="C354" s="196" t="str">
        <f t="shared" si="5"/>
        <v/>
      </c>
    </row>
    <row r="355" spans="3:3" x14ac:dyDescent="0.25">
      <c r="C355" s="196" t="str">
        <f t="shared" si="5"/>
        <v/>
      </c>
    </row>
    <row r="356" spans="3:3" x14ac:dyDescent="0.25">
      <c r="C356" s="196" t="str">
        <f t="shared" si="5"/>
        <v/>
      </c>
    </row>
    <row r="357" spans="3:3" x14ac:dyDescent="0.25">
      <c r="C357" s="196" t="str">
        <f t="shared" si="5"/>
        <v/>
      </c>
    </row>
    <row r="358" spans="3:3" x14ac:dyDescent="0.25">
      <c r="C358" s="196" t="str">
        <f t="shared" si="5"/>
        <v/>
      </c>
    </row>
    <row r="359" spans="3:3" x14ac:dyDescent="0.25">
      <c r="C359" s="196" t="str">
        <f t="shared" si="5"/>
        <v/>
      </c>
    </row>
    <row r="360" spans="3:3" x14ac:dyDescent="0.25">
      <c r="C360" s="196" t="str">
        <f t="shared" si="5"/>
        <v/>
      </c>
    </row>
    <row r="361" spans="3:3" x14ac:dyDescent="0.25">
      <c r="C361" s="196" t="str">
        <f t="shared" si="5"/>
        <v/>
      </c>
    </row>
    <row r="362" spans="3:3" x14ac:dyDescent="0.25">
      <c r="C362" s="196" t="str">
        <f t="shared" si="5"/>
        <v/>
      </c>
    </row>
    <row r="363" spans="3:3" x14ac:dyDescent="0.25">
      <c r="C363" s="196" t="str">
        <f t="shared" si="5"/>
        <v/>
      </c>
    </row>
    <row r="364" spans="3:3" x14ac:dyDescent="0.25">
      <c r="C364" s="196" t="str">
        <f t="shared" si="5"/>
        <v/>
      </c>
    </row>
    <row r="365" spans="3:3" x14ac:dyDescent="0.25">
      <c r="C365" s="196" t="str">
        <f t="shared" si="5"/>
        <v/>
      </c>
    </row>
    <row r="366" spans="3:3" x14ac:dyDescent="0.25">
      <c r="C366" s="196" t="str">
        <f t="shared" si="5"/>
        <v/>
      </c>
    </row>
    <row r="367" spans="3:3" x14ac:dyDescent="0.25">
      <c r="C367" s="196" t="str">
        <f t="shared" si="5"/>
        <v/>
      </c>
    </row>
    <row r="368" spans="3:3" x14ac:dyDescent="0.25">
      <c r="C368" s="196" t="str">
        <f t="shared" si="5"/>
        <v/>
      </c>
    </row>
    <row r="369" spans="3:3" x14ac:dyDescent="0.25">
      <c r="C369" s="196" t="str">
        <f t="shared" si="5"/>
        <v/>
      </c>
    </row>
    <row r="370" spans="3:3" x14ac:dyDescent="0.25">
      <c r="C370" s="196" t="str">
        <f t="shared" si="5"/>
        <v/>
      </c>
    </row>
    <row r="371" spans="3:3" x14ac:dyDescent="0.25">
      <c r="C371" s="196" t="str">
        <f t="shared" si="5"/>
        <v/>
      </c>
    </row>
    <row r="372" spans="3:3" x14ac:dyDescent="0.25">
      <c r="C372" s="196" t="str">
        <f t="shared" si="5"/>
        <v/>
      </c>
    </row>
    <row r="373" spans="3:3" x14ac:dyDescent="0.25">
      <c r="C373" s="196" t="str">
        <f t="shared" si="5"/>
        <v/>
      </c>
    </row>
    <row r="374" spans="3:3" x14ac:dyDescent="0.25">
      <c r="C374" s="196" t="str">
        <f t="shared" si="5"/>
        <v/>
      </c>
    </row>
    <row r="375" spans="3:3" x14ac:dyDescent="0.25">
      <c r="C375" s="196" t="str">
        <f t="shared" si="5"/>
        <v/>
      </c>
    </row>
    <row r="376" spans="3:3" x14ac:dyDescent="0.25">
      <c r="C376" s="196" t="str">
        <f t="shared" si="5"/>
        <v/>
      </c>
    </row>
    <row r="377" spans="3:3" x14ac:dyDescent="0.25">
      <c r="C377" s="196" t="str">
        <f t="shared" si="5"/>
        <v/>
      </c>
    </row>
    <row r="378" spans="3:3" x14ac:dyDescent="0.25">
      <c r="C378" s="196" t="str">
        <f t="shared" si="5"/>
        <v/>
      </c>
    </row>
    <row r="379" spans="3:3" x14ac:dyDescent="0.25">
      <c r="C379" s="196" t="str">
        <f t="shared" si="5"/>
        <v/>
      </c>
    </row>
    <row r="380" spans="3:3" x14ac:dyDescent="0.25">
      <c r="C380" s="196" t="str">
        <f t="shared" si="5"/>
        <v/>
      </c>
    </row>
    <row r="381" spans="3:3" x14ac:dyDescent="0.25">
      <c r="C381" s="196" t="str">
        <f t="shared" si="5"/>
        <v/>
      </c>
    </row>
    <row r="382" spans="3:3" x14ac:dyDescent="0.25">
      <c r="C382" s="196" t="str">
        <f t="shared" si="5"/>
        <v/>
      </c>
    </row>
    <row r="383" spans="3:3" x14ac:dyDescent="0.25">
      <c r="C383" s="196" t="str">
        <f t="shared" si="5"/>
        <v/>
      </c>
    </row>
    <row r="384" spans="3:3" x14ac:dyDescent="0.25">
      <c r="C384" s="196" t="str">
        <f t="shared" si="5"/>
        <v/>
      </c>
    </row>
    <row r="385" spans="3:3" x14ac:dyDescent="0.25">
      <c r="C385" s="196" t="str">
        <f t="shared" si="5"/>
        <v/>
      </c>
    </row>
    <row r="386" spans="3:3" x14ac:dyDescent="0.25">
      <c r="C386" s="196" t="str">
        <f t="shared" si="5"/>
        <v/>
      </c>
    </row>
    <row r="387" spans="3:3" x14ac:dyDescent="0.25">
      <c r="C387" s="196" t="str">
        <f t="shared" si="5"/>
        <v/>
      </c>
    </row>
    <row r="388" spans="3:3" x14ac:dyDescent="0.25">
      <c r="C388" s="196" t="str">
        <f t="shared" si="5"/>
        <v/>
      </c>
    </row>
    <row r="389" spans="3:3" x14ac:dyDescent="0.25">
      <c r="C389" s="196" t="str">
        <f t="shared" si="5"/>
        <v/>
      </c>
    </row>
    <row r="390" spans="3:3" x14ac:dyDescent="0.25">
      <c r="C390" s="196" t="str">
        <f t="shared" si="5"/>
        <v/>
      </c>
    </row>
    <row r="391" spans="3:3" x14ac:dyDescent="0.25">
      <c r="C391" s="196" t="str">
        <f t="shared" ref="C391:C454" si="6">IF(MID(A391,6,1)="      - ","-",
IF(A391="     0 - Categoría NULA",0,MID(A391,6,10)))</f>
        <v/>
      </c>
    </row>
    <row r="392" spans="3:3" x14ac:dyDescent="0.25">
      <c r="C392" s="196" t="str">
        <f t="shared" si="6"/>
        <v/>
      </c>
    </row>
    <row r="393" spans="3:3" x14ac:dyDescent="0.25">
      <c r="C393" s="196" t="str">
        <f t="shared" si="6"/>
        <v/>
      </c>
    </row>
    <row r="394" spans="3:3" x14ac:dyDescent="0.25">
      <c r="C394" s="196" t="str">
        <f t="shared" si="6"/>
        <v/>
      </c>
    </row>
    <row r="395" spans="3:3" x14ac:dyDescent="0.25">
      <c r="C395" s="196" t="str">
        <f t="shared" si="6"/>
        <v/>
      </c>
    </row>
    <row r="396" spans="3:3" x14ac:dyDescent="0.25">
      <c r="C396" s="196" t="str">
        <f t="shared" si="6"/>
        <v/>
      </c>
    </row>
    <row r="397" spans="3:3" x14ac:dyDescent="0.25">
      <c r="C397" s="196" t="str">
        <f t="shared" si="6"/>
        <v/>
      </c>
    </row>
    <row r="398" spans="3:3" x14ac:dyDescent="0.25">
      <c r="C398" s="196" t="str">
        <f t="shared" si="6"/>
        <v/>
      </c>
    </row>
    <row r="399" spans="3:3" x14ac:dyDescent="0.25">
      <c r="C399" s="196" t="str">
        <f t="shared" si="6"/>
        <v/>
      </c>
    </row>
    <row r="400" spans="3:3" x14ac:dyDescent="0.25">
      <c r="C400" s="196" t="str">
        <f t="shared" si="6"/>
        <v/>
      </c>
    </row>
    <row r="401" spans="3:3" x14ac:dyDescent="0.25">
      <c r="C401" s="196" t="str">
        <f t="shared" si="6"/>
        <v/>
      </c>
    </row>
    <row r="402" spans="3:3" x14ac:dyDescent="0.25">
      <c r="C402" s="196" t="str">
        <f t="shared" si="6"/>
        <v/>
      </c>
    </row>
    <row r="403" spans="3:3" x14ac:dyDescent="0.25">
      <c r="C403" s="196" t="str">
        <f t="shared" si="6"/>
        <v/>
      </c>
    </row>
    <row r="404" spans="3:3" x14ac:dyDescent="0.25">
      <c r="C404" s="196" t="str">
        <f t="shared" si="6"/>
        <v/>
      </c>
    </row>
    <row r="405" spans="3:3" x14ac:dyDescent="0.25">
      <c r="C405" s="196" t="str">
        <f t="shared" si="6"/>
        <v/>
      </c>
    </row>
    <row r="406" spans="3:3" x14ac:dyDescent="0.25">
      <c r="C406" s="196" t="str">
        <f t="shared" si="6"/>
        <v/>
      </c>
    </row>
    <row r="407" spans="3:3" x14ac:dyDescent="0.25">
      <c r="C407" s="196" t="str">
        <f t="shared" si="6"/>
        <v/>
      </c>
    </row>
    <row r="408" spans="3:3" x14ac:dyDescent="0.25">
      <c r="C408" s="196" t="str">
        <f t="shared" si="6"/>
        <v/>
      </c>
    </row>
    <row r="409" spans="3:3" x14ac:dyDescent="0.25">
      <c r="C409" s="196" t="str">
        <f t="shared" si="6"/>
        <v/>
      </c>
    </row>
    <row r="410" spans="3:3" x14ac:dyDescent="0.25">
      <c r="C410" s="196" t="str">
        <f t="shared" si="6"/>
        <v/>
      </c>
    </row>
    <row r="411" spans="3:3" x14ac:dyDescent="0.25">
      <c r="C411" s="196" t="str">
        <f t="shared" si="6"/>
        <v/>
      </c>
    </row>
    <row r="412" spans="3:3" x14ac:dyDescent="0.25">
      <c r="C412" s="196" t="str">
        <f t="shared" si="6"/>
        <v/>
      </c>
    </row>
    <row r="413" spans="3:3" x14ac:dyDescent="0.25">
      <c r="C413" s="196" t="str">
        <f t="shared" si="6"/>
        <v/>
      </c>
    </row>
    <row r="414" spans="3:3" x14ac:dyDescent="0.25">
      <c r="C414" s="196" t="str">
        <f t="shared" si="6"/>
        <v/>
      </c>
    </row>
    <row r="415" spans="3:3" x14ac:dyDescent="0.25">
      <c r="C415" s="196" t="str">
        <f t="shared" si="6"/>
        <v/>
      </c>
    </row>
    <row r="416" spans="3:3" x14ac:dyDescent="0.25">
      <c r="C416" s="196" t="str">
        <f t="shared" si="6"/>
        <v/>
      </c>
    </row>
    <row r="417" spans="3:3" x14ac:dyDescent="0.25">
      <c r="C417" s="196" t="str">
        <f t="shared" si="6"/>
        <v/>
      </c>
    </row>
    <row r="418" spans="3:3" x14ac:dyDescent="0.25">
      <c r="C418" s="196" t="str">
        <f t="shared" si="6"/>
        <v/>
      </c>
    </row>
    <row r="419" spans="3:3" x14ac:dyDescent="0.25">
      <c r="C419" s="196" t="str">
        <f t="shared" si="6"/>
        <v/>
      </c>
    </row>
    <row r="420" spans="3:3" x14ac:dyDescent="0.25">
      <c r="C420" s="196" t="str">
        <f t="shared" si="6"/>
        <v/>
      </c>
    </row>
    <row r="421" spans="3:3" x14ac:dyDescent="0.25">
      <c r="C421" s="196" t="str">
        <f t="shared" si="6"/>
        <v/>
      </c>
    </row>
    <row r="422" spans="3:3" x14ac:dyDescent="0.25">
      <c r="C422" s="196" t="str">
        <f t="shared" si="6"/>
        <v/>
      </c>
    </row>
    <row r="423" spans="3:3" x14ac:dyDescent="0.25">
      <c r="C423" s="196" t="str">
        <f t="shared" si="6"/>
        <v/>
      </c>
    </row>
    <row r="424" spans="3:3" x14ac:dyDescent="0.25">
      <c r="C424" s="196" t="str">
        <f t="shared" si="6"/>
        <v/>
      </c>
    </row>
    <row r="425" spans="3:3" x14ac:dyDescent="0.25">
      <c r="C425" s="196" t="str">
        <f t="shared" si="6"/>
        <v/>
      </c>
    </row>
    <row r="426" spans="3:3" x14ac:dyDescent="0.25">
      <c r="C426" s="196" t="str">
        <f t="shared" si="6"/>
        <v/>
      </c>
    </row>
    <row r="427" spans="3:3" x14ac:dyDescent="0.25">
      <c r="C427" s="196" t="str">
        <f t="shared" si="6"/>
        <v/>
      </c>
    </row>
    <row r="428" spans="3:3" x14ac:dyDescent="0.25">
      <c r="C428" s="196" t="str">
        <f t="shared" si="6"/>
        <v/>
      </c>
    </row>
    <row r="429" spans="3:3" x14ac:dyDescent="0.25">
      <c r="C429" s="196" t="str">
        <f t="shared" si="6"/>
        <v/>
      </c>
    </row>
    <row r="430" spans="3:3" x14ac:dyDescent="0.25">
      <c r="C430" s="196" t="str">
        <f t="shared" si="6"/>
        <v/>
      </c>
    </row>
    <row r="431" spans="3:3" x14ac:dyDescent="0.25">
      <c r="C431" s="196" t="str">
        <f t="shared" si="6"/>
        <v/>
      </c>
    </row>
    <row r="432" spans="3:3" x14ac:dyDescent="0.25">
      <c r="C432" s="196" t="str">
        <f t="shared" si="6"/>
        <v/>
      </c>
    </row>
    <row r="433" spans="3:3" x14ac:dyDescent="0.25">
      <c r="C433" s="196" t="str">
        <f t="shared" si="6"/>
        <v/>
      </c>
    </row>
    <row r="434" spans="3:3" x14ac:dyDescent="0.25">
      <c r="C434" s="196" t="str">
        <f t="shared" si="6"/>
        <v/>
      </c>
    </row>
    <row r="435" spans="3:3" x14ac:dyDescent="0.25">
      <c r="C435" s="196" t="str">
        <f t="shared" si="6"/>
        <v/>
      </c>
    </row>
    <row r="436" spans="3:3" x14ac:dyDescent="0.25">
      <c r="C436" s="196" t="str">
        <f t="shared" si="6"/>
        <v/>
      </c>
    </row>
    <row r="437" spans="3:3" x14ac:dyDescent="0.25">
      <c r="C437" s="196" t="str">
        <f t="shared" si="6"/>
        <v/>
      </c>
    </row>
    <row r="438" spans="3:3" x14ac:dyDescent="0.25">
      <c r="C438" s="196" t="str">
        <f t="shared" si="6"/>
        <v/>
      </c>
    </row>
    <row r="439" spans="3:3" x14ac:dyDescent="0.25">
      <c r="C439" s="196" t="str">
        <f t="shared" si="6"/>
        <v/>
      </c>
    </row>
    <row r="440" spans="3:3" x14ac:dyDescent="0.25">
      <c r="C440" s="196" t="str">
        <f t="shared" si="6"/>
        <v/>
      </c>
    </row>
    <row r="441" spans="3:3" x14ac:dyDescent="0.25">
      <c r="C441" s="196" t="str">
        <f t="shared" si="6"/>
        <v/>
      </c>
    </row>
    <row r="442" spans="3:3" x14ac:dyDescent="0.25">
      <c r="C442" s="196" t="str">
        <f t="shared" si="6"/>
        <v/>
      </c>
    </row>
    <row r="443" spans="3:3" x14ac:dyDescent="0.25">
      <c r="C443" s="196" t="str">
        <f t="shared" si="6"/>
        <v/>
      </c>
    </row>
    <row r="444" spans="3:3" x14ac:dyDescent="0.25">
      <c r="C444" s="196" t="str">
        <f t="shared" si="6"/>
        <v/>
      </c>
    </row>
    <row r="445" spans="3:3" x14ac:dyDescent="0.25">
      <c r="C445" s="196" t="str">
        <f t="shared" si="6"/>
        <v/>
      </c>
    </row>
    <row r="446" spans="3:3" x14ac:dyDescent="0.25">
      <c r="C446" s="196" t="str">
        <f t="shared" si="6"/>
        <v/>
      </c>
    </row>
    <row r="447" spans="3:3" x14ac:dyDescent="0.25">
      <c r="C447" s="196" t="str">
        <f t="shared" si="6"/>
        <v/>
      </c>
    </row>
    <row r="448" spans="3:3" x14ac:dyDescent="0.25">
      <c r="C448" s="196" t="str">
        <f t="shared" si="6"/>
        <v/>
      </c>
    </row>
    <row r="449" spans="3:3" x14ac:dyDescent="0.25">
      <c r="C449" s="196" t="str">
        <f t="shared" si="6"/>
        <v/>
      </c>
    </row>
    <row r="450" spans="3:3" x14ac:dyDescent="0.25">
      <c r="C450" s="196" t="str">
        <f t="shared" si="6"/>
        <v/>
      </c>
    </row>
    <row r="451" spans="3:3" x14ac:dyDescent="0.25">
      <c r="C451" s="196" t="str">
        <f t="shared" si="6"/>
        <v/>
      </c>
    </row>
    <row r="452" spans="3:3" x14ac:dyDescent="0.25">
      <c r="C452" s="196" t="str">
        <f t="shared" si="6"/>
        <v/>
      </c>
    </row>
    <row r="453" spans="3:3" x14ac:dyDescent="0.25">
      <c r="C453" s="196" t="str">
        <f t="shared" si="6"/>
        <v/>
      </c>
    </row>
    <row r="454" spans="3:3" x14ac:dyDescent="0.25">
      <c r="C454" s="196" t="str">
        <f t="shared" si="6"/>
        <v/>
      </c>
    </row>
    <row r="455" spans="3:3" x14ac:dyDescent="0.25">
      <c r="C455" s="196" t="str">
        <f t="shared" ref="C455:C518" si="7">IF(MID(A455,6,1)="      - ","-",
IF(A455="     0 - Categoría NULA",0,MID(A455,6,10)))</f>
        <v/>
      </c>
    </row>
    <row r="456" spans="3:3" x14ac:dyDescent="0.25">
      <c r="C456" s="196" t="str">
        <f t="shared" si="7"/>
        <v/>
      </c>
    </row>
    <row r="457" spans="3:3" x14ac:dyDescent="0.25">
      <c r="C457" s="196" t="str">
        <f t="shared" si="7"/>
        <v/>
      </c>
    </row>
    <row r="458" spans="3:3" x14ac:dyDescent="0.25">
      <c r="C458" s="196" t="str">
        <f t="shared" si="7"/>
        <v/>
      </c>
    </row>
    <row r="459" spans="3:3" x14ac:dyDescent="0.25">
      <c r="C459" s="196" t="str">
        <f t="shared" si="7"/>
        <v/>
      </c>
    </row>
    <row r="460" spans="3:3" x14ac:dyDescent="0.25">
      <c r="C460" s="196" t="str">
        <f t="shared" si="7"/>
        <v/>
      </c>
    </row>
    <row r="461" spans="3:3" x14ac:dyDescent="0.25">
      <c r="C461" s="196" t="str">
        <f t="shared" si="7"/>
        <v/>
      </c>
    </row>
    <row r="462" spans="3:3" x14ac:dyDescent="0.25">
      <c r="C462" s="196" t="str">
        <f t="shared" si="7"/>
        <v/>
      </c>
    </row>
    <row r="463" spans="3:3" x14ac:dyDescent="0.25">
      <c r="C463" s="196" t="str">
        <f t="shared" si="7"/>
        <v/>
      </c>
    </row>
    <row r="464" spans="3:3" x14ac:dyDescent="0.25">
      <c r="C464" s="196" t="str">
        <f t="shared" si="7"/>
        <v/>
      </c>
    </row>
    <row r="465" spans="3:3" x14ac:dyDescent="0.25">
      <c r="C465" s="196" t="str">
        <f t="shared" si="7"/>
        <v/>
      </c>
    </row>
    <row r="466" spans="3:3" x14ac:dyDescent="0.25">
      <c r="C466" s="196" t="str">
        <f t="shared" si="7"/>
        <v/>
      </c>
    </row>
    <row r="467" spans="3:3" x14ac:dyDescent="0.25">
      <c r="C467" s="196" t="str">
        <f t="shared" si="7"/>
        <v/>
      </c>
    </row>
    <row r="468" spans="3:3" x14ac:dyDescent="0.25">
      <c r="C468" s="196" t="str">
        <f t="shared" si="7"/>
        <v/>
      </c>
    </row>
    <row r="469" spans="3:3" x14ac:dyDescent="0.25">
      <c r="C469" s="196" t="str">
        <f t="shared" si="7"/>
        <v/>
      </c>
    </row>
    <row r="470" spans="3:3" x14ac:dyDescent="0.25">
      <c r="C470" s="196" t="str">
        <f t="shared" si="7"/>
        <v/>
      </c>
    </row>
    <row r="471" spans="3:3" x14ac:dyDescent="0.25">
      <c r="C471" s="196" t="str">
        <f t="shared" si="7"/>
        <v/>
      </c>
    </row>
    <row r="472" spans="3:3" x14ac:dyDescent="0.25">
      <c r="C472" s="196" t="str">
        <f t="shared" si="7"/>
        <v/>
      </c>
    </row>
    <row r="473" spans="3:3" x14ac:dyDescent="0.25">
      <c r="C473" s="196" t="str">
        <f t="shared" si="7"/>
        <v/>
      </c>
    </row>
    <row r="474" spans="3:3" x14ac:dyDescent="0.25">
      <c r="C474" s="196" t="str">
        <f t="shared" si="7"/>
        <v/>
      </c>
    </row>
    <row r="475" spans="3:3" x14ac:dyDescent="0.25">
      <c r="C475" s="196" t="str">
        <f t="shared" si="7"/>
        <v/>
      </c>
    </row>
    <row r="476" spans="3:3" x14ac:dyDescent="0.25">
      <c r="C476" s="196" t="str">
        <f t="shared" si="7"/>
        <v/>
      </c>
    </row>
    <row r="477" spans="3:3" x14ac:dyDescent="0.25">
      <c r="C477" s="196" t="str">
        <f t="shared" si="7"/>
        <v/>
      </c>
    </row>
    <row r="478" spans="3:3" x14ac:dyDescent="0.25">
      <c r="C478" s="196" t="str">
        <f t="shared" si="7"/>
        <v/>
      </c>
    </row>
    <row r="479" spans="3:3" x14ac:dyDescent="0.25">
      <c r="C479" s="196" t="str">
        <f t="shared" si="7"/>
        <v/>
      </c>
    </row>
    <row r="480" spans="3:3" x14ac:dyDescent="0.25">
      <c r="C480" s="196" t="str">
        <f t="shared" si="7"/>
        <v/>
      </c>
    </row>
    <row r="481" spans="3:3" x14ac:dyDescent="0.25">
      <c r="C481" s="196" t="str">
        <f t="shared" si="7"/>
        <v/>
      </c>
    </row>
    <row r="482" spans="3:3" x14ac:dyDescent="0.25">
      <c r="C482" s="196" t="str">
        <f t="shared" si="7"/>
        <v/>
      </c>
    </row>
    <row r="483" spans="3:3" x14ac:dyDescent="0.25">
      <c r="C483" s="196" t="str">
        <f t="shared" si="7"/>
        <v/>
      </c>
    </row>
    <row r="484" spans="3:3" x14ac:dyDescent="0.25">
      <c r="C484" s="196" t="str">
        <f t="shared" si="7"/>
        <v/>
      </c>
    </row>
    <row r="485" spans="3:3" x14ac:dyDescent="0.25">
      <c r="C485" s="196" t="str">
        <f t="shared" si="7"/>
        <v/>
      </c>
    </row>
    <row r="486" spans="3:3" x14ac:dyDescent="0.25">
      <c r="C486" s="196" t="str">
        <f t="shared" si="7"/>
        <v/>
      </c>
    </row>
    <row r="487" spans="3:3" x14ac:dyDescent="0.25">
      <c r="C487" s="196" t="str">
        <f t="shared" si="7"/>
        <v/>
      </c>
    </row>
    <row r="488" spans="3:3" x14ac:dyDescent="0.25">
      <c r="C488" s="196" t="str">
        <f t="shared" si="7"/>
        <v/>
      </c>
    </row>
    <row r="489" spans="3:3" x14ac:dyDescent="0.25">
      <c r="C489" s="196" t="str">
        <f t="shared" si="7"/>
        <v/>
      </c>
    </row>
    <row r="490" spans="3:3" x14ac:dyDescent="0.25">
      <c r="C490" s="196" t="str">
        <f t="shared" si="7"/>
        <v/>
      </c>
    </row>
    <row r="491" spans="3:3" x14ac:dyDescent="0.25">
      <c r="C491" s="196" t="str">
        <f t="shared" si="7"/>
        <v/>
      </c>
    </row>
    <row r="492" spans="3:3" x14ac:dyDescent="0.25">
      <c r="C492" s="196" t="str">
        <f t="shared" si="7"/>
        <v/>
      </c>
    </row>
    <row r="493" spans="3:3" x14ac:dyDescent="0.25">
      <c r="C493" s="196" t="str">
        <f t="shared" si="7"/>
        <v/>
      </c>
    </row>
    <row r="494" spans="3:3" x14ac:dyDescent="0.25">
      <c r="C494" s="196" t="str">
        <f t="shared" si="7"/>
        <v/>
      </c>
    </row>
    <row r="495" spans="3:3" x14ac:dyDescent="0.25">
      <c r="C495" s="196" t="str">
        <f t="shared" si="7"/>
        <v/>
      </c>
    </row>
    <row r="496" spans="3:3" x14ac:dyDescent="0.25">
      <c r="C496" s="196" t="str">
        <f t="shared" si="7"/>
        <v/>
      </c>
    </row>
    <row r="497" spans="3:3" x14ac:dyDescent="0.25">
      <c r="C497" s="196" t="str">
        <f t="shared" si="7"/>
        <v/>
      </c>
    </row>
    <row r="498" spans="3:3" x14ac:dyDescent="0.25">
      <c r="C498" s="196" t="str">
        <f t="shared" si="7"/>
        <v/>
      </c>
    </row>
    <row r="499" spans="3:3" x14ac:dyDescent="0.25">
      <c r="C499" s="196" t="str">
        <f t="shared" si="7"/>
        <v/>
      </c>
    </row>
    <row r="500" spans="3:3" x14ac:dyDescent="0.25">
      <c r="C500" s="196" t="str">
        <f t="shared" si="7"/>
        <v/>
      </c>
    </row>
    <row r="501" spans="3:3" x14ac:dyDescent="0.25">
      <c r="C501" s="196" t="str">
        <f t="shared" si="7"/>
        <v/>
      </c>
    </row>
    <row r="502" spans="3:3" x14ac:dyDescent="0.25">
      <c r="C502" s="196" t="str">
        <f t="shared" si="7"/>
        <v/>
      </c>
    </row>
    <row r="503" spans="3:3" x14ac:dyDescent="0.25">
      <c r="C503" s="196" t="str">
        <f t="shared" si="7"/>
        <v/>
      </c>
    </row>
    <row r="504" spans="3:3" x14ac:dyDescent="0.25">
      <c r="C504" s="196" t="str">
        <f t="shared" si="7"/>
        <v/>
      </c>
    </row>
    <row r="505" spans="3:3" x14ac:dyDescent="0.25">
      <c r="C505" s="196" t="str">
        <f t="shared" si="7"/>
        <v/>
      </c>
    </row>
    <row r="506" spans="3:3" x14ac:dyDescent="0.25">
      <c r="C506" s="196" t="str">
        <f t="shared" si="7"/>
        <v/>
      </c>
    </row>
    <row r="507" spans="3:3" x14ac:dyDescent="0.25">
      <c r="C507" s="196" t="str">
        <f t="shared" si="7"/>
        <v/>
      </c>
    </row>
    <row r="508" spans="3:3" x14ac:dyDescent="0.25">
      <c r="C508" s="196" t="str">
        <f t="shared" si="7"/>
        <v/>
      </c>
    </row>
    <row r="509" spans="3:3" x14ac:dyDescent="0.25">
      <c r="C509" s="196" t="str">
        <f t="shared" si="7"/>
        <v/>
      </c>
    </row>
    <row r="510" spans="3:3" x14ac:dyDescent="0.25">
      <c r="C510" s="196" t="str">
        <f t="shared" si="7"/>
        <v/>
      </c>
    </row>
    <row r="511" spans="3:3" x14ac:dyDescent="0.25">
      <c r="C511" s="196" t="str">
        <f t="shared" si="7"/>
        <v/>
      </c>
    </row>
    <row r="512" spans="3:3" x14ac:dyDescent="0.25">
      <c r="C512" s="196" t="str">
        <f t="shared" si="7"/>
        <v/>
      </c>
    </row>
    <row r="513" spans="3:3" x14ac:dyDescent="0.25">
      <c r="C513" s="196" t="str">
        <f t="shared" si="7"/>
        <v/>
      </c>
    </row>
    <row r="514" spans="3:3" x14ac:dyDescent="0.25">
      <c r="C514" s="196" t="str">
        <f t="shared" si="7"/>
        <v/>
      </c>
    </row>
    <row r="515" spans="3:3" x14ac:dyDescent="0.25">
      <c r="C515" s="196" t="str">
        <f t="shared" si="7"/>
        <v/>
      </c>
    </row>
    <row r="516" spans="3:3" x14ac:dyDescent="0.25">
      <c r="C516" s="196" t="str">
        <f t="shared" si="7"/>
        <v/>
      </c>
    </row>
    <row r="517" spans="3:3" x14ac:dyDescent="0.25">
      <c r="C517" s="196" t="str">
        <f t="shared" si="7"/>
        <v/>
      </c>
    </row>
    <row r="518" spans="3:3" x14ac:dyDescent="0.25">
      <c r="C518" s="196" t="str">
        <f t="shared" si="7"/>
        <v/>
      </c>
    </row>
    <row r="519" spans="3:3" x14ac:dyDescent="0.25">
      <c r="C519" s="196" t="str">
        <f t="shared" ref="C519:C582" si="8">IF(MID(A519,6,1)="      - ","-",
IF(A519="     0 - Categoría NULA",0,MID(A519,6,10)))</f>
        <v/>
      </c>
    </row>
    <row r="520" spans="3:3" x14ac:dyDescent="0.25">
      <c r="C520" s="196" t="str">
        <f t="shared" si="8"/>
        <v/>
      </c>
    </row>
    <row r="521" spans="3:3" x14ac:dyDescent="0.25">
      <c r="C521" s="196" t="str">
        <f t="shared" si="8"/>
        <v/>
      </c>
    </row>
    <row r="522" spans="3:3" x14ac:dyDescent="0.25">
      <c r="C522" s="196" t="str">
        <f t="shared" si="8"/>
        <v/>
      </c>
    </row>
    <row r="523" spans="3:3" x14ac:dyDescent="0.25">
      <c r="C523" s="196" t="str">
        <f t="shared" si="8"/>
        <v/>
      </c>
    </row>
    <row r="524" spans="3:3" x14ac:dyDescent="0.25">
      <c r="C524" s="196" t="str">
        <f t="shared" si="8"/>
        <v/>
      </c>
    </row>
    <row r="525" spans="3:3" x14ac:dyDescent="0.25">
      <c r="C525" s="196" t="str">
        <f t="shared" si="8"/>
        <v/>
      </c>
    </row>
    <row r="526" spans="3:3" x14ac:dyDescent="0.25">
      <c r="C526" s="196" t="str">
        <f t="shared" si="8"/>
        <v/>
      </c>
    </row>
    <row r="527" spans="3:3" x14ac:dyDescent="0.25">
      <c r="C527" s="196" t="str">
        <f t="shared" si="8"/>
        <v/>
      </c>
    </row>
    <row r="528" spans="3:3" x14ac:dyDescent="0.25">
      <c r="C528" s="196" t="str">
        <f t="shared" si="8"/>
        <v/>
      </c>
    </row>
    <row r="529" spans="3:3" x14ac:dyDescent="0.25">
      <c r="C529" s="196" t="str">
        <f t="shared" si="8"/>
        <v/>
      </c>
    </row>
    <row r="530" spans="3:3" x14ac:dyDescent="0.25">
      <c r="C530" s="196" t="str">
        <f t="shared" si="8"/>
        <v/>
      </c>
    </row>
    <row r="531" spans="3:3" x14ac:dyDescent="0.25">
      <c r="C531" s="196" t="str">
        <f t="shared" si="8"/>
        <v/>
      </c>
    </row>
    <row r="532" spans="3:3" x14ac:dyDescent="0.25">
      <c r="C532" s="196" t="str">
        <f t="shared" si="8"/>
        <v/>
      </c>
    </row>
    <row r="533" spans="3:3" x14ac:dyDescent="0.25">
      <c r="C533" s="196" t="str">
        <f t="shared" si="8"/>
        <v/>
      </c>
    </row>
    <row r="534" spans="3:3" x14ac:dyDescent="0.25">
      <c r="C534" s="196" t="str">
        <f t="shared" si="8"/>
        <v/>
      </c>
    </row>
    <row r="535" spans="3:3" x14ac:dyDescent="0.25">
      <c r="C535" s="196" t="str">
        <f t="shared" si="8"/>
        <v/>
      </c>
    </row>
    <row r="536" spans="3:3" x14ac:dyDescent="0.25">
      <c r="C536" s="196" t="str">
        <f t="shared" si="8"/>
        <v/>
      </c>
    </row>
    <row r="537" spans="3:3" x14ac:dyDescent="0.25">
      <c r="C537" s="196" t="str">
        <f t="shared" si="8"/>
        <v/>
      </c>
    </row>
    <row r="538" spans="3:3" x14ac:dyDescent="0.25">
      <c r="C538" s="196" t="str">
        <f t="shared" si="8"/>
        <v/>
      </c>
    </row>
    <row r="539" spans="3:3" x14ac:dyDescent="0.25">
      <c r="C539" s="196" t="str">
        <f t="shared" si="8"/>
        <v/>
      </c>
    </row>
    <row r="540" spans="3:3" x14ac:dyDescent="0.25">
      <c r="C540" s="196" t="str">
        <f t="shared" si="8"/>
        <v/>
      </c>
    </row>
    <row r="541" spans="3:3" x14ac:dyDescent="0.25">
      <c r="C541" s="196" t="str">
        <f t="shared" si="8"/>
        <v/>
      </c>
    </row>
    <row r="542" spans="3:3" x14ac:dyDescent="0.25">
      <c r="C542" s="196" t="str">
        <f t="shared" si="8"/>
        <v/>
      </c>
    </row>
    <row r="543" spans="3:3" x14ac:dyDescent="0.25">
      <c r="C543" s="196" t="str">
        <f t="shared" si="8"/>
        <v/>
      </c>
    </row>
    <row r="544" spans="3:3" x14ac:dyDescent="0.25">
      <c r="C544" s="196" t="str">
        <f t="shared" si="8"/>
        <v/>
      </c>
    </row>
    <row r="545" spans="3:3" x14ac:dyDescent="0.25">
      <c r="C545" s="196" t="str">
        <f t="shared" si="8"/>
        <v/>
      </c>
    </row>
    <row r="546" spans="3:3" x14ac:dyDescent="0.25">
      <c r="C546" s="196" t="str">
        <f t="shared" si="8"/>
        <v/>
      </c>
    </row>
    <row r="547" spans="3:3" x14ac:dyDescent="0.25">
      <c r="C547" s="196" t="str">
        <f t="shared" si="8"/>
        <v/>
      </c>
    </row>
    <row r="548" spans="3:3" x14ac:dyDescent="0.25">
      <c r="C548" s="196" t="str">
        <f t="shared" si="8"/>
        <v/>
      </c>
    </row>
    <row r="549" spans="3:3" x14ac:dyDescent="0.25">
      <c r="C549" s="196" t="str">
        <f t="shared" si="8"/>
        <v/>
      </c>
    </row>
    <row r="550" spans="3:3" x14ac:dyDescent="0.25">
      <c r="C550" s="196" t="str">
        <f t="shared" si="8"/>
        <v/>
      </c>
    </row>
    <row r="551" spans="3:3" x14ac:dyDescent="0.25">
      <c r="C551" s="196" t="str">
        <f t="shared" si="8"/>
        <v/>
      </c>
    </row>
    <row r="552" spans="3:3" x14ac:dyDescent="0.25">
      <c r="C552" s="196" t="str">
        <f t="shared" si="8"/>
        <v/>
      </c>
    </row>
    <row r="553" spans="3:3" x14ac:dyDescent="0.25">
      <c r="C553" s="196" t="str">
        <f t="shared" si="8"/>
        <v/>
      </c>
    </row>
    <row r="554" spans="3:3" x14ac:dyDescent="0.25">
      <c r="C554" s="196" t="str">
        <f t="shared" si="8"/>
        <v/>
      </c>
    </row>
    <row r="555" spans="3:3" x14ac:dyDescent="0.25">
      <c r="C555" s="196" t="str">
        <f t="shared" si="8"/>
        <v/>
      </c>
    </row>
    <row r="556" spans="3:3" x14ac:dyDescent="0.25">
      <c r="C556" s="196" t="str">
        <f t="shared" si="8"/>
        <v/>
      </c>
    </row>
    <row r="557" spans="3:3" x14ac:dyDescent="0.25">
      <c r="C557" s="196" t="str">
        <f t="shared" si="8"/>
        <v/>
      </c>
    </row>
    <row r="558" spans="3:3" x14ac:dyDescent="0.25">
      <c r="C558" s="196" t="str">
        <f t="shared" si="8"/>
        <v/>
      </c>
    </row>
    <row r="559" spans="3:3" x14ac:dyDescent="0.25">
      <c r="C559" s="196" t="str">
        <f t="shared" si="8"/>
        <v/>
      </c>
    </row>
    <row r="560" spans="3:3" x14ac:dyDescent="0.25">
      <c r="C560" s="196" t="str">
        <f t="shared" si="8"/>
        <v/>
      </c>
    </row>
    <row r="561" spans="3:3" x14ac:dyDescent="0.25">
      <c r="C561" s="196" t="str">
        <f t="shared" si="8"/>
        <v/>
      </c>
    </row>
    <row r="562" spans="3:3" x14ac:dyDescent="0.25">
      <c r="C562" s="196" t="str">
        <f t="shared" si="8"/>
        <v/>
      </c>
    </row>
    <row r="563" spans="3:3" x14ac:dyDescent="0.25">
      <c r="C563" s="196" t="str">
        <f t="shared" si="8"/>
        <v/>
      </c>
    </row>
    <row r="564" spans="3:3" x14ac:dyDescent="0.25">
      <c r="C564" s="196" t="str">
        <f t="shared" si="8"/>
        <v/>
      </c>
    </row>
    <row r="565" spans="3:3" x14ac:dyDescent="0.25">
      <c r="C565" s="196" t="str">
        <f t="shared" si="8"/>
        <v/>
      </c>
    </row>
    <row r="566" spans="3:3" x14ac:dyDescent="0.25">
      <c r="C566" s="196" t="str">
        <f t="shared" si="8"/>
        <v/>
      </c>
    </row>
    <row r="567" spans="3:3" x14ac:dyDescent="0.25">
      <c r="C567" s="196" t="str">
        <f t="shared" si="8"/>
        <v/>
      </c>
    </row>
    <row r="568" spans="3:3" x14ac:dyDescent="0.25">
      <c r="C568" s="196" t="str">
        <f t="shared" si="8"/>
        <v/>
      </c>
    </row>
    <row r="569" spans="3:3" x14ac:dyDescent="0.25">
      <c r="C569" s="196" t="str">
        <f t="shared" si="8"/>
        <v/>
      </c>
    </row>
    <row r="570" spans="3:3" x14ac:dyDescent="0.25">
      <c r="C570" s="196" t="str">
        <f t="shared" si="8"/>
        <v/>
      </c>
    </row>
    <row r="571" spans="3:3" x14ac:dyDescent="0.25">
      <c r="C571" s="196" t="str">
        <f t="shared" si="8"/>
        <v/>
      </c>
    </row>
    <row r="572" spans="3:3" x14ac:dyDescent="0.25">
      <c r="C572" s="196" t="str">
        <f t="shared" si="8"/>
        <v/>
      </c>
    </row>
    <row r="573" spans="3:3" x14ac:dyDescent="0.25">
      <c r="C573" s="196" t="str">
        <f t="shared" si="8"/>
        <v/>
      </c>
    </row>
    <row r="574" spans="3:3" x14ac:dyDescent="0.25">
      <c r="C574" s="196" t="str">
        <f t="shared" si="8"/>
        <v/>
      </c>
    </row>
    <row r="575" spans="3:3" x14ac:dyDescent="0.25">
      <c r="C575" s="196" t="str">
        <f t="shared" si="8"/>
        <v/>
      </c>
    </row>
    <row r="576" spans="3:3" x14ac:dyDescent="0.25">
      <c r="C576" s="196" t="str">
        <f t="shared" si="8"/>
        <v/>
      </c>
    </row>
    <row r="577" spans="3:3" x14ac:dyDescent="0.25">
      <c r="C577" s="196" t="str">
        <f t="shared" si="8"/>
        <v/>
      </c>
    </row>
    <row r="578" spans="3:3" x14ac:dyDescent="0.25">
      <c r="C578" s="196" t="str">
        <f t="shared" si="8"/>
        <v/>
      </c>
    </row>
    <row r="579" spans="3:3" x14ac:dyDescent="0.25">
      <c r="C579" s="196" t="str">
        <f t="shared" si="8"/>
        <v/>
      </c>
    </row>
    <row r="580" spans="3:3" x14ac:dyDescent="0.25">
      <c r="C580" s="196" t="str">
        <f t="shared" si="8"/>
        <v/>
      </c>
    </row>
    <row r="581" spans="3:3" x14ac:dyDescent="0.25">
      <c r="C581" s="196" t="str">
        <f t="shared" si="8"/>
        <v/>
      </c>
    </row>
    <row r="582" spans="3:3" x14ac:dyDescent="0.25">
      <c r="C582" s="196" t="str">
        <f t="shared" si="8"/>
        <v/>
      </c>
    </row>
    <row r="583" spans="3:3" x14ac:dyDescent="0.25">
      <c r="C583" s="196" t="str">
        <f t="shared" ref="C583:C600" si="9">IF(MID(A583,6,1)="      - ","-",
IF(A583="     0 - Categoría NULA",0,MID(A583,6,10)))</f>
        <v/>
      </c>
    </row>
    <row r="584" spans="3:3" x14ac:dyDescent="0.25">
      <c r="C584" s="196" t="str">
        <f t="shared" si="9"/>
        <v/>
      </c>
    </row>
    <row r="585" spans="3:3" x14ac:dyDescent="0.25">
      <c r="C585" s="196" t="str">
        <f t="shared" si="9"/>
        <v/>
      </c>
    </row>
    <row r="586" spans="3:3" x14ac:dyDescent="0.25">
      <c r="C586" s="196" t="str">
        <f t="shared" si="9"/>
        <v/>
      </c>
    </row>
    <row r="587" spans="3:3" x14ac:dyDescent="0.25">
      <c r="C587" s="196" t="str">
        <f t="shared" si="9"/>
        <v/>
      </c>
    </row>
    <row r="588" spans="3:3" x14ac:dyDescent="0.25">
      <c r="C588" s="196" t="str">
        <f t="shared" si="9"/>
        <v/>
      </c>
    </row>
    <row r="589" spans="3:3" x14ac:dyDescent="0.25">
      <c r="C589" s="196" t="str">
        <f t="shared" si="9"/>
        <v/>
      </c>
    </row>
    <row r="590" spans="3:3" x14ac:dyDescent="0.25">
      <c r="C590" s="196" t="str">
        <f t="shared" si="9"/>
        <v/>
      </c>
    </row>
    <row r="591" spans="3:3" x14ac:dyDescent="0.25">
      <c r="C591" s="196" t="str">
        <f t="shared" si="9"/>
        <v/>
      </c>
    </row>
    <row r="592" spans="3:3" x14ac:dyDescent="0.25">
      <c r="C592" s="196" t="str">
        <f t="shared" si="9"/>
        <v/>
      </c>
    </row>
    <row r="593" spans="3:3" x14ac:dyDescent="0.25">
      <c r="C593" s="196" t="str">
        <f t="shared" si="9"/>
        <v/>
      </c>
    </row>
    <row r="594" spans="3:3" x14ac:dyDescent="0.25">
      <c r="C594" s="196" t="str">
        <f t="shared" si="9"/>
        <v/>
      </c>
    </row>
    <row r="595" spans="3:3" x14ac:dyDescent="0.25">
      <c r="C595" s="196" t="str">
        <f t="shared" si="9"/>
        <v/>
      </c>
    </row>
    <row r="596" spans="3:3" x14ac:dyDescent="0.25">
      <c r="C596" s="196" t="str">
        <f t="shared" si="9"/>
        <v/>
      </c>
    </row>
    <row r="597" spans="3:3" x14ac:dyDescent="0.25">
      <c r="C597" s="196" t="str">
        <f t="shared" si="9"/>
        <v/>
      </c>
    </row>
    <row r="598" spans="3:3" x14ac:dyDescent="0.25">
      <c r="C598" s="196" t="str">
        <f t="shared" si="9"/>
        <v/>
      </c>
    </row>
    <row r="599" spans="3:3" x14ac:dyDescent="0.25">
      <c r="C599" s="196" t="str">
        <f t="shared" si="9"/>
        <v/>
      </c>
    </row>
    <row r="600" spans="3:3" x14ac:dyDescent="0.25">
      <c r="C600" s="196" t="str">
        <f t="shared" si="9"/>
        <v/>
      </c>
    </row>
  </sheetData>
  <sheetProtection algorithmName="SHA-512" hashValue="JPZBoIwZ8ggJM9YMvb8Pv3Kp+zwJqRKlS6rI2+PllIwb78bwiygkEcxMozDAY5bsApCsx+n/CiJtmu9uUX76WQ==" saltValue="5g44V5EZ/44gmw2uUoXSyg==" spinCount="100000" sheet="1" objects="1" scenarios="1" selectLockedCells="1" autoFilter="0" selectUnlockedCells="1"/>
  <autoFilter ref="A4:T59" xr:uid="{55853347-309A-4495-AFC8-9063A07B813F}">
    <filterColumn colId="0" showButton="0"/>
    <filterColumn colId="11" showButton="0"/>
  </autoFilter>
  <mergeCells count="533">
    <mergeCell ref="A266:B266"/>
    <mergeCell ref="L266:M266"/>
    <mergeCell ref="A267:B267"/>
    <mergeCell ref="L267:M267"/>
    <mergeCell ref="A261:B261"/>
    <mergeCell ref="L261:M261"/>
    <mergeCell ref="A262:B262"/>
    <mergeCell ref="L262:M262"/>
    <mergeCell ref="A263:B263"/>
    <mergeCell ref="L263:M263"/>
    <mergeCell ref="A264:B264"/>
    <mergeCell ref="L264:M264"/>
    <mergeCell ref="A265:B265"/>
    <mergeCell ref="L265:M265"/>
    <mergeCell ref="A256:B256"/>
    <mergeCell ref="L256:M256"/>
    <mergeCell ref="A257:B257"/>
    <mergeCell ref="L257:M257"/>
    <mergeCell ref="A258:B258"/>
    <mergeCell ref="L258:M258"/>
    <mergeCell ref="A259:B259"/>
    <mergeCell ref="L259:M259"/>
    <mergeCell ref="A260:B260"/>
    <mergeCell ref="L260:M260"/>
    <mergeCell ref="A251:B251"/>
    <mergeCell ref="L251:M251"/>
    <mergeCell ref="A252:B252"/>
    <mergeCell ref="L252:M252"/>
    <mergeCell ref="A253:B253"/>
    <mergeCell ref="L253:M253"/>
    <mergeCell ref="A254:B254"/>
    <mergeCell ref="L254:M254"/>
    <mergeCell ref="A255:B255"/>
    <mergeCell ref="L255:M255"/>
    <mergeCell ref="A246:B246"/>
    <mergeCell ref="L246:M246"/>
    <mergeCell ref="A247:B247"/>
    <mergeCell ref="L247:M247"/>
    <mergeCell ref="A248:B248"/>
    <mergeCell ref="L248:M248"/>
    <mergeCell ref="A249:B249"/>
    <mergeCell ref="L249:M249"/>
    <mergeCell ref="A250:B250"/>
    <mergeCell ref="L250:M250"/>
    <mergeCell ref="A241:B241"/>
    <mergeCell ref="L241:M241"/>
    <mergeCell ref="A242:B242"/>
    <mergeCell ref="L242:M242"/>
    <mergeCell ref="A243:B243"/>
    <mergeCell ref="L243:M243"/>
    <mergeCell ref="A244:B244"/>
    <mergeCell ref="L244:M244"/>
    <mergeCell ref="A245:B245"/>
    <mergeCell ref="L245:M245"/>
    <mergeCell ref="A236:B236"/>
    <mergeCell ref="L236:M236"/>
    <mergeCell ref="A237:B237"/>
    <mergeCell ref="L237:M237"/>
    <mergeCell ref="A238:B238"/>
    <mergeCell ref="L238:M238"/>
    <mergeCell ref="A239:B239"/>
    <mergeCell ref="L239:M239"/>
    <mergeCell ref="A240:B240"/>
    <mergeCell ref="L240:M240"/>
    <mergeCell ref="A231:B231"/>
    <mergeCell ref="L231:M231"/>
    <mergeCell ref="A232:B232"/>
    <mergeCell ref="L232:M232"/>
    <mergeCell ref="A233:B233"/>
    <mergeCell ref="L233:M233"/>
    <mergeCell ref="A234:B234"/>
    <mergeCell ref="L234:M234"/>
    <mergeCell ref="A235:B235"/>
    <mergeCell ref="L235:M235"/>
    <mergeCell ref="A226:B226"/>
    <mergeCell ref="L226:M226"/>
    <mergeCell ref="A227:B227"/>
    <mergeCell ref="L227:M227"/>
    <mergeCell ref="A228:B228"/>
    <mergeCell ref="L228:M228"/>
    <mergeCell ref="A229:B229"/>
    <mergeCell ref="L229:M229"/>
    <mergeCell ref="A230:B230"/>
    <mergeCell ref="L230:M230"/>
    <mergeCell ref="A221:B221"/>
    <mergeCell ref="L221:M221"/>
    <mergeCell ref="A222:B222"/>
    <mergeCell ref="L222:M222"/>
    <mergeCell ref="A223:B223"/>
    <mergeCell ref="L223:M223"/>
    <mergeCell ref="A224:B224"/>
    <mergeCell ref="L224:M224"/>
    <mergeCell ref="A225:B225"/>
    <mergeCell ref="L225:M225"/>
    <mergeCell ref="A216:B216"/>
    <mergeCell ref="L216:M216"/>
    <mergeCell ref="A217:B217"/>
    <mergeCell ref="L217:M217"/>
    <mergeCell ref="A218:B218"/>
    <mergeCell ref="L218:M218"/>
    <mergeCell ref="A219:B219"/>
    <mergeCell ref="L219:M219"/>
    <mergeCell ref="A220:B220"/>
    <mergeCell ref="L220:M220"/>
    <mergeCell ref="A211:B211"/>
    <mergeCell ref="L211:M211"/>
    <mergeCell ref="A212:B212"/>
    <mergeCell ref="L212:M212"/>
    <mergeCell ref="A213:B213"/>
    <mergeCell ref="L213:M213"/>
    <mergeCell ref="A214:B214"/>
    <mergeCell ref="L214:M214"/>
    <mergeCell ref="A215:B215"/>
    <mergeCell ref="L215:M215"/>
    <mergeCell ref="A206:B206"/>
    <mergeCell ref="L206:M206"/>
    <mergeCell ref="A207:B207"/>
    <mergeCell ref="L207:M207"/>
    <mergeCell ref="A208:B208"/>
    <mergeCell ref="L208:M208"/>
    <mergeCell ref="A209:B209"/>
    <mergeCell ref="L209:M209"/>
    <mergeCell ref="A210:B210"/>
    <mergeCell ref="L210:M210"/>
    <mergeCell ref="A201:B201"/>
    <mergeCell ref="L201:M201"/>
    <mergeCell ref="A202:B202"/>
    <mergeCell ref="L202:M202"/>
    <mergeCell ref="A203:B203"/>
    <mergeCell ref="L203:M203"/>
    <mergeCell ref="A204:B204"/>
    <mergeCell ref="L204:M204"/>
    <mergeCell ref="A205:B205"/>
    <mergeCell ref="L205:M205"/>
    <mergeCell ref="A196:B196"/>
    <mergeCell ref="L196:M196"/>
    <mergeCell ref="A197:B197"/>
    <mergeCell ref="L197:M197"/>
    <mergeCell ref="A198:B198"/>
    <mergeCell ref="L198:M198"/>
    <mergeCell ref="A199:B199"/>
    <mergeCell ref="L199:M199"/>
    <mergeCell ref="A200:B200"/>
    <mergeCell ref="L200:M200"/>
    <mergeCell ref="A191:B191"/>
    <mergeCell ref="L191:M191"/>
    <mergeCell ref="A192:B192"/>
    <mergeCell ref="L192:M192"/>
    <mergeCell ref="A193:B193"/>
    <mergeCell ref="L193:M193"/>
    <mergeCell ref="A194:B194"/>
    <mergeCell ref="L194:M194"/>
    <mergeCell ref="A195:B195"/>
    <mergeCell ref="L195:M195"/>
    <mergeCell ref="A186:B186"/>
    <mergeCell ref="L186:M186"/>
    <mergeCell ref="A187:B187"/>
    <mergeCell ref="L187:M187"/>
    <mergeCell ref="A188:B188"/>
    <mergeCell ref="L188:M188"/>
    <mergeCell ref="A189:B189"/>
    <mergeCell ref="L189:M189"/>
    <mergeCell ref="A190:B190"/>
    <mergeCell ref="L190:M190"/>
    <mergeCell ref="A181:B181"/>
    <mergeCell ref="L181:M181"/>
    <mergeCell ref="A182:B182"/>
    <mergeCell ref="L182:M182"/>
    <mergeCell ref="A183:B183"/>
    <mergeCell ref="L183:M183"/>
    <mergeCell ref="A184:B184"/>
    <mergeCell ref="L184:M184"/>
    <mergeCell ref="A185:B185"/>
    <mergeCell ref="L185:M185"/>
    <mergeCell ref="A176:B176"/>
    <mergeCell ref="L176:M176"/>
    <mergeCell ref="A177:B177"/>
    <mergeCell ref="L177:M177"/>
    <mergeCell ref="A178:B178"/>
    <mergeCell ref="L178:M178"/>
    <mergeCell ref="A179:B179"/>
    <mergeCell ref="L179:M179"/>
    <mergeCell ref="A180:B180"/>
    <mergeCell ref="L180:M180"/>
    <mergeCell ref="A171:B171"/>
    <mergeCell ref="L171:M171"/>
    <mergeCell ref="A172:B172"/>
    <mergeCell ref="L172:M172"/>
    <mergeCell ref="A173:B173"/>
    <mergeCell ref="L173:M173"/>
    <mergeCell ref="A174:B174"/>
    <mergeCell ref="L174:M174"/>
    <mergeCell ref="A175:B175"/>
    <mergeCell ref="L175:M175"/>
    <mergeCell ref="A166:B166"/>
    <mergeCell ref="L166:M166"/>
    <mergeCell ref="A167:B167"/>
    <mergeCell ref="L167:M167"/>
    <mergeCell ref="A168:B168"/>
    <mergeCell ref="L168:M168"/>
    <mergeCell ref="A169:B169"/>
    <mergeCell ref="L169:M169"/>
    <mergeCell ref="A170:B170"/>
    <mergeCell ref="L170:M170"/>
    <mergeCell ref="A161:B161"/>
    <mergeCell ref="L161:M161"/>
    <mergeCell ref="A162:B162"/>
    <mergeCell ref="L162:M162"/>
    <mergeCell ref="A163:B163"/>
    <mergeCell ref="L163:M163"/>
    <mergeCell ref="A164:B164"/>
    <mergeCell ref="L164:M164"/>
    <mergeCell ref="A165:B165"/>
    <mergeCell ref="L165:M165"/>
    <mergeCell ref="A156:B156"/>
    <mergeCell ref="L156:M156"/>
    <mergeCell ref="A157:B157"/>
    <mergeCell ref="L157:M157"/>
    <mergeCell ref="A158:B158"/>
    <mergeCell ref="L158:M158"/>
    <mergeCell ref="A159:B159"/>
    <mergeCell ref="L159:M159"/>
    <mergeCell ref="A160:B160"/>
    <mergeCell ref="L160:M160"/>
    <mergeCell ref="A151:B151"/>
    <mergeCell ref="L151:M151"/>
    <mergeCell ref="A152:B152"/>
    <mergeCell ref="L152:M152"/>
    <mergeCell ref="A153:B153"/>
    <mergeCell ref="L153:M153"/>
    <mergeCell ref="A154:B154"/>
    <mergeCell ref="L154:M154"/>
    <mergeCell ref="A155:B155"/>
    <mergeCell ref="L155:M155"/>
    <mergeCell ref="A146:B146"/>
    <mergeCell ref="L146:M146"/>
    <mergeCell ref="A147:B147"/>
    <mergeCell ref="L147:M147"/>
    <mergeCell ref="A148:B148"/>
    <mergeCell ref="L148:M148"/>
    <mergeCell ref="A149:B149"/>
    <mergeCell ref="L149:M149"/>
    <mergeCell ref="A150:B150"/>
    <mergeCell ref="L150:M150"/>
    <mergeCell ref="A141:B141"/>
    <mergeCell ref="L141:M141"/>
    <mergeCell ref="A142:B142"/>
    <mergeCell ref="L142:M142"/>
    <mergeCell ref="A143:B143"/>
    <mergeCell ref="L143:M143"/>
    <mergeCell ref="A144:B144"/>
    <mergeCell ref="L144:M144"/>
    <mergeCell ref="A145:B145"/>
    <mergeCell ref="L145:M145"/>
    <mergeCell ref="A136:B136"/>
    <mergeCell ref="L136:M136"/>
    <mergeCell ref="A137:B137"/>
    <mergeCell ref="L137:M137"/>
    <mergeCell ref="A138:B138"/>
    <mergeCell ref="L138:M138"/>
    <mergeCell ref="A139:B139"/>
    <mergeCell ref="L139:M139"/>
    <mergeCell ref="A140:B140"/>
    <mergeCell ref="L140:M140"/>
    <mergeCell ref="A131:B131"/>
    <mergeCell ref="L131:M131"/>
    <mergeCell ref="A132:B132"/>
    <mergeCell ref="L132:M132"/>
    <mergeCell ref="A133:B133"/>
    <mergeCell ref="L133:M133"/>
    <mergeCell ref="A134:B134"/>
    <mergeCell ref="L134:M134"/>
    <mergeCell ref="A135:B135"/>
    <mergeCell ref="L135:M135"/>
    <mergeCell ref="A126:B126"/>
    <mergeCell ref="L126:M126"/>
    <mergeCell ref="A127:B127"/>
    <mergeCell ref="L127:M127"/>
    <mergeCell ref="A128:B128"/>
    <mergeCell ref="L128:M128"/>
    <mergeCell ref="A129:B129"/>
    <mergeCell ref="L129:M129"/>
    <mergeCell ref="A130:B130"/>
    <mergeCell ref="L130:M130"/>
    <mergeCell ref="A25:B25"/>
    <mergeCell ref="L25:M25"/>
    <mergeCell ref="A20:B20"/>
    <mergeCell ref="L20:M20"/>
    <mergeCell ref="A21:B21"/>
    <mergeCell ref="L21:M21"/>
    <mergeCell ref="A22:B22"/>
    <mergeCell ref="L22:M22"/>
    <mergeCell ref="A29:B29"/>
    <mergeCell ref="L29:M29"/>
    <mergeCell ref="A26:B26"/>
    <mergeCell ref="L26:M26"/>
    <mergeCell ref="A27:B27"/>
    <mergeCell ref="L27:M27"/>
    <mergeCell ref="A28:B28"/>
    <mergeCell ref="L28:M28"/>
    <mergeCell ref="A17:B17"/>
    <mergeCell ref="L17:M17"/>
    <mergeCell ref="A18:B18"/>
    <mergeCell ref="L18:M18"/>
    <mergeCell ref="A19:B19"/>
    <mergeCell ref="L19:M19"/>
    <mergeCell ref="A23:B23"/>
    <mergeCell ref="L23:M23"/>
    <mergeCell ref="A24:B24"/>
    <mergeCell ref="L24:M24"/>
    <mergeCell ref="A15:B15"/>
    <mergeCell ref="L15:M15"/>
    <mergeCell ref="A16:B16"/>
    <mergeCell ref="L16:M16"/>
    <mergeCell ref="A11:B11"/>
    <mergeCell ref="L11:M11"/>
    <mergeCell ref="A12:B12"/>
    <mergeCell ref="L12:M12"/>
    <mergeCell ref="A13:B13"/>
    <mergeCell ref="L13:M13"/>
    <mergeCell ref="B1:L1"/>
    <mergeCell ref="A3:B3"/>
    <mergeCell ref="F3:H3"/>
    <mergeCell ref="J3:P3"/>
    <mergeCell ref="R3:T3"/>
    <mergeCell ref="A4:B4"/>
    <mergeCell ref="L4:M4"/>
    <mergeCell ref="A14:B14"/>
    <mergeCell ref="L14:M14"/>
    <mergeCell ref="A8:B8"/>
    <mergeCell ref="L8:M8"/>
    <mergeCell ref="A9:B9"/>
    <mergeCell ref="L9:M9"/>
    <mergeCell ref="A10:B10"/>
    <mergeCell ref="L10:M10"/>
    <mergeCell ref="A5:B5"/>
    <mergeCell ref="L5:M5"/>
    <mergeCell ref="A6:B6"/>
    <mergeCell ref="L6:M6"/>
    <mergeCell ref="A7:B7"/>
    <mergeCell ref="L7:M7"/>
    <mergeCell ref="A33:B33"/>
    <mergeCell ref="L33:M33"/>
    <mergeCell ref="A34:B34"/>
    <mergeCell ref="L34:M34"/>
    <mergeCell ref="A35:B35"/>
    <mergeCell ref="L35:M35"/>
    <mergeCell ref="A30:B30"/>
    <mergeCell ref="L30:M30"/>
    <mergeCell ref="A31:B31"/>
    <mergeCell ref="L31:M31"/>
    <mergeCell ref="A32:B32"/>
    <mergeCell ref="L32:M32"/>
    <mergeCell ref="A39:B39"/>
    <mergeCell ref="L39:M39"/>
    <mergeCell ref="A40:B40"/>
    <mergeCell ref="L40:M40"/>
    <mergeCell ref="A41:B41"/>
    <mergeCell ref="L41:M41"/>
    <mergeCell ref="A36:B36"/>
    <mergeCell ref="L36:M36"/>
    <mergeCell ref="A37:B37"/>
    <mergeCell ref="L37:M37"/>
    <mergeCell ref="A38:B38"/>
    <mergeCell ref="L38:M38"/>
    <mergeCell ref="A45:B45"/>
    <mergeCell ref="L45:M45"/>
    <mergeCell ref="A46:B46"/>
    <mergeCell ref="L46:M46"/>
    <mergeCell ref="A47:B47"/>
    <mergeCell ref="L47:M47"/>
    <mergeCell ref="A42:B42"/>
    <mergeCell ref="L42:M42"/>
    <mergeCell ref="A43:B43"/>
    <mergeCell ref="L43:M43"/>
    <mergeCell ref="A44:B44"/>
    <mergeCell ref="L44:M44"/>
    <mergeCell ref="A51:B51"/>
    <mergeCell ref="L51:M51"/>
    <mergeCell ref="A52:B52"/>
    <mergeCell ref="L52:M52"/>
    <mergeCell ref="A53:B53"/>
    <mergeCell ref="L53:M53"/>
    <mergeCell ref="A48:B48"/>
    <mergeCell ref="L48:M48"/>
    <mergeCell ref="A49:B49"/>
    <mergeCell ref="L49:M49"/>
    <mergeCell ref="A50:B50"/>
    <mergeCell ref="L50:M50"/>
    <mergeCell ref="A57:B57"/>
    <mergeCell ref="L57:M57"/>
    <mergeCell ref="A58:B58"/>
    <mergeCell ref="L58:M58"/>
    <mergeCell ref="A59:B59"/>
    <mergeCell ref="L59:M59"/>
    <mergeCell ref="A54:B54"/>
    <mergeCell ref="L54:M54"/>
    <mergeCell ref="A55:B55"/>
    <mergeCell ref="L55:M55"/>
    <mergeCell ref="A56:B56"/>
    <mergeCell ref="L56:M56"/>
    <mergeCell ref="A60:B60"/>
    <mergeCell ref="L60:M60"/>
    <mergeCell ref="A61:B61"/>
    <mergeCell ref="L61:M61"/>
    <mergeCell ref="A62:B62"/>
    <mergeCell ref="L62:M62"/>
    <mergeCell ref="A63:B63"/>
    <mergeCell ref="L63:M63"/>
    <mergeCell ref="A64:B64"/>
    <mergeCell ref="L64:M64"/>
    <mergeCell ref="A65:B65"/>
    <mergeCell ref="L65:M65"/>
    <mergeCell ref="A66:B66"/>
    <mergeCell ref="L66:M66"/>
    <mergeCell ref="A67:B67"/>
    <mergeCell ref="L67:M67"/>
    <mergeCell ref="A68:B68"/>
    <mergeCell ref="L68:M68"/>
    <mergeCell ref="A69:B69"/>
    <mergeCell ref="L69:M69"/>
    <mergeCell ref="A70:B70"/>
    <mergeCell ref="L70:M70"/>
    <mergeCell ref="A71:B71"/>
    <mergeCell ref="L71:M71"/>
    <mergeCell ref="A72:B72"/>
    <mergeCell ref="L72:M72"/>
    <mergeCell ref="A73:B73"/>
    <mergeCell ref="L73:M73"/>
    <mergeCell ref="A74:B74"/>
    <mergeCell ref="L74:M74"/>
    <mergeCell ref="A75:B75"/>
    <mergeCell ref="L75:M75"/>
    <mergeCell ref="A76:B76"/>
    <mergeCell ref="L76:M76"/>
    <mergeCell ref="A77:B77"/>
    <mergeCell ref="L77:M77"/>
    <mergeCell ref="A78:B78"/>
    <mergeCell ref="L78:M78"/>
    <mergeCell ref="A79:B79"/>
    <mergeCell ref="L79:M79"/>
    <mergeCell ref="A80:B80"/>
    <mergeCell ref="L80:M80"/>
    <mergeCell ref="A81:B81"/>
    <mergeCell ref="L81:M81"/>
    <mergeCell ref="A82:B82"/>
    <mergeCell ref="L82:M82"/>
    <mergeCell ref="A83:B83"/>
    <mergeCell ref="L83:M83"/>
    <mergeCell ref="A84:B84"/>
    <mergeCell ref="L84:M84"/>
    <mergeCell ref="A85:B85"/>
    <mergeCell ref="L85:M85"/>
    <mergeCell ref="A86:B86"/>
    <mergeCell ref="L86:M86"/>
    <mergeCell ref="A87:B87"/>
    <mergeCell ref="L87:M87"/>
    <mergeCell ref="A88:B88"/>
    <mergeCell ref="L88:M88"/>
    <mergeCell ref="A89:B89"/>
    <mergeCell ref="L89:M89"/>
    <mergeCell ref="A90:B90"/>
    <mergeCell ref="L90:M90"/>
    <mergeCell ref="A91:B91"/>
    <mergeCell ref="L91:M91"/>
    <mergeCell ref="A92:B92"/>
    <mergeCell ref="L92:M92"/>
    <mergeCell ref="A93:B93"/>
    <mergeCell ref="L93:M93"/>
    <mergeCell ref="A94:B94"/>
    <mergeCell ref="L94:M94"/>
    <mergeCell ref="A95:B95"/>
    <mergeCell ref="L95:M95"/>
    <mergeCell ref="A96:B96"/>
    <mergeCell ref="L96:M96"/>
    <mergeCell ref="A97:B97"/>
    <mergeCell ref="L97:M97"/>
    <mergeCell ref="A98:B98"/>
    <mergeCell ref="L98:M98"/>
    <mergeCell ref="A99:B99"/>
    <mergeCell ref="L99:M99"/>
    <mergeCell ref="A100:B100"/>
    <mergeCell ref="L100:M100"/>
    <mergeCell ref="A101:B101"/>
    <mergeCell ref="L101:M101"/>
    <mergeCell ref="A102:B102"/>
    <mergeCell ref="L102:M102"/>
    <mergeCell ref="A103:B103"/>
    <mergeCell ref="L103:M103"/>
    <mergeCell ref="A104:B104"/>
    <mergeCell ref="L104:M104"/>
    <mergeCell ref="A105:B105"/>
    <mergeCell ref="L105:M105"/>
    <mergeCell ref="A106:B106"/>
    <mergeCell ref="L106:M106"/>
    <mergeCell ref="A107:B107"/>
    <mergeCell ref="L107:M107"/>
    <mergeCell ref="A108:B108"/>
    <mergeCell ref="L108:M108"/>
    <mergeCell ref="A109:B109"/>
    <mergeCell ref="L109:M109"/>
    <mergeCell ref="A110:B110"/>
    <mergeCell ref="L110:M110"/>
    <mergeCell ref="A111:B111"/>
    <mergeCell ref="L111:M111"/>
    <mergeCell ref="A112:B112"/>
    <mergeCell ref="L112:M112"/>
    <mergeCell ref="A113:B113"/>
    <mergeCell ref="L113:M113"/>
    <mergeCell ref="A114:B114"/>
    <mergeCell ref="L114:M114"/>
    <mergeCell ref="A115:B115"/>
    <mergeCell ref="L115:M115"/>
    <mergeCell ref="A116:B116"/>
    <mergeCell ref="L116:M116"/>
    <mergeCell ref="A117:B117"/>
    <mergeCell ref="L117:M117"/>
    <mergeCell ref="A118:B118"/>
    <mergeCell ref="L118:M118"/>
    <mergeCell ref="A119:B119"/>
    <mergeCell ref="L119:M119"/>
    <mergeCell ref="A125:B125"/>
    <mergeCell ref="L125:M125"/>
    <mergeCell ref="A120:B120"/>
    <mergeCell ref="L120:M120"/>
    <mergeCell ref="A121:B121"/>
    <mergeCell ref="L121:M121"/>
    <mergeCell ref="A122:B122"/>
    <mergeCell ref="L122:M122"/>
    <mergeCell ref="A123:B123"/>
    <mergeCell ref="L123:M123"/>
    <mergeCell ref="A124:B124"/>
    <mergeCell ref="L124:M124"/>
  </mergeCells>
  <hyperlinks>
    <hyperlink ref="K8" r:id="rId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xr:uid="{37B908A4-90A8-42EA-A960-48D4B77113C7}"/>
    <hyperlink ref="L8" r:id="rId2" display="http://eiax-bi/ReportServer?%2FDynamicsAX%2FEIMI_SCP03_Detalles_Report.PrecisionDesign3PedidosNoRecibidos&amp;Dataset1_FechaInicio=01%2F01%2F2010%2000%3A00%3A00&amp;Dataset1_FechaTermino=08%2F31%2F2019%2000%3A00%3A00&amp;Dataset1_Proyecto=0357&amp;Dataset1_Categoria=&amp;Dataset1_Reporte=3&amp;rs%3AParameterLanguage=" xr:uid="{09918FAD-ECDF-4973-BC9E-E97AB5B9A826}"/>
    <hyperlink ref="K9" r:id="rId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0&amp;rs%3AParameterLanguage=" xr:uid="{1C39F7CF-3725-45F1-B3FD-91C8F874DAF3}"/>
    <hyperlink ref="L9" r:id="rId4" display="http://eiax-bi/ReportServer?%2FDynamicsAX%2FEIMI_SCP03_Detalles_Report.PrecisionDesign3PedidosNoRecibidos&amp;Dataset1_FechaInicio=01%2F01%2F2010%2000%3A00%3A00&amp;Dataset1_FechaTermino=08%2F31%2F2019%2000%3A00%3A00&amp;Dataset1_Proyecto=0357&amp;Dataset1_Categoria=0&amp;Dataset1_Reporte=3&amp;rs%3AParameterLanguage=" xr:uid="{85702C0F-EA83-44D8-8DF5-97BBDC569FF6}"/>
    <hyperlink ref="K10" r:id="rId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10100G&amp;rs%3AParameterLanguage=" xr:uid="{43F1CF7E-31E1-415A-9DBE-E1C537F91289}"/>
    <hyperlink ref="L10" r:id="rId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10100G&amp;Dataset1_Reporte=3&amp;rs%3AParameterLanguage=" xr:uid="{723A6F47-B834-4C18-9BA1-09ED0A5A1422}"/>
    <hyperlink ref="K11" r:id="rId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600G&amp;rs%3AParameterLanguage=" xr:uid="{B937C87D-3FE9-493A-9C88-2644DE747861}"/>
    <hyperlink ref="L11" r:id="rId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600G&amp;Dataset1_Reporte=3&amp;rs%3AParameterLanguage=" xr:uid="{FD10DE32-C1DB-4CF9-833E-6725573DFAAD}"/>
    <hyperlink ref="K12" r:id="rId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AA-799999G&amp;rs%3AParameterLanguage=" xr:uid="{74617233-1096-44EA-8D59-AE2DA46397DF}"/>
    <hyperlink ref="L12" r:id="rId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AA-799999G&amp;Dataset1_Reporte=3&amp;rs%3AParameterLanguage=" xr:uid="{A98C58A6-7A10-4F25-9868-D26D6653196D}"/>
    <hyperlink ref="K16" r:id="rId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100G&amp;rs%3AParameterLanguage=" xr:uid="{43AD4AF2-A081-4355-BC83-97604EE0FB94}"/>
    <hyperlink ref="L16" r:id="rId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100G&amp;Dataset1_Reporte=3&amp;rs%3AParameterLanguage=" xr:uid="{3D666578-0DBF-4050-B4B4-70A449E84518}"/>
    <hyperlink ref="K17" r:id="rId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200G&amp;rs%3AParameterLanguage=" xr:uid="{51C0218E-FC01-42F5-91AD-36B22B464EDD}"/>
    <hyperlink ref="L17" r:id="rId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200G&amp;Dataset1_Reporte=3&amp;rs%3AParameterLanguage=" xr:uid="{74CE72E1-921C-4361-99FD-7E764BEA94AE}"/>
    <hyperlink ref="K18" r:id="rId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300G&amp;rs%3AParameterLanguage=" xr:uid="{4A8D5D53-6257-495F-9872-281A08F1D3E4}"/>
    <hyperlink ref="L18" r:id="rId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300G&amp;Dataset1_Reporte=3&amp;rs%3AParameterLanguage=" xr:uid="{3B83712D-131B-4C24-83C8-566BC53C7425}"/>
    <hyperlink ref="K19" r:id="rId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400G&amp;rs%3AParameterLanguage=" xr:uid="{62F57AA6-C90C-415D-8608-63FD4DE22AFF}"/>
    <hyperlink ref="L19" r:id="rId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400G&amp;Dataset1_Reporte=3&amp;rs%3AParameterLanguage=" xr:uid="{1245B684-81C6-4346-88BE-B7E711978FD4}"/>
    <hyperlink ref="K20" r:id="rId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9900G&amp;rs%3AParameterLanguage=" xr:uid="{13AE3EF9-A3D7-4B5E-93D7-1770C72DEADE}"/>
    <hyperlink ref="L20" r:id="rId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9900G&amp;Dataset1_Reporte=3&amp;rs%3AParameterLanguage=" xr:uid="{587A56F8-A090-4757-8A34-C2E848F8F701}"/>
    <hyperlink ref="K22" r:id="rId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30800G&amp;rs%3AParameterLanguage=" xr:uid="{36189B13-F4E7-4742-B71D-6887A19F0AC9}"/>
    <hyperlink ref="L22" r:id="rId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30800G&amp;Dataset1_Reporte=3&amp;rs%3AParameterLanguage=" xr:uid="{7F9B3744-A39F-4F4C-B4AA-97AE400DF60B}"/>
    <hyperlink ref="K24" r:id="rId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40800G&amp;rs%3AParameterLanguage=" xr:uid="{AD85F16A-F843-48FA-83D7-82A15EAA75AB}"/>
    <hyperlink ref="L24" r:id="rId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40800G&amp;Dataset1_Reporte=3&amp;rs%3AParameterLanguage=" xr:uid="{2E241C01-0B60-4009-A18B-5F4934D9E07A}"/>
    <hyperlink ref="K26" r:id="rId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50800G&amp;rs%3AParameterLanguage=" xr:uid="{51FDC5F9-3A1F-421A-AC6F-51A0E004B4D2}"/>
    <hyperlink ref="L26" r:id="rId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50800G&amp;Dataset1_Reporte=3&amp;rs%3AParameterLanguage=" xr:uid="{F13C03C2-E3A3-4959-B61F-46C29A266EB7}"/>
    <hyperlink ref="K28" r:id="rId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500G&amp;rs%3AParameterLanguage=" xr:uid="{50A545AA-26E7-46B0-8542-3656923F658B}"/>
    <hyperlink ref="L28" r:id="rId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500G&amp;Dataset1_Reporte=3&amp;rs%3AParameterLanguage=" xr:uid="{7BB19D10-BEBF-4549-9E18-C433C599C1F6}"/>
    <hyperlink ref="K31" r:id="rId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A&amp;rs%3AParameterLanguage=" xr:uid="{98369E93-7700-4F99-A510-A1604A8FD15C}"/>
    <hyperlink ref="L31" r:id="rId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201A&amp;Dataset1_Reporte=3&amp;rs%3AParameterLanguage=" xr:uid="{0039DAD5-F320-4698-ACAB-AAAA30373F24}"/>
    <hyperlink ref="K32" r:id="rId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G&amp;rs%3AParameterLanguage=" xr:uid="{04E19A38-8ABE-4799-A242-5B7EA97B5659}"/>
    <hyperlink ref="L32" r:id="rId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201G&amp;Dataset1_Reporte=3&amp;rs%3AParameterLanguage=" xr:uid="{000C75B3-63A0-492E-A943-D877D7539B7F}"/>
    <hyperlink ref="K33" r:id="rId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A&amp;rs%3AParameterLanguage=" xr:uid="{3EC18BB2-1648-4921-9547-23809CE97072}"/>
    <hyperlink ref="L33" r:id="rId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301A&amp;Dataset1_Reporte=3&amp;rs%3AParameterLanguage=" xr:uid="{06771194-84AF-4930-B1AE-671F68D9A9A4}"/>
    <hyperlink ref="K34" r:id="rId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G&amp;rs%3AParameterLanguage=" xr:uid="{80A5633B-0691-4BD6-B7E3-8191C81BE284}"/>
    <hyperlink ref="L34" r:id="rId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301G&amp;Dataset1_Reporte=3&amp;rs%3AParameterLanguage=" xr:uid="{44C5D726-7339-490C-9431-AAA60930F9EF}"/>
    <hyperlink ref="K35" r:id="rId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A&amp;rs%3AParameterLanguage=" xr:uid="{D1D0ADD2-DA8A-4B10-8971-8BBE856DA361}"/>
    <hyperlink ref="L35" r:id="rId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401A&amp;Dataset1_Reporte=3&amp;rs%3AParameterLanguage=" xr:uid="{2E01892A-8076-481C-90A9-A8651C67E3F7}"/>
    <hyperlink ref="K36" r:id="rId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G&amp;rs%3AParameterLanguage=" xr:uid="{7C128A3C-C0E4-41E2-A532-61ED191F331D}"/>
    <hyperlink ref="L36" r:id="rId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401G&amp;Dataset1_Reporte=3&amp;rs%3AParameterLanguage=" xr:uid="{6479F188-55C9-4015-B4FE-9BBDBFFE768D}"/>
    <hyperlink ref="K37" r:id="rId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A&amp;rs%3AParameterLanguage=" xr:uid="{6D880ED0-DAD9-4ED3-AF93-333F06DE213D}"/>
    <hyperlink ref="L37" r:id="rId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501A&amp;Dataset1_Reporte=3&amp;rs%3AParameterLanguage=" xr:uid="{D380A82D-E005-44E3-A299-E7ED6D59FEF6}"/>
    <hyperlink ref="K38" r:id="rId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G&amp;rs%3AParameterLanguage=" xr:uid="{7D62E225-6EC0-40CE-A52B-9149C13E67A4}"/>
    <hyperlink ref="L38" r:id="rId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501G&amp;Dataset1_Reporte=3&amp;rs%3AParameterLanguage=" xr:uid="{16C57A5F-4AC5-429C-B941-F009C7F68839}"/>
    <hyperlink ref="K39" r:id="rId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A&amp;rs%3AParameterLanguage=" xr:uid="{FE901890-3977-494F-883F-E46F8A15D0B7}"/>
    <hyperlink ref="L39" r:id="rId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1101A&amp;Dataset1_Reporte=3&amp;rs%3AParameterLanguage=" xr:uid="{85C57814-0ADC-4848-A1D1-9137E219DA16}"/>
    <hyperlink ref="K40" r:id="rId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G&amp;rs%3AParameterLanguage=" xr:uid="{AC283AF5-B0F8-43CB-B403-5E8C16C07C1F}"/>
    <hyperlink ref="L40" r:id="rId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1101G&amp;Dataset1_Reporte=3&amp;rs%3AParameterLanguage=" xr:uid="{6CA2F1DD-32FB-4848-8112-F82CB3536285}"/>
    <hyperlink ref="K41" r:id="rId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A&amp;rs%3AParameterLanguage=" xr:uid="{67995402-EC27-43BE-A9FA-AEE14ED4531E}"/>
    <hyperlink ref="L41" r:id="rId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9901A&amp;Dataset1_Reporte=3&amp;rs%3AParameterLanguage=" xr:uid="{EA509C8B-2AFB-4F43-8BC1-4DC060615A51}"/>
    <hyperlink ref="K42" r:id="rId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G&amp;rs%3AParameterLanguage=" xr:uid="{6BC175FC-06B6-41AF-973B-7D71878C2C82}"/>
    <hyperlink ref="L42" r:id="rId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9901G&amp;Dataset1_Reporte=3&amp;rs%3AParameterLanguage=" xr:uid="{17F50842-C66C-42F6-913B-BDE5519E77F2}"/>
    <hyperlink ref="K44" r:id="rId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A&amp;rs%3AParameterLanguage=" xr:uid="{9798864E-F154-4D9C-9B6D-D08077237E3C}"/>
    <hyperlink ref="L44" r:id="rId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1401A&amp;Dataset1_Reporte=3&amp;rs%3AParameterLanguage=" xr:uid="{08E8E7BE-4F0D-43F0-80BD-C1061841DB63}"/>
    <hyperlink ref="K45" r:id="rId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G&amp;rs%3AParameterLanguage=" xr:uid="{FFA169F4-F94C-4E48-8DB7-BDF5FC4CA3ED}"/>
    <hyperlink ref="L45" r:id="rId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1401G&amp;Dataset1_Reporte=3&amp;rs%3AParameterLanguage=" xr:uid="{6891D58E-7DFC-4329-9248-28EFBE7A5806}"/>
    <hyperlink ref="K46" r:id="rId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A&amp;rs%3AParameterLanguage=" xr:uid="{FBCDC2E7-3BEC-45BE-8BFF-FFABA9DBD52B}"/>
    <hyperlink ref="L46" r:id="rId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9901A&amp;Dataset1_Reporte=3&amp;rs%3AParameterLanguage=" xr:uid="{95648995-1635-4C13-9363-1470ABFDCA4B}"/>
    <hyperlink ref="K47" r:id="rId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G&amp;rs%3AParameterLanguage=" xr:uid="{EA0C176C-9FB8-49BD-89D8-319BB9B02B36}"/>
    <hyperlink ref="L47" r:id="rId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9901G&amp;Dataset1_Reporte=3&amp;rs%3AParameterLanguage=" xr:uid="{E9219541-FA4E-489B-8E0D-FDE2834E2DE7}"/>
    <hyperlink ref="K49" r:id="rId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A&amp;rs%3AParameterLanguage=" xr:uid="{6C8B1C56-6AA6-4A30-B1EE-31109E2B7850}"/>
    <hyperlink ref="L49" r:id="rId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1401A&amp;Dataset1_Reporte=3&amp;rs%3AParameterLanguage=" xr:uid="{1F96F7CC-7345-44CA-947A-E2CE446322CA}"/>
    <hyperlink ref="K50" r:id="rId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G&amp;rs%3AParameterLanguage=" xr:uid="{0E18D6E1-686F-471A-A29F-8E77D2747AAE}"/>
    <hyperlink ref="L50" r:id="rId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1401G&amp;Dataset1_Reporte=3&amp;rs%3AParameterLanguage=" xr:uid="{ED9026B7-C68C-4ABC-919F-82320321B695}"/>
    <hyperlink ref="K51" r:id="rId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A&amp;rs%3AParameterLanguage=" xr:uid="{85A2ED20-5FDF-44D3-A473-7BAFBE3CD650}"/>
    <hyperlink ref="L51" r:id="rId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2001A&amp;Dataset1_Reporte=3&amp;rs%3AParameterLanguage=" xr:uid="{110C1273-FEFE-49FE-A78D-DBD1A875D85E}"/>
    <hyperlink ref="K52" r:id="rId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G&amp;rs%3AParameterLanguage=" xr:uid="{0A84BABE-B421-44C9-AC2C-B71687ADBB34}"/>
    <hyperlink ref="L52" r:id="rId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2001G&amp;Dataset1_Reporte=3&amp;rs%3AParameterLanguage=" xr:uid="{B1AB986F-82F9-4561-B16D-5C5786E0EC7D}"/>
    <hyperlink ref="K53" r:id="rId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A&amp;rs%3AParameterLanguage=" xr:uid="{87164A44-1418-44C8-BC9E-417B5BBE8019}"/>
    <hyperlink ref="L53" r:id="rId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9901A&amp;Dataset1_Reporte=3&amp;rs%3AParameterLanguage=" xr:uid="{C218747E-5BC3-46C8-8BBF-058345AB80BB}"/>
    <hyperlink ref="K54" r:id="rId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G&amp;rs%3AParameterLanguage=" xr:uid="{4843F75D-731F-4334-AF52-E91C2DBCCC8B}"/>
    <hyperlink ref="L54" r:id="rId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9901G&amp;Dataset1_Reporte=3&amp;rs%3AParameterLanguage=" xr:uid="{C64ABB5D-18B0-415B-9AC0-C555D3FD995A}"/>
    <hyperlink ref="K56" r:id="rId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A&amp;rs%3AParameterLanguage=" xr:uid="{5BD658FF-2DC5-4ACF-B20D-B877EBCF93B5}"/>
    <hyperlink ref="L56" r:id="rId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1801A&amp;Dataset1_Reporte=3&amp;rs%3AParameterLanguage=" xr:uid="{ABDF24BC-C5EB-427D-89E4-3F7BB1253786}"/>
    <hyperlink ref="K57" r:id="rId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G&amp;rs%3AParameterLanguage=" xr:uid="{994A5DC9-143E-4264-8D0D-F9D2BAB9E8E9}"/>
    <hyperlink ref="L57" r:id="rId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1801G&amp;Dataset1_Reporte=3&amp;rs%3AParameterLanguage=" xr:uid="{16896FC2-3B99-42F7-927D-EB5DC507D46E}"/>
    <hyperlink ref="K58" r:id="rId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A&amp;rs%3AParameterLanguage=" xr:uid="{E0D9ED14-4E4A-4CC4-81BE-C0EF227BCC34}"/>
    <hyperlink ref="L58" r:id="rId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2101A&amp;Dataset1_Reporte=3&amp;rs%3AParameterLanguage=" xr:uid="{793E1BA9-0107-492B-99FA-8E17D7A86DFD}"/>
    <hyperlink ref="K59" r:id="rId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G&amp;rs%3AParameterLanguage=" xr:uid="{F89278B5-8C93-4796-A947-2B0E7FD0DD57}"/>
    <hyperlink ref="L59" r:id="rId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2101G&amp;Dataset1_Reporte=3&amp;rs%3AParameterLanguage=" xr:uid="{1181AB6A-7400-4B19-9D0A-56BCC0AFD2BB}"/>
    <hyperlink ref="K60" r:id="rId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A&amp;rs%3AParameterLanguage=" xr:uid="{389CEE2F-6868-472F-AFB6-EBD96155C656}"/>
    <hyperlink ref="L60" r:id="rId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9901A&amp;Dataset1_Reporte=3&amp;rs%3AParameterLanguage=" xr:uid="{3225242F-CE05-41E0-9395-22B44F3D9D10}"/>
    <hyperlink ref="K61" r:id="rId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G&amp;rs%3AParameterLanguage=" xr:uid="{7DAB1D2E-2177-47D6-8547-A7E4B5778DAD}"/>
    <hyperlink ref="L61" r:id="rId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9901G&amp;Dataset1_Reporte=3&amp;rs%3AParameterLanguage=" xr:uid="{BB64A1C4-85AC-4924-94E7-44BCE75091CF}"/>
    <hyperlink ref="K64" r:id="rId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A&amp;rs%3AParameterLanguage=" xr:uid="{1A76C0B8-983A-4E6B-8E30-D708340FEF6C}"/>
    <hyperlink ref="L64" r:id="rId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40100A&amp;Dataset1_Reporte=3&amp;rs%3AParameterLanguage=" xr:uid="{4C08EAA1-A925-4E85-BE84-2CE0636F0A81}"/>
    <hyperlink ref="K65" r:id="rId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G&amp;rs%3AParameterLanguage=" xr:uid="{1EBCFD24-12BB-4C4F-B6AE-D5FFC5B765D5}"/>
    <hyperlink ref="L65" r:id="rId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40100G&amp;Dataset1_Reporte=3&amp;rs%3AParameterLanguage=" xr:uid="{45685A2A-EF6D-44EB-9DC3-163DDA251BBC}"/>
    <hyperlink ref="K67" r:id="rId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A&amp;rs%3AParameterLanguage=" xr:uid="{F318EB0F-FCA1-4A05-81E3-57BCD0FE1DB3}"/>
    <hyperlink ref="L67" r:id="rId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50100A&amp;Dataset1_Reporte=3&amp;rs%3AParameterLanguage=" xr:uid="{8362678C-1A39-41E7-BE40-318902927610}"/>
    <hyperlink ref="K68" r:id="rId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G&amp;rs%3AParameterLanguage=" xr:uid="{349A06E7-DD88-4BAC-80A0-3B729EACCAF1}"/>
    <hyperlink ref="L68" r:id="rId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50100G&amp;Dataset1_Reporte=3&amp;rs%3AParameterLanguage=" xr:uid="{2C5F42F3-A3A3-4101-AFA6-43D0E2145138}"/>
    <hyperlink ref="K70" r:id="rId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A&amp;rs%3AParameterLanguage=" xr:uid="{EB50C7D0-A67B-47D5-8990-0A42C0488502}"/>
    <hyperlink ref="L70" r:id="rId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010A&amp;Dataset1_Reporte=3&amp;rs%3AParameterLanguage=" xr:uid="{9FEA37BA-399E-44E4-9FA7-1CB9D8F74C68}"/>
    <hyperlink ref="K71" r:id="rId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G&amp;rs%3AParameterLanguage=" xr:uid="{93692B8E-A1F2-449A-861C-5565220F6C51}"/>
    <hyperlink ref="L71" r:id="rId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010G&amp;Dataset1_Reporte=3&amp;rs%3AParameterLanguage=" xr:uid="{457395DD-6220-48E3-BB15-26732169E579}"/>
    <hyperlink ref="K73" r:id="rId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A&amp;rs%3AParameterLanguage=" xr:uid="{292AFE19-EACB-402D-ACE4-1C0F03FD171C}"/>
    <hyperlink ref="L73" r:id="rId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10100A&amp;Dataset1_Reporte=3&amp;rs%3AParameterLanguage=" xr:uid="{9011945C-01E8-474E-9EBF-C3657BA9F085}"/>
    <hyperlink ref="K74" r:id="rId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G&amp;rs%3AParameterLanguage=" xr:uid="{77DD1EEC-4397-48C5-A9B8-CC69ECEE97F7}"/>
    <hyperlink ref="L74" r:id="rId1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10100G&amp;Dataset1_Reporte=3&amp;rs%3AParameterLanguage=" xr:uid="{2790BB58-E8A9-4738-B297-B8504D0CF0FC}"/>
    <hyperlink ref="K76" r:id="rId1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A&amp;rs%3AParameterLanguage=" xr:uid="{5EC0E984-F09E-4EA4-9285-DC2E4B992738}"/>
    <hyperlink ref="L76" r:id="rId1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20100A&amp;Dataset1_Reporte=3&amp;rs%3AParameterLanguage=" xr:uid="{A947537B-41F1-4F78-A45D-98797EA23BEB}"/>
    <hyperlink ref="K77" r:id="rId1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G&amp;rs%3AParameterLanguage=" xr:uid="{7411BB11-9347-4EFA-97BE-7CEB9D0DB72E}"/>
    <hyperlink ref="L77" r:id="rId1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20100G&amp;Dataset1_Reporte=3&amp;rs%3AParameterLanguage=" xr:uid="{2AA8D69F-A206-4317-8335-F09EF93F3F8D}"/>
    <hyperlink ref="K79" r:id="rId1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A&amp;rs%3AParameterLanguage=" xr:uid="{D30D7D25-90A7-4D4D-B1EA-D7A54F5017D2}"/>
    <hyperlink ref="L79" r:id="rId1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30100A&amp;Dataset1_Reporte=3&amp;rs%3AParameterLanguage=" xr:uid="{76D51F8C-7570-412F-8BE6-D2D99BCB2D3A}"/>
    <hyperlink ref="K80" r:id="rId1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G&amp;rs%3AParameterLanguage=" xr:uid="{DEF7AF4C-C47B-4DD0-811A-4FE385FCF580}"/>
    <hyperlink ref="L80" r:id="rId1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30100G&amp;Dataset1_Reporte=3&amp;rs%3AParameterLanguage=" xr:uid="{022DBEF8-51C6-44CF-84E7-0A8450A3FDBA}"/>
    <hyperlink ref="K83" r:id="rId1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A&amp;rs%3AParameterLanguage=" xr:uid="{FB1ED5EA-579B-4C6E-8C59-507827C00BBE}"/>
    <hyperlink ref="L83" r:id="rId1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1200A&amp;Dataset1_Reporte=3&amp;rs%3AParameterLanguage=" xr:uid="{25569E24-7122-481C-B601-68FD3EFE32C6}"/>
    <hyperlink ref="K84" r:id="rId1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G&amp;rs%3AParameterLanguage=" xr:uid="{B8D2FF77-C0BC-4FF8-BA1B-041A8DE328AF}"/>
    <hyperlink ref="L84" r:id="rId1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1200G&amp;Dataset1_Reporte=3&amp;rs%3AParameterLanguage=" xr:uid="{4D66A983-35F3-4F1E-9187-CC2D4EE3F76D}"/>
    <hyperlink ref="K86" r:id="rId1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100A&amp;rs%3AParameterLanguage=" xr:uid="{4B4A7F4C-07C8-4049-A180-67C757DAE6C4}"/>
    <hyperlink ref="L86" r:id="rId1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100A&amp;Dataset1_Reporte=3&amp;rs%3AParameterLanguage=" xr:uid="{E1AEBB00-3D1D-4C47-BD45-4D693763232A}"/>
    <hyperlink ref="K87" r:id="rId1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A&amp;rs%3AParameterLanguage=" xr:uid="{86D5306A-4670-4D56-9D2B-76C6B5259834}"/>
    <hyperlink ref="L87" r:id="rId1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200A&amp;Dataset1_Reporte=3&amp;rs%3AParameterLanguage=" xr:uid="{987863DE-388F-497C-8B10-58D1F9822BFD}"/>
    <hyperlink ref="K88" r:id="rId1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G&amp;rs%3AParameterLanguage=" xr:uid="{6895D312-0DB5-4650-AFA6-36A876F359A4}"/>
    <hyperlink ref="L88" r:id="rId1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200G&amp;Dataset1_Reporte=3&amp;rs%3AParameterLanguage=" xr:uid="{48EE6F52-EF0A-4865-9F78-717578904EA3}"/>
    <hyperlink ref="K89" r:id="rId1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A&amp;rs%3AParameterLanguage=" xr:uid="{1AA2B01C-0B56-4681-84A8-4641ECF34AF9}"/>
    <hyperlink ref="L89" r:id="rId1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3200A&amp;Dataset1_Reporte=3&amp;rs%3AParameterLanguage=" xr:uid="{DE567223-E1FD-4943-A3DE-77F40A2FCA00}"/>
    <hyperlink ref="K90" r:id="rId1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G&amp;rs%3AParameterLanguage=" xr:uid="{2D094F54-6C61-4B4E-8182-3352FCAABC53}"/>
    <hyperlink ref="L90" r:id="rId1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3200G&amp;Dataset1_Reporte=3&amp;rs%3AParameterLanguage=" xr:uid="{172AD24F-97DE-4D2F-9D32-6E7395A2D29B}"/>
    <hyperlink ref="K91" r:id="rId1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A&amp;rs%3AParameterLanguage=" xr:uid="{3C6256D5-1E4B-4E6F-97E6-9B1A2781D121}"/>
    <hyperlink ref="L91" r:id="rId1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4200A&amp;Dataset1_Reporte=3&amp;rs%3AParameterLanguage=" xr:uid="{DBDAA40A-F17A-4351-BC9C-62F822E04439}"/>
    <hyperlink ref="K92" r:id="rId1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G&amp;rs%3AParameterLanguage=" xr:uid="{4727080E-923F-42DD-9EFB-B4C58FA818AD}"/>
    <hyperlink ref="L92" r:id="rId1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4200G&amp;Dataset1_Reporte=3&amp;rs%3AParameterLanguage=" xr:uid="{C2FE2DE3-C1FD-4F63-BD1A-D2B52D8B5564}"/>
    <hyperlink ref="K93" r:id="rId1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A&amp;rs%3AParameterLanguage=" xr:uid="{83FF4A4C-E6BD-4DA3-A44A-1487B593F98A}"/>
    <hyperlink ref="L93" r:id="rId1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5200A&amp;Dataset1_Reporte=3&amp;rs%3AParameterLanguage=" xr:uid="{47982A0F-ED70-4719-9CE2-14C78BEA4D41}"/>
    <hyperlink ref="K94" r:id="rId1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G&amp;rs%3AParameterLanguage=" xr:uid="{F39CF961-14BD-4BB3-8A3B-695185310788}"/>
    <hyperlink ref="L94" r:id="rId1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5200G&amp;Dataset1_Reporte=3&amp;rs%3AParameterLanguage=" xr:uid="{09007DCA-EB0B-4109-B151-242689D9EC6B}"/>
    <hyperlink ref="K95" r:id="rId1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A&amp;rs%3AParameterLanguage=" xr:uid="{6660764C-741B-4186-AE02-E47E1327F0E4}"/>
    <hyperlink ref="L95" r:id="rId1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6200A&amp;Dataset1_Reporte=3&amp;rs%3AParameterLanguage=" xr:uid="{937EE043-805F-4C5C-BE00-3F32E646A245}"/>
    <hyperlink ref="K96" r:id="rId1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G&amp;rs%3AParameterLanguage=" xr:uid="{7DBFA78B-50D8-49BE-B0A6-A37EC439AE67}"/>
    <hyperlink ref="L96" r:id="rId1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6200G&amp;Dataset1_Reporte=3&amp;rs%3AParameterLanguage=" xr:uid="{0183496D-7AE7-401A-B1A8-BEBDB67C58A6}"/>
    <hyperlink ref="K97" r:id="rId1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A&amp;rs%3AParameterLanguage=" xr:uid="{048C4DC0-FFFE-46ED-9D04-D73B6E63722D}"/>
    <hyperlink ref="L97" r:id="rId1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7200A&amp;Dataset1_Reporte=3&amp;rs%3AParameterLanguage=" xr:uid="{4F8D64E7-74D8-438B-A313-8233F3103409}"/>
    <hyperlink ref="K98" r:id="rId1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G&amp;rs%3AParameterLanguage=" xr:uid="{166E2A6E-9053-41E1-B746-A9C0BCEE9BF9}"/>
    <hyperlink ref="L98" r:id="rId1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7200G&amp;Dataset1_Reporte=3&amp;rs%3AParameterLanguage=" xr:uid="{AC662109-8BE9-40F2-94A9-4FAC7041EF94}"/>
    <hyperlink ref="K99" r:id="rId1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A&amp;rs%3AParameterLanguage=" xr:uid="{98C93FC9-FE9D-46F6-B0C6-F7B3036CA379}"/>
    <hyperlink ref="L99" r:id="rId1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100A&amp;Dataset1_Reporte=3&amp;rs%3AParameterLanguage=" xr:uid="{05BD5F16-33E3-4670-83AE-ECD86A873DA0}"/>
    <hyperlink ref="K100" r:id="rId1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G&amp;rs%3AParameterLanguage=" xr:uid="{03CBF1A4-665B-4E9A-9A46-1871B7164C39}"/>
    <hyperlink ref="L100" r:id="rId1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100G&amp;Dataset1_Reporte=3&amp;rs%3AParameterLanguage=" xr:uid="{5AE71946-2862-4F5C-A9D2-C131FC7DAB19}"/>
    <hyperlink ref="K101" r:id="rId1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A&amp;rs%3AParameterLanguage=" xr:uid="{C452DAE4-49AB-4718-9005-6C7CC57A3DBD}"/>
    <hyperlink ref="L101" r:id="rId1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200A&amp;Dataset1_Reporte=3&amp;rs%3AParameterLanguage=" xr:uid="{17EE576E-3CC6-44AA-9A45-1D37E1131C10}"/>
    <hyperlink ref="K102" r:id="rId1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G&amp;rs%3AParameterLanguage=" xr:uid="{0EA91AD6-2DA8-4BFA-8C20-A1AED466696E}"/>
    <hyperlink ref="L102" r:id="rId1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200G&amp;Dataset1_Reporte=3&amp;rs%3AParameterLanguage=" xr:uid="{9505DB5E-A384-42FF-B799-6182FD43ECEF}"/>
    <hyperlink ref="K104" r:id="rId1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A&amp;rs%3AParameterLanguage=" xr:uid="{898DBA92-72C8-4306-8404-EA0863E4BF66}"/>
    <hyperlink ref="L104" r:id="rId1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0200A&amp;Dataset1_Reporte=3&amp;rs%3AParameterLanguage=" xr:uid="{7D7E56C1-AD78-4A05-A95B-849C77772521}"/>
    <hyperlink ref="K105" r:id="rId1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G&amp;rs%3AParameterLanguage=" xr:uid="{ED24E3D2-7CFF-49BE-BE10-1F0CA85BC537}"/>
    <hyperlink ref="L105" r:id="rId1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0200G&amp;Dataset1_Reporte=3&amp;rs%3AParameterLanguage=" xr:uid="{E9229A53-DDD6-4F47-BC7D-EDA7E20AE814}"/>
    <hyperlink ref="K106" r:id="rId1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A&amp;rs%3AParameterLanguage=" xr:uid="{5F29495E-4AC2-4577-B04E-036082B9B220}"/>
    <hyperlink ref="L106" r:id="rId1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99200A&amp;Dataset1_Reporte=3&amp;rs%3AParameterLanguage=" xr:uid="{ABB78E8D-1350-45B2-91A2-40D257749928}"/>
    <hyperlink ref="K107" r:id="rId1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G&amp;rs%3AParameterLanguage=" xr:uid="{D43B870F-EC37-4187-8863-33DB2FDB37B9}"/>
    <hyperlink ref="L107" r:id="rId1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99200G&amp;Dataset1_Reporte=3&amp;rs%3AParameterLanguage=" xr:uid="{27357AAD-4F7E-4AAE-AE73-F065868B473E}"/>
    <hyperlink ref="K109" r:id="rId1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A&amp;rs%3AParameterLanguage=" xr:uid="{1EB303C0-D3FB-4C30-B7E5-60C2E1344B78}"/>
    <hyperlink ref="L109" r:id="rId1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2200A&amp;Dataset1_Reporte=3&amp;rs%3AParameterLanguage=" xr:uid="{84448346-7A2F-49F1-845A-71F20944C916}"/>
    <hyperlink ref="K110" r:id="rId1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G&amp;rs%3AParameterLanguage=" xr:uid="{68B5CBD2-E872-4BB5-9C78-BF81578A03A3}"/>
    <hyperlink ref="L110" r:id="rId1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2200G&amp;Dataset1_Reporte=3&amp;rs%3AParameterLanguage=" xr:uid="{A09769F0-D9F9-4B52-BBF9-6EFE07B6396C}"/>
    <hyperlink ref="K112" r:id="rId1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A&amp;rs%3AParameterLanguage=" xr:uid="{BFC34469-2F06-4F5D-8FAA-6CA3380003AA}"/>
    <hyperlink ref="L112" r:id="rId1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397100A&amp;Dataset1_Reporte=3&amp;rs%3AParameterLanguage=" xr:uid="{F2B7816C-2D48-4A9F-9E9E-FCA3B3B2A466}"/>
    <hyperlink ref="K113" r:id="rId1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G&amp;rs%3AParameterLanguage=" xr:uid="{8D21CCA8-DEEE-4EE1-9044-DA46A18C8DAB}"/>
    <hyperlink ref="L113" r:id="rId1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397100G&amp;Dataset1_Reporte=3&amp;rs%3AParameterLanguage=" xr:uid="{24B4B172-9B78-4744-84C3-981DB1954EC7}"/>
    <hyperlink ref="K115" r:id="rId1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A&amp;rs%3AParameterLanguage=" xr:uid="{0621712C-5FD3-4F5D-B0AE-19CCBEA2C691}"/>
    <hyperlink ref="L115" r:id="rId1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495100A&amp;Dataset1_Reporte=3&amp;rs%3AParameterLanguage=" xr:uid="{C01E7C98-6503-4CFC-91F9-B0381F904763}"/>
    <hyperlink ref="K116" r:id="rId1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G&amp;rs%3AParameterLanguage=" xr:uid="{61DDF911-1E98-4D72-8462-48EB83EE0074}"/>
    <hyperlink ref="L116" r:id="rId1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495100G&amp;Dataset1_Reporte=3&amp;rs%3AParameterLanguage=" xr:uid="{580AECAD-F3E6-49C8-A488-58AD51136106}"/>
    <hyperlink ref="K118" r:id="rId1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1G&amp;rs%3AParameterLanguage=" xr:uid="{C609DBDD-17DC-4A50-A2D6-8964ECA36603}"/>
    <hyperlink ref="L118" r:id="rId1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20101G&amp;Dataset1_Reporte=3&amp;rs%3AParameterLanguage=" xr:uid="{ABA546BA-393B-47A8-B747-583D4321089A}"/>
    <hyperlink ref="K119" r:id="rId1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2G&amp;rs%3AParameterLanguage=" xr:uid="{080A71C2-D057-4425-B705-E61A16975802}"/>
    <hyperlink ref="L119" r:id="rId1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20102G&amp;Dataset1_Reporte=3&amp;rs%3AParameterLanguage=" xr:uid="{DAAAD0A9-9AC3-4DFC-84DE-B932860930FE}"/>
    <hyperlink ref="K122" r:id="rId1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A&amp;rs%3AParameterLanguage=" xr:uid="{DACA7DFF-2470-4022-B03D-71D4108CC34B}"/>
    <hyperlink ref="L122" r:id="rId1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13300A&amp;Dataset1_Reporte=3&amp;rs%3AParameterLanguage=" xr:uid="{E39EE1FB-FC79-4CB9-B18B-8347696F8064}"/>
    <hyperlink ref="K123" r:id="rId1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G&amp;rs%3AParameterLanguage=" xr:uid="{FB96F822-8366-4438-8E59-A747E7464285}"/>
    <hyperlink ref="L123" r:id="rId1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13300G&amp;Dataset1_Reporte=3&amp;rs%3AParameterLanguage=" xr:uid="{3B78EE4A-AF49-43BD-A93D-A674D81044D1}"/>
    <hyperlink ref="K125" r:id="rId1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A&amp;rs%3AParameterLanguage=" xr:uid="{52FC7421-8F6C-41BC-A647-14D4BF5EBDDF}"/>
    <hyperlink ref="L125" r:id="rId1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3900A&amp;Dataset1_Reporte=3&amp;rs%3AParameterLanguage=" xr:uid="{6BBDECD9-BC7A-4234-8F19-39D460282D70}"/>
    <hyperlink ref="K126" r:id="rId1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G&amp;rs%3AParameterLanguage=" xr:uid="{31F0413E-9F70-45CE-AED3-27A934AAD783}"/>
    <hyperlink ref="L126" r:id="rId1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3900G&amp;Dataset1_Reporte=3&amp;rs%3AParameterLanguage=" xr:uid="{E366DA66-97E4-4F0A-9B6F-EDBF671F0026}"/>
    <hyperlink ref="K127" r:id="rId1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A&amp;rs%3AParameterLanguage=" xr:uid="{15E21E69-9A55-454C-93AC-00ED631F246B}"/>
    <hyperlink ref="L127" r:id="rId1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000A&amp;Dataset1_Reporte=3&amp;rs%3AParameterLanguage=" xr:uid="{134C71B3-1BA3-46A1-8CB3-DD0D1522AAD3}"/>
    <hyperlink ref="K128" r:id="rId1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G&amp;rs%3AParameterLanguage=" xr:uid="{35A7E0DA-8C4D-4118-A455-796A1242598E}"/>
    <hyperlink ref="L128" r:id="rId1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000G&amp;Dataset1_Reporte=3&amp;rs%3AParameterLanguage=" xr:uid="{F17B066F-30D1-4F1C-8856-F0116668DB24}"/>
    <hyperlink ref="K129" r:id="rId1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A&amp;rs%3AParameterLanguage=" xr:uid="{B1ECADE1-CDB2-42D4-A930-BCF9815EC154}"/>
    <hyperlink ref="L129" r:id="rId1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300A&amp;Dataset1_Reporte=3&amp;rs%3AParameterLanguage=" xr:uid="{94969642-E1B4-48B7-8E8A-A57D19646AE2}"/>
    <hyperlink ref="K130" r:id="rId1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G&amp;rs%3AParameterLanguage=" xr:uid="{0FCF12B4-937E-4311-AB89-07C7BE14F882}"/>
    <hyperlink ref="L130" r:id="rId1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300G&amp;Dataset1_Reporte=3&amp;rs%3AParameterLanguage=" xr:uid="{D55E0A15-B0BD-48E8-BC4D-90DA50004FFF}"/>
    <hyperlink ref="K131" r:id="rId1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A&amp;rs%3AParameterLanguage=" xr:uid="{DEF16EF2-7B50-475B-B1A0-3099B9418851}"/>
    <hyperlink ref="L131" r:id="rId1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9900A&amp;Dataset1_Reporte=3&amp;rs%3AParameterLanguage=" xr:uid="{FE6F8F8B-62A7-4F2E-9B24-A79E11476DC1}"/>
    <hyperlink ref="K132" r:id="rId1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G&amp;rs%3AParameterLanguage=" xr:uid="{51FFE314-70C3-465A-8DFC-85CAAC71B80F}"/>
    <hyperlink ref="L132" r:id="rId1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9900G&amp;Dataset1_Reporte=3&amp;rs%3AParameterLanguage=" xr:uid="{57DA5692-6AF3-4D44-8422-B9900DFA9D8C}"/>
    <hyperlink ref="K134" r:id="rId1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A&amp;rs%3AParameterLanguage=" xr:uid="{7612F442-4143-412E-B846-A7537A9B55C6}"/>
    <hyperlink ref="L134" r:id="rId1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4600A&amp;Dataset1_Reporte=3&amp;rs%3AParameterLanguage=" xr:uid="{533047CF-690F-4455-BDCC-A444F1AAA265}"/>
    <hyperlink ref="K135" r:id="rId1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G&amp;rs%3AParameterLanguage=" xr:uid="{FF25176F-0E12-495F-BF99-786FA97BE327}"/>
    <hyperlink ref="L135" r:id="rId1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4600G&amp;Dataset1_Reporte=3&amp;rs%3AParameterLanguage=" xr:uid="{9226C307-E372-4F8F-ABA0-8F7B0CD44E0C}"/>
    <hyperlink ref="K136" r:id="rId1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A&amp;rs%3AParameterLanguage=" xr:uid="{1B53E21C-DE76-457A-B293-C8D0BAA3E823}"/>
    <hyperlink ref="L136" r:id="rId1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5100A&amp;Dataset1_Reporte=3&amp;rs%3AParameterLanguage=" xr:uid="{FEC7423E-A00B-436D-A024-647A3CB73AAC}"/>
    <hyperlink ref="K137" r:id="rId1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G&amp;rs%3AParameterLanguage=" xr:uid="{B7B2181D-DD76-443F-876B-1E3A87C5ACF6}"/>
    <hyperlink ref="L137" r:id="rId1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5100G&amp;Dataset1_Reporte=3&amp;rs%3AParameterLanguage=" xr:uid="{A37F89A3-4CF5-4BE1-9BB8-3DCD5B207723}"/>
    <hyperlink ref="K139" r:id="rId1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A&amp;rs%3AParameterLanguage=" xr:uid="{50430653-3D28-4F30-8872-D99EDDA8D01A}"/>
    <hyperlink ref="L139" r:id="rId2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300A&amp;Dataset1_Reporte=3&amp;rs%3AParameterLanguage=" xr:uid="{5D4043B9-6859-4752-B758-769704B14BC8}"/>
    <hyperlink ref="K140" r:id="rId2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G&amp;rs%3AParameterLanguage=" xr:uid="{2DD62633-2845-4B0A-90D2-B9153F6A0093}"/>
    <hyperlink ref="L140" r:id="rId2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300G&amp;Dataset1_Reporte=3&amp;rs%3AParameterLanguage=" xr:uid="{AFD997D6-6689-4036-AC9B-778A009D4507}"/>
    <hyperlink ref="K141" r:id="rId2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A&amp;rs%3AParameterLanguage=" xr:uid="{7D43BCB2-7730-483E-8BA5-C2F4E920A6B3}"/>
    <hyperlink ref="L141" r:id="rId2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400A&amp;Dataset1_Reporte=3&amp;rs%3AParameterLanguage=" xr:uid="{C5693AA4-8A78-43FD-B797-637D76DBBD01}"/>
    <hyperlink ref="K142" r:id="rId2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G&amp;rs%3AParameterLanguage=" xr:uid="{D414380F-1235-42F8-9216-348426179C28}"/>
    <hyperlink ref="L142" r:id="rId2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400G&amp;Dataset1_Reporte=3&amp;rs%3AParameterLanguage=" xr:uid="{8BCBC41B-F6E6-4767-A164-E1D792BC120A}"/>
    <hyperlink ref="K143" r:id="rId2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A&amp;rs%3AParameterLanguage=" xr:uid="{D49BE1BE-FDBB-4798-BE93-76D769F8B85E}"/>
    <hyperlink ref="L143" r:id="rId2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500A&amp;Dataset1_Reporte=3&amp;rs%3AParameterLanguage=" xr:uid="{EBBF13BD-EE0D-4D33-96F0-8D5B101E488B}"/>
    <hyperlink ref="K144" r:id="rId2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G&amp;rs%3AParameterLanguage=" xr:uid="{C1C55F76-BAF2-4001-95D1-2359240D972A}"/>
    <hyperlink ref="L144" r:id="rId2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500G&amp;Dataset1_Reporte=3&amp;rs%3AParameterLanguage=" xr:uid="{334AC659-FFC7-472E-B2AD-59526DE0D21A}"/>
    <hyperlink ref="K145" r:id="rId2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A&amp;rs%3AParameterLanguage=" xr:uid="{D898D6EF-5D1F-4591-801D-8A132CAB1F61}"/>
    <hyperlink ref="L145" r:id="rId2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9900A&amp;Dataset1_Reporte=3&amp;rs%3AParameterLanguage=" xr:uid="{99186B92-A616-4EB1-BBC8-9516951FCF11}"/>
    <hyperlink ref="K146" r:id="rId2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G&amp;rs%3AParameterLanguage=" xr:uid="{ECC94BC9-A7D5-42A6-9CDC-9FCBAA366209}"/>
    <hyperlink ref="L146" r:id="rId2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9900G&amp;Dataset1_Reporte=3&amp;rs%3AParameterLanguage=" xr:uid="{61267779-F47A-4F47-96FC-D5F4C8257A98}"/>
    <hyperlink ref="K147" r:id="rId2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A&amp;rs%3AParameterLanguage=" xr:uid="{B4C46506-F358-464F-970B-E3EF0546EE16}"/>
    <hyperlink ref="L147" r:id="rId2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700A&amp;Dataset1_Reporte=3&amp;rs%3AParameterLanguage=" xr:uid="{F536B69A-AA28-49BD-AECD-6F44C99E7B6A}"/>
    <hyperlink ref="K148" r:id="rId2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G&amp;rs%3AParameterLanguage=" xr:uid="{203263CF-F98C-4E49-A2DA-07A0F7D63995}"/>
    <hyperlink ref="L148" r:id="rId2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700G&amp;Dataset1_Reporte=3&amp;rs%3AParameterLanguage=" xr:uid="{2D2DF9F8-F488-461B-AC24-E4CC65E2BE23}"/>
    <hyperlink ref="K149" r:id="rId2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A&amp;rs%3AParameterLanguage=" xr:uid="{DA7DBA87-E4DB-49EE-8A42-DBDCD26D7DCA}"/>
    <hyperlink ref="L149" r:id="rId2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800A&amp;Dataset1_Reporte=3&amp;rs%3AParameterLanguage=" xr:uid="{9E7C5D7A-C1A9-46BF-9A33-46CAF8623855}"/>
    <hyperlink ref="K150" r:id="rId2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G&amp;rs%3AParameterLanguage=" xr:uid="{9905222B-5EE1-4059-9E9B-A0B55F66F650}"/>
    <hyperlink ref="L150" r:id="rId2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800G&amp;Dataset1_Reporte=3&amp;rs%3AParameterLanguage=" xr:uid="{8C35E5A3-BB73-4BE3-A8D7-F7AFD6AC9353}"/>
    <hyperlink ref="K152" r:id="rId2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A&amp;rs%3AParameterLanguage=" xr:uid="{EDA5CCFD-CF1F-414C-A859-708CD1F365A0}"/>
    <hyperlink ref="L152" r:id="rId2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70800A&amp;Dataset1_Reporte=3&amp;rs%3AParameterLanguage=" xr:uid="{95B5E4C7-4EC3-420B-B437-107B667138B7}"/>
    <hyperlink ref="K153" r:id="rId2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G&amp;rs%3AParameterLanguage=" xr:uid="{839DB555-1587-42A8-B839-14A908A0F610}"/>
    <hyperlink ref="L153" r:id="rId2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70800G&amp;Dataset1_Reporte=3&amp;rs%3AParameterLanguage=" xr:uid="{B453D232-ECD0-4F28-9C5E-19225D994125}"/>
    <hyperlink ref="K155" r:id="rId2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A&amp;rs%3AParameterLanguage=" xr:uid="{135EC2CC-3455-4041-9AB4-2ED205FDD2B0}"/>
    <hyperlink ref="L155" r:id="rId2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84600A&amp;Dataset1_Reporte=3&amp;rs%3AParameterLanguage=" xr:uid="{65275698-B601-42CD-A740-85A167FF7916}"/>
    <hyperlink ref="K156" r:id="rId2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G&amp;rs%3AParameterLanguage=" xr:uid="{8CE0EA9F-D5F5-49BC-A240-91EC8D108029}"/>
    <hyperlink ref="L156" r:id="rId2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84600G&amp;Dataset1_Reporte=3&amp;rs%3AParameterLanguage=" xr:uid="{2DEFFDBE-C68D-4AD3-B571-6AC07C26BD7D}"/>
    <hyperlink ref="K160" r:id="rId2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10100G&amp;rs%3AParameterLanguage=" xr:uid="{DE685CB7-CC5F-4F1F-A8CD-CB3458D9CE2F}"/>
    <hyperlink ref="L160" r:id="rId2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10100G&amp;Dataset1_Reporte=3&amp;rs%3AParameterLanguage=" xr:uid="{A40BC4E5-F4D0-42B9-A627-871031FBF00F}"/>
    <hyperlink ref="K161" r:id="rId2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100G&amp;rs%3AParameterLanguage=" xr:uid="{F9F646DF-FD23-46C6-A939-871FD1503E44}"/>
    <hyperlink ref="L161" r:id="rId2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600100G&amp;Dataset1_Reporte=3&amp;rs%3AParameterLanguage=" xr:uid="{2B181CE0-3BB0-4C75-BEC6-1A644C85FE37}"/>
    <hyperlink ref="K162" r:id="rId2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200G&amp;rs%3AParameterLanguage=" xr:uid="{473F0F84-850F-4C9F-944B-C408503C294E}"/>
    <hyperlink ref="L162" r:id="rId2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600200G&amp;Dataset1_Reporte=3&amp;rs%3AParameterLanguage=" xr:uid="{F4469961-C768-4B49-99EA-D00E0F74C3E5}"/>
    <hyperlink ref="K164" r:id="rId2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20100G&amp;rs%3AParameterLanguage=" xr:uid="{BB2FBE9D-327B-4D9F-8EAB-309DD6C8C56D}"/>
    <hyperlink ref="L164" r:id="rId2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20100G&amp;Dataset1_Reporte=3&amp;rs%3AParameterLanguage=" xr:uid="{5BD513A0-C56C-4804-9CC4-15A43F2665E2}"/>
    <hyperlink ref="K166" r:id="rId2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30100G&amp;rs%3AParameterLanguage=" xr:uid="{915F0589-5639-4586-A9C8-AE134411F368}"/>
    <hyperlink ref="L166" r:id="rId2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30100G&amp;Dataset1_Reporte=3&amp;rs%3AParameterLanguage=" xr:uid="{0268288A-1FE1-4048-B7BD-257BE1BBE19B}"/>
    <hyperlink ref="K168" r:id="rId2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40100G&amp;rs%3AParameterLanguage=" xr:uid="{DC958753-5E6D-4507-81A7-3C1454EA9317}"/>
    <hyperlink ref="L168" r:id="rId2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40100G&amp;Dataset1_Reporte=3&amp;rs%3AParameterLanguage=" xr:uid="{DCD35FC4-4A68-453C-8374-F7F4C0F09077}"/>
    <hyperlink ref="K170" r:id="rId2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50100G&amp;rs%3AParameterLanguage=" xr:uid="{F9A1F691-5800-4B58-84CF-18E8B177D770}"/>
    <hyperlink ref="L170" r:id="rId2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50100G&amp;Dataset1_Reporte=3&amp;rs%3AParameterLanguage=" xr:uid="{DBF4C415-E1F5-4C72-8AA8-A672D43C734B}"/>
    <hyperlink ref="K172" r:id="rId2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60100G&amp;rs%3AParameterLanguage=" xr:uid="{F7518615-83E6-4357-AA9E-6EC05F90F83E}"/>
    <hyperlink ref="L172" r:id="rId2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60100G&amp;Dataset1_Reporte=3&amp;rs%3AParameterLanguage=" xr:uid="{93878740-D6DC-4065-A0D2-8D78149420DB}"/>
    <hyperlink ref="K174" r:id="rId2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70100G&amp;rs%3AParameterLanguage=" xr:uid="{9F959341-A443-4FDB-B28D-484AC41C9178}"/>
    <hyperlink ref="L174" r:id="rId2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70100G&amp;Dataset1_Reporte=3&amp;rs%3AParameterLanguage=" xr:uid="{D7A02723-3F04-42B3-ACCD-0CF4CAEE48EB}"/>
    <hyperlink ref="K175" r:id="rId2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999999G&amp;rs%3AParameterLanguage=" xr:uid="{D5BE6B97-33F3-4181-8D80-1BDCC2F2A84C}"/>
    <hyperlink ref="L175" r:id="rId2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999999G&amp;Dataset1_Reporte=3&amp;rs%3AParameterLanguage=" xr:uid="{CB71FE58-E854-44C8-A2CD-BF83B31DEC97}"/>
    <hyperlink ref="K177" r:id="rId2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90200G&amp;rs%3AParameterLanguage=" xr:uid="{BF8477F8-2FC1-49C8-8E18-C26FF93BD88C}"/>
    <hyperlink ref="L177" r:id="rId2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90200G&amp;Dataset1_Reporte=3&amp;rs%3AParameterLanguage=" xr:uid="{1377071C-5B23-4433-B931-31151DF4EE09}"/>
    <hyperlink ref="K179" r:id="rId2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A&amp;rs%3AParameterLanguage=" xr:uid="{C81C6E51-8A6B-49E1-BA19-76DC29730BA2}"/>
    <hyperlink ref="L179" r:id="rId2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100A&amp;Dataset1_Reporte=3&amp;rs%3AParameterLanguage=" xr:uid="{B58D348D-0408-41E5-B84E-C905E668040A}"/>
    <hyperlink ref="K181" r:id="rId2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A&amp;rs%3AParameterLanguage=" xr:uid="{3908CF26-F21B-45E0-BABB-B3842F345618}"/>
    <hyperlink ref="L181" r:id="rId2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400A&amp;Dataset1_Reporte=3&amp;rs%3AParameterLanguage=" xr:uid="{CE7CAEDD-5834-4A40-998A-30702E44C570}"/>
    <hyperlink ref="K184" r:id="rId2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A&amp;rs%3AParameterLanguage=" xr:uid="{190CF1C1-FCEE-4E4E-95E9-E8B53AEC9B85}"/>
    <hyperlink ref="L184" r:id="rId2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3200A&amp;Dataset1_Reporte=3&amp;rs%3AParameterLanguage=" xr:uid="{C9C9C533-3323-4EB8-8E66-6A22FF88B4E1}"/>
    <hyperlink ref="K185" r:id="rId2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G&amp;rs%3AParameterLanguage=" xr:uid="{34B0F87C-6B10-4DA7-9AA3-8A922FA6A4EF}"/>
    <hyperlink ref="L185" r:id="rId2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3200G&amp;Dataset1_Reporte=3&amp;rs%3AParameterLanguage=" xr:uid="{7EC02D9A-D0F6-4A64-A56E-F7C1C1DDA26F}"/>
    <hyperlink ref="K187" r:id="rId2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A&amp;rs%3AParameterLanguage=" xr:uid="{B0683B1B-12EA-42D8-B2F7-DDF91EDE23CB}"/>
    <hyperlink ref="L187" r:id="rId2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100A&amp;Dataset1_Reporte=3&amp;rs%3AParameterLanguage=" xr:uid="{DAF07436-662A-4142-B5E0-EC00E47B2249}"/>
    <hyperlink ref="K188" r:id="rId2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G&amp;rs%3AParameterLanguage=" xr:uid="{3ABF29B2-FF67-41BE-8F67-D111EFA5789D}"/>
    <hyperlink ref="L188" r:id="rId2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100G&amp;Dataset1_Reporte=3&amp;rs%3AParameterLanguage=" xr:uid="{A57544EC-C14A-4943-9377-5C253BD1D6F5}"/>
    <hyperlink ref="K189" r:id="rId2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A&amp;rs%3AParameterLanguage=" xr:uid="{F136C379-2A09-46A7-A31A-4DB066822395}"/>
    <hyperlink ref="L189" r:id="rId2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200A&amp;Dataset1_Reporte=3&amp;rs%3AParameterLanguage=" xr:uid="{0A9B335E-D476-4DB0-B2BF-91B364369306}"/>
    <hyperlink ref="K190" r:id="rId2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G&amp;rs%3AParameterLanguage=" xr:uid="{F07A4BBE-B4C3-49F1-9049-2400EFCFFB9D}"/>
    <hyperlink ref="L190" r:id="rId2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200G&amp;Dataset1_Reporte=3&amp;rs%3AParameterLanguage=" xr:uid="{EC327285-5B7B-4411-BF07-3E1CBA14F29E}"/>
    <hyperlink ref="K192" r:id="rId2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G&amp;rs%3AParameterLanguage=" xr:uid="{3F3B39B7-8671-481A-BC25-5D0D7E08A7EC}"/>
    <hyperlink ref="L192" r:id="rId2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100G&amp;Dataset1_Reporte=3&amp;rs%3AParameterLanguage=" xr:uid="{4C030DE2-AFB6-4F63-B3AC-24761B13EEBD}"/>
    <hyperlink ref="K195" r:id="rId2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A&amp;rs%3AParameterLanguage=" xr:uid="{BDCB8737-8B65-4D83-8FEC-59863F309DDE}"/>
    <hyperlink ref="L195" r:id="rId2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70100A&amp;Dataset1_Reporte=3&amp;rs%3AParameterLanguage=" xr:uid="{C17F7E1C-5323-4E63-B7EF-98198D61538F}"/>
    <hyperlink ref="K196" r:id="rId2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G&amp;rs%3AParameterLanguage=" xr:uid="{DB44A0B7-E560-46FE-BD63-8334090944CE}"/>
    <hyperlink ref="L196" r:id="rId2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70100G&amp;Dataset1_Reporte=3&amp;rs%3AParameterLanguage=" xr:uid="{1AFF82BE-CB29-4B3D-83B1-F0A4D0FAA633}"/>
    <hyperlink ref="K198" r:id="rId2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A&amp;rs%3AParameterLanguage=" xr:uid="{B98C24A4-B350-4643-A48B-0B7A8762486D}"/>
    <hyperlink ref="L198" r:id="rId2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30100A&amp;Dataset1_Reporte=3&amp;rs%3AParameterLanguage=" xr:uid="{AAB8A2BA-FDF2-4DA8-9FC7-A7052A398E71}"/>
    <hyperlink ref="K199" r:id="rId2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G&amp;rs%3AParameterLanguage=" xr:uid="{CD5C11A6-F517-4ECF-8519-0F126053BBD8}"/>
    <hyperlink ref="L199" r:id="rId2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30100G&amp;Dataset1_Reporte=3&amp;rs%3AParameterLanguage=" xr:uid="{95ED19D9-B5B0-44AF-8E3F-CA4CFFE7B66D}"/>
    <hyperlink ref="K200" r:id="rId2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A&amp;rs%3AParameterLanguage=" xr:uid="{8CFCF006-B581-42BD-87F1-ABA3AAC05BFF}"/>
    <hyperlink ref="L200" r:id="rId2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40100A&amp;Dataset1_Reporte=3&amp;rs%3AParameterLanguage=" xr:uid="{DEAE2EC4-0717-4276-A874-FE6E2ABE0D31}"/>
    <hyperlink ref="K201" r:id="rId2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G&amp;rs%3AParameterLanguage=" xr:uid="{50C1D19E-AE09-4714-A998-8B9F1B226016}"/>
    <hyperlink ref="L201" r:id="rId2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40100G&amp;Dataset1_Reporte=3&amp;rs%3AParameterLanguage=" xr:uid="{235B3B18-CDBD-47B0-9035-2D66C1AC66AF}"/>
    <hyperlink ref="K203" r:id="rId2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A&amp;rs%3AParameterLanguage=" xr:uid="{6FF6D384-D853-4CB0-9AF6-3CBEA48F7EF2}"/>
    <hyperlink ref="L203" r:id="rId2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90100A&amp;Dataset1_Reporte=3&amp;rs%3AParameterLanguage=" xr:uid="{E376FEDE-6D6C-4C5A-857F-368D4E3688CA}"/>
    <hyperlink ref="K204" r:id="rId2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G&amp;rs%3AParameterLanguage=" xr:uid="{D97DA5F6-3685-4676-9288-4DC14A4AB9C0}"/>
    <hyperlink ref="L204" r:id="rId2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90100G&amp;Dataset1_Reporte=3&amp;rs%3AParameterLanguage=" xr:uid="{DD341E5C-6EF8-49D2-AFA1-334C4052BC91}"/>
    <hyperlink ref="K206" r:id="rId2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A&amp;rs%3AParameterLanguage=" xr:uid="{55CF64AF-2E26-46C4-815A-1EA25DA9C6EE}"/>
    <hyperlink ref="L206" r:id="rId2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100100A&amp;Dataset1_Reporte=3&amp;rs%3AParameterLanguage=" xr:uid="{CFA64C78-228C-48EE-B938-1A73834C0DB4}"/>
    <hyperlink ref="K207" r:id="rId2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G&amp;rs%3AParameterLanguage=" xr:uid="{680C77A7-CE60-4E1B-8A85-E10368C68AC8}"/>
    <hyperlink ref="L207" r:id="rId2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100100G&amp;Dataset1_Reporte=3&amp;rs%3AParameterLanguage=" xr:uid="{7BED67DE-CE4B-484A-9D7B-D8F3B90D4B26}"/>
    <hyperlink ref="K209" r:id="rId2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A&amp;rs%3AParameterLanguage=" xr:uid="{3D576CE9-85F4-4F08-A19E-3C46041A694A}"/>
    <hyperlink ref="L209" r:id="rId2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10100A&amp;Dataset1_Reporte=3&amp;rs%3AParameterLanguage=" xr:uid="{17D46AE3-C08C-4ED4-A7DE-D1221AF85D7B}"/>
    <hyperlink ref="K210" r:id="rId2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G&amp;rs%3AParameterLanguage=" xr:uid="{199ECDC2-DE58-43C7-8A3D-AB7B523DB21D}"/>
    <hyperlink ref="L210" r:id="rId2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10100G&amp;Dataset1_Reporte=3&amp;rs%3AParameterLanguage=" xr:uid="{1F56CFB9-142F-4799-98CC-5FF790A2E469}"/>
    <hyperlink ref="K212" r:id="rId2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A&amp;rs%3AParameterLanguage=" xr:uid="{54A182B8-FEC9-4C7A-BDED-E1097F7F1A66}"/>
    <hyperlink ref="L212" r:id="rId2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20100A&amp;Dataset1_Reporte=3&amp;rs%3AParameterLanguage=" xr:uid="{59733E28-F11D-47B2-9B5A-5379B4F10F09}"/>
    <hyperlink ref="K213" r:id="rId2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G&amp;rs%3AParameterLanguage=" xr:uid="{CA325878-6849-4874-9991-256C8E38284B}"/>
    <hyperlink ref="L213" r:id="rId2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20100G&amp;Dataset1_Reporte=3&amp;rs%3AParameterLanguage=" xr:uid="{8CEB2544-2450-4B86-BACC-ECD42860A0CD}"/>
    <hyperlink ref="K216" r:id="rId2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A&amp;rs%3AParameterLanguage=" xr:uid="{AEF672BC-CC0B-46AC-AEE7-C5897318C6B6}"/>
    <hyperlink ref="L216" r:id="rId3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7010A&amp;Dataset1_Reporte=3&amp;rs%3AParameterLanguage=" xr:uid="{48519E95-A28A-4D4B-BF5B-89EA9105CB22}"/>
    <hyperlink ref="K217" r:id="rId3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G&amp;rs%3AParameterLanguage=" xr:uid="{F94FAB36-5626-4D97-B124-FF87EC296F60}"/>
    <hyperlink ref="L217" r:id="rId3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7010G&amp;Dataset1_Reporte=3&amp;rs%3AParameterLanguage=" xr:uid="{C72C5784-DFED-4626-8766-BFC1FB08F68B}"/>
    <hyperlink ref="K219" r:id="rId3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A&amp;rs%3AParameterLanguage=" xr:uid="{24A9EDD4-4FE3-40E7-A8CE-30FE1E5749B7}"/>
    <hyperlink ref="L219" r:id="rId3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10A&amp;Dataset1_Reporte=3&amp;rs%3AParameterLanguage=" xr:uid="{5189D3E5-13E9-4BDD-B33F-A0700F13AD42}"/>
    <hyperlink ref="K220" r:id="rId3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G&amp;rs%3AParameterLanguage=" xr:uid="{AEC71745-0AA9-48BE-AA6A-84D6CFC16554}"/>
    <hyperlink ref="L220" r:id="rId3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10G&amp;Dataset1_Reporte=3&amp;rs%3AParameterLanguage=" xr:uid="{9A3B12FB-F4EE-449D-9312-7B8FCF680BD1}"/>
    <hyperlink ref="K221" r:id="rId3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A&amp;rs%3AParameterLanguage=" xr:uid="{B728C91B-9637-4048-ADFC-DD32D256ED94}"/>
    <hyperlink ref="L221" r:id="rId3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20A&amp;Dataset1_Reporte=3&amp;rs%3AParameterLanguage=" xr:uid="{D3A07984-6854-457F-8402-1594501346B6}"/>
    <hyperlink ref="K222" r:id="rId3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G&amp;rs%3AParameterLanguage=" xr:uid="{1F06CABB-C560-4458-BEB4-731F0ECA9268}"/>
    <hyperlink ref="L222" r:id="rId3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20G&amp;Dataset1_Reporte=3&amp;rs%3AParameterLanguage=" xr:uid="{24B0C814-2413-4E2A-B6CC-5DCF645C28FB}"/>
    <hyperlink ref="K223" r:id="rId3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A&amp;rs%3AParameterLanguage=" xr:uid="{991DBF36-5778-479A-B207-AA03DDCEDB76}"/>
    <hyperlink ref="L223" r:id="rId3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30A&amp;Dataset1_Reporte=3&amp;rs%3AParameterLanguage=" xr:uid="{F5981E31-3E75-4104-87C7-9C616A6DA5ED}"/>
    <hyperlink ref="K224" r:id="rId3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G&amp;rs%3AParameterLanguage=" xr:uid="{C38F6BE7-144C-4A5B-BB0D-3B682F0767EA}"/>
    <hyperlink ref="L224" r:id="rId3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30G&amp;Dataset1_Reporte=3&amp;rs%3AParameterLanguage=" xr:uid="{20DEEBFC-94CB-4F43-BE1D-8DA6E6B40CC0}"/>
    <hyperlink ref="K225" r:id="rId3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A&amp;rs%3AParameterLanguage=" xr:uid="{66C78B79-9037-4AAD-AA83-7E577073D82D}"/>
    <hyperlink ref="L225" r:id="rId3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990A&amp;Dataset1_Reporte=3&amp;rs%3AParameterLanguage=" xr:uid="{02F02897-B130-4358-9A4F-57854A06B4CB}"/>
    <hyperlink ref="K226" r:id="rId3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G&amp;rs%3AParameterLanguage=" xr:uid="{161691D4-3AED-4E67-BEC3-5477A8A65420}"/>
    <hyperlink ref="L226" r:id="rId3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990G&amp;Dataset1_Reporte=3&amp;rs%3AParameterLanguage=" xr:uid="{1EBCA759-4DAE-48AF-9686-6EA7FD69DA83}"/>
    <hyperlink ref="K227" r:id="rId3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A&amp;rs%3AParameterLanguage=" xr:uid="{975D07D9-59C1-4D6A-93B8-C6C49DCDDECC}"/>
    <hyperlink ref="L227" r:id="rId3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99010A&amp;Dataset1_Reporte=3&amp;rs%3AParameterLanguage=" xr:uid="{F613059D-519C-4425-8309-F959E5DCF1B9}"/>
    <hyperlink ref="K228" r:id="rId3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G&amp;rs%3AParameterLanguage=" xr:uid="{A44FAA33-6AFE-4492-BA8D-815EE111C8D5}"/>
    <hyperlink ref="L228" r:id="rId3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99010G&amp;Dataset1_Reporte=3&amp;rs%3AParameterLanguage=" xr:uid="{0A123D77-E043-46FA-8DAF-405C2D2AEFE4}"/>
    <hyperlink ref="K230" r:id="rId3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A&amp;rs%3AParameterLanguage=" xr:uid="{0E644F8A-1EDF-4EDE-A6B8-4389D0C9AED5}"/>
    <hyperlink ref="L230" r:id="rId3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10A&amp;Dataset1_Reporte=3&amp;rs%3AParameterLanguage=" xr:uid="{96CC910D-37D5-46EE-B05E-A61878B0C396}"/>
    <hyperlink ref="K231" r:id="rId3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G&amp;rs%3AParameterLanguage=" xr:uid="{F4A8CD5D-51E5-4B43-B2B9-330671938C05}"/>
    <hyperlink ref="L231" r:id="rId3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10G&amp;Dataset1_Reporte=3&amp;rs%3AParameterLanguage=" xr:uid="{3DB0F08F-0661-418A-895E-5B5BA9880865}"/>
    <hyperlink ref="K232" r:id="rId3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A&amp;rs%3AParameterLanguage=" xr:uid="{4703EB0C-3F94-4E1D-A49B-7D2C177F3A42}"/>
    <hyperlink ref="L232" r:id="rId3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20A&amp;Dataset1_Reporte=3&amp;rs%3AParameterLanguage=" xr:uid="{55825C29-33B7-40D8-8B76-912E9662A332}"/>
    <hyperlink ref="K233" r:id="rId3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G&amp;rs%3AParameterLanguage=" xr:uid="{0BE5812B-2F47-44CF-84FA-F678DCD1F459}"/>
    <hyperlink ref="L233" r:id="rId3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20G&amp;Dataset1_Reporte=3&amp;rs%3AParameterLanguage=" xr:uid="{C3E3D12E-4422-49B4-966A-65B4ACFF0C77}"/>
    <hyperlink ref="K234" r:id="rId3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A&amp;rs%3AParameterLanguage=" xr:uid="{0FA3DEE8-6C20-48E9-91EE-ABD252C6B178}"/>
    <hyperlink ref="L234" r:id="rId3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40A&amp;Dataset1_Reporte=3&amp;rs%3AParameterLanguage=" xr:uid="{5E65D5F3-4A12-4BAB-AA18-C47698E362AD}"/>
    <hyperlink ref="K235" r:id="rId3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G&amp;rs%3AParameterLanguage=" xr:uid="{12819999-FD1E-42FA-A3D9-B739C74C8EC4}"/>
    <hyperlink ref="L235" r:id="rId3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40G&amp;Dataset1_Reporte=3&amp;rs%3AParameterLanguage=" xr:uid="{E020CEDC-84DB-4D26-ADE4-18C78F72C623}"/>
    <hyperlink ref="K236" r:id="rId3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50A&amp;rs%3AParameterLanguage=" xr:uid="{C5F4EF03-32AD-44C3-967F-9852F2EFA4C5}"/>
    <hyperlink ref="L236" r:id="rId3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50A&amp;Dataset1_Reporte=3&amp;rs%3AParameterLanguage=" xr:uid="{D2033FF1-0C9D-4EF3-8D4C-EEE4173B9703}"/>
    <hyperlink ref="K238" r:id="rId3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A&amp;rs%3AParameterLanguage=" xr:uid="{7238354F-7D02-4555-8FC0-4E53ABE62F1C}"/>
    <hyperlink ref="L238" r:id="rId3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20A&amp;Dataset1_Reporte=3&amp;rs%3AParameterLanguage=" xr:uid="{29D4793B-DFDB-4EF4-AE13-CF09754419E4}"/>
    <hyperlink ref="K239" r:id="rId3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G&amp;rs%3AParameterLanguage=" xr:uid="{1E098DE9-E8FF-46CD-8488-4D3392FD9F10}"/>
    <hyperlink ref="L239" r:id="rId3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20G&amp;Dataset1_Reporte=3&amp;rs%3AParameterLanguage=" xr:uid="{257E65E6-AC56-4C76-A1A4-6347DAA8A010}"/>
    <hyperlink ref="K240" r:id="rId3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A&amp;rs%3AParameterLanguage=" xr:uid="{38ADCE4D-9A7D-41B6-94B0-840DB451BF13}"/>
    <hyperlink ref="L240" r:id="rId3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30A&amp;Dataset1_Reporte=3&amp;rs%3AParameterLanguage=" xr:uid="{1A2D4E1E-5173-4216-B83F-08BBA74DD8DC}"/>
    <hyperlink ref="K241" r:id="rId3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G&amp;rs%3AParameterLanguage=" xr:uid="{C9ED68FE-69A6-46DE-91D0-F531EDD23785}"/>
    <hyperlink ref="L241" r:id="rId3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30G&amp;Dataset1_Reporte=3&amp;rs%3AParameterLanguage=" xr:uid="{1FA6B0A4-A0DA-4C04-BD7C-452F55DADF80}"/>
    <hyperlink ref="K242" r:id="rId3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A&amp;rs%3AParameterLanguage=" xr:uid="{6407C25B-5407-49AC-BF10-186FAE9613DA}"/>
    <hyperlink ref="L242" r:id="rId3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40A&amp;Dataset1_Reporte=3&amp;rs%3AParameterLanguage=" xr:uid="{4C3D7F42-C847-4647-887D-0073F02D53D0}"/>
    <hyperlink ref="K243" r:id="rId3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G&amp;rs%3AParameterLanguage=" xr:uid="{069D17D1-2A8A-44EE-8FD7-B56A477F39D0}"/>
    <hyperlink ref="L243" r:id="rId3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40G&amp;Dataset1_Reporte=3&amp;rs%3AParameterLanguage=" xr:uid="{F721182D-87DA-4180-A70B-BDBB3C94266F}"/>
    <hyperlink ref="K245" r:id="rId3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A&amp;rs%3AParameterLanguage=" xr:uid="{B464BF3D-8DFD-4738-ABC5-C44694B832EA}"/>
    <hyperlink ref="L245" r:id="rId3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9010A&amp;Dataset1_Reporte=3&amp;rs%3AParameterLanguage=" xr:uid="{93DE65A8-7382-4B31-8EB5-BEE16654FB83}"/>
    <hyperlink ref="K246" r:id="rId3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G&amp;rs%3AParameterLanguage=" xr:uid="{0BEB1F94-79EC-49EE-B021-9C516F3301B5}"/>
    <hyperlink ref="L246" r:id="rId3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9010G&amp;Dataset1_Reporte=3&amp;rs%3AParameterLanguage=" xr:uid="{0F78F2D6-3761-4FD1-B4F8-D1D179B95171}"/>
    <hyperlink ref="K247" r:id="rId3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607070A&amp;rs%3AParameterLanguage=" xr:uid="{D7091015-B47C-4B79-9D0F-D8881E50E9B1}"/>
    <hyperlink ref="L247" r:id="rId3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607070A&amp;Dataset1_Reporte=3&amp;rs%3AParameterLanguage=" xr:uid="{D8AD9BAE-1925-4EE9-8CA1-64907BB8868C}"/>
    <hyperlink ref="K249" r:id="rId3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200A&amp;rs%3AParameterLanguage=" xr:uid="{D7E2FBDD-74D7-447B-8E79-E369A6842B3E}"/>
    <hyperlink ref="L249" r:id="rId3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200A&amp;Dataset1_Reporte=3&amp;rs%3AParameterLanguage=" xr:uid="{0FBC3652-E47C-498D-BB8B-961A6B7E2E83}"/>
    <hyperlink ref="K250" r:id="rId3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G&amp;rs%3AParameterLanguage=" xr:uid="{6BB560BA-28EB-48E8-9A14-DBC0232F1624}"/>
    <hyperlink ref="L250" r:id="rId3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400G&amp;Dataset1_Reporte=3&amp;rs%3AParameterLanguage=" xr:uid="{EA9D924C-9F70-41F3-A5EC-B85FEAFB7C9A}"/>
    <hyperlink ref="K253" r:id="rId3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2010G&amp;rs%3AParameterLanguage=" xr:uid="{3715F182-F33E-486E-9A52-15F2A2984D1F}"/>
    <hyperlink ref="L253" r:id="rId3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2010G&amp;Dataset1_Reporte=3&amp;rs%3AParameterLanguage=" xr:uid="{8D745D36-DA9E-4AEA-93C7-B6779ECA17D0}"/>
    <hyperlink ref="K255" r:id="rId3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A&amp;rs%3AParameterLanguage=" xr:uid="{62BD3A36-C623-4AF5-AB9F-0B46197C65D2}"/>
    <hyperlink ref="L255" r:id="rId3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3010A&amp;Dataset1_Reporte=3&amp;rs%3AParameterLanguage=" xr:uid="{5DA3AB63-75C9-4DC4-97F3-70F5D05953B1}"/>
    <hyperlink ref="K256" r:id="rId3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G&amp;rs%3AParameterLanguage=" xr:uid="{5B0BF78C-87DF-4F1F-87F0-88FE5B7786D0}"/>
    <hyperlink ref="L256" r:id="rId3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3010G&amp;Dataset1_Reporte=3&amp;rs%3AParameterLanguage=" xr:uid="{911AEA76-6D46-4705-9312-673AD6A52D75}"/>
    <hyperlink ref="K258" r:id="rId3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010G&amp;rs%3AParameterLanguage=" xr:uid="{59963AFC-1665-41DD-8DCA-4E435931CC07}"/>
    <hyperlink ref="L258" r:id="rId3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1010G&amp;Dataset1_Reporte=3&amp;rs%3AParameterLanguage=" xr:uid="{2862EC2A-3158-48C7-A2CD-E2BF9D94CA4C}"/>
    <hyperlink ref="K259" r:id="rId3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110G&amp;rs%3AParameterLanguage=" xr:uid="{27DCA544-9F50-462A-850D-DF6BCC56B19B}"/>
    <hyperlink ref="L259" r:id="rId3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1110G&amp;Dataset1_Reporte=3&amp;rs%3AParameterLanguage=" xr:uid="{7A942150-8051-4EDF-8C5C-8776CB199C32}"/>
    <hyperlink ref="K262" r:id="rId3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4010G&amp;rs%3AParameterLanguage=" xr:uid="{99C33C8C-257B-4A4B-AAD5-617A5FB0787D}"/>
    <hyperlink ref="L262" r:id="rId3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4010G&amp;Dataset1_Reporte=3&amp;rs%3AParameterLanguage=" xr:uid="{5D8350D8-8667-4011-8E5B-B24D611FFA4F}"/>
    <hyperlink ref="K264" r:id="rId3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5010G&amp;rs%3AParameterLanguage=" xr:uid="{6C173806-3B35-41FA-9D23-0C812C231177}"/>
    <hyperlink ref="L264" r:id="rId3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5010G&amp;Dataset1_Reporte=3&amp;rs%3AParameterLanguage=" xr:uid="{EE378922-798E-4F2C-BCBB-8146E557DF91}"/>
    <hyperlink ref="K266" r:id="rId3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6010G&amp;rs%3AParameterLanguage=" xr:uid="{C8FA2B99-EC04-44FB-9057-0F2AFEA4988C}"/>
    <hyperlink ref="L266" r:id="rId3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6010G&amp;Dataset1_Reporte=3&amp;rs%3AParameterLanguage=" xr:uid="{2F951B41-0683-4288-A394-BF19717B9738}"/>
    <hyperlink ref="K267" r:id="rId3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xr:uid="{7C07AB84-BD8F-40DC-BCB2-AA0A6EDB0DA3}"/>
    <hyperlink ref="L267" r:id="rId376" display="http://eiax-bi/ReportServer?%2FDynamicsAX%2FEIMI_SCP03_Detalles_Report.PrecisionDesign3PedidosNoRecibidos&amp;Dataset1_FechaInicio=01%2F01%2F2010%2000%3A00%3A00&amp;Dataset1_FechaTermino=08%2F31%2F2019%2000%3A00%3A00&amp;Dataset1_Proyecto=0357&amp;Dataset1_Reporte=3&amp;Dataset1_Categoria=&amp;rs%3AParameterLanguage=" xr:uid="{A545BE0D-ABC9-4812-94CA-9D41E34AA169}"/>
  </hyperlinks>
  <pageMargins left="0.5" right="0.5" top="0.5" bottom="0.5" header="0.5" footer="0.5"/>
  <pageSetup orientation="portrait" horizontalDpi="300" verticalDpi="300" r:id="rId377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70EA-39F6-48DB-8F3A-04A9AA6D4E64}">
  <sheetPr codeName="Hoja10"/>
  <dimension ref="A1:P25"/>
  <sheetViews>
    <sheetView workbookViewId="0">
      <selection activeCell="P1" sqref="P1"/>
    </sheetView>
  </sheetViews>
  <sheetFormatPr baseColWidth="10" defaultColWidth="11.42578125" defaultRowHeight="15" x14ac:dyDescent="0.25"/>
  <cols>
    <col min="1" max="13" width="17.28515625" customWidth="1"/>
    <col min="14" max="16" width="14.5703125" bestFit="1" customWidth="1"/>
  </cols>
  <sheetData>
    <row r="1" spans="1:16" x14ac:dyDescent="0.25">
      <c r="B1" t="b">
        <f>AND(B23=B7,B7=B10,B10=B4)</f>
        <v>1</v>
      </c>
      <c r="C1" t="b">
        <f>AND(C23=C7,C7=D10,D10=E4,C23=J23)</f>
        <v>1</v>
      </c>
      <c r="D1" t="b">
        <f>AND(D23=D7,D7=C4)</f>
        <v>1</v>
      </c>
      <c r="F1" t="b">
        <f>AND(G25=E7,E7=F10,F10=F4)</f>
        <v>1</v>
      </c>
      <c r="H1" t="b">
        <f>AND(I25=H7,H7=H4)</f>
        <v>1</v>
      </c>
      <c r="M1" t="b">
        <f>AND(L25=M4)</f>
        <v>1</v>
      </c>
    </row>
    <row r="2" spans="1:16" x14ac:dyDescent="0.25">
      <c r="A2" s="424" t="s">
        <v>159</v>
      </c>
      <c r="B2" s="424"/>
      <c r="C2" s="425" t="s">
        <v>161</v>
      </c>
      <c r="D2" s="425"/>
      <c r="E2" s="425"/>
      <c r="F2" s="426" t="s">
        <v>252</v>
      </c>
      <c r="G2" s="426"/>
      <c r="H2" s="426"/>
      <c r="I2" s="424" t="s">
        <v>1460</v>
      </c>
      <c r="J2" s="424"/>
      <c r="K2" s="424"/>
      <c r="L2" s="424"/>
      <c r="M2" s="424"/>
    </row>
    <row r="3" spans="1:16" ht="45" x14ac:dyDescent="0.25">
      <c r="A3" s="160" t="s">
        <v>1706</v>
      </c>
      <c r="B3" s="160" t="s">
        <v>159</v>
      </c>
      <c r="C3" s="161" t="s">
        <v>1454</v>
      </c>
      <c r="D3" s="161" t="s">
        <v>1707</v>
      </c>
      <c r="E3" s="162" t="s">
        <v>1708</v>
      </c>
      <c r="F3" s="163" t="s">
        <v>1709</v>
      </c>
      <c r="G3" s="163" t="s">
        <v>1710</v>
      </c>
      <c r="H3" s="164" t="s">
        <v>1711</v>
      </c>
      <c r="I3" s="160" t="s">
        <v>1712</v>
      </c>
      <c r="J3" s="160" t="s">
        <v>1713</v>
      </c>
      <c r="K3" s="160" t="s">
        <v>1714</v>
      </c>
      <c r="L3" s="160" t="s">
        <v>1715</v>
      </c>
      <c r="M3" s="160" t="s">
        <v>1716</v>
      </c>
    </row>
    <row r="4" spans="1:16" x14ac:dyDescent="0.25">
      <c r="A4" s="128">
        <f>Indice!I11</f>
        <v>0</v>
      </c>
      <c r="B4" s="165">
        <f>+'Matriz de Proyecciones'!D129</f>
        <v>5309816968.7201071</v>
      </c>
      <c r="C4" s="166">
        <f>+'Matriz de Proyecciones'!G129</f>
        <v>2272709405.0881023</v>
      </c>
      <c r="D4" s="167">
        <f>+'Matriz de Proyecciones'!H129</f>
        <v>3242208107.4112139</v>
      </c>
      <c r="E4" s="168">
        <f>+C4+D4</f>
        <v>5514917512.4993162</v>
      </c>
      <c r="F4" s="169">
        <f>'Matriz de Costos'!I131-'Matriz de Costos'!I126</f>
        <v>2219614300.911818</v>
      </c>
      <c r="G4" s="167">
        <f>+'Matriz de Proyecciones'!L129-'Matriz de Proyecciones'!L124</f>
        <v>2766646893.7408571</v>
      </c>
      <c r="H4" s="170">
        <f>+F4+G4</f>
        <v>4986261194.6526756</v>
      </c>
      <c r="I4" s="167">
        <f>+C4-F4</f>
        <v>53095104.176284313</v>
      </c>
      <c r="J4" s="171">
        <f>+D4-G4</f>
        <v>475561213.67035675</v>
      </c>
      <c r="K4" s="167">
        <f>+I4+J4</f>
        <v>528656317.84664106</v>
      </c>
      <c r="L4" s="171">
        <f>SUM('Matriz de Proyecciones'!O124)</f>
        <v>530981696.87203121</v>
      </c>
      <c r="M4" s="171">
        <f>TRUNC(K4-L4,0)</f>
        <v>-2325379</v>
      </c>
    </row>
    <row r="6" spans="1:16" ht="30" x14ac:dyDescent="0.25">
      <c r="A6" s="154" t="s">
        <v>1717</v>
      </c>
      <c r="B6" s="155" t="s">
        <v>1718</v>
      </c>
      <c r="C6" s="155" t="s">
        <v>1719</v>
      </c>
      <c r="D6" s="155" t="s">
        <v>1720</v>
      </c>
      <c r="E6" s="155" t="s">
        <v>1721</v>
      </c>
      <c r="F6" s="155" t="s">
        <v>1722</v>
      </c>
      <c r="G6" s="155" t="s">
        <v>1723</v>
      </c>
      <c r="H6" s="155" t="s">
        <v>1724</v>
      </c>
      <c r="I6" s="155" t="s">
        <v>1725</v>
      </c>
      <c r="J6" s="155" t="s">
        <v>1726</v>
      </c>
      <c r="K6" s="155" t="s">
        <v>1727</v>
      </c>
      <c r="L6" s="155" t="s">
        <v>1728</v>
      </c>
      <c r="M6" s="155" t="s">
        <v>1729</v>
      </c>
      <c r="N6" s="155" t="s">
        <v>1730</v>
      </c>
      <c r="O6" s="154" t="s">
        <v>1</v>
      </c>
      <c r="P6" s="154" t="s">
        <v>1731</v>
      </c>
    </row>
    <row r="7" spans="1:16" x14ac:dyDescent="0.25">
      <c r="A7" s="156" t="str">
        <f>TEXT(Indice!I12,"dd-mm-yyyy")</f>
        <v>01-12-2025</v>
      </c>
      <c r="B7" s="147">
        <f>'Analisis por Categorias'!G2</f>
        <v>5309816968.7201071</v>
      </c>
      <c r="C7" s="148">
        <f>'Analisis por Categorias'!L2</f>
        <v>5514917512.4993181</v>
      </c>
      <c r="D7" s="149">
        <f>'Analisis por Categorias'!O2</f>
        <v>2272709405.0881033</v>
      </c>
      <c r="E7" s="150">
        <f>'Matriz de Costos'!I131
-'Matriz de Costos'!I142</f>
        <v>2219614300.911818</v>
      </c>
      <c r="F7" s="151">
        <f>C7-H7</f>
        <v>528656317.84664249</v>
      </c>
      <c r="G7" s="151">
        <f>'Formato General'!E82</f>
        <v>530981696.87203121</v>
      </c>
      <c r="H7" s="152">
        <f xml:space="preserve"> 'Matriz de Proyecciones'!M129
- 'Matriz de Proyecciones'!M140</f>
        <v>4986261194.6526756</v>
      </c>
      <c r="I7" s="153">
        <f>D7/B7</f>
        <v>0.42802029118452334</v>
      </c>
      <c r="J7" s="156"/>
      <c r="K7" s="156"/>
      <c r="L7" s="156"/>
      <c r="M7" s="156"/>
      <c r="N7" s="156" t="str">
        <f>Indice!H2</f>
        <v>CC: EIMI00412 
MONTAJE ELECTROMECÁNICO " PROYECTO NUEVAS PRENSAS DE LODOS"</v>
      </c>
      <c r="O7" s="156">
        <f>Indice!I9</f>
        <v>0</v>
      </c>
      <c r="P7" s="156">
        <f>Indice!I10</f>
        <v>0</v>
      </c>
    </row>
    <row r="9" spans="1:16" ht="45" x14ac:dyDescent="0.25">
      <c r="A9" s="172" t="s">
        <v>11</v>
      </c>
      <c r="B9" s="173" t="s">
        <v>12</v>
      </c>
      <c r="C9" s="173" t="s">
        <v>13</v>
      </c>
      <c r="D9" s="173" t="s">
        <v>14</v>
      </c>
      <c r="E9" s="173" t="s">
        <v>15</v>
      </c>
      <c r="F9" s="173" t="s">
        <v>16</v>
      </c>
      <c r="G9" s="173" t="s">
        <v>17</v>
      </c>
      <c r="H9" s="173" t="s">
        <v>18</v>
      </c>
      <c r="I9" s="173" t="s">
        <v>19</v>
      </c>
    </row>
    <row r="10" spans="1:16" x14ac:dyDescent="0.25">
      <c r="A10" s="174" t="s">
        <v>147</v>
      </c>
      <c r="B10" s="175">
        <f>'Formato General'!E87</f>
        <v>5309816968.7201071</v>
      </c>
      <c r="C10" s="176">
        <f>'Formato General'!H87</f>
        <v>205100543.77921024</v>
      </c>
      <c r="D10" s="177">
        <f>'Formato General'!K87</f>
        <v>5514917512.4993172</v>
      </c>
      <c r="E10" s="176">
        <f>'Formato General'!O87</f>
        <v>804863526.27026367</v>
      </c>
      <c r="F10" s="178">
        <f>'Formato General'!R87</f>
        <v>2219614300.9118185</v>
      </c>
      <c r="G10" s="176">
        <f>'Formato General'!U87</f>
        <v>2272709405.0881023</v>
      </c>
      <c r="H10" s="176">
        <f>'Formato General'!X87</f>
        <v>2766646893.7408571</v>
      </c>
      <c r="I10" s="176">
        <f>'Formato General'!AB87</f>
        <v>528656317.85203123</v>
      </c>
    </row>
    <row r="12" spans="1:16" ht="45" x14ac:dyDescent="0.25">
      <c r="A12" s="179" t="s">
        <v>158</v>
      </c>
      <c r="B12" s="179" t="s">
        <v>159</v>
      </c>
      <c r="C12" s="179" t="s">
        <v>160</v>
      </c>
      <c r="D12" s="180" t="s">
        <v>161</v>
      </c>
      <c r="E12" s="180" t="s">
        <v>162</v>
      </c>
      <c r="F12" s="180" t="s">
        <v>163</v>
      </c>
      <c r="G12" s="180" t="s">
        <v>161</v>
      </c>
      <c r="H12" s="180" t="s">
        <v>162</v>
      </c>
      <c r="I12" s="180" t="s">
        <v>164</v>
      </c>
      <c r="J12" s="180" t="s">
        <v>161</v>
      </c>
      <c r="K12" s="180" t="s">
        <v>162</v>
      </c>
      <c r="L12" s="180" t="s">
        <v>165</v>
      </c>
    </row>
    <row r="13" spans="1:16" x14ac:dyDescent="0.25">
      <c r="A13" s="156" t="s">
        <v>161</v>
      </c>
      <c r="B13" s="147">
        <f>'Matriz de Produccion'!D132</f>
        <v>5309816968.7201071</v>
      </c>
      <c r="C13" s="148">
        <f>'Matriz de Produccion'!E132</f>
        <v>5514917512.4993162</v>
      </c>
      <c r="D13" s="151">
        <f>'Matriz de Produccion'!G132</f>
        <v>2258171129.8538599</v>
      </c>
      <c r="E13" s="151">
        <f>'Matriz de Produccion'!H132</f>
        <v>14538275.234242093</v>
      </c>
      <c r="F13" s="151">
        <f>'Matriz de Produccion'!I132</f>
        <v>2272709405.0881023</v>
      </c>
      <c r="G13" s="151">
        <f>'Matriz de Produccion'!K132</f>
        <v>1518420116.4376101</v>
      </c>
      <c r="H13" s="151">
        <f>'Matriz de Produccion'!L132</f>
        <v>14927094.137321057</v>
      </c>
      <c r="I13" s="151">
        <f>'Matriz de Produccion'!M132</f>
        <v>1533347210.5749314</v>
      </c>
      <c r="J13" s="151">
        <f>'Matriz de Produccion'!O132</f>
        <v>739751013.41624987</v>
      </c>
      <c r="K13" s="151">
        <f>'Matriz de Produccion'!P132</f>
        <v>-388818.90307896369</v>
      </c>
      <c r="L13" s="151">
        <f>'Matriz de Produccion'!Q132</f>
        <v>739362194.51317096</v>
      </c>
    </row>
    <row r="14" spans="1:16" x14ac:dyDescent="0.25">
      <c r="A14" s="156"/>
      <c r="B14" s="151">
        <f>'Matriz de Produccion'!D143</f>
        <v>530981696.87203121</v>
      </c>
      <c r="C14" s="151">
        <f>'Matriz de Produccion'!E143</f>
        <v>530981696.87203121</v>
      </c>
      <c r="D14" s="151">
        <f>'Matriz de Produccion'!G143</f>
        <v>247985263.46041375</v>
      </c>
      <c r="E14" s="151">
        <f>'Matriz de Produccion'!H143</f>
        <v>0</v>
      </c>
      <c r="F14" s="151">
        <f>'Matriz de Produccion'!I143</f>
        <v>247985263.46041375</v>
      </c>
      <c r="G14" s="151">
        <f>'Matriz de Produccion'!K143</f>
        <v>132089959.049725</v>
      </c>
      <c r="H14" s="151">
        <f>'Matriz de Produccion'!L143</f>
        <v>0</v>
      </c>
      <c r="I14" s="151">
        <f>'Matriz de Produccion'!M143</f>
        <v>132089959.049725</v>
      </c>
      <c r="J14" s="151">
        <f>'Matriz de Produccion'!O143</f>
        <v>115895304.41068879</v>
      </c>
      <c r="K14" s="151">
        <f>'Matriz de Produccion'!P143</f>
        <v>0</v>
      </c>
      <c r="L14" s="151">
        <f>'Matriz de Produccion'!Q143</f>
        <v>115895304.41068879</v>
      </c>
    </row>
    <row r="15" spans="1:16" ht="30" x14ac:dyDescent="0.25">
      <c r="A15" s="181" t="s">
        <v>158</v>
      </c>
      <c r="B15" s="181" t="s">
        <v>159</v>
      </c>
      <c r="C15" s="181" t="s">
        <v>160</v>
      </c>
      <c r="D15" s="182" t="s">
        <v>237</v>
      </c>
      <c r="E15" s="182" t="s">
        <v>238</v>
      </c>
      <c r="F15" s="182" t="s">
        <v>239</v>
      </c>
      <c r="G15" s="182" t="s">
        <v>237</v>
      </c>
      <c r="H15" s="182" t="s">
        <v>238</v>
      </c>
      <c r="I15" s="182" t="s">
        <v>240</v>
      </c>
      <c r="J15" s="182" t="s">
        <v>237</v>
      </c>
      <c r="K15" s="182" t="s">
        <v>238</v>
      </c>
      <c r="L15" s="182" t="s">
        <v>241</v>
      </c>
    </row>
    <row r="16" spans="1:16" x14ac:dyDescent="0.25">
      <c r="A16" s="156" t="s">
        <v>237</v>
      </c>
      <c r="B16" s="147">
        <f>'Matriz de Costos'!D131</f>
        <v>5309816968.7201071</v>
      </c>
      <c r="C16" s="148">
        <f>'Matriz de Costos'!E131</f>
        <v>5514917512.4993162</v>
      </c>
      <c r="D16" s="151">
        <f>'Matriz de Costos'!G131</f>
        <v>1927922695.0712001</v>
      </c>
      <c r="E16" s="151">
        <f>'Matriz de Costos'!H131</f>
        <v>539676869.30103195</v>
      </c>
      <c r="F16" s="151">
        <f>'Matriz de Costos'!I131</f>
        <v>2467599564.372232</v>
      </c>
      <c r="G16" s="151">
        <f>'Matriz de Costos'!K131</f>
        <v>1214599901.0978856</v>
      </c>
      <c r="H16" s="151">
        <f>'Matriz de Costos'!L131</f>
        <v>332240832.59339356</v>
      </c>
      <c r="I16" s="151">
        <f>'Matriz de Costos'!M131</f>
        <v>1546840733.6912796</v>
      </c>
      <c r="J16" s="151">
        <f>'Matriz de Costos'!O131</f>
        <v>713322793.97331405</v>
      </c>
      <c r="K16" s="151">
        <f>'Matriz de Costos'!P131</f>
        <v>207436036.70763832</v>
      </c>
      <c r="L16" s="151">
        <f>'Matriz de Costos'!Q131</f>
        <v>920758830.68095231</v>
      </c>
    </row>
    <row r="17" spans="1:12" x14ac:dyDescent="0.25">
      <c r="A17" s="156"/>
      <c r="B17" s="151">
        <f>'Matriz de Costos'!D142</f>
        <v>530981696.87203121</v>
      </c>
      <c r="C17" s="151">
        <f>'Matriz de Costos'!E142</f>
        <v>530981696.87203121</v>
      </c>
      <c r="D17" s="151">
        <f>'Matriz de Costos'!G142</f>
        <v>0</v>
      </c>
      <c r="E17" s="151">
        <f>'Matriz de Costos'!H142</f>
        <v>247985263.46041375</v>
      </c>
      <c r="F17" s="151">
        <f>'Matriz de Costos'!I142</f>
        <v>247985263.46041375</v>
      </c>
      <c r="G17" s="151">
        <f>'Matriz de Costos'!K142</f>
        <v>0</v>
      </c>
      <c r="H17" s="151">
        <f>'Matriz de Costos'!L142</f>
        <v>132089959.049725</v>
      </c>
      <c r="I17" s="151">
        <f>'Matriz de Costos'!M142</f>
        <v>132089959.049725</v>
      </c>
      <c r="J17" s="151">
        <f>'Matriz de Costos'!O142</f>
        <v>0</v>
      </c>
      <c r="K17" s="151">
        <f>'Matriz de Costos'!P142</f>
        <v>115895304.41068879</v>
      </c>
      <c r="L17" s="151">
        <f>'Matriz de Costos'!Q142</f>
        <v>115895304.41068879</v>
      </c>
    </row>
    <row r="18" spans="1:12" x14ac:dyDescent="0.25">
      <c r="A18" s="156"/>
      <c r="B18" s="157">
        <f t="shared" ref="B18:L18" si="0">B16-B17</f>
        <v>4778835271.8480759</v>
      </c>
      <c r="C18" s="157">
        <f t="shared" si="0"/>
        <v>4983935815.627285</v>
      </c>
      <c r="D18" s="157">
        <f t="shared" si="0"/>
        <v>1927922695.0712001</v>
      </c>
      <c r="E18" s="157">
        <f t="shared" si="0"/>
        <v>291691605.84061819</v>
      </c>
      <c r="F18" s="158">
        <f t="shared" si="0"/>
        <v>2219614300.911818</v>
      </c>
      <c r="G18" s="157">
        <f t="shared" si="0"/>
        <v>1214599901.0978856</v>
      </c>
      <c r="H18" s="157">
        <f t="shared" si="0"/>
        <v>200150873.54366857</v>
      </c>
      <c r="I18" s="157">
        <f t="shared" si="0"/>
        <v>1414750774.6415546</v>
      </c>
      <c r="J18" s="157">
        <f t="shared" si="0"/>
        <v>713322793.97331405</v>
      </c>
      <c r="K18" s="157">
        <f t="shared" si="0"/>
        <v>91540732.296949536</v>
      </c>
      <c r="L18" s="157">
        <f t="shared" si="0"/>
        <v>804863526.27026355</v>
      </c>
    </row>
    <row r="19" spans="1:12" ht="45" x14ac:dyDescent="0.25">
      <c r="A19" s="181" t="s">
        <v>158</v>
      </c>
      <c r="B19" s="181" t="s">
        <v>159</v>
      </c>
      <c r="C19" s="181" t="s">
        <v>160</v>
      </c>
      <c r="D19" s="183" t="s">
        <v>163</v>
      </c>
      <c r="E19" s="182" t="s">
        <v>239</v>
      </c>
      <c r="F19" s="181" t="s">
        <v>245</v>
      </c>
      <c r="G19" s="183" t="s">
        <v>164</v>
      </c>
      <c r="H19" s="182" t="s">
        <v>240</v>
      </c>
      <c r="I19" s="181" t="s">
        <v>246</v>
      </c>
      <c r="J19" s="183" t="s">
        <v>247</v>
      </c>
      <c r="K19" s="182" t="s">
        <v>248</v>
      </c>
      <c r="L19" s="181" t="s">
        <v>249</v>
      </c>
    </row>
    <row r="20" spans="1:12" x14ac:dyDescent="0.25">
      <c r="A20" s="156" t="s">
        <v>1460</v>
      </c>
      <c r="B20" s="147">
        <f>'Matriz de Resultados'!D131</f>
        <v>5309816968.7201071</v>
      </c>
      <c r="C20" s="148">
        <f>'Matriz de Resultados'!E131</f>
        <v>5514917512.4993162</v>
      </c>
      <c r="D20" s="151">
        <f>'Matriz de Resultados'!G131</f>
        <v>2272709405.0881023</v>
      </c>
      <c r="E20" s="151">
        <f>'Matriz de Resultados'!H131</f>
        <v>2467599564.3722324</v>
      </c>
      <c r="F20" s="151">
        <f>'Matriz de Resultados'!I131</f>
        <v>-194890159.28412986</v>
      </c>
      <c r="G20" s="151">
        <f>'Matriz de Resultados'!K131</f>
        <v>1533347210.5749314</v>
      </c>
      <c r="H20" s="151">
        <f>'Matriz de Resultados'!L131</f>
        <v>1546840733.6912796</v>
      </c>
      <c r="I20" s="151">
        <f>'Matriz de Resultados'!M131</f>
        <v>-13493523.116348296</v>
      </c>
      <c r="J20" s="151">
        <f>'Matriz de Resultados'!O131</f>
        <v>739362194.51317096</v>
      </c>
      <c r="K20" s="151">
        <f>'Matriz de Resultados'!P131</f>
        <v>920758830.68095231</v>
      </c>
      <c r="L20" s="151">
        <f>'Matriz de Resultados'!Q131</f>
        <v>-181396636.16778153</v>
      </c>
    </row>
    <row r="21" spans="1:12" x14ac:dyDescent="0.25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</row>
    <row r="22" spans="1:12" ht="30" x14ac:dyDescent="0.25">
      <c r="A22" s="181" t="s">
        <v>158</v>
      </c>
      <c r="B22" s="181" t="s">
        <v>159</v>
      </c>
      <c r="C22" s="181" t="s">
        <v>160</v>
      </c>
      <c r="D22" s="183" t="s">
        <v>254</v>
      </c>
      <c r="E22" s="183" t="s">
        <v>253</v>
      </c>
      <c r="F22" s="183" t="s">
        <v>247</v>
      </c>
      <c r="G22" s="182" t="s">
        <v>255</v>
      </c>
      <c r="H22" s="182" t="s">
        <v>253</v>
      </c>
      <c r="I22" s="182" t="s">
        <v>256</v>
      </c>
      <c r="J22" s="183" t="s">
        <v>247</v>
      </c>
      <c r="K22" s="182" t="s">
        <v>256</v>
      </c>
      <c r="L22" s="181" t="s">
        <v>257</v>
      </c>
    </row>
    <row r="23" spans="1:12" x14ac:dyDescent="0.25">
      <c r="A23" s="156" t="s">
        <v>253</v>
      </c>
      <c r="B23" s="147">
        <f>'Matriz de Proyecciones'!D129</f>
        <v>5309816968.7201071</v>
      </c>
      <c r="C23" s="148">
        <f>'Matriz de Proyecciones'!E129</f>
        <v>5514917512.4993162</v>
      </c>
      <c r="D23" s="149">
        <f>'Matriz de Proyecciones'!G129</f>
        <v>2272709405.0881023</v>
      </c>
      <c r="E23" s="151">
        <f>'Matriz de Proyecciones'!H129</f>
        <v>3242208107.4112139</v>
      </c>
      <c r="F23" s="151">
        <f>'Matriz de Proyecciones'!I129</f>
        <v>5514917512.4993162</v>
      </c>
      <c r="G23" s="151">
        <f>'Matriz de Proyecciones'!K129</f>
        <v>2467599564.3722324</v>
      </c>
      <c r="H23" s="151">
        <f>'Matriz de Proyecciones'!L129</f>
        <v>3049643327.1524744</v>
      </c>
      <c r="I23" s="151">
        <f>'Matriz de Proyecciones'!M129</f>
        <v>5517242891.5247068</v>
      </c>
      <c r="J23" s="151">
        <f>'Matriz de Proyecciones'!O129</f>
        <v>5514917512.4993162</v>
      </c>
      <c r="K23" s="151">
        <f>'Matriz de Proyecciones'!P129</f>
        <v>5517242891.5247059</v>
      </c>
      <c r="L23" s="151">
        <f>'Matriz de Proyecciones'!Q129</f>
        <v>-2325379.0253891945</v>
      </c>
    </row>
    <row r="24" spans="1:12" x14ac:dyDescent="0.25">
      <c r="A24" s="156"/>
      <c r="B24" s="151">
        <f>'Matriz de Proyecciones'!D140</f>
        <v>530981696.87203121</v>
      </c>
      <c r="C24" s="151">
        <f>'Matriz de Proyecciones'!E140</f>
        <v>530981696.87203121</v>
      </c>
      <c r="D24" s="151">
        <f>'Matriz de Proyecciones'!G140</f>
        <v>247985263.46041375</v>
      </c>
      <c r="E24" s="151">
        <f>'Matriz de Proyecciones'!H140</f>
        <v>282996433.4116174</v>
      </c>
      <c r="F24" s="151">
        <f>'Matriz de Proyecciones'!I140</f>
        <v>530981696.87203115</v>
      </c>
      <c r="G24" s="151">
        <f>'Matriz de Proyecciones'!K140</f>
        <v>247985263.46041375</v>
      </c>
      <c r="H24" s="151">
        <f>'Matriz de Proyecciones'!L140</f>
        <v>282996433.4116174</v>
      </c>
      <c r="I24" s="151">
        <f>'Matriz de Proyecciones'!M140</f>
        <v>530981696.87203115</v>
      </c>
      <c r="J24" s="151">
        <f>'Matriz de Proyecciones'!O140</f>
        <v>530981696.87203121</v>
      </c>
      <c r="K24" s="151">
        <f>'Matriz de Proyecciones'!P140</f>
        <v>530981696.87203121</v>
      </c>
      <c r="L24" s="151">
        <f>'Matriz de Proyecciones'!Q140</f>
        <v>0</v>
      </c>
    </row>
    <row r="25" spans="1:12" x14ac:dyDescent="0.25">
      <c r="A25" s="156"/>
      <c r="B25" s="157">
        <f t="shared" ref="B25:K25" si="1">B23-B24</f>
        <v>4778835271.8480759</v>
      </c>
      <c r="C25" s="157">
        <f t="shared" si="1"/>
        <v>4983935815.627285</v>
      </c>
      <c r="D25" s="157">
        <f t="shared" si="1"/>
        <v>2024724141.6276886</v>
      </c>
      <c r="E25" s="157">
        <f t="shared" si="1"/>
        <v>2959211673.9995966</v>
      </c>
      <c r="F25" s="157">
        <f t="shared" si="1"/>
        <v>4983935815.627285</v>
      </c>
      <c r="G25" s="158">
        <f t="shared" si="1"/>
        <v>2219614300.9118185</v>
      </c>
      <c r="H25" s="157">
        <f t="shared" si="1"/>
        <v>2766646893.7408571</v>
      </c>
      <c r="I25" s="159">
        <f t="shared" si="1"/>
        <v>4986261194.6526756</v>
      </c>
      <c r="J25" s="157">
        <f t="shared" si="1"/>
        <v>4983935815.627285</v>
      </c>
      <c r="K25" s="157">
        <f t="shared" si="1"/>
        <v>4986261194.6526747</v>
      </c>
      <c r="L25" s="157">
        <f>TRUNC(L23-L24,0)</f>
        <v>-2325379</v>
      </c>
    </row>
  </sheetData>
  <sheetProtection algorithmName="SHA-512" hashValue="g6n4rda8wQNtRFH/LZzBWl1S766dd4EUvVg6qqfGsvBZkuBz8bCAox5Ur4KLjknE5VGDGNe5nFrc0mvlaHqoVA==" saltValue="JhsNttlu9EOvDx2gXiGsKw==" spinCount="100000" sheet="1" objects="1" scenarios="1" selectLockedCells="1" autoFilter="0" selectUnlockedCells="1"/>
  <mergeCells count="4">
    <mergeCell ref="A2:B2"/>
    <mergeCell ref="C2:E2"/>
    <mergeCell ref="F2:H2"/>
    <mergeCell ref="I2:M2"/>
  </mergeCells>
  <conditionalFormatting sqref="B1:D1 F1 H1 M1">
    <cfRule type="cellIs" dxfId="1" priority="2" operator="equal">
      <formula>FALSE</formula>
    </cfRule>
    <cfRule type="cellIs" dxfId="0" priority="3" operator="equal">
      <formula>TRUE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a0dab92826c50f4392bad46a907be59f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63f006b82c24956e5388c140475e3bdb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6A6AF9-9A29-4B08-8D34-2E60F1A299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AE1722-1364-4CCE-80DE-A1C09B43A642}">
  <ds:schemaRefs>
    <ds:schemaRef ds:uri="2a32ef63-a18c-4363-a32e-f1a85bbcd019"/>
    <ds:schemaRef ds:uri="http://schemas.microsoft.com/office/2006/documentManagement/types"/>
    <ds:schemaRef ds:uri="http://purl.org/dc/dcmitype/"/>
    <ds:schemaRef ds:uri="http://schemas.microsoft.com/office/2006/metadata/properties"/>
    <ds:schemaRef ds:uri="484effc4-5aa1-4e20-97bf-981ce474cccf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370229f3-b919-4892-ac79-65456f01318d"/>
    <ds:schemaRef ds:uri="b927864e-f0e3-461d-a8c1-661b56594714"/>
  </ds:schemaRefs>
</ds:datastoreItem>
</file>

<file path=customXml/itemProps3.xml><?xml version="1.0" encoding="utf-8"?>
<ds:datastoreItem xmlns:ds="http://schemas.openxmlformats.org/officeDocument/2006/customXml" ds:itemID="{6A94696C-6114-4613-ADC5-53349DBE811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5ffc70c-2406-41fe-9c59-b2f97d31bfdf}" enabled="0" method="" siteId="{85ffc70c-2406-41fe-9c59-b2f97d31bf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Indice</vt:lpstr>
      <vt:lpstr>Formato General</vt:lpstr>
      <vt:lpstr>Analisis por Categorias</vt:lpstr>
      <vt:lpstr>Matriz de Produccion</vt:lpstr>
      <vt:lpstr>Matriz de Costos</vt:lpstr>
      <vt:lpstr>Matriz de Resultados</vt:lpstr>
      <vt:lpstr>Matriz de Proyecciones</vt:lpstr>
      <vt:lpstr>Proyeccion</vt:lpstr>
      <vt:lpstr>Imputar</vt:lpstr>
      <vt:lpstr>EIMI</vt:lpstr>
      <vt:lpstr>PANEL</vt:lpstr>
      <vt:lpstr>'Formato General'!Área_de_impresión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Héctor Figueroa</dc:creator>
  <cp:keywords/>
  <dc:description/>
  <cp:lastModifiedBy>Angel Tapia B.</cp:lastModifiedBy>
  <cp:revision/>
  <cp:lastPrinted>2024-09-25T19:05:42Z</cp:lastPrinted>
  <dcterms:created xsi:type="dcterms:W3CDTF">2015-06-05T18:19:34Z</dcterms:created>
  <dcterms:modified xsi:type="dcterms:W3CDTF">2026-03-31T15:26:59Z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0x010100EC8CF441430ACE428A1ED4345CB9FA3F</vt:lpwstr>
  </property>
  <property fmtid="{D5CDD505-2E9C-101B-9397-08002B2CF9AE}" pid="3" name="MediaServiceImageTags">
    <vt:lpwstr/>
  </property>
</Properties>
</file>